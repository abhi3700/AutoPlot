
<file path=[Content_Types].xml><?xml version="1.0" encoding="utf-8"?>
<Types xmlns="http://schemas.openxmlformats.org/package/2006/content-types">
  <Default Extension="png" ContentType="image/png"/>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trlProps/ctrlProp13.xml" ContentType="application/vnd.ms-excel.controlpropertie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5.xml" ContentType="application/vnd.ms-excel.controlproperties+xml"/>
  <Override PartName="/xl/ctrlProps/ctrlProp12.xml" ContentType="application/vnd.ms-excel.controlproperties+xml"/>
  <Override PartName="/xl/ctrlProps/ctrlProp6.xml" ContentType="application/vnd.ms-excel.controlproperties+xml"/>
  <Override PartName="/xl/ctrlProps/ctrlProp11.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showInkAnnotation="0" codeName="ThisWorkbook" autoCompressPictures="0"/>
  <bookViews>
    <workbookView xWindow="-105" yWindow="-105" windowWidth="20730" windowHeight="11760" tabRatio="564" firstSheet="5" activeTab="8"/>
  </bookViews>
  <sheets>
    <sheet name="REPL1A-WSA" sheetId="1" r:id="rId1"/>
    <sheet name="_xlwings.conf" sheetId="2" state="hidden" r:id="rId2"/>
    <sheet name="CP Plot" sheetId="7" state="hidden" r:id="rId3"/>
    <sheet name="SiN Plot" sheetId="8" state="hidden" r:id="rId4"/>
    <sheet name="Poly Plot" sheetId="9" state="hidden" r:id="rId5"/>
    <sheet name="REPL1A-CP" sheetId="20" r:id="rId6"/>
    <sheet name="REPL1A-ERNit" sheetId="17" r:id="rId7"/>
    <sheet name="REPL1A-ERPoly" sheetId="18" r:id="rId8"/>
    <sheet name="RUN_code" sheetId="3" r:id="rId9"/>
    <sheet name="Daily CP monitor" sheetId="15" r:id="rId10"/>
    <sheet name="control limit calculation" sheetId="14" r:id="rId11"/>
    <sheet name="Sheet7" sheetId="13" r:id="rId12"/>
    <sheet name="Sheet1" sheetId="16" r:id="rId13"/>
  </sheets>
  <definedNames>
    <definedName name="_xlnm._FilterDatabase" localSheetId="5" hidden="1">'REPL1A-CP'!$A$9:$J$238</definedName>
    <definedName name="_xlnm._FilterDatabase" localSheetId="6" hidden="1">'REPL1A-ERNit'!$A$11:$AE$662</definedName>
    <definedName name="_xlnm._FilterDatabase" localSheetId="7" hidden="1">'REPL1A-ERPoly'!$A$11:$AI$510</definedName>
  </definedNames>
  <calcPr calcId="125725"/>
  <fileRecoveryPr repairLoad="1"/>
  <extLs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D238" i="20"/>
  <c r="E238" s="1"/>
  <c r="E237"/>
  <c r="D237"/>
  <c r="D236"/>
  <c r="E236" s="1"/>
  <c r="E235"/>
  <c r="D235"/>
  <c r="D234"/>
  <c r="E234" s="1"/>
  <c r="E233"/>
  <c r="D233"/>
  <c r="D232"/>
  <c r="E232" s="1"/>
  <c r="E231"/>
  <c r="D231"/>
  <c r="D230"/>
  <c r="E230" s="1"/>
  <c r="E229"/>
  <c r="D229"/>
  <c r="D228"/>
  <c r="E228" s="1"/>
  <c r="E227"/>
  <c r="D227"/>
  <c r="D226"/>
  <c r="E226" s="1"/>
  <c r="E225"/>
  <c r="D225"/>
  <c r="D224"/>
  <c r="E224" s="1"/>
  <c r="E223"/>
  <c r="D223"/>
  <c r="D222"/>
  <c r="E222" s="1"/>
  <c r="E221"/>
  <c r="D221"/>
  <c r="D220"/>
  <c r="E220" s="1"/>
  <c r="E219"/>
  <c r="D219"/>
  <c r="D218"/>
  <c r="E218" s="1"/>
  <c r="E217"/>
  <c r="D217"/>
  <c r="D216"/>
  <c r="E216" s="1"/>
  <c r="E215"/>
  <c r="D215"/>
  <c r="D214"/>
  <c r="E214" s="1"/>
  <c r="E213"/>
  <c r="D213"/>
  <c r="D212"/>
  <c r="E212" s="1"/>
  <c r="E211"/>
  <c r="D211"/>
  <c r="D210"/>
  <c r="E210" s="1"/>
  <c r="E209"/>
  <c r="D209"/>
  <c r="D208"/>
  <c r="E208" s="1"/>
  <c r="E207"/>
  <c r="D207"/>
  <c r="D206"/>
  <c r="E206" s="1"/>
  <c r="E205"/>
  <c r="D205"/>
  <c r="D204"/>
  <c r="E204" s="1"/>
  <c r="E203"/>
  <c r="D203"/>
  <c r="D202"/>
  <c r="E202" s="1"/>
  <c r="E201"/>
  <c r="D201"/>
  <c r="D200"/>
  <c r="E200" s="1"/>
  <c r="E199"/>
  <c r="D199"/>
  <c r="D198"/>
  <c r="E198" s="1"/>
  <c r="E197"/>
  <c r="D197"/>
  <c r="D196"/>
  <c r="E196" s="1"/>
  <c r="E195"/>
  <c r="D195"/>
  <c r="D194"/>
  <c r="E194" s="1"/>
  <c r="E193"/>
  <c r="D193"/>
  <c r="D192"/>
  <c r="E192" s="1"/>
  <c r="E191"/>
  <c r="D191"/>
  <c r="D190"/>
  <c r="E190" s="1"/>
  <c r="E189"/>
  <c r="D189"/>
  <c r="D188"/>
  <c r="E188" s="1"/>
  <c r="E187"/>
  <c r="D187"/>
  <c r="D186"/>
  <c r="E186" s="1"/>
  <c r="E185"/>
  <c r="D185"/>
  <c r="D184"/>
  <c r="E184" s="1"/>
  <c r="E183"/>
  <c r="D183"/>
  <c r="D182"/>
  <c r="E182" s="1"/>
  <c r="E181"/>
  <c r="D181"/>
  <c r="D180"/>
  <c r="E180" s="1"/>
  <c r="E179"/>
  <c r="D179"/>
  <c r="D178"/>
  <c r="E178" s="1"/>
  <c r="E177"/>
  <c r="D177"/>
  <c r="D176"/>
  <c r="E176" s="1"/>
  <c r="E175"/>
  <c r="D175"/>
  <c r="D174"/>
  <c r="E174" s="1"/>
  <c r="E173"/>
  <c r="D173"/>
  <c r="D172"/>
  <c r="E172" s="1"/>
  <c r="E171"/>
  <c r="D171"/>
  <c r="D170"/>
  <c r="E170" s="1"/>
  <c r="E169"/>
  <c r="D169"/>
  <c r="D168"/>
  <c r="E168" s="1"/>
  <c r="E167"/>
  <c r="D167"/>
  <c r="D166"/>
  <c r="E166" s="1"/>
  <c r="E165"/>
  <c r="D165"/>
  <c r="D164"/>
  <c r="E164" s="1"/>
  <c r="E163"/>
  <c r="D163"/>
  <c r="D162"/>
  <c r="E162" s="1"/>
  <c r="E161"/>
  <c r="D161"/>
  <c r="D160"/>
  <c r="E160" s="1"/>
  <c r="E159"/>
  <c r="D159"/>
  <c r="D158"/>
  <c r="E158" s="1"/>
  <c r="E157"/>
  <c r="D157"/>
  <c r="D156"/>
  <c r="E156" s="1"/>
  <c r="E155"/>
  <c r="D155"/>
  <c r="D154"/>
  <c r="E154" s="1"/>
  <c r="E153"/>
  <c r="D153"/>
  <c r="D152"/>
  <c r="E152" s="1"/>
  <c r="E151"/>
  <c r="D151"/>
  <c r="D150"/>
  <c r="E150" s="1"/>
  <c r="E149"/>
  <c r="D149"/>
  <c r="D148"/>
  <c r="E148" s="1"/>
  <c r="E147"/>
  <c r="D147"/>
  <c r="D146"/>
  <c r="E146" s="1"/>
  <c r="E145"/>
  <c r="D145"/>
  <c r="D144"/>
  <c r="E144" s="1"/>
  <c r="E143"/>
  <c r="D143"/>
  <c r="D142"/>
  <c r="E142" s="1"/>
  <c r="E141"/>
  <c r="D141"/>
  <c r="D140"/>
  <c r="E140" s="1"/>
  <c r="E139"/>
  <c r="D139"/>
  <c r="D138"/>
  <c r="E138" s="1"/>
  <c r="E137"/>
  <c r="D137"/>
  <c r="D136"/>
  <c r="E136" s="1"/>
  <c r="E135"/>
  <c r="D135"/>
  <c r="D134"/>
  <c r="E134" s="1"/>
  <c r="E133"/>
  <c r="D133"/>
  <c r="D132"/>
  <c r="E132" s="1"/>
  <c r="E131"/>
  <c r="D131"/>
  <c r="D130"/>
  <c r="E130" s="1"/>
  <c r="E129"/>
  <c r="D129"/>
  <c r="D128"/>
  <c r="E128" s="1"/>
  <c r="E127"/>
  <c r="D127"/>
  <c r="D126"/>
  <c r="E126" s="1"/>
  <c r="E125"/>
  <c r="D125"/>
  <c r="D124"/>
  <c r="E124" s="1"/>
  <c r="E123"/>
  <c r="D123"/>
  <c r="D122"/>
  <c r="E122" s="1"/>
  <c r="E121"/>
  <c r="D121"/>
  <c r="D120"/>
  <c r="E120" s="1"/>
  <c r="E119"/>
  <c r="D119"/>
  <c r="D118"/>
  <c r="E118" s="1"/>
  <c r="E117"/>
  <c r="D117"/>
  <c r="D116"/>
  <c r="E116" s="1"/>
  <c r="E115"/>
  <c r="D115"/>
  <c r="D114"/>
  <c r="E114" s="1"/>
  <c r="E113"/>
  <c r="D113"/>
  <c r="D112"/>
  <c r="E112" s="1"/>
  <c r="E111"/>
  <c r="D111"/>
  <c r="D110"/>
  <c r="E110" s="1"/>
  <c r="E109"/>
  <c r="D109"/>
  <c r="D108"/>
  <c r="E108" s="1"/>
  <c r="E107"/>
  <c r="D107"/>
  <c r="D106"/>
  <c r="E106" s="1"/>
  <c r="E105"/>
  <c r="D105"/>
  <c r="D104"/>
  <c r="E104" s="1"/>
  <c r="E103"/>
  <c r="D103"/>
  <c r="D102"/>
  <c r="E102" s="1"/>
  <c r="E101"/>
  <c r="D101"/>
  <c r="D100"/>
  <c r="E100" s="1"/>
  <c r="E99"/>
  <c r="D99"/>
  <c r="D98"/>
  <c r="E98" s="1"/>
  <c r="E97"/>
  <c r="D97"/>
  <c r="D96"/>
  <c r="E96" s="1"/>
  <c r="E95"/>
  <c r="D95"/>
  <c r="D94"/>
  <c r="E94" s="1"/>
  <c r="E93"/>
  <c r="D93"/>
  <c r="D92"/>
  <c r="E92" s="1"/>
  <c r="E91"/>
  <c r="D91"/>
  <c r="D90"/>
  <c r="E90" s="1"/>
  <c r="E89"/>
  <c r="D89"/>
  <c r="D88"/>
  <c r="E88" s="1"/>
  <c r="E87"/>
  <c r="D87"/>
  <c r="D86"/>
  <c r="E86" s="1"/>
  <c r="E85"/>
  <c r="D85"/>
  <c r="D84"/>
  <c r="E84" s="1"/>
  <c r="E83"/>
  <c r="D83"/>
  <c r="D82"/>
  <c r="E82" s="1"/>
  <c r="E81"/>
  <c r="D81"/>
  <c r="D80"/>
  <c r="E80" s="1"/>
  <c r="E79"/>
  <c r="D79"/>
  <c r="D78"/>
  <c r="E78" s="1"/>
  <c r="E77"/>
  <c r="D77"/>
  <c r="D76"/>
  <c r="E76" s="1"/>
  <c r="E75"/>
  <c r="D75"/>
  <c r="D74"/>
  <c r="E74" s="1"/>
  <c r="E73"/>
  <c r="D73"/>
  <c r="D72"/>
  <c r="E72" s="1"/>
  <c r="E71"/>
  <c r="D71"/>
  <c r="D70"/>
  <c r="E70" s="1"/>
  <c r="E69"/>
  <c r="D69"/>
  <c r="D68"/>
  <c r="E68" s="1"/>
  <c r="E67"/>
  <c r="D67"/>
  <c r="D66"/>
  <c r="E66" s="1"/>
  <c r="E65"/>
  <c r="D65"/>
  <c r="D64"/>
  <c r="E64" s="1"/>
  <c r="E63"/>
  <c r="D63"/>
  <c r="D62"/>
  <c r="E62" s="1"/>
  <c r="E61"/>
  <c r="D61"/>
  <c r="D60"/>
  <c r="E60" s="1"/>
  <c r="E59"/>
  <c r="D59"/>
  <c r="D58"/>
  <c r="E58" s="1"/>
  <c r="E57"/>
  <c r="D57"/>
  <c r="D56"/>
  <c r="E56" s="1"/>
  <c r="E55"/>
  <c r="D55"/>
  <c r="D54"/>
  <c r="E54" s="1"/>
  <c r="E53"/>
  <c r="D53"/>
  <c r="D52"/>
  <c r="E52" s="1"/>
  <c r="E51"/>
  <c r="D51"/>
  <c r="D50"/>
  <c r="E50" s="1"/>
  <c r="E49"/>
  <c r="D49"/>
  <c r="D48"/>
  <c r="E48" s="1"/>
  <c r="E47"/>
  <c r="D47"/>
  <c r="D46"/>
  <c r="E46" s="1"/>
  <c r="E45"/>
  <c r="D45"/>
  <c r="D44"/>
  <c r="E44" s="1"/>
  <c r="E43"/>
  <c r="D43"/>
  <c r="D42"/>
  <c r="E42" s="1"/>
  <c r="E41"/>
  <c r="D41"/>
  <c r="D40"/>
  <c r="E40" s="1"/>
  <c r="E39"/>
  <c r="D39"/>
  <c r="D38"/>
  <c r="E38" s="1"/>
  <c r="E37"/>
  <c r="D37"/>
  <c r="D36"/>
  <c r="E36" s="1"/>
  <c r="E35"/>
  <c r="D35"/>
  <c r="D34"/>
  <c r="E34" s="1"/>
  <c r="E33"/>
  <c r="D33"/>
  <c r="D32"/>
  <c r="E32" s="1"/>
  <c r="E31"/>
  <c r="D31"/>
  <c r="D30"/>
  <c r="E30" s="1"/>
  <c r="E29"/>
  <c r="D29"/>
  <c r="D28"/>
  <c r="E28" s="1"/>
  <c r="E27"/>
  <c r="D27"/>
  <c r="D26"/>
  <c r="E26" s="1"/>
  <c r="E25"/>
  <c r="D25"/>
  <c r="D24"/>
  <c r="E24" s="1"/>
  <c r="E23"/>
  <c r="D23"/>
  <c r="D22"/>
  <c r="E22" s="1"/>
  <c r="E21"/>
  <c r="D21"/>
  <c r="D20"/>
  <c r="E20" s="1"/>
  <c r="E19"/>
  <c r="D19"/>
  <c r="D18"/>
  <c r="E18" s="1"/>
  <c r="E17"/>
  <c r="D17"/>
  <c r="D16"/>
  <c r="E16" s="1"/>
  <c r="E15"/>
  <c r="D15"/>
  <c r="D14"/>
  <c r="E14" s="1"/>
  <c r="E13"/>
  <c r="D13"/>
  <c r="D12"/>
  <c r="E12" s="1"/>
  <c r="E11"/>
  <c r="D11"/>
  <c r="P452" i="17"/>
  <c r="O452"/>
  <c r="N452"/>
  <c r="M452"/>
  <c r="L452"/>
  <c r="K452"/>
  <c r="J452"/>
  <c r="I452"/>
  <c r="H452"/>
  <c r="G452"/>
  <c r="F452"/>
  <c r="E452"/>
  <c r="S450" s="1"/>
  <c r="D452"/>
  <c r="T450"/>
  <c r="R450"/>
  <c r="Q450"/>
  <c r="U450" s="1"/>
  <c r="V450" s="1"/>
  <c r="P449"/>
  <c r="O449"/>
  <c r="N449"/>
  <c r="M449"/>
  <c r="L449"/>
  <c r="K449"/>
  <c r="J449"/>
  <c r="I449"/>
  <c r="H449"/>
  <c r="G449"/>
  <c r="F449"/>
  <c r="E449"/>
  <c r="D449"/>
  <c r="T447" s="1"/>
  <c r="S447"/>
  <c r="Q447"/>
  <c r="T455" i="18"/>
  <c r="S455"/>
  <c r="R455"/>
  <c r="Q455"/>
  <c r="P455"/>
  <c r="O455"/>
  <c r="N455"/>
  <c r="M455"/>
  <c r="L455"/>
  <c r="K455"/>
  <c r="J455"/>
  <c r="I455"/>
  <c r="H455"/>
  <c r="G455"/>
  <c r="F455"/>
  <c r="W453" s="1"/>
  <c r="E455"/>
  <c r="D455"/>
  <c r="X453" s="1"/>
  <c r="V453"/>
  <c r="U453"/>
  <c r="Y453" s="1"/>
  <c r="Z453" s="1"/>
  <c r="T452"/>
  <c r="S452"/>
  <c r="R452"/>
  <c r="Q452"/>
  <c r="P452"/>
  <c r="O452"/>
  <c r="N452"/>
  <c r="M452"/>
  <c r="L452"/>
  <c r="K452"/>
  <c r="J452"/>
  <c r="I452"/>
  <c r="H452"/>
  <c r="G452"/>
  <c r="F452"/>
  <c r="X450" s="1"/>
  <c r="E452"/>
  <c r="W450" s="1"/>
  <c r="D452"/>
  <c r="U450"/>
  <c r="T509"/>
  <c r="W507" s="1"/>
  <c r="S509"/>
  <c r="R509"/>
  <c r="Q509"/>
  <c r="P509"/>
  <c r="O509"/>
  <c r="N509"/>
  <c r="M509"/>
  <c r="L509"/>
  <c r="K509"/>
  <c r="J509"/>
  <c r="I509"/>
  <c r="H509"/>
  <c r="G509"/>
  <c r="F509"/>
  <c r="E509"/>
  <c r="D509"/>
  <c r="Z507"/>
  <c r="Y507"/>
  <c r="V507"/>
  <c r="U507"/>
  <c r="T506"/>
  <c r="S506"/>
  <c r="R506"/>
  <c r="Q506"/>
  <c r="P506"/>
  <c r="O506"/>
  <c r="N506"/>
  <c r="M506"/>
  <c r="L506"/>
  <c r="K506"/>
  <c r="J506"/>
  <c r="I506"/>
  <c r="H506"/>
  <c r="G506"/>
  <c r="F506"/>
  <c r="E506"/>
  <c r="D506"/>
  <c r="Z504"/>
  <c r="Y504"/>
  <c r="W504"/>
  <c r="V504"/>
  <c r="U504"/>
  <c r="T503"/>
  <c r="S503"/>
  <c r="R503"/>
  <c r="Q503"/>
  <c r="P503"/>
  <c r="O503"/>
  <c r="N503"/>
  <c r="M503"/>
  <c r="L503"/>
  <c r="K503"/>
  <c r="J503"/>
  <c r="I503"/>
  <c r="H503"/>
  <c r="G503"/>
  <c r="F503"/>
  <c r="E503"/>
  <c r="D503"/>
  <c r="X501" s="1"/>
  <c r="Z501"/>
  <c r="Y501"/>
  <c r="W501"/>
  <c r="V501"/>
  <c r="U501"/>
  <c r="T500"/>
  <c r="W498" s="1"/>
  <c r="S500"/>
  <c r="R500"/>
  <c r="Q500"/>
  <c r="P500"/>
  <c r="O500"/>
  <c r="N500"/>
  <c r="M500"/>
  <c r="L500"/>
  <c r="K500"/>
  <c r="J500"/>
  <c r="I500"/>
  <c r="H500"/>
  <c r="G500"/>
  <c r="F500"/>
  <c r="E500"/>
  <c r="D500"/>
  <c r="Z498"/>
  <c r="Y498"/>
  <c r="V498"/>
  <c r="U498"/>
  <c r="T497"/>
  <c r="W495" s="1"/>
  <c r="S497"/>
  <c r="R497"/>
  <c r="Q497"/>
  <c r="P497"/>
  <c r="O497"/>
  <c r="N497"/>
  <c r="M497"/>
  <c r="L497"/>
  <c r="K497"/>
  <c r="J497"/>
  <c r="I497"/>
  <c r="H497"/>
  <c r="G497"/>
  <c r="F497"/>
  <c r="E497"/>
  <c r="D497"/>
  <c r="Z495"/>
  <c r="Y495"/>
  <c r="V495"/>
  <c r="U495"/>
  <c r="T494"/>
  <c r="W492" s="1"/>
  <c r="S494"/>
  <c r="R494"/>
  <c r="Q494"/>
  <c r="P494"/>
  <c r="O494"/>
  <c r="N494"/>
  <c r="M494"/>
  <c r="L494"/>
  <c r="K494"/>
  <c r="J494"/>
  <c r="I494"/>
  <c r="H494"/>
  <c r="G494"/>
  <c r="F494"/>
  <c r="X492" s="1"/>
  <c r="E494"/>
  <c r="D494"/>
  <c r="Z492"/>
  <c r="Y492"/>
  <c r="V492"/>
  <c r="U492"/>
  <c r="T491"/>
  <c r="S491"/>
  <c r="R491"/>
  <c r="Q491"/>
  <c r="P491"/>
  <c r="O491"/>
  <c r="N491"/>
  <c r="M491"/>
  <c r="L491"/>
  <c r="K491"/>
  <c r="J491"/>
  <c r="I491"/>
  <c r="H491"/>
  <c r="G491"/>
  <c r="F491"/>
  <c r="E491"/>
  <c r="D491"/>
  <c r="X489" s="1"/>
  <c r="Z489"/>
  <c r="Y489"/>
  <c r="W489"/>
  <c r="V489"/>
  <c r="U489"/>
  <c r="T488"/>
  <c r="W486" s="1"/>
  <c r="S488"/>
  <c r="R488"/>
  <c r="Q488"/>
  <c r="P488"/>
  <c r="O488"/>
  <c r="N488"/>
  <c r="M488"/>
  <c r="L488"/>
  <c r="K488"/>
  <c r="J488"/>
  <c r="I488"/>
  <c r="H488"/>
  <c r="G488"/>
  <c r="F488"/>
  <c r="E488"/>
  <c r="D488"/>
  <c r="Z486"/>
  <c r="Y486"/>
  <c r="V486"/>
  <c r="U486"/>
  <c r="T485"/>
  <c r="S485"/>
  <c r="R485"/>
  <c r="Q485"/>
  <c r="P485"/>
  <c r="O485"/>
  <c r="N485"/>
  <c r="M485"/>
  <c r="L485"/>
  <c r="K485"/>
  <c r="J485"/>
  <c r="I485"/>
  <c r="H485"/>
  <c r="G485"/>
  <c r="F485"/>
  <c r="E485"/>
  <c r="D485"/>
  <c r="Z483"/>
  <c r="Y483"/>
  <c r="W483"/>
  <c r="V483"/>
  <c r="U483"/>
  <c r="T482"/>
  <c r="W480" s="1"/>
  <c r="S482"/>
  <c r="R482"/>
  <c r="Q482"/>
  <c r="P482"/>
  <c r="O482"/>
  <c r="N482"/>
  <c r="M482"/>
  <c r="L482"/>
  <c r="K482"/>
  <c r="J482"/>
  <c r="I482"/>
  <c r="H482"/>
  <c r="G482"/>
  <c r="F482"/>
  <c r="E482"/>
  <c r="D482"/>
  <c r="Z480"/>
  <c r="Y480"/>
  <c r="V480"/>
  <c r="U480"/>
  <c r="T479"/>
  <c r="S479"/>
  <c r="R479"/>
  <c r="Q479"/>
  <c r="P479"/>
  <c r="O479"/>
  <c r="N479"/>
  <c r="M479"/>
  <c r="L479"/>
  <c r="K479"/>
  <c r="J479"/>
  <c r="I479"/>
  <c r="H479"/>
  <c r="G479"/>
  <c r="F479"/>
  <c r="E479"/>
  <c r="D479"/>
  <c r="Z477"/>
  <c r="Y477"/>
  <c r="X477"/>
  <c r="W477"/>
  <c r="V477"/>
  <c r="U477"/>
  <c r="T476"/>
  <c r="W474" s="1"/>
  <c r="S476"/>
  <c r="R476"/>
  <c r="Q476"/>
  <c r="P476"/>
  <c r="O476"/>
  <c r="N476"/>
  <c r="M476"/>
  <c r="L476"/>
  <c r="K476"/>
  <c r="J476"/>
  <c r="I476"/>
  <c r="H476"/>
  <c r="G476"/>
  <c r="F476"/>
  <c r="E476"/>
  <c r="D476"/>
  <c r="X474" s="1"/>
  <c r="Z474"/>
  <c r="Y474"/>
  <c r="V474"/>
  <c r="U474"/>
  <c r="T473"/>
  <c r="W471" s="1"/>
  <c r="S473"/>
  <c r="R473"/>
  <c r="Q473"/>
  <c r="P473"/>
  <c r="O473"/>
  <c r="N473"/>
  <c r="M473"/>
  <c r="L473"/>
  <c r="K473"/>
  <c r="J473"/>
  <c r="I473"/>
  <c r="H473"/>
  <c r="G473"/>
  <c r="F473"/>
  <c r="X471" s="1"/>
  <c r="E473"/>
  <c r="D473"/>
  <c r="Z471"/>
  <c r="Y471"/>
  <c r="V471"/>
  <c r="U471"/>
  <c r="T470"/>
  <c r="W468" s="1"/>
  <c r="S470"/>
  <c r="R470"/>
  <c r="Q470"/>
  <c r="P470"/>
  <c r="O470"/>
  <c r="N470"/>
  <c r="M470"/>
  <c r="L470"/>
  <c r="K470"/>
  <c r="J470"/>
  <c r="I470"/>
  <c r="H470"/>
  <c r="G470"/>
  <c r="F470"/>
  <c r="E470"/>
  <c r="D470"/>
  <c r="Z468"/>
  <c r="Y468"/>
  <c r="V468"/>
  <c r="U468"/>
  <c r="T467"/>
  <c r="S467"/>
  <c r="R467"/>
  <c r="Q467"/>
  <c r="P467"/>
  <c r="O467"/>
  <c r="N467"/>
  <c r="M467"/>
  <c r="L467"/>
  <c r="K467"/>
  <c r="J467"/>
  <c r="I467"/>
  <c r="H467"/>
  <c r="G467"/>
  <c r="F467"/>
  <c r="E467"/>
  <c r="D467"/>
  <c r="Z465"/>
  <c r="Y465"/>
  <c r="W465"/>
  <c r="V465"/>
  <c r="U465"/>
  <c r="T464"/>
  <c r="S464"/>
  <c r="R464"/>
  <c r="Q464"/>
  <c r="P464"/>
  <c r="O464"/>
  <c r="N464"/>
  <c r="M464"/>
  <c r="L464"/>
  <c r="K464"/>
  <c r="J464"/>
  <c r="I464"/>
  <c r="H464"/>
  <c r="G464"/>
  <c r="F464"/>
  <c r="E464"/>
  <c r="D464"/>
  <c r="Z462"/>
  <c r="Y462"/>
  <c r="W462"/>
  <c r="V462"/>
  <c r="U462"/>
  <c r="T461"/>
  <c r="W459" s="1"/>
  <c r="S461"/>
  <c r="R461"/>
  <c r="Q461"/>
  <c r="P461"/>
  <c r="O461"/>
  <c r="N461"/>
  <c r="M461"/>
  <c r="L461"/>
  <c r="K461"/>
  <c r="J461"/>
  <c r="I461"/>
  <c r="H461"/>
  <c r="G461"/>
  <c r="F461"/>
  <c r="E461"/>
  <c r="D461"/>
  <c r="Z459"/>
  <c r="Y459"/>
  <c r="V459"/>
  <c r="U459"/>
  <c r="T458"/>
  <c r="S458"/>
  <c r="R458"/>
  <c r="Q458"/>
  <c r="P458"/>
  <c r="O458"/>
  <c r="N458"/>
  <c r="M458"/>
  <c r="L458"/>
  <c r="K458"/>
  <c r="J458"/>
  <c r="I458"/>
  <c r="H458"/>
  <c r="G458"/>
  <c r="F458"/>
  <c r="X456" s="1"/>
  <c r="E458"/>
  <c r="D458"/>
  <c r="Z456"/>
  <c r="Y456"/>
  <c r="W456"/>
  <c r="V456"/>
  <c r="U456"/>
  <c r="T449"/>
  <c r="S449"/>
  <c r="R449"/>
  <c r="Q449"/>
  <c r="P449"/>
  <c r="O449"/>
  <c r="N449"/>
  <c r="M449"/>
  <c r="L449"/>
  <c r="K449"/>
  <c r="J449"/>
  <c r="I449"/>
  <c r="H449"/>
  <c r="G449"/>
  <c r="F449"/>
  <c r="E449"/>
  <c r="D449"/>
  <c r="V447" s="1"/>
  <c r="T446"/>
  <c r="S446"/>
  <c r="R446"/>
  <c r="Q446"/>
  <c r="P446"/>
  <c r="O446"/>
  <c r="N446"/>
  <c r="M446"/>
  <c r="L446"/>
  <c r="K446"/>
  <c r="J446"/>
  <c r="I446"/>
  <c r="H446"/>
  <c r="G446"/>
  <c r="F446"/>
  <c r="E446"/>
  <c r="D446"/>
  <c r="T443"/>
  <c r="S443"/>
  <c r="R443"/>
  <c r="Q443"/>
  <c r="P443"/>
  <c r="O443"/>
  <c r="N443"/>
  <c r="M443"/>
  <c r="L443"/>
  <c r="K443"/>
  <c r="J443"/>
  <c r="I443"/>
  <c r="H443"/>
  <c r="G443"/>
  <c r="F443"/>
  <c r="E443"/>
  <c r="D443"/>
  <c r="T440"/>
  <c r="S440"/>
  <c r="R440"/>
  <c r="Q440"/>
  <c r="P440"/>
  <c r="O440"/>
  <c r="N440"/>
  <c r="M440"/>
  <c r="L440"/>
  <c r="K440"/>
  <c r="J440"/>
  <c r="I440"/>
  <c r="H440"/>
  <c r="G440"/>
  <c r="F440"/>
  <c r="E440"/>
  <c r="D440"/>
  <c r="W438"/>
  <c r="T437"/>
  <c r="S437"/>
  <c r="R437"/>
  <c r="Q437"/>
  <c r="P437"/>
  <c r="O437"/>
  <c r="N437"/>
  <c r="M437"/>
  <c r="L437"/>
  <c r="K437"/>
  <c r="J437"/>
  <c r="I437"/>
  <c r="H437"/>
  <c r="G437"/>
  <c r="F437"/>
  <c r="E437"/>
  <c r="W435" s="1"/>
  <c r="D437"/>
  <c r="T434"/>
  <c r="S434"/>
  <c r="R434"/>
  <c r="Q434"/>
  <c r="P434"/>
  <c r="O434"/>
  <c r="N434"/>
  <c r="M434"/>
  <c r="L434"/>
  <c r="K434"/>
  <c r="J434"/>
  <c r="I434"/>
  <c r="H434"/>
  <c r="G434"/>
  <c r="F434"/>
  <c r="E434"/>
  <c r="D434"/>
  <c r="T431"/>
  <c r="S431"/>
  <c r="R431"/>
  <c r="Q431"/>
  <c r="P431"/>
  <c r="O431"/>
  <c r="N431"/>
  <c r="M431"/>
  <c r="L431"/>
  <c r="K431"/>
  <c r="J431"/>
  <c r="I431"/>
  <c r="H431"/>
  <c r="G431"/>
  <c r="F431"/>
  <c r="E431"/>
  <c r="D431"/>
  <c r="T428"/>
  <c r="W426" s="1"/>
  <c r="S428"/>
  <c r="R428"/>
  <c r="Q428"/>
  <c r="P428"/>
  <c r="O428"/>
  <c r="N428"/>
  <c r="M428"/>
  <c r="L428"/>
  <c r="K428"/>
  <c r="J428"/>
  <c r="I428"/>
  <c r="H428"/>
  <c r="G428"/>
  <c r="F428"/>
  <c r="E428"/>
  <c r="D428"/>
  <c r="T425"/>
  <c r="S425"/>
  <c r="R425"/>
  <c r="Q425"/>
  <c r="P425"/>
  <c r="O425"/>
  <c r="N425"/>
  <c r="M425"/>
  <c r="L425"/>
  <c r="K425"/>
  <c r="J425"/>
  <c r="I425"/>
  <c r="H425"/>
  <c r="G425"/>
  <c r="F425"/>
  <c r="E425"/>
  <c r="D425"/>
  <c r="V423" s="1"/>
  <c r="T422"/>
  <c r="S422"/>
  <c r="R422"/>
  <c r="Q422"/>
  <c r="P422"/>
  <c r="O422"/>
  <c r="N422"/>
  <c r="M422"/>
  <c r="L422"/>
  <c r="K422"/>
  <c r="J422"/>
  <c r="I422"/>
  <c r="H422"/>
  <c r="G422"/>
  <c r="F422"/>
  <c r="E422"/>
  <c r="D422"/>
  <c r="T419"/>
  <c r="S419"/>
  <c r="R419"/>
  <c r="Q419"/>
  <c r="P419"/>
  <c r="O419"/>
  <c r="N419"/>
  <c r="M419"/>
  <c r="L419"/>
  <c r="K419"/>
  <c r="J419"/>
  <c r="I419"/>
  <c r="H419"/>
  <c r="G419"/>
  <c r="F419"/>
  <c r="E419"/>
  <c r="D419"/>
  <c r="T416"/>
  <c r="S416"/>
  <c r="R416"/>
  <c r="Q416"/>
  <c r="P416"/>
  <c r="O416"/>
  <c r="N416"/>
  <c r="M416"/>
  <c r="L416"/>
  <c r="K416"/>
  <c r="J416"/>
  <c r="I416"/>
  <c r="H416"/>
  <c r="G416"/>
  <c r="F416"/>
  <c r="E416"/>
  <c r="D416"/>
  <c r="W414"/>
  <c r="T413"/>
  <c r="S413"/>
  <c r="R413"/>
  <c r="Q413"/>
  <c r="P413"/>
  <c r="O413"/>
  <c r="N413"/>
  <c r="M413"/>
  <c r="L413"/>
  <c r="K413"/>
  <c r="J413"/>
  <c r="I413"/>
  <c r="H413"/>
  <c r="G413"/>
  <c r="F413"/>
  <c r="E413"/>
  <c r="W411" s="1"/>
  <c r="D413"/>
  <c r="T410"/>
  <c r="S410"/>
  <c r="R410"/>
  <c r="Q410"/>
  <c r="P410"/>
  <c r="O410"/>
  <c r="N410"/>
  <c r="M410"/>
  <c r="L410"/>
  <c r="K410"/>
  <c r="J410"/>
  <c r="I410"/>
  <c r="H410"/>
  <c r="G410"/>
  <c r="F410"/>
  <c r="E410"/>
  <c r="D410"/>
  <c r="T407"/>
  <c r="S407"/>
  <c r="R407"/>
  <c r="Q407"/>
  <c r="P407"/>
  <c r="O407"/>
  <c r="N407"/>
  <c r="M407"/>
  <c r="L407"/>
  <c r="K407"/>
  <c r="J407"/>
  <c r="I407"/>
  <c r="H407"/>
  <c r="G407"/>
  <c r="F407"/>
  <c r="E407"/>
  <c r="D407"/>
  <c r="T404"/>
  <c r="S404"/>
  <c r="R404"/>
  <c r="Q404"/>
  <c r="P404"/>
  <c r="O404"/>
  <c r="N404"/>
  <c r="M404"/>
  <c r="L404"/>
  <c r="K404"/>
  <c r="J404"/>
  <c r="I404"/>
  <c r="H404"/>
  <c r="G404"/>
  <c r="F404"/>
  <c r="E404"/>
  <c r="D404"/>
  <c r="W402" s="1"/>
  <c r="T401"/>
  <c r="S401"/>
  <c r="R401"/>
  <c r="Q401"/>
  <c r="P401"/>
  <c r="O401"/>
  <c r="N401"/>
  <c r="M401"/>
  <c r="L401"/>
  <c r="K401"/>
  <c r="J401"/>
  <c r="I401"/>
  <c r="H401"/>
  <c r="G401"/>
  <c r="F401"/>
  <c r="E401"/>
  <c r="D401"/>
  <c r="V399" s="1"/>
  <c r="T398"/>
  <c r="S398"/>
  <c r="R398"/>
  <c r="Q398"/>
  <c r="P398"/>
  <c r="O398"/>
  <c r="N398"/>
  <c r="M398"/>
  <c r="L398"/>
  <c r="K398"/>
  <c r="J398"/>
  <c r="I398"/>
  <c r="H398"/>
  <c r="G398"/>
  <c r="F398"/>
  <c r="E398"/>
  <c r="D398"/>
  <c r="T395"/>
  <c r="S395"/>
  <c r="R395"/>
  <c r="Q395"/>
  <c r="P395"/>
  <c r="O395"/>
  <c r="N395"/>
  <c r="M395"/>
  <c r="L395"/>
  <c r="K395"/>
  <c r="J395"/>
  <c r="I395"/>
  <c r="H395"/>
  <c r="G395"/>
  <c r="F395"/>
  <c r="E395"/>
  <c r="D395"/>
  <c r="T392"/>
  <c r="S392"/>
  <c r="R392"/>
  <c r="Q392"/>
  <c r="P392"/>
  <c r="O392"/>
  <c r="N392"/>
  <c r="M392"/>
  <c r="L392"/>
  <c r="K392"/>
  <c r="J392"/>
  <c r="I392"/>
  <c r="H392"/>
  <c r="G392"/>
  <c r="W390" s="1"/>
  <c r="F392"/>
  <c r="E392"/>
  <c r="D392"/>
  <c r="T389"/>
  <c r="S389"/>
  <c r="R389"/>
  <c r="Q389"/>
  <c r="P389"/>
  <c r="O389"/>
  <c r="N389"/>
  <c r="M389"/>
  <c r="L389"/>
  <c r="K389"/>
  <c r="J389"/>
  <c r="I389"/>
  <c r="H389"/>
  <c r="G389"/>
  <c r="F389"/>
  <c r="E389"/>
  <c r="W387" s="1"/>
  <c r="D389"/>
  <c r="T386"/>
  <c r="S386"/>
  <c r="R386"/>
  <c r="Q386"/>
  <c r="P386"/>
  <c r="O386"/>
  <c r="N386"/>
  <c r="M386"/>
  <c r="L386"/>
  <c r="K386"/>
  <c r="J386"/>
  <c r="I386"/>
  <c r="H386"/>
  <c r="G386"/>
  <c r="F386"/>
  <c r="E386"/>
  <c r="D386"/>
  <c r="T383"/>
  <c r="S383"/>
  <c r="R383"/>
  <c r="Q383"/>
  <c r="P383"/>
  <c r="O383"/>
  <c r="N383"/>
  <c r="M383"/>
  <c r="L383"/>
  <c r="K383"/>
  <c r="J383"/>
  <c r="I383"/>
  <c r="H383"/>
  <c r="G383"/>
  <c r="F383"/>
  <c r="E383"/>
  <c r="D383"/>
  <c r="T380"/>
  <c r="W378" s="1"/>
  <c r="S380"/>
  <c r="R380"/>
  <c r="Q380"/>
  <c r="P380"/>
  <c r="O380"/>
  <c r="N380"/>
  <c r="M380"/>
  <c r="L380"/>
  <c r="K380"/>
  <c r="J380"/>
  <c r="I380"/>
  <c r="H380"/>
  <c r="G380"/>
  <c r="F380"/>
  <c r="E380"/>
  <c r="D380"/>
  <c r="T377"/>
  <c r="S377"/>
  <c r="R377"/>
  <c r="Q377"/>
  <c r="P377"/>
  <c r="O377"/>
  <c r="N377"/>
  <c r="M377"/>
  <c r="L377"/>
  <c r="K377"/>
  <c r="J377"/>
  <c r="I377"/>
  <c r="H377"/>
  <c r="G377"/>
  <c r="F377"/>
  <c r="E377"/>
  <c r="D377"/>
  <c r="V375" s="1"/>
  <c r="T374"/>
  <c r="S374"/>
  <c r="R374"/>
  <c r="Q374"/>
  <c r="P374"/>
  <c r="O374"/>
  <c r="N374"/>
  <c r="M374"/>
  <c r="L374"/>
  <c r="K374"/>
  <c r="J374"/>
  <c r="I374"/>
  <c r="H374"/>
  <c r="G374"/>
  <c r="F374"/>
  <c r="E374"/>
  <c r="D374"/>
  <c r="T371"/>
  <c r="S371"/>
  <c r="R371"/>
  <c r="Q371"/>
  <c r="P371"/>
  <c r="O371"/>
  <c r="N371"/>
  <c r="M371"/>
  <c r="L371"/>
  <c r="K371"/>
  <c r="J371"/>
  <c r="I371"/>
  <c r="H371"/>
  <c r="G371"/>
  <c r="F371"/>
  <c r="E371"/>
  <c r="D371"/>
  <c r="T368"/>
  <c r="S368"/>
  <c r="R368"/>
  <c r="Q368"/>
  <c r="P368"/>
  <c r="O368"/>
  <c r="N368"/>
  <c r="M368"/>
  <c r="L368"/>
  <c r="K368"/>
  <c r="J368"/>
  <c r="I368"/>
  <c r="H368"/>
  <c r="G368"/>
  <c r="F368"/>
  <c r="E368"/>
  <c r="D368"/>
  <c r="W366"/>
  <c r="T365"/>
  <c r="S365"/>
  <c r="R365"/>
  <c r="Q365"/>
  <c r="P365"/>
  <c r="O365"/>
  <c r="N365"/>
  <c r="M365"/>
  <c r="L365"/>
  <c r="K365"/>
  <c r="J365"/>
  <c r="I365"/>
  <c r="H365"/>
  <c r="G365"/>
  <c r="F365"/>
  <c r="E365"/>
  <c r="W363" s="1"/>
  <c r="D365"/>
  <c r="T362"/>
  <c r="S362"/>
  <c r="R362"/>
  <c r="Q362"/>
  <c r="P362"/>
  <c r="O362"/>
  <c r="N362"/>
  <c r="M362"/>
  <c r="L362"/>
  <c r="K362"/>
  <c r="J362"/>
  <c r="I362"/>
  <c r="H362"/>
  <c r="G362"/>
  <c r="F362"/>
  <c r="E362"/>
  <c r="D362"/>
  <c r="T359"/>
  <c r="S359"/>
  <c r="R359"/>
  <c r="Q359"/>
  <c r="P359"/>
  <c r="O359"/>
  <c r="N359"/>
  <c r="M359"/>
  <c r="L359"/>
  <c r="K359"/>
  <c r="J359"/>
  <c r="I359"/>
  <c r="H359"/>
  <c r="G359"/>
  <c r="F359"/>
  <c r="E359"/>
  <c r="D359"/>
  <c r="T356"/>
  <c r="W354" s="1"/>
  <c r="S356"/>
  <c r="R356"/>
  <c r="Q356"/>
  <c r="P356"/>
  <c r="O356"/>
  <c r="N356"/>
  <c r="M356"/>
  <c r="L356"/>
  <c r="K356"/>
  <c r="J356"/>
  <c r="I356"/>
  <c r="H356"/>
  <c r="G356"/>
  <c r="F356"/>
  <c r="E356"/>
  <c r="D356"/>
  <c r="T353"/>
  <c r="S353"/>
  <c r="R353"/>
  <c r="Q353"/>
  <c r="P353"/>
  <c r="O353"/>
  <c r="N353"/>
  <c r="M353"/>
  <c r="L353"/>
  <c r="K353"/>
  <c r="J353"/>
  <c r="I353"/>
  <c r="H353"/>
  <c r="G353"/>
  <c r="F353"/>
  <c r="E353"/>
  <c r="D353"/>
  <c r="V351" s="1"/>
  <c r="T350"/>
  <c r="S350"/>
  <c r="R350"/>
  <c r="Q350"/>
  <c r="P350"/>
  <c r="O350"/>
  <c r="N350"/>
  <c r="M350"/>
  <c r="L350"/>
  <c r="K350"/>
  <c r="J350"/>
  <c r="I350"/>
  <c r="H350"/>
  <c r="G350"/>
  <c r="F350"/>
  <c r="E350"/>
  <c r="D350"/>
  <c r="T347"/>
  <c r="S347"/>
  <c r="R347"/>
  <c r="Q347"/>
  <c r="P347"/>
  <c r="O347"/>
  <c r="N347"/>
  <c r="M347"/>
  <c r="L347"/>
  <c r="K347"/>
  <c r="J347"/>
  <c r="I347"/>
  <c r="H347"/>
  <c r="G347"/>
  <c r="F347"/>
  <c r="E347"/>
  <c r="D347"/>
  <c r="T344"/>
  <c r="S344"/>
  <c r="R344"/>
  <c r="Q344"/>
  <c r="P344"/>
  <c r="O344"/>
  <c r="N344"/>
  <c r="M344"/>
  <c r="L344"/>
  <c r="K344"/>
  <c r="J344"/>
  <c r="I344"/>
  <c r="H344"/>
  <c r="G344"/>
  <c r="F344"/>
  <c r="E344"/>
  <c r="D344"/>
  <c r="W342"/>
  <c r="T341"/>
  <c r="S341"/>
  <c r="R341"/>
  <c r="Q341"/>
  <c r="P341"/>
  <c r="O341"/>
  <c r="N341"/>
  <c r="M341"/>
  <c r="L341"/>
  <c r="K341"/>
  <c r="J341"/>
  <c r="I341"/>
  <c r="H341"/>
  <c r="G341"/>
  <c r="F341"/>
  <c r="E341"/>
  <c r="W339" s="1"/>
  <c r="D341"/>
  <c r="T338"/>
  <c r="S338"/>
  <c r="R338"/>
  <c r="Q338"/>
  <c r="P338"/>
  <c r="O338"/>
  <c r="N338"/>
  <c r="M338"/>
  <c r="L338"/>
  <c r="K338"/>
  <c r="J338"/>
  <c r="I338"/>
  <c r="H338"/>
  <c r="G338"/>
  <c r="F338"/>
  <c r="E338"/>
  <c r="D338"/>
  <c r="T335"/>
  <c r="S335"/>
  <c r="R335"/>
  <c r="Q335"/>
  <c r="P335"/>
  <c r="O335"/>
  <c r="N335"/>
  <c r="M335"/>
  <c r="L335"/>
  <c r="K335"/>
  <c r="J335"/>
  <c r="I335"/>
  <c r="H335"/>
  <c r="G335"/>
  <c r="F335"/>
  <c r="E335"/>
  <c r="D335"/>
  <c r="T332"/>
  <c r="W330" s="1"/>
  <c r="S332"/>
  <c r="R332"/>
  <c r="Q332"/>
  <c r="P332"/>
  <c r="O332"/>
  <c r="N332"/>
  <c r="M332"/>
  <c r="L332"/>
  <c r="K332"/>
  <c r="J332"/>
  <c r="I332"/>
  <c r="H332"/>
  <c r="G332"/>
  <c r="F332"/>
  <c r="E332"/>
  <c r="D332"/>
  <c r="T329"/>
  <c r="S329"/>
  <c r="R329"/>
  <c r="Q329"/>
  <c r="P329"/>
  <c r="O329"/>
  <c r="N329"/>
  <c r="M329"/>
  <c r="L329"/>
  <c r="K329"/>
  <c r="J329"/>
  <c r="I329"/>
  <c r="H329"/>
  <c r="G329"/>
  <c r="F329"/>
  <c r="E329"/>
  <c r="D329"/>
  <c r="V327" s="1"/>
  <c r="T326"/>
  <c r="S326"/>
  <c r="R326"/>
  <c r="Q326"/>
  <c r="P326"/>
  <c r="O326"/>
  <c r="N326"/>
  <c r="M326"/>
  <c r="L326"/>
  <c r="K326"/>
  <c r="J326"/>
  <c r="I326"/>
  <c r="H326"/>
  <c r="G326"/>
  <c r="F326"/>
  <c r="E326"/>
  <c r="D326"/>
  <c r="T323"/>
  <c r="S323"/>
  <c r="R323"/>
  <c r="Q323"/>
  <c r="P323"/>
  <c r="O323"/>
  <c r="N323"/>
  <c r="M323"/>
  <c r="L323"/>
  <c r="K323"/>
  <c r="J323"/>
  <c r="I323"/>
  <c r="H323"/>
  <c r="G323"/>
  <c r="F323"/>
  <c r="E323"/>
  <c r="D323"/>
  <c r="T320"/>
  <c r="S320"/>
  <c r="R320"/>
  <c r="Q320"/>
  <c r="P320"/>
  <c r="O320"/>
  <c r="N320"/>
  <c r="M320"/>
  <c r="L320"/>
  <c r="K320"/>
  <c r="J320"/>
  <c r="I320"/>
  <c r="H320"/>
  <c r="G320"/>
  <c r="F320"/>
  <c r="E320"/>
  <c r="D320"/>
  <c r="W318"/>
  <c r="T317"/>
  <c r="S317"/>
  <c r="R317"/>
  <c r="Q317"/>
  <c r="P317"/>
  <c r="O317"/>
  <c r="N317"/>
  <c r="M317"/>
  <c r="L317"/>
  <c r="K317"/>
  <c r="J317"/>
  <c r="I317"/>
  <c r="H317"/>
  <c r="G317"/>
  <c r="F317"/>
  <c r="E317"/>
  <c r="W315" s="1"/>
  <c r="D317"/>
  <c r="T314"/>
  <c r="S314"/>
  <c r="R314"/>
  <c r="Q314"/>
  <c r="P314"/>
  <c r="O314"/>
  <c r="N314"/>
  <c r="M314"/>
  <c r="L314"/>
  <c r="K314"/>
  <c r="J314"/>
  <c r="I314"/>
  <c r="H314"/>
  <c r="G314"/>
  <c r="F314"/>
  <c r="E314"/>
  <c r="D314"/>
  <c r="T311"/>
  <c r="S311"/>
  <c r="R311"/>
  <c r="Q311"/>
  <c r="P311"/>
  <c r="O311"/>
  <c r="N311"/>
  <c r="M311"/>
  <c r="L311"/>
  <c r="K311"/>
  <c r="J311"/>
  <c r="I311"/>
  <c r="H311"/>
  <c r="G311"/>
  <c r="F311"/>
  <c r="E311"/>
  <c r="D311"/>
  <c r="T308"/>
  <c r="S308"/>
  <c r="R308"/>
  <c r="Q308"/>
  <c r="P308"/>
  <c r="O308"/>
  <c r="N308"/>
  <c r="M308"/>
  <c r="L308"/>
  <c r="K308"/>
  <c r="J308"/>
  <c r="I308"/>
  <c r="H308"/>
  <c r="G308"/>
  <c r="F308"/>
  <c r="W306" s="1"/>
  <c r="E308"/>
  <c r="D308"/>
  <c r="T305"/>
  <c r="S305"/>
  <c r="R305"/>
  <c r="Q305"/>
  <c r="P305"/>
  <c r="O305"/>
  <c r="N305"/>
  <c r="M305"/>
  <c r="L305"/>
  <c r="K305"/>
  <c r="J305"/>
  <c r="I305"/>
  <c r="H305"/>
  <c r="G305"/>
  <c r="F305"/>
  <c r="E305"/>
  <c r="D305"/>
  <c r="V303" s="1"/>
  <c r="T302"/>
  <c r="S302"/>
  <c r="R302"/>
  <c r="Q302"/>
  <c r="P302"/>
  <c r="O302"/>
  <c r="N302"/>
  <c r="M302"/>
  <c r="L302"/>
  <c r="K302"/>
  <c r="J302"/>
  <c r="I302"/>
  <c r="H302"/>
  <c r="G302"/>
  <c r="F302"/>
  <c r="E302"/>
  <c r="D302"/>
  <c r="T299"/>
  <c r="S299"/>
  <c r="R299"/>
  <c r="Q299"/>
  <c r="P299"/>
  <c r="O299"/>
  <c r="N299"/>
  <c r="M299"/>
  <c r="L299"/>
  <c r="K299"/>
  <c r="J299"/>
  <c r="I299"/>
  <c r="H299"/>
  <c r="G299"/>
  <c r="F299"/>
  <c r="E299"/>
  <c r="D299"/>
  <c r="T296"/>
  <c r="S296"/>
  <c r="R296"/>
  <c r="Q296"/>
  <c r="P296"/>
  <c r="O296"/>
  <c r="N296"/>
  <c r="M296"/>
  <c r="L296"/>
  <c r="K296"/>
  <c r="J296"/>
  <c r="I296"/>
  <c r="H296"/>
  <c r="G296"/>
  <c r="F296"/>
  <c r="W294" s="1"/>
  <c r="E296"/>
  <c r="D296"/>
  <c r="T293"/>
  <c r="S293"/>
  <c r="R293"/>
  <c r="Q293"/>
  <c r="P293"/>
  <c r="O293"/>
  <c r="N293"/>
  <c r="M293"/>
  <c r="L293"/>
  <c r="K293"/>
  <c r="J293"/>
  <c r="I293"/>
  <c r="H293"/>
  <c r="G293"/>
  <c r="F293"/>
  <c r="E293"/>
  <c r="D293"/>
  <c r="V291" s="1"/>
  <c r="T290"/>
  <c r="S290"/>
  <c r="R290"/>
  <c r="Q290"/>
  <c r="P290"/>
  <c r="O290"/>
  <c r="N290"/>
  <c r="M290"/>
  <c r="L290"/>
  <c r="K290"/>
  <c r="J290"/>
  <c r="I290"/>
  <c r="H290"/>
  <c r="G290"/>
  <c r="F290"/>
  <c r="E290"/>
  <c r="D290"/>
  <c r="T287"/>
  <c r="S287"/>
  <c r="R287"/>
  <c r="Q287"/>
  <c r="P287"/>
  <c r="O287"/>
  <c r="N287"/>
  <c r="M287"/>
  <c r="L287"/>
  <c r="K287"/>
  <c r="J287"/>
  <c r="I287"/>
  <c r="H287"/>
  <c r="G287"/>
  <c r="F287"/>
  <c r="E287"/>
  <c r="D287"/>
  <c r="T284"/>
  <c r="S284"/>
  <c r="R284"/>
  <c r="Q284"/>
  <c r="P284"/>
  <c r="O284"/>
  <c r="N284"/>
  <c r="M284"/>
  <c r="L284"/>
  <c r="K284"/>
  <c r="J284"/>
  <c r="I284"/>
  <c r="H284"/>
  <c r="G284"/>
  <c r="F284"/>
  <c r="W282" s="1"/>
  <c r="E284"/>
  <c r="D284"/>
  <c r="T281"/>
  <c r="S281"/>
  <c r="R281"/>
  <c r="Q281"/>
  <c r="P281"/>
  <c r="O281"/>
  <c r="N281"/>
  <c r="M281"/>
  <c r="L281"/>
  <c r="K281"/>
  <c r="J281"/>
  <c r="I281"/>
  <c r="H281"/>
  <c r="G281"/>
  <c r="F281"/>
  <c r="E281"/>
  <c r="D281"/>
  <c r="V279" s="1"/>
  <c r="T278"/>
  <c r="S278"/>
  <c r="R278"/>
  <c r="Q278"/>
  <c r="P278"/>
  <c r="O278"/>
  <c r="N278"/>
  <c r="M278"/>
  <c r="L278"/>
  <c r="K278"/>
  <c r="J278"/>
  <c r="I278"/>
  <c r="H278"/>
  <c r="G278"/>
  <c r="F278"/>
  <c r="E278"/>
  <c r="D278"/>
  <c r="T275"/>
  <c r="S275"/>
  <c r="R275"/>
  <c r="Q275"/>
  <c r="P275"/>
  <c r="O275"/>
  <c r="N275"/>
  <c r="M275"/>
  <c r="L275"/>
  <c r="K275"/>
  <c r="J275"/>
  <c r="I275"/>
  <c r="H275"/>
  <c r="G275"/>
  <c r="F275"/>
  <c r="E275"/>
  <c r="D275"/>
  <c r="T272"/>
  <c r="S272"/>
  <c r="R272"/>
  <c r="Q272"/>
  <c r="P272"/>
  <c r="O272"/>
  <c r="N272"/>
  <c r="M272"/>
  <c r="L272"/>
  <c r="K272"/>
  <c r="J272"/>
  <c r="I272"/>
  <c r="H272"/>
  <c r="G272"/>
  <c r="F272"/>
  <c r="W270" s="1"/>
  <c r="E272"/>
  <c r="D272"/>
  <c r="T269"/>
  <c r="S269"/>
  <c r="R269"/>
  <c r="Q269"/>
  <c r="P269"/>
  <c r="O269"/>
  <c r="N269"/>
  <c r="M269"/>
  <c r="L269"/>
  <c r="K269"/>
  <c r="J269"/>
  <c r="I269"/>
  <c r="H269"/>
  <c r="G269"/>
  <c r="F269"/>
  <c r="E269"/>
  <c r="D269"/>
  <c r="V267" s="1"/>
  <c r="T266"/>
  <c r="S266"/>
  <c r="R266"/>
  <c r="Q266"/>
  <c r="P266"/>
  <c r="O266"/>
  <c r="N266"/>
  <c r="M266"/>
  <c r="L266"/>
  <c r="K266"/>
  <c r="J266"/>
  <c r="I266"/>
  <c r="H266"/>
  <c r="G266"/>
  <c r="F266"/>
  <c r="E266"/>
  <c r="D266"/>
  <c r="T263"/>
  <c r="S263"/>
  <c r="R263"/>
  <c r="Q263"/>
  <c r="P263"/>
  <c r="O263"/>
  <c r="N263"/>
  <c r="M263"/>
  <c r="L263"/>
  <c r="K263"/>
  <c r="J263"/>
  <c r="I263"/>
  <c r="H263"/>
  <c r="G263"/>
  <c r="F263"/>
  <c r="E263"/>
  <c r="D263"/>
  <c r="T260"/>
  <c r="S260"/>
  <c r="R260"/>
  <c r="Q260"/>
  <c r="P260"/>
  <c r="O260"/>
  <c r="N260"/>
  <c r="M260"/>
  <c r="L260"/>
  <c r="K260"/>
  <c r="J260"/>
  <c r="I260"/>
  <c r="H260"/>
  <c r="G260"/>
  <c r="F260"/>
  <c r="W258" s="1"/>
  <c r="E260"/>
  <c r="D260"/>
  <c r="T257"/>
  <c r="S257"/>
  <c r="R257"/>
  <c r="Q257"/>
  <c r="P257"/>
  <c r="O257"/>
  <c r="N257"/>
  <c r="M257"/>
  <c r="L257"/>
  <c r="K257"/>
  <c r="J257"/>
  <c r="I257"/>
  <c r="H257"/>
  <c r="G257"/>
  <c r="F257"/>
  <c r="E257"/>
  <c r="D257"/>
  <c r="V255" s="1"/>
  <c r="T254"/>
  <c r="S254"/>
  <c r="R254"/>
  <c r="Q254"/>
  <c r="P254"/>
  <c r="O254"/>
  <c r="N254"/>
  <c r="M254"/>
  <c r="L254"/>
  <c r="K254"/>
  <c r="J254"/>
  <c r="I254"/>
  <c r="H254"/>
  <c r="G254"/>
  <c r="F254"/>
  <c r="E254"/>
  <c r="D254"/>
  <c r="T251"/>
  <c r="S251"/>
  <c r="R251"/>
  <c r="Q251"/>
  <c r="P251"/>
  <c r="O251"/>
  <c r="N251"/>
  <c r="M251"/>
  <c r="L251"/>
  <c r="K251"/>
  <c r="J251"/>
  <c r="I251"/>
  <c r="H251"/>
  <c r="G251"/>
  <c r="F251"/>
  <c r="E251"/>
  <c r="D251"/>
  <c r="T248"/>
  <c r="S248"/>
  <c r="R248"/>
  <c r="Q248"/>
  <c r="P248"/>
  <c r="O248"/>
  <c r="N248"/>
  <c r="M248"/>
  <c r="L248"/>
  <c r="K248"/>
  <c r="J248"/>
  <c r="I248"/>
  <c r="H248"/>
  <c r="G248"/>
  <c r="F248"/>
  <c r="W246" s="1"/>
  <c r="E248"/>
  <c r="D248"/>
  <c r="T245"/>
  <c r="S245"/>
  <c r="R245"/>
  <c r="Q245"/>
  <c r="P245"/>
  <c r="O245"/>
  <c r="N245"/>
  <c r="M245"/>
  <c r="L245"/>
  <c r="K245"/>
  <c r="J245"/>
  <c r="I245"/>
  <c r="H245"/>
  <c r="G245"/>
  <c r="F245"/>
  <c r="E245"/>
  <c r="D245"/>
  <c r="V243" s="1"/>
  <c r="T242"/>
  <c r="S242"/>
  <c r="R242"/>
  <c r="Q242"/>
  <c r="P242"/>
  <c r="O242"/>
  <c r="N242"/>
  <c r="M242"/>
  <c r="L242"/>
  <c r="K242"/>
  <c r="J242"/>
  <c r="I242"/>
  <c r="H242"/>
  <c r="G242"/>
  <c r="F242"/>
  <c r="E242"/>
  <c r="D242"/>
  <c r="T239"/>
  <c r="S239"/>
  <c r="R239"/>
  <c r="Q239"/>
  <c r="P239"/>
  <c r="O239"/>
  <c r="N239"/>
  <c r="M239"/>
  <c r="L239"/>
  <c r="K239"/>
  <c r="J239"/>
  <c r="I239"/>
  <c r="H239"/>
  <c r="G239"/>
  <c r="F239"/>
  <c r="E239"/>
  <c r="D239"/>
  <c r="T236"/>
  <c r="S236"/>
  <c r="R236"/>
  <c r="Q236"/>
  <c r="P236"/>
  <c r="O236"/>
  <c r="N236"/>
  <c r="M236"/>
  <c r="L236"/>
  <c r="K236"/>
  <c r="J236"/>
  <c r="I236"/>
  <c r="H236"/>
  <c r="G236"/>
  <c r="F236"/>
  <c r="W234" s="1"/>
  <c r="E236"/>
  <c r="D236"/>
  <c r="T233"/>
  <c r="S233"/>
  <c r="R233"/>
  <c r="Q233"/>
  <c r="P233"/>
  <c r="O233"/>
  <c r="N233"/>
  <c r="M233"/>
  <c r="L233"/>
  <c r="K233"/>
  <c r="J233"/>
  <c r="I233"/>
  <c r="H233"/>
  <c r="G233"/>
  <c r="F233"/>
  <c r="E233"/>
  <c r="D233"/>
  <c r="V231" s="1"/>
  <c r="T230"/>
  <c r="S230"/>
  <c r="R230"/>
  <c r="Q230"/>
  <c r="P230"/>
  <c r="O230"/>
  <c r="N230"/>
  <c r="M230"/>
  <c r="L230"/>
  <c r="K230"/>
  <c r="J230"/>
  <c r="I230"/>
  <c r="H230"/>
  <c r="G230"/>
  <c r="F230"/>
  <c r="E230"/>
  <c r="D230"/>
  <c r="T227"/>
  <c r="S227"/>
  <c r="R227"/>
  <c r="Q227"/>
  <c r="P227"/>
  <c r="O227"/>
  <c r="N227"/>
  <c r="M227"/>
  <c r="L227"/>
  <c r="K227"/>
  <c r="J227"/>
  <c r="I227"/>
  <c r="H227"/>
  <c r="G227"/>
  <c r="F227"/>
  <c r="E227"/>
  <c r="D227"/>
  <c r="T224"/>
  <c r="S224"/>
  <c r="R224"/>
  <c r="Q224"/>
  <c r="P224"/>
  <c r="O224"/>
  <c r="N224"/>
  <c r="M224"/>
  <c r="L224"/>
  <c r="K224"/>
  <c r="J224"/>
  <c r="I224"/>
  <c r="H224"/>
  <c r="G224"/>
  <c r="F224"/>
  <c r="W222" s="1"/>
  <c r="E224"/>
  <c r="D224"/>
  <c r="T221"/>
  <c r="S221"/>
  <c r="R221"/>
  <c r="Q221"/>
  <c r="P221"/>
  <c r="O221"/>
  <c r="N221"/>
  <c r="M221"/>
  <c r="L221"/>
  <c r="K221"/>
  <c r="J221"/>
  <c r="I221"/>
  <c r="H221"/>
  <c r="G221"/>
  <c r="F221"/>
  <c r="E221"/>
  <c r="D221"/>
  <c r="V219" s="1"/>
  <c r="T218"/>
  <c r="S218"/>
  <c r="R218"/>
  <c r="Q218"/>
  <c r="P218"/>
  <c r="O218"/>
  <c r="N218"/>
  <c r="M218"/>
  <c r="L218"/>
  <c r="K218"/>
  <c r="J218"/>
  <c r="I218"/>
  <c r="H218"/>
  <c r="G218"/>
  <c r="F218"/>
  <c r="E218"/>
  <c r="D218"/>
  <c r="T215"/>
  <c r="S215"/>
  <c r="R215"/>
  <c r="Q215"/>
  <c r="P215"/>
  <c r="O215"/>
  <c r="N215"/>
  <c r="M215"/>
  <c r="L215"/>
  <c r="K215"/>
  <c r="J215"/>
  <c r="I215"/>
  <c r="H215"/>
  <c r="G215"/>
  <c r="F215"/>
  <c r="E215"/>
  <c r="D215"/>
  <c r="T212"/>
  <c r="S212"/>
  <c r="R212"/>
  <c r="Q212"/>
  <c r="P212"/>
  <c r="O212"/>
  <c r="N212"/>
  <c r="M212"/>
  <c r="L212"/>
  <c r="K212"/>
  <c r="J212"/>
  <c r="I212"/>
  <c r="H212"/>
  <c r="G212"/>
  <c r="F212"/>
  <c r="W210" s="1"/>
  <c r="E212"/>
  <c r="D212"/>
  <c r="T209"/>
  <c r="S209"/>
  <c r="R209"/>
  <c r="Q209"/>
  <c r="P209"/>
  <c r="O209"/>
  <c r="N209"/>
  <c r="M209"/>
  <c r="L209"/>
  <c r="K209"/>
  <c r="J209"/>
  <c r="I209"/>
  <c r="H209"/>
  <c r="G209"/>
  <c r="F209"/>
  <c r="E209"/>
  <c r="D209"/>
  <c r="V207" s="1"/>
  <c r="T206"/>
  <c r="S206"/>
  <c r="R206"/>
  <c r="Q206"/>
  <c r="P206"/>
  <c r="O206"/>
  <c r="N206"/>
  <c r="M206"/>
  <c r="L206"/>
  <c r="K206"/>
  <c r="J206"/>
  <c r="I206"/>
  <c r="H206"/>
  <c r="G206"/>
  <c r="F206"/>
  <c r="E206"/>
  <c r="D206"/>
  <c r="T203"/>
  <c r="S203"/>
  <c r="R203"/>
  <c r="Q203"/>
  <c r="P203"/>
  <c r="O203"/>
  <c r="N203"/>
  <c r="M203"/>
  <c r="L203"/>
  <c r="K203"/>
  <c r="J203"/>
  <c r="I203"/>
  <c r="H203"/>
  <c r="G203"/>
  <c r="F203"/>
  <c r="E203"/>
  <c r="D203"/>
  <c r="T200"/>
  <c r="S200"/>
  <c r="R200"/>
  <c r="Q200"/>
  <c r="P200"/>
  <c r="O200"/>
  <c r="N200"/>
  <c r="M200"/>
  <c r="L200"/>
  <c r="K200"/>
  <c r="J200"/>
  <c r="I200"/>
  <c r="H200"/>
  <c r="G200"/>
  <c r="F200"/>
  <c r="W198" s="1"/>
  <c r="E200"/>
  <c r="D200"/>
  <c r="T197"/>
  <c r="S197"/>
  <c r="R197"/>
  <c r="Q197"/>
  <c r="P197"/>
  <c r="O197"/>
  <c r="N197"/>
  <c r="M197"/>
  <c r="L197"/>
  <c r="K197"/>
  <c r="J197"/>
  <c r="I197"/>
  <c r="H197"/>
  <c r="G197"/>
  <c r="F197"/>
  <c r="E197"/>
  <c r="D197"/>
  <c r="V195" s="1"/>
  <c r="T194"/>
  <c r="S194"/>
  <c r="R194"/>
  <c r="Q194"/>
  <c r="P194"/>
  <c r="O194"/>
  <c r="N194"/>
  <c r="M194"/>
  <c r="L194"/>
  <c r="K194"/>
  <c r="J194"/>
  <c r="I194"/>
  <c r="H194"/>
  <c r="G194"/>
  <c r="F194"/>
  <c r="X192" s="1"/>
  <c r="E194"/>
  <c r="D194"/>
  <c r="T191"/>
  <c r="S191"/>
  <c r="R191"/>
  <c r="Q191"/>
  <c r="P191"/>
  <c r="O191"/>
  <c r="N191"/>
  <c r="M191"/>
  <c r="L191"/>
  <c r="K191"/>
  <c r="J191"/>
  <c r="I191"/>
  <c r="H191"/>
  <c r="G191"/>
  <c r="F191"/>
  <c r="E191"/>
  <c r="D191"/>
  <c r="T188"/>
  <c r="S188"/>
  <c r="R188"/>
  <c r="Q188"/>
  <c r="P188"/>
  <c r="O188"/>
  <c r="N188"/>
  <c r="M188"/>
  <c r="L188"/>
  <c r="K188"/>
  <c r="J188"/>
  <c r="I188"/>
  <c r="H188"/>
  <c r="G188"/>
  <c r="F188"/>
  <c r="W186" s="1"/>
  <c r="E188"/>
  <c r="D188"/>
  <c r="T185"/>
  <c r="S185"/>
  <c r="R185"/>
  <c r="Q185"/>
  <c r="P185"/>
  <c r="O185"/>
  <c r="N185"/>
  <c r="M185"/>
  <c r="L185"/>
  <c r="K185"/>
  <c r="J185"/>
  <c r="I185"/>
  <c r="H185"/>
  <c r="G185"/>
  <c r="F185"/>
  <c r="E185"/>
  <c r="D185"/>
  <c r="V183" s="1"/>
  <c r="T182"/>
  <c r="S182"/>
  <c r="R182"/>
  <c r="Q182"/>
  <c r="P182"/>
  <c r="O182"/>
  <c r="N182"/>
  <c r="M182"/>
  <c r="L182"/>
  <c r="K182"/>
  <c r="J182"/>
  <c r="I182"/>
  <c r="H182"/>
  <c r="G182"/>
  <c r="F182"/>
  <c r="E182"/>
  <c r="D182"/>
  <c r="U180"/>
  <c r="T179"/>
  <c r="S179"/>
  <c r="R179"/>
  <c r="Q179"/>
  <c r="P179"/>
  <c r="O179"/>
  <c r="N179"/>
  <c r="M179"/>
  <c r="L179"/>
  <c r="K179"/>
  <c r="J179"/>
  <c r="I179"/>
  <c r="H179"/>
  <c r="G179"/>
  <c r="F179"/>
  <c r="E179"/>
  <c r="W177" s="1"/>
  <c r="D179"/>
  <c r="T176"/>
  <c r="S176"/>
  <c r="R176"/>
  <c r="Q176"/>
  <c r="P176"/>
  <c r="O176"/>
  <c r="N176"/>
  <c r="M176"/>
  <c r="L176"/>
  <c r="K176"/>
  <c r="J176"/>
  <c r="I176"/>
  <c r="H176"/>
  <c r="G176"/>
  <c r="F176"/>
  <c r="W174" s="1"/>
  <c r="E176"/>
  <c r="D176"/>
  <c r="T173"/>
  <c r="S173"/>
  <c r="R173"/>
  <c r="Q173"/>
  <c r="P173"/>
  <c r="O173"/>
  <c r="N173"/>
  <c r="M173"/>
  <c r="L173"/>
  <c r="K173"/>
  <c r="J173"/>
  <c r="I173"/>
  <c r="H173"/>
  <c r="G173"/>
  <c r="F173"/>
  <c r="E173"/>
  <c r="D173"/>
  <c r="V171" s="1"/>
  <c r="T170"/>
  <c r="S170"/>
  <c r="R170"/>
  <c r="Q170"/>
  <c r="P170"/>
  <c r="O170"/>
  <c r="N170"/>
  <c r="M170"/>
  <c r="L170"/>
  <c r="K170"/>
  <c r="J170"/>
  <c r="I170"/>
  <c r="H170"/>
  <c r="G170"/>
  <c r="F170"/>
  <c r="E170"/>
  <c r="D170"/>
  <c r="U168"/>
  <c r="T167"/>
  <c r="S167"/>
  <c r="R167"/>
  <c r="Q167"/>
  <c r="P167"/>
  <c r="O167"/>
  <c r="N167"/>
  <c r="M167"/>
  <c r="L167"/>
  <c r="K167"/>
  <c r="J167"/>
  <c r="I167"/>
  <c r="H167"/>
  <c r="G167"/>
  <c r="F167"/>
  <c r="E167"/>
  <c r="W165" s="1"/>
  <c r="D167"/>
  <c r="T164"/>
  <c r="S164"/>
  <c r="R164"/>
  <c r="Q164"/>
  <c r="P164"/>
  <c r="O164"/>
  <c r="N164"/>
  <c r="M164"/>
  <c r="L164"/>
  <c r="K164"/>
  <c r="J164"/>
  <c r="I164"/>
  <c r="H164"/>
  <c r="G164"/>
  <c r="F164"/>
  <c r="W162" s="1"/>
  <c r="E164"/>
  <c r="D164"/>
  <c r="T161"/>
  <c r="S161"/>
  <c r="R161"/>
  <c r="Q161"/>
  <c r="P161"/>
  <c r="O161"/>
  <c r="N161"/>
  <c r="M161"/>
  <c r="L161"/>
  <c r="K161"/>
  <c r="J161"/>
  <c r="I161"/>
  <c r="H161"/>
  <c r="G161"/>
  <c r="F161"/>
  <c r="E161"/>
  <c r="D161"/>
  <c r="V159" s="1"/>
  <c r="T158"/>
  <c r="S158"/>
  <c r="R158"/>
  <c r="Q158"/>
  <c r="P158"/>
  <c r="O158"/>
  <c r="N158"/>
  <c r="M158"/>
  <c r="L158"/>
  <c r="K158"/>
  <c r="J158"/>
  <c r="I158"/>
  <c r="H158"/>
  <c r="G158"/>
  <c r="U156" s="1"/>
  <c r="F158"/>
  <c r="E158"/>
  <c r="D158"/>
  <c r="T155"/>
  <c r="S155"/>
  <c r="R155"/>
  <c r="Q155"/>
  <c r="P155"/>
  <c r="O155"/>
  <c r="N155"/>
  <c r="M155"/>
  <c r="L155"/>
  <c r="K155"/>
  <c r="J155"/>
  <c r="I155"/>
  <c r="H155"/>
  <c r="G155"/>
  <c r="F155"/>
  <c r="E155"/>
  <c r="W153" s="1"/>
  <c r="D155"/>
  <c r="T152"/>
  <c r="S152"/>
  <c r="R152"/>
  <c r="Q152"/>
  <c r="P152"/>
  <c r="O152"/>
  <c r="N152"/>
  <c r="M152"/>
  <c r="L152"/>
  <c r="K152"/>
  <c r="J152"/>
  <c r="I152"/>
  <c r="H152"/>
  <c r="G152"/>
  <c r="F152"/>
  <c r="W150" s="1"/>
  <c r="E152"/>
  <c r="D152"/>
  <c r="T149"/>
  <c r="S149"/>
  <c r="R149"/>
  <c r="Q149"/>
  <c r="P149"/>
  <c r="O149"/>
  <c r="N149"/>
  <c r="M149"/>
  <c r="L149"/>
  <c r="K149"/>
  <c r="J149"/>
  <c r="I149"/>
  <c r="H149"/>
  <c r="G149"/>
  <c r="F149"/>
  <c r="E149"/>
  <c r="D149"/>
  <c r="V147" s="1"/>
  <c r="T146"/>
  <c r="S146"/>
  <c r="R146"/>
  <c r="Q146"/>
  <c r="P146"/>
  <c r="O146"/>
  <c r="N146"/>
  <c r="M146"/>
  <c r="L146"/>
  <c r="K146"/>
  <c r="J146"/>
  <c r="I146"/>
  <c r="H146"/>
  <c r="G146"/>
  <c r="F146"/>
  <c r="E146"/>
  <c r="D146"/>
  <c r="U144"/>
  <c r="T143"/>
  <c r="S143"/>
  <c r="R143"/>
  <c r="Q143"/>
  <c r="P143"/>
  <c r="O143"/>
  <c r="N143"/>
  <c r="M143"/>
  <c r="L143"/>
  <c r="K143"/>
  <c r="J143"/>
  <c r="I143"/>
  <c r="H143"/>
  <c r="G143"/>
  <c r="F143"/>
  <c r="E143"/>
  <c r="W141" s="1"/>
  <c r="D143"/>
  <c r="T140"/>
  <c r="S140"/>
  <c r="R140"/>
  <c r="Q140"/>
  <c r="P140"/>
  <c r="O140"/>
  <c r="N140"/>
  <c r="M140"/>
  <c r="L140"/>
  <c r="K140"/>
  <c r="J140"/>
  <c r="I140"/>
  <c r="H140"/>
  <c r="G140"/>
  <c r="F140"/>
  <c r="W138" s="1"/>
  <c r="E140"/>
  <c r="D140"/>
  <c r="T137"/>
  <c r="S137"/>
  <c r="R137"/>
  <c r="Q137"/>
  <c r="P137"/>
  <c r="O137"/>
  <c r="N137"/>
  <c r="M137"/>
  <c r="L137"/>
  <c r="K137"/>
  <c r="J137"/>
  <c r="I137"/>
  <c r="H137"/>
  <c r="G137"/>
  <c r="F137"/>
  <c r="E137"/>
  <c r="D137"/>
  <c r="V135" s="1"/>
  <c r="T134"/>
  <c r="S134"/>
  <c r="R134"/>
  <c r="Q134"/>
  <c r="P134"/>
  <c r="O134"/>
  <c r="N134"/>
  <c r="M134"/>
  <c r="L134"/>
  <c r="K134"/>
  <c r="J134"/>
  <c r="I134"/>
  <c r="H134"/>
  <c r="G134"/>
  <c r="F134"/>
  <c r="E134"/>
  <c r="D134"/>
  <c r="U132"/>
  <c r="T131"/>
  <c r="S131"/>
  <c r="R131"/>
  <c r="Q131"/>
  <c r="P131"/>
  <c r="O131"/>
  <c r="N131"/>
  <c r="M131"/>
  <c r="L131"/>
  <c r="K131"/>
  <c r="J131"/>
  <c r="I131"/>
  <c r="H131"/>
  <c r="G131"/>
  <c r="F131"/>
  <c r="E131"/>
  <c r="W129" s="1"/>
  <c r="D131"/>
  <c r="T128"/>
  <c r="S128"/>
  <c r="R128"/>
  <c r="Q128"/>
  <c r="P128"/>
  <c r="O128"/>
  <c r="N128"/>
  <c r="M128"/>
  <c r="L128"/>
  <c r="K128"/>
  <c r="J128"/>
  <c r="I128"/>
  <c r="H128"/>
  <c r="G128"/>
  <c r="F128"/>
  <c r="W126" s="1"/>
  <c r="E128"/>
  <c r="D128"/>
  <c r="T125"/>
  <c r="S125"/>
  <c r="R125"/>
  <c r="Q125"/>
  <c r="P125"/>
  <c r="O125"/>
  <c r="N125"/>
  <c r="M125"/>
  <c r="L125"/>
  <c r="K125"/>
  <c r="J125"/>
  <c r="I125"/>
  <c r="H125"/>
  <c r="G125"/>
  <c r="F125"/>
  <c r="E125"/>
  <c r="D125"/>
  <c r="V123" s="1"/>
  <c r="T122"/>
  <c r="S122"/>
  <c r="R122"/>
  <c r="Q122"/>
  <c r="P122"/>
  <c r="O122"/>
  <c r="N122"/>
  <c r="M122"/>
  <c r="L122"/>
  <c r="K122"/>
  <c r="J122"/>
  <c r="I122"/>
  <c r="H122"/>
  <c r="G122"/>
  <c r="F122"/>
  <c r="E122"/>
  <c r="D122"/>
  <c r="U120"/>
  <c r="T119"/>
  <c r="S119"/>
  <c r="R119"/>
  <c r="Q119"/>
  <c r="P119"/>
  <c r="O119"/>
  <c r="N119"/>
  <c r="M119"/>
  <c r="L119"/>
  <c r="K119"/>
  <c r="J119"/>
  <c r="I119"/>
  <c r="H119"/>
  <c r="G119"/>
  <c r="F119"/>
  <c r="E119"/>
  <c r="W117" s="1"/>
  <c r="D119"/>
  <c r="T116"/>
  <c r="S116"/>
  <c r="R116"/>
  <c r="Q116"/>
  <c r="P116"/>
  <c r="O116"/>
  <c r="N116"/>
  <c r="M116"/>
  <c r="L116"/>
  <c r="K116"/>
  <c r="J116"/>
  <c r="I116"/>
  <c r="H116"/>
  <c r="G116"/>
  <c r="F116"/>
  <c r="W114" s="1"/>
  <c r="E116"/>
  <c r="D116"/>
  <c r="T113"/>
  <c r="S113"/>
  <c r="R113"/>
  <c r="Q113"/>
  <c r="P113"/>
  <c r="O113"/>
  <c r="N113"/>
  <c r="M113"/>
  <c r="L113"/>
  <c r="K113"/>
  <c r="J113"/>
  <c r="I113"/>
  <c r="H113"/>
  <c r="G113"/>
  <c r="F113"/>
  <c r="E113"/>
  <c r="D113"/>
  <c r="V111" s="1"/>
  <c r="T110"/>
  <c r="S110"/>
  <c r="R110"/>
  <c r="Q110"/>
  <c r="P110"/>
  <c r="O110"/>
  <c r="N110"/>
  <c r="M110"/>
  <c r="L110"/>
  <c r="K110"/>
  <c r="J110"/>
  <c r="I110"/>
  <c r="H110"/>
  <c r="G110"/>
  <c r="U108" s="1"/>
  <c r="F110"/>
  <c r="E110"/>
  <c r="D110"/>
  <c r="T107"/>
  <c r="S107"/>
  <c r="R107"/>
  <c r="Q107"/>
  <c r="P107"/>
  <c r="O107"/>
  <c r="N107"/>
  <c r="M107"/>
  <c r="L107"/>
  <c r="K107"/>
  <c r="J107"/>
  <c r="I107"/>
  <c r="H107"/>
  <c r="G107"/>
  <c r="F107"/>
  <c r="E107"/>
  <c r="W105" s="1"/>
  <c r="D107"/>
  <c r="T104"/>
  <c r="S104"/>
  <c r="R104"/>
  <c r="Q104"/>
  <c r="P104"/>
  <c r="O104"/>
  <c r="N104"/>
  <c r="M104"/>
  <c r="L104"/>
  <c r="K104"/>
  <c r="J104"/>
  <c r="I104"/>
  <c r="H104"/>
  <c r="G104"/>
  <c r="F104"/>
  <c r="W102" s="1"/>
  <c r="E104"/>
  <c r="D104"/>
  <c r="T101"/>
  <c r="S101"/>
  <c r="R101"/>
  <c r="Q101"/>
  <c r="P101"/>
  <c r="O101"/>
  <c r="N101"/>
  <c r="M101"/>
  <c r="L101"/>
  <c r="K101"/>
  <c r="J101"/>
  <c r="I101"/>
  <c r="H101"/>
  <c r="G101"/>
  <c r="F101"/>
  <c r="E101"/>
  <c r="D101"/>
  <c r="V99" s="1"/>
  <c r="T98"/>
  <c r="S98"/>
  <c r="R98"/>
  <c r="Q98"/>
  <c r="P98"/>
  <c r="O98"/>
  <c r="N98"/>
  <c r="M98"/>
  <c r="L98"/>
  <c r="K98"/>
  <c r="J98"/>
  <c r="I98"/>
  <c r="H98"/>
  <c r="G98"/>
  <c r="F98"/>
  <c r="E98"/>
  <c r="D98"/>
  <c r="U96"/>
  <c r="T95"/>
  <c r="S95"/>
  <c r="R95"/>
  <c r="Q95"/>
  <c r="P95"/>
  <c r="O95"/>
  <c r="N95"/>
  <c r="M95"/>
  <c r="L95"/>
  <c r="K95"/>
  <c r="J95"/>
  <c r="I95"/>
  <c r="H95"/>
  <c r="G95"/>
  <c r="F95"/>
  <c r="E95"/>
  <c r="W93" s="1"/>
  <c r="D95"/>
  <c r="T92"/>
  <c r="S92"/>
  <c r="R92"/>
  <c r="Q92"/>
  <c r="P92"/>
  <c r="O92"/>
  <c r="N92"/>
  <c r="M92"/>
  <c r="L92"/>
  <c r="K92"/>
  <c r="J92"/>
  <c r="I92"/>
  <c r="H92"/>
  <c r="G92"/>
  <c r="F92"/>
  <c r="W90" s="1"/>
  <c r="E92"/>
  <c r="D92"/>
  <c r="T89"/>
  <c r="S89"/>
  <c r="R89"/>
  <c r="Q89"/>
  <c r="P89"/>
  <c r="O89"/>
  <c r="N89"/>
  <c r="M89"/>
  <c r="L89"/>
  <c r="K89"/>
  <c r="J89"/>
  <c r="I89"/>
  <c r="H89"/>
  <c r="G89"/>
  <c r="F89"/>
  <c r="E89"/>
  <c r="D89"/>
  <c r="V87" s="1"/>
  <c r="T86"/>
  <c r="S86"/>
  <c r="R86"/>
  <c r="Q86"/>
  <c r="P86"/>
  <c r="O86"/>
  <c r="N86"/>
  <c r="M86"/>
  <c r="L86"/>
  <c r="K86"/>
  <c r="J86"/>
  <c r="I86"/>
  <c r="H86"/>
  <c r="G86"/>
  <c r="F86"/>
  <c r="E86"/>
  <c r="D86"/>
  <c r="U84"/>
  <c r="T83"/>
  <c r="S83"/>
  <c r="R83"/>
  <c r="Q83"/>
  <c r="P83"/>
  <c r="O83"/>
  <c r="N83"/>
  <c r="M83"/>
  <c r="L83"/>
  <c r="K83"/>
  <c r="J83"/>
  <c r="I83"/>
  <c r="H83"/>
  <c r="G83"/>
  <c r="F83"/>
  <c r="E83"/>
  <c r="W81" s="1"/>
  <c r="D83"/>
  <c r="T80"/>
  <c r="S80"/>
  <c r="R80"/>
  <c r="Q80"/>
  <c r="P80"/>
  <c r="O80"/>
  <c r="N80"/>
  <c r="M80"/>
  <c r="L80"/>
  <c r="K80"/>
  <c r="J80"/>
  <c r="I80"/>
  <c r="H80"/>
  <c r="G80"/>
  <c r="F80"/>
  <c r="W78" s="1"/>
  <c r="E80"/>
  <c r="D80"/>
  <c r="T77"/>
  <c r="S77"/>
  <c r="R77"/>
  <c r="Q77"/>
  <c r="P77"/>
  <c r="O77"/>
  <c r="N77"/>
  <c r="M77"/>
  <c r="L77"/>
  <c r="K77"/>
  <c r="J77"/>
  <c r="I77"/>
  <c r="H77"/>
  <c r="G77"/>
  <c r="F77"/>
  <c r="E77"/>
  <c r="D77"/>
  <c r="V75" s="1"/>
  <c r="T74"/>
  <c r="S74"/>
  <c r="R74"/>
  <c r="Q74"/>
  <c r="P74"/>
  <c r="O74"/>
  <c r="N74"/>
  <c r="M74"/>
  <c r="L74"/>
  <c r="K74"/>
  <c r="J74"/>
  <c r="I74"/>
  <c r="H74"/>
  <c r="G74"/>
  <c r="F74"/>
  <c r="E74"/>
  <c r="D74"/>
  <c r="U72"/>
  <c r="T71"/>
  <c r="S71"/>
  <c r="R71"/>
  <c r="Q71"/>
  <c r="P71"/>
  <c r="O71"/>
  <c r="N71"/>
  <c r="M71"/>
  <c r="L71"/>
  <c r="K71"/>
  <c r="J71"/>
  <c r="I71"/>
  <c r="H71"/>
  <c r="G71"/>
  <c r="F71"/>
  <c r="E71"/>
  <c r="W69" s="1"/>
  <c r="D71"/>
  <c r="T68"/>
  <c r="S68"/>
  <c r="R68"/>
  <c r="Q68"/>
  <c r="P68"/>
  <c r="O68"/>
  <c r="N68"/>
  <c r="M68"/>
  <c r="L68"/>
  <c r="K68"/>
  <c r="J68"/>
  <c r="I68"/>
  <c r="H68"/>
  <c r="G68"/>
  <c r="F68"/>
  <c r="W66" s="1"/>
  <c r="E68"/>
  <c r="D68"/>
  <c r="T65"/>
  <c r="S65"/>
  <c r="R65"/>
  <c r="Q65"/>
  <c r="P65"/>
  <c r="O65"/>
  <c r="N65"/>
  <c r="M65"/>
  <c r="L65"/>
  <c r="K65"/>
  <c r="J65"/>
  <c r="I65"/>
  <c r="H65"/>
  <c r="G65"/>
  <c r="F65"/>
  <c r="X63" s="1"/>
  <c r="E65"/>
  <c r="D65"/>
  <c r="T62"/>
  <c r="S62"/>
  <c r="R62"/>
  <c r="Q62"/>
  <c r="P62"/>
  <c r="O62"/>
  <c r="N62"/>
  <c r="M62"/>
  <c r="L62"/>
  <c r="K62"/>
  <c r="J62"/>
  <c r="I62"/>
  <c r="H62"/>
  <c r="G62"/>
  <c r="U60" s="1"/>
  <c r="F62"/>
  <c r="E62"/>
  <c r="D62"/>
  <c r="T59"/>
  <c r="S59"/>
  <c r="R59"/>
  <c r="Q59"/>
  <c r="P59"/>
  <c r="O59"/>
  <c r="N59"/>
  <c r="M59"/>
  <c r="L59"/>
  <c r="K59"/>
  <c r="J59"/>
  <c r="I59"/>
  <c r="H59"/>
  <c r="G59"/>
  <c r="F59"/>
  <c r="E59"/>
  <c r="W57" s="1"/>
  <c r="D59"/>
  <c r="T56"/>
  <c r="S56"/>
  <c r="R56"/>
  <c r="Q56"/>
  <c r="P56"/>
  <c r="O56"/>
  <c r="N56"/>
  <c r="M56"/>
  <c r="L56"/>
  <c r="K56"/>
  <c r="J56"/>
  <c r="I56"/>
  <c r="H56"/>
  <c r="G56"/>
  <c r="F56"/>
  <c r="E56"/>
  <c r="D56"/>
  <c r="T53"/>
  <c r="S53"/>
  <c r="R53"/>
  <c r="Q53"/>
  <c r="P53"/>
  <c r="O53"/>
  <c r="N53"/>
  <c r="M53"/>
  <c r="L53"/>
  <c r="K53"/>
  <c r="J53"/>
  <c r="I53"/>
  <c r="H53"/>
  <c r="G53"/>
  <c r="F53"/>
  <c r="E53"/>
  <c r="D53"/>
  <c r="V51" s="1"/>
  <c r="T50"/>
  <c r="S50"/>
  <c r="R50"/>
  <c r="Q50"/>
  <c r="P50"/>
  <c r="O50"/>
  <c r="N50"/>
  <c r="M50"/>
  <c r="L50"/>
  <c r="K50"/>
  <c r="J50"/>
  <c r="I50"/>
  <c r="H50"/>
  <c r="G50"/>
  <c r="F50"/>
  <c r="E50"/>
  <c r="D50"/>
  <c r="U48"/>
  <c r="T47"/>
  <c r="S47"/>
  <c r="R47"/>
  <c r="Q47"/>
  <c r="P47"/>
  <c r="O47"/>
  <c r="N47"/>
  <c r="M47"/>
  <c r="L47"/>
  <c r="K47"/>
  <c r="J47"/>
  <c r="I47"/>
  <c r="H47"/>
  <c r="G47"/>
  <c r="F47"/>
  <c r="E47"/>
  <c r="W45" s="1"/>
  <c r="D47"/>
  <c r="T44"/>
  <c r="S44"/>
  <c r="R44"/>
  <c r="Q44"/>
  <c r="P44"/>
  <c r="O44"/>
  <c r="N44"/>
  <c r="M44"/>
  <c r="L44"/>
  <c r="K44"/>
  <c r="J44"/>
  <c r="I44"/>
  <c r="H44"/>
  <c r="G44"/>
  <c r="F44"/>
  <c r="E44"/>
  <c r="D44"/>
  <c r="U42" s="1"/>
  <c r="T41"/>
  <c r="S41"/>
  <c r="R41"/>
  <c r="Q41"/>
  <c r="P41"/>
  <c r="O41"/>
  <c r="N41"/>
  <c r="M41"/>
  <c r="L41"/>
  <c r="K41"/>
  <c r="J41"/>
  <c r="I41"/>
  <c r="H41"/>
  <c r="G41"/>
  <c r="F41"/>
  <c r="X39" s="1"/>
  <c r="E41"/>
  <c r="D41"/>
  <c r="T38"/>
  <c r="S38"/>
  <c r="R38"/>
  <c r="Q38"/>
  <c r="P38"/>
  <c r="O38"/>
  <c r="N38"/>
  <c r="M38"/>
  <c r="L38"/>
  <c r="K38"/>
  <c r="J38"/>
  <c r="I38"/>
  <c r="H38"/>
  <c r="G38"/>
  <c r="F38"/>
  <c r="E38"/>
  <c r="D38"/>
  <c r="U36"/>
  <c r="T35"/>
  <c r="S35"/>
  <c r="R35"/>
  <c r="Q35"/>
  <c r="P35"/>
  <c r="O35"/>
  <c r="N35"/>
  <c r="M35"/>
  <c r="L35"/>
  <c r="K35"/>
  <c r="J35"/>
  <c r="I35"/>
  <c r="H35"/>
  <c r="G35"/>
  <c r="F35"/>
  <c r="E35"/>
  <c r="W33" s="1"/>
  <c r="D35"/>
  <c r="T32"/>
  <c r="W30" s="1"/>
  <c r="S32"/>
  <c r="R32"/>
  <c r="Q32"/>
  <c r="P32"/>
  <c r="O32"/>
  <c r="N32"/>
  <c r="M32"/>
  <c r="L32"/>
  <c r="K32"/>
  <c r="J32"/>
  <c r="I32"/>
  <c r="H32"/>
  <c r="G32"/>
  <c r="F32"/>
  <c r="E32"/>
  <c r="D32"/>
  <c r="T29"/>
  <c r="S29"/>
  <c r="R29"/>
  <c r="Q29"/>
  <c r="P29"/>
  <c r="O29"/>
  <c r="N29"/>
  <c r="M29"/>
  <c r="L29"/>
  <c r="K29"/>
  <c r="J29"/>
  <c r="I29"/>
  <c r="H29"/>
  <c r="G29"/>
  <c r="F29"/>
  <c r="E29"/>
  <c r="D29"/>
  <c r="V27" s="1"/>
  <c r="T26"/>
  <c r="S26"/>
  <c r="R26"/>
  <c r="Q26"/>
  <c r="P26"/>
  <c r="O26"/>
  <c r="N26"/>
  <c r="M26"/>
  <c r="L26"/>
  <c r="K26"/>
  <c r="J26"/>
  <c r="I26"/>
  <c r="H26"/>
  <c r="G26"/>
  <c r="F26"/>
  <c r="E26"/>
  <c r="D26"/>
  <c r="U24"/>
  <c r="T23"/>
  <c r="S23"/>
  <c r="R23"/>
  <c r="Q23"/>
  <c r="P23"/>
  <c r="O23"/>
  <c r="N23"/>
  <c r="M23"/>
  <c r="L23"/>
  <c r="K23"/>
  <c r="J23"/>
  <c r="I23"/>
  <c r="H23"/>
  <c r="G23"/>
  <c r="F23"/>
  <c r="E23"/>
  <c r="X21" s="1"/>
  <c r="D23"/>
  <c r="T20"/>
  <c r="S20"/>
  <c r="R20"/>
  <c r="Q20"/>
  <c r="P20"/>
  <c r="O20"/>
  <c r="N20"/>
  <c r="M20"/>
  <c r="L20"/>
  <c r="K20"/>
  <c r="J20"/>
  <c r="I20"/>
  <c r="H20"/>
  <c r="G20"/>
  <c r="F20"/>
  <c r="W18" s="1"/>
  <c r="E20"/>
  <c r="D20"/>
  <c r="T17"/>
  <c r="S17"/>
  <c r="R17"/>
  <c r="Q17"/>
  <c r="P17"/>
  <c r="O17"/>
  <c r="N17"/>
  <c r="M17"/>
  <c r="L17"/>
  <c r="K17"/>
  <c r="J17"/>
  <c r="I17"/>
  <c r="H17"/>
  <c r="G17"/>
  <c r="F17"/>
  <c r="E17"/>
  <c r="D17"/>
  <c r="V15" s="1"/>
  <c r="T14"/>
  <c r="S14"/>
  <c r="R14"/>
  <c r="Q14"/>
  <c r="P14"/>
  <c r="O14"/>
  <c r="N14"/>
  <c r="M14"/>
  <c r="L14"/>
  <c r="K14"/>
  <c r="J14"/>
  <c r="I14"/>
  <c r="H14"/>
  <c r="G14"/>
  <c r="F14"/>
  <c r="X12" s="1"/>
  <c r="E14"/>
  <c r="D14"/>
  <c r="P662" i="17"/>
  <c r="O662"/>
  <c r="N662"/>
  <c r="M662"/>
  <c r="L662"/>
  <c r="K662"/>
  <c r="J662"/>
  <c r="I662"/>
  <c r="H662"/>
  <c r="G662"/>
  <c r="F662"/>
  <c r="E662"/>
  <c r="D662"/>
  <c r="V660"/>
  <c r="U660"/>
  <c r="T660"/>
  <c r="S660"/>
  <c r="R660"/>
  <c r="Q660"/>
  <c r="P659"/>
  <c r="O659"/>
  <c r="N659"/>
  <c r="M659"/>
  <c r="L659"/>
  <c r="K659"/>
  <c r="J659"/>
  <c r="I659"/>
  <c r="H659"/>
  <c r="G659"/>
  <c r="F659"/>
  <c r="E659"/>
  <c r="D659"/>
  <c r="V657"/>
  <c r="U657"/>
  <c r="T657"/>
  <c r="S657"/>
  <c r="R657"/>
  <c r="Q657"/>
  <c r="P656"/>
  <c r="O656"/>
  <c r="N656"/>
  <c r="M656"/>
  <c r="L656"/>
  <c r="K656"/>
  <c r="J656"/>
  <c r="I656"/>
  <c r="H656"/>
  <c r="G656"/>
  <c r="F656"/>
  <c r="E656"/>
  <c r="D656"/>
  <c r="V654"/>
  <c r="U654"/>
  <c r="T654"/>
  <c r="S654"/>
  <c r="R654"/>
  <c r="Q654"/>
  <c r="P653"/>
  <c r="O653"/>
  <c r="N653"/>
  <c r="M653"/>
  <c r="L653"/>
  <c r="K653"/>
  <c r="J653"/>
  <c r="I653"/>
  <c r="H653"/>
  <c r="G653"/>
  <c r="F653"/>
  <c r="E653"/>
  <c r="D653"/>
  <c r="V651"/>
  <c r="U651"/>
  <c r="T651"/>
  <c r="S651"/>
  <c r="R651"/>
  <c r="Q651"/>
  <c r="P650"/>
  <c r="O650"/>
  <c r="N650"/>
  <c r="M650"/>
  <c r="L650"/>
  <c r="K650"/>
  <c r="J650"/>
  <c r="I650"/>
  <c r="H650"/>
  <c r="G650"/>
  <c r="F650"/>
  <c r="E650"/>
  <c r="D650"/>
  <c r="V648"/>
  <c r="U648"/>
  <c r="T648"/>
  <c r="S648"/>
  <c r="R648"/>
  <c r="Q648"/>
  <c r="P647"/>
  <c r="O647"/>
  <c r="N647"/>
  <c r="M647"/>
  <c r="L647"/>
  <c r="K647"/>
  <c r="J647"/>
  <c r="I647"/>
  <c r="H647"/>
  <c r="G647"/>
  <c r="F647"/>
  <c r="E647"/>
  <c r="D647"/>
  <c r="V645"/>
  <c r="U645"/>
  <c r="T645"/>
  <c r="S645"/>
  <c r="R645"/>
  <c r="Q645"/>
  <c r="P644"/>
  <c r="O644"/>
  <c r="N644"/>
  <c r="M644"/>
  <c r="L644"/>
  <c r="K644"/>
  <c r="J644"/>
  <c r="I644"/>
  <c r="H644"/>
  <c r="G644"/>
  <c r="F644"/>
  <c r="E644"/>
  <c r="D644"/>
  <c r="V642"/>
  <c r="U642"/>
  <c r="T642"/>
  <c r="S642"/>
  <c r="R642"/>
  <c r="Q642"/>
  <c r="P641"/>
  <c r="O641"/>
  <c r="N641"/>
  <c r="M641"/>
  <c r="L641"/>
  <c r="K641"/>
  <c r="J641"/>
  <c r="I641"/>
  <c r="H641"/>
  <c r="G641"/>
  <c r="F641"/>
  <c r="E641"/>
  <c r="D641"/>
  <c r="V639"/>
  <c r="U639"/>
  <c r="T639"/>
  <c r="S639"/>
  <c r="R639"/>
  <c r="Q639"/>
  <c r="P638"/>
  <c r="O638"/>
  <c r="N638"/>
  <c r="M638"/>
  <c r="L638"/>
  <c r="K638"/>
  <c r="J638"/>
  <c r="I638"/>
  <c r="H638"/>
  <c r="G638"/>
  <c r="F638"/>
  <c r="E638"/>
  <c r="D638"/>
  <c r="V636"/>
  <c r="U636"/>
  <c r="T636"/>
  <c r="S636"/>
  <c r="R636"/>
  <c r="Q636"/>
  <c r="P635"/>
  <c r="O635"/>
  <c r="N635"/>
  <c r="M635"/>
  <c r="L635"/>
  <c r="K635"/>
  <c r="J635"/>
  <c r="I635"/>
  <c r="H635"/>
  <c r="G635"/>
  <c r="F635"/>
  <c r="E635"/>
  <c r="D635"/>
  <c r="V633"/>
  <c r="U633"/>
  <c r="T633"/>
  <c r="S633"/>
  <c r="R633"/>
  <c r="Q633"/>
  <c r="P632"/>
  <c r="O632"/>
  <c r="N632"/>
  <c r="M632"/>
  <c r="L632"/>
  <c r="K632"/>
  <c r="J632"/>
  <c r="I632"/>
  <c r="H632"/>
  <c r="G632"/>
  <c r="F632"/>
  <c r="E632"/>
  <c r="D632"/>
  <c r="V630"/>
  <c r="U630"/>
  <c r="T630"/>
  <c r="S630"/>
  <c r="R630"/>
  <c r="Q630"/>
  <c r="P629"/>
  <c r="O629"/>
  <c r="N629"/>
  <c r="M629"/>
  <c r="L629"/>
  <c r="K629"/>
  <c r="J629"/>
  <c r="I629"/>
  <c r="H629"/>
  <c r="G629"/>
  <c r="F629"/>
  <c r="E629"/>
  <c r="D629"/>
  <c r="V627"/>
  <c r="U627"/>
  <c r="T627"/>
  <c r="S627"/>
  <c r="R627"/>
  <c r="Q627"/>
  <c r="P626"/>
  <c r="O626"/>
  <c r="N626"/>
  <c r="M626"/>
  <c r="L626"/>
  <c r="K626"/>
  <c r="J626"/>
  <c r="I626"/>
  <c r="H626"/>
  <c r="G626"/>
  <c r="F626"/>
  <c r="E626"/>
  <c r="D626"/>
  <c r="V624"/>
  <c r="U624"/>
  <c r="T624"/>
  <c r="S624"/>
  <c r="R624"/>
  <c r="Q624"/>
  <c r="P623"/>
  <c r="O623"/>
  <c r="N623"/>
  <c r="M623"/>
  <c r="L623"/>
  <c r="K623"/>
  <c r="J623"/>
  <c r="I623"/>
  <c r="H623"/>
  <c r="G623"/>
  <c r="F623"/>
  <c r="E623"/>
  <c r="D623"/>
  <c r="V621"/>
  <c r="U621"/>
  <c r="T621"/>
  <c r="S621"/>
  <c r="R621"/>
  <c r="Q621"/>
  <c r="P620"/>
  <c r="O620"/>
  <c r="N620"/>
  <c r="M620"/>
  <c r="L620"/>
  <c r="K620"/>
  <c r="J620"/>
  <c r="I620"/>
  <c r="H620"/>
  <c r="G620"/>
  <c r="F620"/>
  <c r="E620"/>
  <c r="D620"/>
  <c r="V618"/>
  <c r="U618"/>
  <c r="T618"/>
  <c r="S618"/>
  <c r="R618"/>
  <c r="Q618"/>
  <c r="P617"/>
  <c r="O617"/>
  <c r="N617"/>
  <c r="M617"/>
  <c r="L617"/>
  <c r="K617"/>
  <c r="J617"/>
  <c r="I617"/>
  <c r="H617"/>
  <c r="G617"/>
  <c r="F617"/>
  <c r="E617"/>
  <c r="D617"/>
  <c r="V615"/>
  <c r="U615"/>
  <c r="T615"/>
  <c r="S615"/>
  <c r="R615"/>
  <c r="Q615"/>
  <c r="P614"/>
  <c r="O614"/>
  <c r="N614"/>
  <c r="M614"/>
  <c r="L614"/>
  <c r="K614"/>
  <c r="J614"/>
  <c r="I614"/>
  <c r="H614"/>
  <c r="G614"/>
  <c r="F614"/>
  <c r="E614"/>
  <c r="D614"/>
  <c r="V612"/>
  <c r="U612"/>
  <c r="T612"/>
  <c r="S612"/>
  <c r="R612"/>
  <c r="Q612"/>
  <c r="P611"/>
  <c r="O611"/>
  <c r="N611"/>
  <c r="M611"/>
  <c r="L611"/>
  <c r="K611"/>
  <c r="J611"/>
  <c r="I611"/>
  <c r="H611"/>
  <c r="G611"/>
  <c r="F611"/>
  <c r="E611"/>
  <c r="D611"/>
  <c r="V609"/>
  <c r="U609"/>
  <c r="T609"/>
  <c r="S609"/>
  <c r="R609"/>
  <c r="Q609"/>
  <c r="P608"/>
  <c r="O608"/>
  <c r="N608"/>
  <c r="M608"/>
  <c r="L608"/>
  <c r="K608"/>
  <c r="J608"/>
  <c r="I608"/>
  <c r="H608"/>
  <c r="G608"/>
  <c r="F608"/>
  <c r="E608"/>
  <c r="D608"/>
  <c r="V606"/>
  <c r="U606"/>
  <c r="T606"/>
  <c r="S606"/>
  <c r="R606"/>
  <c r="Q606"/>
  <c r="P605"/>
  <c r="O605"/>
  <c r="N605"/>
  <c r="M605"/>
  <c r="L605"/>
  <c r="K605"/>
  <c r="J605"/>
  <c r="I605"/>
  <c r="H605"/>
  <c r="G605"/>
  <c r="F605"/>
  <c r="E605"/>
  <c r="D605"/>
  <c r="V603"/>
  <c r="U603"/>
  <c r="T603"/>
  <c r="S603"/>
  <c r="R603"/>
  <c r="Q603"/>
  <c r="P602"/>
  <c r="O602"/>
  <c r="N602"/>
  <c r="M602"/>
  <c r="L602"/>
  <c r="K602"/>
  <c r="J602"/>
  <c r="I602"/>
  <c r="H602"/>
  <c r="G602"/>
  <c r="F602"/>
  <c r="E602"/>
  <c r="D602"/>
  <c r="V600"/>
  <c r="U600"/>
  <c r="T600"/>
  <c r="S600"/>
  <c r="R600"/>
  <c r="Q600"/>
  <c r="P599"/>
  <c r="O599"/>
  <c r="N599"/>
  <c r="M599"/>
  <c r="L599"/>
  <c r="K599"/>
  <c r="J599"/>
  <c r="I599"/>
  <c r="H599"/>
  <c r="G599"/>
  <c r="F599"/>
  <c r="E599"/>
  <c r="D599"/>
  <c r="V597"/>
  <c r="U597"/>
  <c r="T597"/>
  <c r="S597"/>
  <c r="R597"/>
  <c r="Q597"/>
  <c r="P596"/>
  <c r="O596"/>
  <c r="N596"/>
  <c r="M596"/>
  <c r="L596"/>
  <c r="K596"/>
  <c r="J596"/>
  <c r="I596"/>
  <c r="H596"/>
  <c r="G596"/>
  <c r="F596"/>
  <c r="E596"/>
  <c r="D596"/>
  <c r="V594"/>
  <c r="U594"/>
  <c r="T594"/>
  <c r="S594"/>
  <c r="R594"/>
  <c r="Q594"/>
  <c r="P593"/>
  <c r="O593"/>
  <c r="N593"/>
  <c r="M593"/>
  <c r="L593"/>
  <c r="K593"/>
  <c r="J593"/>
  <c r="I593"/>
  <c r="H593"/>
  <c r="G593"/>
  <c r="F593"/>
  <c r="E593"/>
  <c r="D593"/>
  <c r="V591"/>
  <c r="U591"/>
  <c r="T591"/>
  <c r="S591"/>
  <c r="R591"/>
  <c r="Q591"/>
  <c r="P590"/>
  <c r="O590"/>
  <c r="N590"/>
  <c r="M590"/>
  <c r="L590"/>
  <c r="K590"/>
  <c r="J590"/>
  <c r="I590"/>
  <c r="H590"/>
  <c r="G590"/>
  <c r="F590"/>
  <c r="E590"/>
  <c r="D590"/>
  <c r="V588"/>
  <c r="U588"/>
  <c r="T588"/>
  <c r="S588"/>
  <c r="R588"/>
  <c r="Q588"/>
  <c r="P587"/>
  <c r="O587"/>
  <c r="N587"/>
  <c r="M587"/>
  <c r="L587"/>
  <c r="K587"/>
  <c r="J587"/>
  <c r="I587"/>
  <c r="H587"/>
  <c r="G587"/>
  <c r="F587"/>
  <c r="E587"/>
  <c r="D587"/>
  <c r="V585"/>
  <c r="U585"/>
  <c r="T585"/>
  <c r="S585"/>
  <c r="R585"/>
  <c r="Q585"/>
  <c r="P584"/>
  <c r="O584"/>
  <c r="N584"/>
  <c r="M584"/>
  <c r="L584"/>
  <c r="K584"/>
  <c r="J584"/>
  <c r="I584"/>
  <c r="H584"/>
  <c r="G584"/>
  <c r="F584"/>
  <c r="E584"/>
  <c r="D584"/>
  <c r="V582"/>
  <c r="U582"/>
  <c r="T582"/>
  <c r="S582"/>
  <c r="R582"/>
  <c r="Q582"/>
  <c r="P581"/>
  <c r="O581"/>
  <c r="N581"/>
  <c r="M581"/>
  <c r="L581"/>
  <c r="K581"/>
  <c r="J581"/>
  <c r="I581"/>
  <c r="H581"/>
  <c r="G581"/>
  <c r="F581"/>
  <c r="E581"/>
  <c r="D581"/>
  <c r="V579"/>
  <c r="U579"/>
  <c r="T579"/>
  <c r="S579"/>
  <c r="R579"/>
  <c r="Q579"/>
  <c r="P578"/>
  <c r="O578"/>
  <c r="N578"/>
  <c r="M578"/>
  <c r="L578"/>
  <c r="K578"/>
  <c r="J578"/>
  <c r="I578"/>
  <c r="H578"/>
  <c r="G578"/>
  <c r="F578"/>
  <c r="E578"/>
  <c r="D578"/>
  <c r="V576"/>
  <c r="U576"/>
  <c r="T576"/>
  <c r="S576"/>
  <c r="R576"/>
  <c r="Q576"/>
  <c r="P575"/>
  <c r="O575"/>
  <c r="N575"/>
  <c r="M575"/>
  <c r="L575"/>
  <c r="K575"/>
  <c r="J575"/>
  <c r="I575"/>
  <c r="H575"/>
  <c r="G575"/>
  <c r="F575"/>
  <c r="E575"/>
  <c r="D575"/>
  <c r="V573"/>
  <c r="U573"/>
  <c r="T573"/>
  <c r="S573"/>
  <c r="R573"/>
  <c r="Q573"/>
  <c r="P572"/>
  <c r="O572"/>
  <c r="N572"/>
  <c r="M572"/>
  <c r="L572"/>
  <c r="K572"/>
  <c r="J572"/>
  <c r="I572"/>
  <c r="H572"/>
  <c r="G572"/>
  <c r="F572"/>
  <c r="E572"/>
  <c r="D572"/>
  <c r="V570"/>
  <c r="U570"/>
  <c r="T570"/>
  <c r="S570"/>
  <c r="R570"/>
  <c r="Q570"/>
  <c r="P569"/>
  <c r="O569"/>
  <c r="N569"/>
  <c r="M569"/>
  <c r="L569"/>
  <c r="K569"/>
  <c r="J569"/>
  <c r="I569"/>
  <c r="H569"/>
  <c r="G569"/>
  <c r="F569"/>
  <c r="E569"/>
  <c r="D569"/>
  <c r="V567"/>
  <c r="U567"/>
  <c r="T567"/>
  <c r="S567"/>
  <c r="R567"/>
  <c r="Q567"/>
  <c r="P566"/>
  <c r="O566"/>
  <c r="N566"/>
  <c r="M566"/>
  <c r="L566"/>
  <c r="K566"/>
  <c r="J566"/>
  <c r="I566"/>
  <c r="H566"/>
  <c r="G566"/>
  <c r="F566"/>
  <c r="E566"/>
  <c r="D566"/>
  <c r="V564"/>
  <c r="U564"/>
  <c r="T564"/>
  <c r="S564"/>
  <c r="R564"/>
  <c r="Q564"/>
  <c r="P563"/>
  <c r="O563"/>
  <c r="N563"/>
  <c r="M563"/>
  <c r="L563"/>
  <c r="K563"/>
  <c r="J563"/>
  <c r="I563"/>
  <c r="H563"/>
  <c r="G563"/>
  <c r="F563"/>
  <c r="E563"/>
  <c r="D563"/>
  <c r="V561"/>
  <c r="U561"/>
  <c r="T561"/>
  <c r="S561"/>
  <c r="R561"/>
  <c r="Q561"/>
  <c r="P560"/>
  <c r="O560"/>
  <c r="N560"/>
  <c r="M560"/>
  <c r="L560"/>
  <c r="K560"/>
  <c r="J560"/>
  <c r="I560"/>
  <c r="H560"/>
  <c r="G560"/>
  <c r="F560"/>
  <c r="E560"/>
  <c r="D560"/>
  <c r="V558"/>
  <c r="U558"/>
  <c r="T558"/>
  <c r="S558"/>
  <c r="R558"/>
  <c r="Q558"/>
  <c r="P557"/>
  <c r="O557"/>
  <c r="N557"/>
  <c r="M557"/>
  <c r="L557"/>
  <c r="K557"/>
  <c r="J557"/>
  <c r="I557"/>
  <c r="H557"/>
  <c r="G557"/>
  <c r="F557"/>
  <c r="E557"/>
  <c r="D557"/>
  <c r="V555"/>
  <c r="U555"/>
  <c r="T555"/>
  <c r="S555"/>
  <c r="R555"/>
  <c r="Q555"/>
  <c r="P554"/>
  <c r="O554"/>
  <c r="N554"/>
  <c r="M554"/>
  <c r="L554"/>
  <c r="K554"/>
  <c r="J554"/>
  <c r="I554"/>
  <c r="H554"/>
  <c r="G554"/>
  <c r="F554"/>
  <c r="E554"/>
  <c r="D554"/>
  <c r="V552"/>
  <c r="U552"/>
  <c r="T552"/>
  <c r="S552"/>
  <c r="R552"/>
  <c r="Q552"/>
  <c r="P551"/>
  <c r="O551"/>
  <c r="N551"/>
  <c r="M551"/>
  <c r="L551"/>
  <c r="K551"/>
  <c r="J551"/>
  <c r="I551"/>
  <c r="H551"/>
  <c r="G551"/>
  <c r="F551"/>
  <c r="E551"/>
  <c r="D551"/>
  <c r="V549"/>
  <c r="U549"/>
  <c r="T549"/>
  <c r="S549"/>
  <c r="R549"/>
  <c r="Q549"/>
  <c r="P548"/>
  <c r="O548"/>
  <c r="N548"/>
  <c r="M548"/>
  <c r="L548"/>
  <c r="K548"/>
  <c r="J548"/>
  <c r="I548"/>
  <c r="H548"/>
  <c r="G548"/>
  <c r="F548"/>
  <c r="E548"/>
  <c r="D548"/>
  <c r="V546"/>
  <c r="U546"/>
  <c r="T546"/>
  <c r="S546"/>
  <c r="R546"/>
  <c r="Q546"/>
  <c r="P545"/>
  <c r="O545"/>
  <c r="N545"/>
  <c r="M545"/>
  <c r="L545"/>
  <c r="K545"/>
  <c r="J545"/>
  <c r="I545"/>
  <c r="H545"/>
  <c r="G545"/>
  <c r="F545"/>
  <c r="E545"/>
  <c r="D545"/>
  <c r="V543"/>
  <c r="U543"/>
  <c r="T543"/>
  <c r="S543"/>
  <c r="R543"/>
  <c r="Q543"/>
  <c r="P542"/>
  <c r="O542"/>
  <c r="N542"/>
  <c r="M542"/>
  <c r="L542"/>
  <c r="K542"/>
  <c r="J542"/>
  <c r="I542"/>
  <c r="H542"/>
  <c r="G542"/>
  <c r="F542"/>
  <c r="E542"/>
  <c r="D542"/>
  <c r="V540"/>
  <c r="U540"/>
  <c r="T540"/>
  <c r="S540"/>
  <c r="R540"/>
  <c r="Q540"/>
  <c r="P539"/>
  <c r="O539"/>
  <c r="N539"/>
  <c r="M539"/>
  <c r="L539"/>
  <c r="K539"/>
  <c r="J539"/>
  <c r="I539"/>
  <c r="H539"/>
  <c r="G539"/>
  <c r="F539"/>
  <c r="E539"/>
  <c r="D539"/>
  <c r="V537"/>
  <c r="U537"/>
  <c r="T537"/>
  <c r="S537"/>
  <c r="R537"/>
  <c r="Q537"/>
  <c r="P536"/>
  <c r="O536"/>
  <c r="N536"/>
  <c r="M536"/>
  <c r="L536"/>
  <c r="K536"/>
  <c r="J536"/>
  <c r="I536"/>
  <c r="H536"/>
  <c r="G536"/>
  <c r="F536"/>
  <c r="E536"/>
  <c r="D536"/>
  <c r="V534"/>
  <c r="U534"/>
  <c r="T534"/>
  <c r="S534"/>
  <c r="R534"/>
  <c r="Q534"/>
  <c r="P533"/>
  <c r="O533"/>
  <c r="N533"/>
  <c r="M533"/>
  <c r="L533"/>
  <c r="K533"/>
  <c r="J533"/>
  <c r="I533"/>
  <c r="H533"/>
  <c r="G533"/>
  <c r="F533"/>
  <c r="E533"/>
  <c r="D533"/>
  <c r="V531"/>
  <c r="U531"/>
  <c r="T531"/>
  <c r="S531"/>
  <c r="R531"/>
  <c r="Q531"/>
  <c r="P530"/>
  <c r="O530"/>
  <c r="N530"/>
  <c r="M530"/>
  <c r="L530"/>
  <c r="K530"/>
  <c r="J530"/>
  <c r="I530"/>
  <c r="H530"/>
  <c r="G530"/>
  <c r="F530"/>
  <c r="E530"/>
  <c r="D530"/>
  <c r="V528"/>
  <c r="U528"/>
  <c r="T528"/>
  <c r="S528"/>
  <c r="R528"/>
  <c r="Q528"/>
  <c r="P527"/>
  <c r="O527"/>
  <c r="N527"/>
  <c r="M527"/>
  <c r="L527"/>
  <c r="K527"/>
  <c r="J527"/>
  <c r="I527"/>
  <c r="H527"/>
  <c r="G527"/>
  <c r="F527"/>
  <c r="E527"/>
  <c r="D527"/>
  <c r="V525"/>
  <c r="U525"/>
  <c r="T525"/>
  <c r="S525"/>
  <c r="R525"/>
  <c r="Q525"/>
  <c r="P524"/>
  <c r="O524"/>
  <c r="N524"/>
  <c r="M524"/>
  <c r="L524"/>
  <c r="K524"/>
  <c r="J524"/>
  <c r="I524"/>
  <c r="H524"/>
  <c r="G524"/>
  <c r="F524"/>
  <c r="E524"/>
  <c r="D524"/>
  <c r="V522"/>
  <c r="U522"/>
  <c r="T522"/>
  <c r="S522"/>
  <c r="R522"/>
  <c r="Q522"/>
  <c r="P521"/>
  <c r="O521"/>
  <c r="N521"/>
  <c r="M521"/>
  <c r="L521"/>
  <c r="K521"/>
  <c r="J521"/>
  <c r="I521"/>
  <c r="H521"/>
  <c r="G521"/>
  <c r="F521"/>
  <c r="E521"/>
  <c r="D521"/>
  <c r="V519"/>
  <c r="U519"/>
  <c r="T519"/>
  <c r="S519"/>
  <c r="R519"/>
  <c r="Q519"/>
  <c r="P518"/>
  <c r="O518"/>
  <c r="N518"/>
  <c r="M518"/>
  <c r="L518"/>
  <c r="K518"/>
  <c r="J518"/>
  <c r="I518"/>
  <c r="H518"/>
  <c r="G518"/>
  <c r="F518"/>
  <c r="E518"/>
  <c r="D518"/>
  <c r="V516"/>
  <c r="U516"/>
  <c r="T516"/>
  <c r="S516"/>
  <c r="R516"/>
  <c r="Q516"/>
  <c r="P515"/>
  <c r="O515"/>
  <c r="N515"/>
  <c r="M515"/>
  <c r="L515"/>
  <c r="K515"/>
  <c r="J515"/>
  <c r="I515"/>
  <c r="H515"/>
  <c r="G515"/>
  <c r="F515"/>
  <c r="E515"/>
  <c r="D515"/>
  <c r="V513"/>
  <c r="U513"/>
  <c r="T513"/>
  <c r="S513"/>
  <c r="R513"/>
  <c r="Q513"/>
  <c r="P512"/>
  <c r="O512"/>
  <c r="N512"/>
  <c r="M512"/>
  <c r="L512"/>
  <c r="K512"/>
  <c r="J512"/>
  <c r="I512"/>
  <c r="H512"/>
  <c r="G512"/>
  <c r="F512"/>
  <c r="E512"/>
  <c r="D512"/>
  <c r="V510"/>
  <c r="U510"/>
  <c r="T510"/>
  <c r="S510"/>
  <c r="R510"/>
  <c r="Q510"/>
  <c r="P509"/>
  <c r="O509"/>
  <c r="N509"/>
  <c r="M509"/>
  <c r="L509"/>
  <c r="K509"/>
  <c r="J509"/>
  <c r="I509"/>
  <c r="H509"/>
  <c r="G509"/>
  <c r="F509"/>
  <c r="E509"/>
  <c r="D509"/>
  <c r="V507"/>
  <c r="U507"/>
  <c r="T507"/>
  <c r="S507"/>
  <c r="R507"/>
  <c r="Q507"/>
  <c r="P506"/>
  <c r="O506"/>
  <c r="N506"/>
  <c r="M506"/>
  <c r="L506"/>
  <c r="K506"/>
  <c r="J506"/>
  <c r="I506"/>
  <c r="H506"/>
  <c r="G506"/>
  <c r="F506"/>
  <c r="E506"/>
  <c r="D506"/>
  <c r="V504"/>
  <c r="U504"/>
  <c r="T504"/>
  <c r="S504"/>
  <c r="R504"/>
  <c r="Q504"/>
  <c r="P503"/>
  <c r="O503"/>
  <c r="N503"/>
  <c r="M503"/>
  <c r="L503"/>
  <c r="K503"/>
  <c r="J503"/>
  <c r="I503"/>
  <c r="H503"/>
  <c r="G503"/>
  <c r="F503"/>
  <c r="E503"/>
  <c r="D503"/>
  <c r="V501"/>
  <c r="U501"/>
  <c r="T501"/>
  <c r="S501"/>
  <c r="R501"/>
  <c r="Q501"/>
  <c r="P500"/>
  <c r="O500"/>
  <c r="N500"/>
  <c r="M500"/>
  <c r="L500"/>
  <c r="K500"/>
  <c r="J500"/>
  <c r="I500"/>
  <c r="H500"/>
  <c r="G500"/>
  <c r="F500"/>
  <c r="E500"/>
  <c r="D500"/>
  <c r="V498"/>
  <c r="U498"/>
  <c r="T498"/>
  <c r="S498"/>
  <c r="R498"/>
  <c r="Q498"/>
  <c r="P497"/>
  <c r="O497"/>
  <c r="N497"/>
  <c r="M497"/>
  <c r="L497"/>
  <c r="K497"/>
  <c r="J497"/>
  <c r="I497"/>
  <c r="H497"/>
  <c r="G497"/>
  <c r="F497"/>
  <c r="E497"/>
  <c r="D497"/>
  <c r="V495"/>
  <c r="U495"/>
  <c r="T495"/>
  <c r="S495"/>
  <c r="R495"/>
  <c r="Q495"/>
  <c r="P494"/>
  <c r="O494"/>
  <c r="N494"/>
  <c r="M494"/>
  <c r="L494"/>
  <c r="K494"/>
  <c r="J494"/>
  <c r="I494"/>
  <c r="H494"/>
  <c r="G494"/>
  <c r="F494"/>
  <c r="E494"/>
  <c r="D494"/>
  <c r="V492"/>
  <c r="U492"/>
  <c r="T492"/>
  <c r="S492"/>
  <c r="R492"/>
  <c r="Q492"/>
  <c r="P491"/>
  <c r="O491"/>
  <c r="N491"/>
  <c r="M491"/>
  <c r="L491"/>
  <c r="K491"/>
  <c r="J491"/>
  <c r="I491"/>
  <c r="H491"/>
  <c r="G491"/>
  <c r="F491"/>
  <c r="E491"/>
  <c r="D491"/>
  <c r="V489"/>
  <c r="U489"/>
  <c r="T489"/>
  <c r="S489"/>
  <c r="R489"/>
  <c r="Q489"/>
  <c r="P488"/>
  <c r="O488"/>
  <c r="N488"/>
  <c r="M488"/>
  <c r="L488"/>
  <c r="K488"/>
  <c r="J488"/>
  <c r="I488"/>
  <c r="H488"/>
  <c r="G488"/>
  <c r="F488"/>
  <c r="E488"/>
  <c r="D488"/>
  <c r="V486"/>
  <c r="U486"/>
  <c r="T486"/>
  <c r="S486"/>
  <c r="R486"/>
  <c r="Q486"/>
  <c r="P485"/>
  <c r="O485"/>
  <c r="N485"/>
  <c r="M485"/>
  <c r="L485"/>
  <c r="K485"/>
  <c r="J485"/>
  <c r="I485"/>
  <c r="H485"/>
  <c r="G485"/>
  <c r="F485"/>
  <c r="E485"/>
  <c r="D485"/>
  <c r="V483"/>
  <c r="U483"/>
  <c r="T483"/>
  <c r="S483"/>
  <c r="R483"/>
  <c r="Q483"/>
  <c r="P482"/>
  <c r="O482"/>
  <c r="N482"/>
  <c r="M482"/>
  <c r="L482"/>
  <c r="K482"/>
  <c r="J482"/>
  <c r="I482"/>
  <c r="H482"/>
  <c r="G482"/>
  <c r="F482"/>
  <c r="E482"/>
  <c r="D482"/>
  <c r="V480"/>
  <c r="U480"/>
  <c r="T480"/>
  <c r="S480"/>
  <c r="R480"/>
  <c r="Q480"/>
  <c r="P479"/>
  <c r="O479"/>
  <c r="N479"/>
  <c r="M479"/>
  <c r="L479"/>
  <c r="K479"/>
  <c r="J479"/>
  <c r="I479"/>
  <c r="H479"/>
  <c r="G479"/>
  <c r="F479"/>
  <c r="E479"/>
  <c r="D479"/>
  <c r="V477"/>
  <c r="U477"/>
  <c r="T477"/>
  <c r="S477"/>
  <c r="R477"/>
  <c r="Q477"/>
  <c r="P476"/>
  <c r="O476"/>
  <c r="N476"/>
  <c r="M476"/>
  <c r="L476"/>
  <c r="K476"/>
  <c r="J476"/>
  <c r="I476"/>
  <c r="H476"/>
  <c r="G476"/>
  <c r="F476"/>
  <c r="E476"/>
  <c r="D476"/>
  <c r="V474"/>
  <c r="U474"/>
  <c r="T474"/>
  <c r="S474"/>
  <c r="R474"/>
  <c r="Q474"/>
  <c r="P473"/>
  <c r="O473"/>
  <c r="N473"/>
  <c r="M473"/>
  <c r="L473"/>
  <c r="K473"/>
  <c r="J473"/>
  <c r="I473"/>
  <c r="H473"/>
  <c r="G473"/>
  <c r="F473"/>
  <c r="E473"/>
  <c r="D473"/>
  <c r="V471"/>
  <c r="U471"/>
  <c r="T471"/>
  <c r="S471"/>
  <c r="R471"/>
  <c r="Q471"/>
  <c r="P470"/>
  <c r="O470"/>
  <c r="N470"/>
  <c r="M470"/>
  <c r="L470"/>
  <c r="K470"/>
  <c r="J470"/>
  <c r="I470"/>
  <c r="H470"/>
  <c r="G470"/>
  <c r="F470"/>
  <c r="E470"/>
  <c r="D470"/>
  <c r="V468"/>
  <c r="U468"/>
  <c r="T468"/>
  <c r="S468"/>
  <c r="R468"/>
  <c r="Q468"/>
  <c r="P467"/>
  <c r="O467"/>
  <c r="N467"/>
  <c r="M467"/>
  <c r="L467"/>
  <c r="K467"/>
  <c r="J467"/>
  <c r="I467"/>
  <c r="H467"/>
  <c r="G467"/>
  <c r="F467"/>
  <c r="E467"/>
  <c r="D467"/>
  <c r="V465"/>
  <c r="U465"/>
  <c r="T465"/>
  <c r="S465"/>
  <c r="R465"/>
  <c r="Q465"/>
  <c r="P464"/>
  <c r="O464"/>
  <c r="N464"/>
  <c r="M464"/>
  <c r="L464"/>
  <c r="K464"/>
  <c r="J464"/>
  <c r="I464"/>
  <c r="H464"/>
  <c r="G464"/>
  <c r="F464"/>
  <c r="E464"/>
  <c r="D464"/>
  <c r="V462"/>
  <c r="U462"/>
  <c r="T462"/>
  <c r="S462"/>
  <c r="R462"/>
  <c r="Q462"/>
  <c r="P461"/>
  <c r="O461"/>
  <c r="N461"/>
  <c r="M461"/>
  <c r="L461"/>
  <c r="K461"/>
  <c r="J461"/>
  <c r="I461"/>
  <c r="H461"/>
  <c r="G461"/>
  <c r="F461"/>
  <c r="E461"/>
  <c r="D461"/>
  <c r="V459"/>
  <c r="U459"/>
  <c r="T459"/>
  <c r="S459"/>
  <c r="R459"/>
  <c r="Q459"/>
  <c r="P458"/>
  <c r="O458"/>
  <c r="N458"/>
  <c r="M458"/>
  <c r="L458"/>
  <c r="K458"/>
  <c r="J458"/>
  <c r="I458"/>
  <c r="H458"/>
  <c r="G458"/>
  <c r="F458"/>
  <c r="E458"/>
  <c r="D458"/>
  <c r="V456"/>
  <c r="U456"/>
  <c r="T456"/>
  <c r="S456"/>
  <c r="R456"/>
  <c r="Q456"/>
  <c r="P455"/>
  <c r="O455"/>
  <c r="N455"/>
  <c r="M455"/>
  <c r="L455"/>
  <c r="K455"/>
  <c r="J455"/>
  <c r="I455"/>
  <c r="H455"/>
  <c r="G455"/>
  <c r="F455"/>
  <c r="E455"/>
  <c r="D455"/>
  <c r="V453"/>
  <c r="U453"/>
  <c r="T453"/>
  <c r="S453"/>
  <c r="R453"/>
  <c r="Q453"/>
  <c r="P446"/>
  <c r="O446"/>
  <c r="N446"/>
  <c r="M446"/>
  <c r="L446"/>
  <c r="K446"/>
  <c r="J446"/>
  <c r="I446"/>
  <c r="H446"/>
  <c r="G446"/>
  <c r="F446"/>
  <c r="E446"/>
  <c r="D446"/>
  <c r="R444" s="1"/>
  <c r="P443"/>
  <c r="O443"/>
  <c r="N443"/>
  <c r="M443"/>
  <c r="L443"/>
  <c r="K443"/>
  <c r="J443"/>
  <c r="I443"/>
  <c r="H443"/>
  <c r="G443"/>
  <c r="F443"/>
  <c r="T441" s="1"/>
  <c r="E443"/>
  <c r="D443"/>
  <c r="P440"/>
  <c r="O440"/>
  <c r="N440"/>
  <c r="M440"/>
  <c r="L440"/>
  <c r="K440"/>
  <c r="J440"/>
  <c r="I440"/>
  <c r="H440"/>
  <c r="G440"/>
  <c r="F440"/>
  <c r="E440"/>
  <c r="D440"/>
  <c r="P437"/>
  <c r="S435" s="1"/>
  <c r="O437"/>
  <c r="N437"/>
  <c r="M437"/>
  <c r="L437"/>
  <c r="K437"/>
  <c r="J437"/>
  <c r="I437"/>
  <c r="H437"/>
  <c r="G437"/>
  <c r="F437"/>
  <c r="E437"/>
  <c r="D437"/>
  <c r="Q435" s="1"/>
  <c r="P434"/>
  <c r="O434"/>
  <c r="N434"/>
  <c r="M434"/>
  <c r="L434"/>
  <c r="K434"/>
  <c r="J434"/>
  <c r="I434"/>
  <c r="H434"/>
  <c r="G434"/>
  <c r="F434"/>
  <c r="T432" s="1"/>
  <c r="E434"/>
  <c r="D434"/>
  <c r="P431"/>
  <c r="O431"/>
  <c r="N431"/>
  <c r="M431"/>
  <c r="L431"/>
  <c r="K431"/>
  <c r="J431"/>
  <c r="I431"/>
  <c r="H431"/>
  <c r="G431"/>
  <c r="Q429" s="1"/>
  <c r="F431"/>
  <c r="E431"/>
  <c r="D431"/>
  <c r="P428"/>
  <c r="O428"/>
  <c r="N428"/>
  <c r="M428"/>
  <c r="L428"/>
  <c r="K428"/>
  <c r="J428"/>
  <c r="I428"/>
  <c r="H428"/>
  <c r="G428"/>
  <c r="F428"/>
  <c r="E428"/>
  <c r="S426" s="1"/>
  <c r="D428"/>
  <c r="P425"/>
  <c r="O425"/>
  <c r="N425"/>
  <c r="M425"/>
  <c r="L425"/>
  <c r="K425"/>
  <c r="J425"/>
  <c r="I425"/>
  <c r="H425"/>
  <c r="G425"/>
  <c r="F425"/>
  <c r="S423" s="1"/>
  <c r="E425"/>
  <c r="D425"/>
  <c r="P422"/>
  <c r="O422"/>
  <c r="N422"/>
  <c r="M422"/>
  <c r="L422"/>
  <c r="K422"/>
  <c r="J422"/>
  <c r="I422"/>
  <c r="H422"/>
  <c r="G422"/>
  <c r="F422"/>
  <c r="E422"/>
  <c r="D422"/>
  <c r="R420" s="1"/>
  <c r="P419"/>
  <c r="O419"/>
  <c r="N419"/>
  <c r="M419"/>
  <c r="L419"/>
  <c r="K419"/>
  <c r="J419"/>
  <c r="I419"/>
  <c r="H419"/>
  <c r="G419"/>
  <c r="F419"/>
  <c r="T417" s="1"/>
  <c r="E419"/>
  <c r="D419"/>
  <c r="P416"/>
  <c r="O416"/>
  <c r="N416"/>
  <c r="M416"/>
  <c r="L416"/>
  <c r="K416"/>
  <c r="J416"/>
  <c r="I416"/>
  <c r="H416"/>
  <c r="G416"/>
  <c r="F416"/>
  <c r="E416"/>
  <c r="D416"/>
  <c r="P413"/>
  <c r="S411" s="1"/>
  <c r="O413"/>
  <c r="N413"/>
  <c r="M413"/>
  <c r="L413"/>
  <c r="K413"/>
  <c r="J413"/>
  <c r="I413"/>
  <c r="H413"/>
  <c r="G413"/>
  <c r="F413"/>
  <c r="E413"/>
  <c r="D413"/>
  <c r="Q411" s="1"/>
  <c r="P410"/>
  <c r="O410"/>
  <c r="N410"/>
  <c r="M410"/>
  <c r="L410"/>
  <c r="K410"/>
  <c r="J410"/>
  <c r="I410"/>
  <c r="H410"/>
  <c r="G410"/>
  <c r="F410"/>
  <c r="T408" s="1"/>
  <c r="E410"/>
  <c r="D410"/>
  <c r="P407"/>
  <c r="O407"/>
  <c r="N407"/>
  <c r="M407"/>
  <c r="L407"/>
  <c r="K407"/>
  <c r="J407"/>
  <c r="I407"/>
  <c r="H407"/>
  <c r="G407"/>
  <c r="F407"/>
  <c r="E407"/>
  <c r="D407"/>
  <c r="Q405"/>
  <c r="P404"/>
  <c r="O404"/>
  <c r="N404"/>
  <c r="M404"/>
  <c r="L404"/>
  <c r="K404"/>
  <c r="J404"/>
  <c r="I404"/>
  <c r="H404"/>
  <c r="G404"/>
  <c r="F404"/>
  <c r="E404"/>
  <c r="S402" s="1"/>
  <c r="D404"/>
  <c r="P401"/>
  <c r="O401"/>
  <c r="N401"/>
  <c r="M401"/>
  <c r="L401"/>
  <c r="K401"/>
  <c r="J401"/>
  <c r="I401"/>
  <c r="H401"/>
  <c r="G401"/>
  <c r="F401"/>
  <c r="S399" s="1"/>
  <c r="E401"/>
  <c r="D401"/>
  <c r="P398"/>
  <c r="O398"/>
  <c r="N398"/>
  <c r="M398"/>
  <c r="L398"/>
  <c r="K398"/>
  <c r="J398"/>
  <c r="I398"/>
  <c r="H398"/>
  <c r="G398"/>
  <c r="F398"/>
  <c r="E398"/>
  <c r="D398"/>
  <c r="R396" s="1"/>
  <c r="P395"/>
  <c r="O395"/>
  <c r="N395"/>
  <c r="M395"/>
  <c r="L395"/>
  <c r="K395"/>
  <c r="J395"/>
  <c r="I395"/>
  <c r="H395"/>
  <c r="G395"/>
  <c r="F395"/>
  <c r="T393" s="1"/>
  <c r="E395"/>
  <c r="D395"/>
  <c r="P392"/>
  <c r="O392"/>
  <c r="N392"/>
  <c r="M392"/>
  <c r="L392"/>
  <c r="K392"/>
  <c r="J392"/>
  <c r="I392"/>
  <c r="H392"/>
  <c r="G392"/>
  <c r="F392"/>
  <c r="E392"/>
  <c r="D392"/>
  <c r="P389"/>
  <c r="S387" s="1"/>
  <c r="O389"/>
  <c r="N389"/>
  <c r="M389"/>
  <c r="L389"/>
  <c r="K389"/>
  <c r="J389"/>
  <c r="I389"/>
  <c r="H389"/>
  <c r="G389"/>
  <c r="F389"/>
  <c r="E389"/>
  <c r="D389"/>
  <c r="Q387" s="1"/>
  <c r="P386"/>
  <c r="O386"/>
  <c r="N386"/>
  <c r="M386"/>
  <c r="L386"/>
  <c r="K386"/>
  <c r="J386"/>
  <c r="I386"/>
  <c r="H386"/>
  <c r="G386"/>
  <c r="F386"/>
  <c r="T384" s="1"/>
  <c r="E386"/>
  <c r="D386"/>
  <c r="P383"/>
  <c r="O383"/>
  <c r="N383"/>
  <c r="M383"/>
  <c r="L383"/>
  <c r="K383"/>
  <c r="J383"/>
  <c r="I383"/>
  <c r="H383"/>
  <c r="G383"/>
  <c r="Q381" s="1"/>
  <c r="F383"/>
  <c r="E383"/>
  <c r="D383"/>
  <c r="P380"/>
  <c r="O380"/>
  <c r="N380"/>
  <c r="M380"/>
  <c r="L380"/>
  <c r="K380"/>
  <c r="J380"/>
  <c r="I380"/>
  <c r="H380"/>
  <c r="G380"/>
  <c r="F380"/>
  <c r="E380"/>
  <c r="S378" s="1"/>
  <c r="D380"/>
  <c r="P377"/>
  <c r="O377"/>
  <c r="N377"/>
  <c r="M377"/>
  <c r="L377"/>
  <c r="K377"/>
  <c r="J377"/>
  <c r="I377"/>
  <c r="H377"/>
  <c r="G377"/>
  <c r="F377"/>
  <c r="S375" s="1"/>
  <c r="E377"/>
  <c r="D377"/>
  <c r="P374"/>
  <c r="O374"/>
  <c r="N374"/>
  <c r="M374"/>
  <c r="L374"/>
  <c r="K374"/>
  <c r="J374"/>
  <c r="I374"/>
  <c r="H374"/>
  <c r="G374"/>
  <c r="F374"/>
  <c r="E374"/>
  <c r="D374"/>
  <c r="R372" s="1"/>
  <c r="P371"/>
  <c r="O371"/>
  <c r="N371"/>
  <c r="M371"/>
  <c r="L371"/>
  <c r="K371"/>
  <c r="J371"/>
  <c r="I371"/>
  <c r="H371"/>
  <c r="G371"/>
  <c r="F371"/>
  <c r="T369" s="1"/>
  <c r="E371"/>
  <c r="D371"/>
  <c r="P368"/>
  <c r="O368"/>
  <c r="N368"/>
  <c r="M368"/>
  <c r="L368"/>
  <c r="K368"/>
  <c r="J368"/>
  <c r="I368"/>
  <c r="H368"/>
  <c r="G368"/>
  <c r="F368"/>
  <c r="E368"/>
  <c r="D368"/>
  <c r="P365"/>
  <c r="S363" s="1"/>
  <c r="O365"/>
  <c r="N365"/>
  <c r="M365"/>
  <c r="L365"/>
  <c r="K365"/>
  <c r="J365"/>
  <c r="I365"/>
  <c r="H365"/>
  <c r="G365"/>
  <c r="F365"/>
  <c r="E365"/>
  <c r="D365"/>
  <c r="Q363" s="1"/>
  <c r="P362"/>
  <c r="O362"/>
  <c r="N362"/>
  <c r="M362"/>
  <c r="L362"/>
  <c r="K362"/>
  <c r="J362"/>
  <c r="I362"/>
  <c r="H362"/>
  <c r="G362"/>
  <c r="F362"/>
  <c r="T360" s="1"/>
  <c r="E362"/>
  <c r="D362"/>
  <c r="P359"/>
  <c r="O359"/>
  <c r="N359"/>
  <c r="M359"/>
  <c r="L359"/>
  <c r="K359"/>
  <c r="J359"/>
  <c r="I359"/>
  <c r="H359"/>
  <c r="G359"/>
  <c r="Q357" s="1"/>
  <c r="F359"/>
  <c r="E359"/>
  <c r="D359"/>
  <c r="P356"/>
  <c r="O356"/>
  <c r="N356"/>
  <c r="M356"/>
  <c r="L356"/>
  <c r="K356"/>
  <c r="J356"/>
  <c r="I356"/>
  <c r="H356"/>
  <c r="G356"/>
  <c r="F356"/>
  <c r="E356"/>
  <c r="S354" s="1"/>
  <c r="D356"/>
  <c r="P353"/>
  <c r="O353"/>
  <c r="N353"/>
  <c r="M353"/>
  <c r="L353"/>
  <c r="K353"/>
  <c r="J353"/>
  <c r="I353"/>
  <c r="H353"/>
  <c r="G353"/>
  <c r="F353"/>
  <c r="S351" s="1"/>
  <c r="E353"/>
  <c r="D353"/>
  <c r="P350"/>
  <c r="O350"/>
  <c r="N350"/>
  <c r="M350"/>
  <c r="L350"/>
  <c r="K350"/>
  <c r="J350"/>
  <c r="I350"/>
  <c r="H350"/>
  <c r="G350"/>
  <c r="F350"/>
  <c r="E350"/>
  <c r="D350"/>
  <c r="R348" s="1"/>
  <c r="P347"/>
  <c r="O347"/>
  <c r="N347"/>
  <c r="M347"/>
  <c r="L347"/>
  <c r="K347"/>
  <c r="J347"/>
  <c r="I347"/>
  <c r="H347"/>
  <c r="G347"/>
  <c r="F347"/>
  <c r="T345" s="1"/>
  <c r="E347"/>
  <c r="D347"/>
  <c r="P344"/>
  <c r="O344"/>
  <c r="N344"/>
  <c r="M344"/>
  <c r="L344"/>
  <c r="K344"/>
  <c r="J344"/>
  <c r="I344"/>
  <c r="H344"/>
  <c r="G344"/>
  <c r="F344"/>
  <c r="E344"/>
  <c r="D344"/>
  <c r="P341"/>
  <c r="S339" s="1"/>
  <c r="O341"/>
  <c r="N341"/>
  <c r="M341"/>
  <c r="L341"/>
  <c r="K341"/>
  <c r="J341"/>
  <c r="I341"/>
  <c r="H341"/>
  <c r="G341"/>
  <c r="F341"/>
  <c r="E341"/>
  <c r="D341"/>
  <c r="Q339" s="1"/>
  <c r="P338"/>
  <c r="O338"/>
  <c r="N338"/>
  <c r="M338"/>
  <c r="L338"/>
  <c r="K338"/>
  <c r="J338"/>
  <c r="I338"/>
  <c r="H338"/>
  <c r="G338"/>
  <c r="F338"/>
  <c r="T336" s="1"/>
  <c r="E338"/>
  <c r="D338"/>
  <c r="P335"/>
  <c r="O335"/>
  <c r="N335"/>
  <c r="M335"/>
  <c r="L335"/>
  <c r="K335"/>
  <c r="J335"/>
  <c r="I335"/>
  <c r="H335"/>
  <c r="G335"/>
  <c r="Q333" s="1"/>
  <c r="F335"/>
  <c r="E335"/>
  <c r="D335"/>
  <c r="P332"/>
  <c r="O332"/>
  <c r="N332"/>
  <c r="M332"/>
  <c r="L332"/>
  <c r="K332"/>
  <c r="J332"/>
  <c r="I332"/>
  <c r="H332"/>
  <c r="G332"/>
  <c r="F332"/>
  <c r="E332"/>
  <c r="S330" s="1"/>
  <c r="D332"/>
  <c r="P329"/>
  <c r="O329"/>
  <c r="N329"/>
  <c r="M329"/>
  <c r="L329"/>
  <c r="K329"/>
  <c r="J329"/>
  <c r="I329"/>
  <c r="H329"/>
  <c r="G329"/>
  <c r="F329"/>
  <c r="S327" s="1"/>
  <c r="E329"/>
  <c r="D329"/>
  <c r="P326"/>
  <c r="O326"/>
  <c r="N326"/>
  <c r="M326"/>
  <c r="L326"/>
  <c r="K326"/>
  <c r="J326"/>
  <c r="I326"/>
  <c r="H326"/>
  <c r="G326"/>
  <c r="F326"/>
  <c r="E326"/>
  <c r="D326"/>
  <c r="R324" s="1"/>
  <c r="P323"/>
  <c r="O323"/>
  <c r="N323"/>
  <c r="M323"/>
  <c r="L323"/>
  <c r="K323"/>
  <c r="J323"/>
  <c r="I323"/>
  <c r="H323"/>
  <c r="G323"/>
  <c r="F323"/>
  <c r="T321" s="1"/>
  <c r="E323"/>
  <c r="D323"/>
  <c r="Q321"/>
  <c r="P320"/>
  <c r="O320"/>
  <c r="N320"/>
  <c r="M320"/>
  <c r="L320"/>
  <c r="K320"/>
  <c r="J320"/>
  <c r="I320"/>
  <c r="H320"/>
  <c r="G320"/>
  <c r="F320"/>
  <c r="E320"/>
  <c r="D320"/>
  <c r="P317"/>
  <c r="S315" s="1"/>
  <c r="O317"/>
  <c r="N317"/>
  <c r="M317"/>
  <c r="L317"/>
  <c r="K317"/>
  <c r="J317"/>
  <c r="I317"/>
  <c r="H317"/>
  <c r="G317"/>
  <c r="F317"/>
  <c r="E317"/>
  <c r="D317"/>
  <c r="Q315" s="1"/>
  <c r="P314"/>
  <c r="O314"/>
  <c r="N314"/>
  <c r="M314"/>
  <c r="L314"/>
  <c r="K314"/>
  <c r="J314"/>
  <c r="I314"/>
  <c r="H314"/>
  <c r="G314"/>
  <c r="F314"/>
  <c r="T312" s="1"/>
  <c r="E314"/>
  <c r="D314"/>
  <c r="P311"/>
  <c r="O311"/>
  <c r="N311"/>
  <c r="M311"/>
  <c r="L311"/>
  <c r="K311"/>
  <c r="J311"/>
  <c r="I311"/>
  <c r="H311"/>
  <c r="G311"/>
  <c r="Q309" s="1"/>
  <c r="F311"/>
  <c r="E311"/>
  <c r="D311"/>
  <c r="P308"/>
  <c r="O308"/>
  <c r="N308"/>
  <c r="M308"/>
  <c r="L308"/>
  <c r="K308"/>
  <c r="J308"/>
  <c r="I308"/>
  <c r="H308"/>
  <c r="G308"/>
  <c r="F308"/>
  <c r="E308"/>
  <c r="S306" s="1"/>
  <c r="D308"/>
  <c r="P305"/>
  <c r="O305"/>
  <c r="N305"/>
  <c r="M305"/>
  <c r="L305"/>
  <c r="K305"/>
  <c r="J305"/>
  <c r="I305"/>
  <c r="H305"/>
  <c r="G305"/>
  <c r="F305"/>
  <c r="E305"/>
  <c r="D305"/>
  <c r="S303" s="1"/>
  <c r="P302"/>
  <c r="O302"/>
  <c r="N302"/>
  <c r="M302"/>
  <c r="L302"/>
  <c r="K302"/>
  <c r="J302"/>
  <c r="I302"/>
  <c r="H302"/>
  <c r="G302"/>
  <c r="F302"/>
  <c r="E302"/>
  <c r="D302"/>
  <c r="P299"/>
  <c r="O299"/>
  <c r="N299"/>
  <c r="M299"/>
  <c r="L299"/>
  <c r="K299"/>
  <c r="J299"/>
  <c r="I299"/>
  <c r="H299"/>
  <c r="G299"/>
  <c r="F299"/>
  <c r="E299"/>
  <c r="D299"/>
  <c r="Q297"/>
  <c r="P296"/>
  <c r="O296"/>
  <c r="N296"/>
  <c r="M296"/>
  <c r="L296"/>
  <c r="K296"/>
  <c r="J296"/>
  <c r="I296"/>
  <c r="H296"/>
  <c r="G296"/>
  <c r="T294" s="1"/>
  <c r="F296"/>
  <c r="E296"/>
  <c r="D296"/>
  <c r="P293"/>
  <c r="O293"/>
  <c r="N293"/>
  <c r="M293"/>
  <c r="L293"/>
  <c r="K293"/>
  <c r="J293"/>
  <c r="I293"/>
  <c r="H293"/>
  <c r="G293"/>
  <c r="F293"/>
  <c r="E293"/>
  <c r="S291" s="1"/>
  <c r="D293"/>
  <c r="P290"/>
  <c r="O290"/>
  <c r="N290"/>
  <c r="M290"/>
  <c r="L290"/>
  <c r="K290"/>
  <c r="J290"/>
  <c r="I290"/>
  <c r="H290"/>
  <c r="G290"/>
  <c r="Q288" s="1"/>
  <c r="U288" s="1"/>
  <c r="F290"/>
  <c r="E290"/>
  <c r="D290"/>
  <c r="R288"/>
  <c r="P287"/>
  <c r="O287"/>
  <c r="N287"/>
  <c r="M287"/>
  <c r="L287"/>
  <c r="K287"/>
  <c r="J287"/>
  <c r="I287"/>
  <c r="H287"/>
  <c r="G287"/>
  <c r="F287"/>
  <c r="E287"/>
  <c r="S285" s="1"/>
  <c r="D287"/>
  <c r="P284"/>
  <c r="O284"/>
  <c r="N284"/>
  <c r="M284"/>
  <c r="L284"/>
  <c r="K284"/>
  <c r="J284"/>
  <c r="I284"/>
  <c r="H284"/>
  <c r="G284"/>
  <c r="F284"/>
  <c r="E284"/>
  <c r="D284"/>
  <c r="T282"/>
  <c r="P281"/>
  <c r="O281"/>
  <c r="N281"/>
  <c r="M281"/>
  <c r="L281"/>
  <c r="K281"/>
  <c r="J281"/>
  <c r="I281"/>
  <c r="H281"/>
  <c r="G281"/>
  <c r="F281"/>
  <c r="E281"/>
  <c r="S279" s="1"/>
  <c r="D281"/>
  <c r="P278"/>
  <c r="O278"/>
  <c r="N278"/>
  <c r="M278"/>
  <c r="L278"/>
  <c r="K278"/>
  <c r="J278"/>
  <c r="I278"/>
  <c r="H278"/>
  <c r="G278"/>
  <c r="Q276" s="1"/>
  <c r="F278"/>
  <c r="E278"/>
  <c r="D278"/>
  <c r="P275"/>
  <c r="O275"/>
  <c r="N275"/>
  <c r="M275"/>
  <c r="L275"/>
  <c r="K275"/>
  <c r="J275"/>
  <c r="I275"/>
  <c r="H275"/>
  <c r="G275"/>
  <c r="F275"/>
  <c r="E275"/>
  <c r="S273" s="1"/>
  <c r="D275"/>
  <c r="P272"/>
  <c r="O272"/>
  <c r="N272"/>
  <c r="M272"/>
  <c r="L272"/>
  <c r="K272"/>
  <c r="J272"/>
  <c r="I272"/>
  <c r="H272"/>
  <c r="G272"/>
  <c r="F272"/>
  <c r="E272"/>
  <c r="D272"/>
  <c r="T270"/>
  <c r="P269"/>
  <c r="O269"/>
  <c r="N269"/>
  <c r="M269"/>
  <c r="L269"/>
  <c r="K269"/>
  <c r="J269"/>
  <c r="I269"/>
  <c r="H269"/>
  <c r="G269"/>
  <c r="F269"/>
  <c r="E269"/>
  <c r="S267" s="1"/>
  <c r="D269"/>
  <c r="P266"/>
  <c r="O266"/>
  <c r="N266"/>
  <c r="M266"/>
  <c r="L266"/>
  <c r="K266"/>
  <c r="J266"/>
  <c r="I266"/>
  <c r="H266"/>
  <c r="G266"/>
  <c r="Q264" s="1"/>
  <c r="F266"/>
  <c r="E266"/>
  <c r="D266"/>
  <c r="P263"/>
  <c r="O263"/>
  <c r="N263"/>
  <c r="M263"/>
  <c r="L263"/>
  <c r="K263"/>
  <c r="J263"/>
  <c r="I263"/>
  <c r="H263"/>
  <c r="G263"/>
  <c r="F263"/>
  <c r="E263"/>
  <c r="S261" s="1"/>
  <c r="D263"/>
  <c r="P260"/>
  <c r="O260"/>
  <c r="N260"/>
  <c r="M260"/>
  <c r="L260"/>
  <c r="K260"/>
  <c r="J260"/>
  <c r="I260"/>
  <c r="H260"/>
  <c r="G260"/>
  <c r="F260"/>
  <c r="E260"/>
  <c r="D260"/>
  <c r="T258"/>
  <c r="P257"/>
  <c r="O257"/>
  <c r="N257"/>
  <c r="M257"/>
  <c r="L257"/>
  <c r="K257"/>
  <c r="J257"/>
  <c r="I257"/>
  <c r="H257"/>
  <c r="G257"/>
  <c r="F257"/>
  <c r="E257"/>
  <c r="S255" s="1"/>
  <c r="D257"/>
  <c r="P254"/>
  <c r="O254"/>
  <c r="N254"/>
  <c r="M254"/>
  <c r="L254"/>
  <c r="K254"/>
  <c r="J254"/>
  <c r="I254"/>
  <c r="H254"/>
  <c r="G254"/>
  <c r="Q252" s="1"/>
  <c r="F254"/>
  <c r="E254"/>
  <c r="D254"/>
  <c r="P251"/>
  <c r="O251"/>
  <c r="N251"/>
  <c r="M251"/>
  <c r="L251"/>
  <c r="K251"/>
  <c r="J251"/>
  <c r="I251"/>
  <c r="H251"/>
  <c r="G251"/>
  <c r="F251"/>
  <c r="E251"/>
  <c r="S249" s="1"/>
  <c r="D251"/>
  <c r="P248"/>
  <c r="O248"/>
  <c r="N248"/>
  <c r="M248"/>
  <c r="L248"/>
  <c r="K248"/>
  <c r="J248"/>
  <c r="I248"/>
  <c r="H248"/>
  <c r="G248"/>
  <c r="F248"/>
  <c r="E248"/>
  <c r="D248"/>
  <c r="T246"/>
  <c r="P245"/>
  <c r="O245"/>
  <c r="N245"/>
  <c r="M245"/>
  <c r="L245"/>
  <c r="K245"/>
  <c r="J245"/>
  <c r="I245"/>
  <c r="H245"/>
  <c r="G245"/>
  <c r="F245"/>
  <c r="E245"/>
  <c r="S243" s="1"/>
  <c r="D245"/>
  <c r="P242"/>
  <c r="O242"/>
  <c r="N242"/>
  <c r="M242"/>
  <c r="L242"/>
  <c r="K242"/>
  <c r="J242"/>
  <c r="I242"/>
  <c r="H242"/>
  <c r="G242"/>
  <c r="Q240" s="1"/>
  <c r="F242"/>
  <c r="E242"/>
  <c r="D242"/>
  <c r="P239"/>
  <c r="O239"/>
  <c r="N239"/>
  <c r="M239"/>
  <c r="L239"/>
  <c r="K239"/>
  <c r="J239"/>
  <c r="I239"/>
  <c r="H239"/>
  <c r="G239"/>
  <c r="F239"/>
  <c r="E239"/>
  <c r="S237" s="1"/>
  <c r="D239"/>
  <c r="P236"/>
  <c r="O236"/>
  <c r="N236"/>
  <c r="M236"/>
  <c r="L236"/>
  <c r="K236"/>
  <c r="J236"/>
  <c r="I236"/>
  <c r="H236"/>
  <c r="G236"/>
  <c r="T234" s="1"/>
  <c r="F236"/>
  <c r="E236"/>
  <c r="D236"/>
  <c r="P233"/>
  <c r="O233"/>
  <c r="N233"/>
  <c r="M233"/>
  <c r="L233"/>
  <c r="K233"/>
  <c r="J233"/>
  <c r="I233"/>
  <c r="H233"/>
  <c r="G233"/>
  <c r="F233"/>
  <c r="E233"/>
  <c r="S231" s="1"/>
  <c r="D233"/>
  <c r="P230"/>
  <c r="O230"/>
  <c r="N230"/>
  <c r="M230"/>
  <c r="L230"/>
  <c r="K230"/>
  <c r="J230"/>
  <c r="I230"/>
  <c r="H230"/>
  <c r="G230"/>
  <c r="Q228" s="1"/>
  <c r="F230"/>
  <c r="E230"/>
  <c r="D230"/>
  <c r="P227"/>
  <c r="O227"/>
  <c r="N227"/>
  <c r="M227"/>
  <c r="L227"/>
  <c r="K227"/>
  <c r="J227"/>
  <c r="I227"/>
  <c r="H227"/>
  <c r="G227"/>
  <c r="F227"/>
  <c r="E227"/>
  <c r="S225" s="1"/>
  <c r="D227"/>
  <c r="P224"/>
  <c r="O224"/>
  <c r="N224"/>
  <c r="M224"/>
  <c r="L224"/>
  <c r="K224"/>
  <c r="J224"/>
  <c r="I224"/>
  <c r="H224"/>
  <c r="G224"/>
  <c r="T222" s="1"/>
  <c r="F224"/>
  <c r="E224"/>
  <c r="D224"/>
  <c r="P221"/>
  <c r="O221"/>
  <c r="N221"/>
  <c r="M221"/>
  <c r="L221"/>
  <c r="K221"/>
  <c r="J221"/>
  <c r="I221"/>
  <c r="H221"/>
  <c r="G221"/>
  <c r="F221"/>
  <c r="E221"/>
  <c r="S219" s="1"/>
  <c r="D221"/>
  <c r="P218"/>
  <c r="O218"/>
  <c r="N218"/>
  <c r="M218"/>
  <c r="L218"/>
  <c r="K218"/>
  <c r="J218"/>
  <c r="I218"/>
  <c r="H218"/>
  <c r="G218"/>
  <c r="Q216" s="1"/>
  <c r="F218"/>
  <c r="E218"/>
  <c r="D218"/>
  <c r="P215"/>
  <c r="O215"/>
  <c r="N215"/>
  <c r="M215"/>
  <c r="L215"/>
  <c r="K215"/>
  <c r="J215"/>
  <c r="I215"/>
  <c r="H215"/>
  <c r="G215"/>
  <c r="F215"/>
  <c r="E215"/>
  <c r="S213" s="1"/>
  <c r="D215"/>
  <c r="P212"/>
  <c r="O212"/>
  <c r="N212"/>
  <c r="M212"/>
  <c r="L212"/>
  <c r="K212"/>
  <c r="J212"/>
  <c r="I212"/>
  <c r="H212"/>
  <c r="G212"/>
  <c r="F212"/>
  <c r="E212"/>
  <c r="D212"/>
  <c r="T210"/>
  <c r="P209"/>
  <c r="O209"/>
  <c r="N209"/>
  <c r="M209"/>
  <c r="L209"/>
  <c r="K209"/>
  <c r="J209"/>
  <c r="I209"/>
  <c r="H209"/>
  <c r="G209"/>
  <c r="F209"/>
  <c r="E209"/>
  <c r="S207" s="1"/>
  <c r="D209"/>
  <c r="P206"/>
  <c r="O206"/>
  <c r="N206"/>
  <c r="M206"/>
  <c r="L206"/>
  <c r="K206"/>
  <c r="J206"/>
  <c r="I206"/>
  <c r="H206"/>
  <c r="G206"/>
  <c r="Q204" s="1"/>
  <c r="F206"/>
  <c r="E206"/>
  <c r="D206"/>
  <c r="P203"/>
  <c r="O203"/>
  <c r="N203"/>
  <c r="M203"/>
  <c r="L203"/>
  <c r="K203"/>
  <c r="J203"/>
  <c r="I203"/>
  <c r="H203"/>
  <c r="G203"/>
  <c r="F203"/>
  <c r="E203"/>
  <c r="S201" s="1"/>
  <c r="D203"/>
  <c r="P200"/>
  <c r="O200"/>
  <c r="N200"/>
  <c r="M200"/>
  <c r="L200"/>
  <c r="K200"/>
  <c r="J200"/>
  <c r="I200"/>
  <c r="H200"/>
  <c r="G200"/>
  <c r="F200"/>
  <c r="E200"/>
  <c r="D200"/>
  <c r="T198"/>
  <c r="P197"/>
  <c r="O197"/>
  <c r="N197"/>
  <c r="M197"/>
  <c r="L197"/>
  <c r="K197"/>
  <c r="J197"/>
  <c r="I197"/>
  <c r="H197"/>
  <c r="G197"/>
  <c r="F197"/>
  <c r="E197"/>
  <c r="S195" s="1"/>
  <c r="D197"/>
  <c r="P194"/>
  <c r="O194"/>
  <c r="N194"/>
  <c r="M194"/>
  <c r="L194"/>
  <c r="K194"/>
  <c r="J194"/>
  <c r="I194"/>
  <c r="H194"/>
  <c r="G194"/>
  <c r="Q192" s="1"/>
  <c r="F194"/>
  <c r="E194"/>
  <c r="D194"/>
  <c r="P191"/>
  <c r="O191"/>
  <c r="N191"/>
  <c r="M191"/>
  <c r="L191"/>
  <c r="K191"/>
  <c r="J191"/>
  <c r="I191"/>
  <c r="H191"/>
  <c r="G191"/>
  <c r="F191"/>
  <c r="E191"/>
  <c r="Q189" s="1"/>
  <c r="D191"/>
  <c r="P188"/>
  <c r="O188"/>
  <c r="N188"/>
  <c r="M188"/>
  <c r="L188"/>
  <c r="K188"/>
  <c r="J188"/>
  <c r="I188"/>
  <c r="H188"/>
  <c r="G188"/>
  <c r="F188"/>
  <c r="E188"/>
  <c r="D188"/>
  <c r="T186"/>
  <c r="P185"/>
  <c r="O185"/>
  <c r="N185"/>
  <c r="M185"/>
  <c r="L185"/>
  <c r="K185"/>
  <c r="J185"/>
  <c r="I185"/>
  <c r="H185"/>
  <c r="G185"/>
  <c r="F185"/>
  <c r="E185"/>
  <c r="S183" s="1"/>
  <c r="D185"/>
  <c r="P182"/>
  <c r="O182"/>
  <c r="N182"/>
  <c r="M182"/>
  <c r="L182"/>
  <c r="K182"/>
  <c r="J182"/>
  <c r="I182"/>
  <c r="H182"/>
  <c r="G182"/>
  <c r="Q180" s="1"/>
  <c r="F182"/>
  <c r="E182"/>
  <c r="D182"/>
  <c r="P179"/>
  <c r="O179"/>
  <c r="N179"/>
  <c r="M179"/>
  <c r="L179"/>
  <c r="K179"/>
  <c r="J179"/>
  <c r="I179"/>
  <c r="H179"/>
  <c r="G179"/>
  <c r="F179"/>
  <c r="E179"/>
  <c r="Q177" s="1"/>
  <c r="D179"/>
  <c r="P176"/>
  <c r="O176"/>
  <c r="N176"/>
  <c r="M176"/>
  <c r="L176"/>
  <c r="K176"/>
  <c r="J176"/>
  <c r="I176"/>
  <c r="H176"/>
  <c r="G176"/>
  <c r="F176"/>
  <c r="E176"/>
  <c r="D176"/>
  <c r="T174"/>
  <c r="P173"/>
  <c r="O173"/>
  <c r="N173"/>
  <c r="M173"/>
  <c r="L173"/>
  <c r="K173"/>
  <c r="J173"/>
  <c r="I173"/>
  <c r="H173"/>
  <c r="G173"/>
  <c r="F173"/>
  <c r="E173"/>
  <c r="S171" s="1"/>
  <c r="D173"/>
  <c r="P170"/>
  <c r="O170"/>
  <c r="N170"/>
  <c r="M170"/>
  <c r="L170"/>
  <c r="K170"/>
  <c r="J170"/>
  <c r="I170"/>
  <c r="H170"/>
  <c r="G170"/>
  <c r="Q168" s="1"/>
  <c r="U168" s="1"/>
  <c r="F170"/>
  <c r="E170"/>
  <c r="D170"/>
  <c r="R168"/>
  <c r="P167"/>
  <c r="O167"/>
  <c r="N167"/>
  <c r="M167"/>
  <c r="L167"/>
  <c r="K167"/>
  <c r="J167"/>
  <c r="I167"/>
  <c r="H167"/>
  <c r="G167"/>
  <c r="F167"/>
  <c r="E167"/>
  <c r="Q165" s="1"/>
  <c r="D167"/>
  <c r="P164"/>
  <c r="O164"/>
  <c r="N164"/>
  <c r="M164"/>
  <c r="L164"/>
  <c r="K164"/>
  <c r="J164"/>
  <c r="I164"/>
  <c r="H164"/>
  <c r="G164"/>
  <c r="F164"/>
  <c r="E164"/>
  <c r="D164"/>
  <c r="T162"/>
  <c r="P161"/>
  <c r="O161"/>
  <c r="N161"/>
  <c r="M161"/>
  <c r="L161"/>
  <c r="K161"/>
  <c r="J161"/>
  <c r="I161"/>
  <c r="H161"/>
  <c r="G161"/>
  <c r="F161"/>
  <c r="E161"/>
  <c r="S159" s="1"/>
  <c r="D161"/>
  <c r="P158"/>
  <c r="O158"/>
  <c r="N158"/>
  <c r="M158"/>
  <c r="L158"/>
  <c r="K158"/>
  <c r="J158"/>
  <c r="I158"/>
  <c r="H158"/>
  <c r="G158"/>
  <c r="Q156" s="1"/>
  <c r="F158"/>
  <c r="E158"/>
  <c r="D158"/>
  <c r="P155"/>
  <c r="O155"/>
  <c r="N155"/>
  <c r="M155"/>
  <c r="L155"/>
  <c r="K155"/>
  <c r="J155"/>
  <c r="I155"/>
  <c r="H155"/>
  <c r="G155"/>
  <c r="F155"/>
  <c r="E155"/>
  <c r="Q153" s="1"/>
  <c r="D155"/>
  <c r="P152"/>
  <c r="O152"/>
  <c r="N152"/>
  <c r="M152"/>
  <c r="L152"/>
  <c r="K152"/>
  <c r="J152"/>
  <c r="I152"/>
  <c r="H152"/>
  <c r="G152"/>
  <c r="F152"/>
  <c r="E152"/>
  <c r="D152"/>
  <c r="T150"/>
  <c r="P149"/>
  <c r="O149"/>
  <c r="N149"/>
  <c r="M149"/>
  <c r="L149"/>
  <c r="K149"/>
  <c r="J149"/>
  <c r="I149"/>
  <c r="H149"/>
  <c r="G149"/>
  <c r="F149"/>
  <c r="E149"/>
  <c r="S147" s="1"/>
  <c r="D149"/>
  <c r="P146"/>
  <c r="O146"/>
  <c r="N146"/>
  <c r="M146"/>
  <c r="L146"/>
  <c r="K146"/>
  <c r="J146"/>
  <c r="I146"/>
  <c r="H146"/>
  <c r="G146"/>
  <c r="T144" s="1"/>
  <c r="F146"/>
  <c r="E146"/>
  <c r="D146"/>
  <c r="P143"/>
  <c r="O143"/>
  <c r="N143"/>
  <c r="M143"/>
  <c r="L143"/>
  <c r="K143"/>
  <c r="J143"/>
  <c r="I143"/>
  <c r="H143"/>
  <c r="G143"/>
  <c r="F143"/>
  <c r="E143"/>
  <c r="Q141" s="1"/>
  <c r="D143"/>
  <c r="P140"/>
  <c r="O140"/>
  <c r="N140"/>
  <c r="M140"/>
  <c r="L140"/>
  <c r="K140"/>
  <c r="J140"/>
  <c r="I140"/>
  <c r="H140"/>
  <c r="G140"/>
  <c r="F140"/>
  <c r="E140"/>
  <c r="D140"/>
  <c r="T138"/>
  <c r="P137"/>
  <c r="O137"/>
  <c r="N137"/>
  <c r="M137"/>
  <c r="L137"/>
  <c r="K137"/>
  <c r="J137"/>
  <c r="I137"/>
  <c r="H137"/>
  <c r="G137"/>
  <c r="F137"/>
  <c r="E137"/>
  <c r="S135" s="1"/>
  <c r="D137"/>
  <c r="P134"/>
  <c r="O134"/>
  <c r="N134"/>
  <c r="M134"/>
  <c r="L134"/>
  <c r="K134"/>
  <c r="J134"/>
  <c r="I134"/>
  <c r="H134"/>
  <c r="G134"/>
  <c r="T132" s="1"/>
  <c r="F134"/>
  <c r="E134"/>
  <c r="D134"/>
  <c r="R132"/>
  <c r="P131"/>
  <c r="O131"/>
  <c r="N131"/>
  <c r="M131"/>
  <c r="L131"/>
  <c r="K131"/>
  <c r="J131"/>
  <c r="I131"/>
  <c r="H131"/>
  <c r="G131"/>
  <c r="F131"/>
  <c r="E131"/>
  <c r="Q129" s="1"/>
  <c r="D131"/>
  <c r="P128"/>
  <c r="O128"/>
  <c r="N128"/>
  <c r="M128"/>
  <c r="L128"/>
  <c r="K128"/>
  <c r="J128"/>
  <c r="I128"/>
  <c r="H128"/>
  <c r="G128"/>
  <c r="F128"/>
  <c r="E128"/>
  <c r="D128"/>
  <c r="T126"/>
  <c r="P125"/>
  <c r="O125"/>
  <c r="N125"/>
  <c r="M125"/>
  <c r="L125"/>
  <c r="K125"/>
  <c r="J125"/>
  <c r="I125"/>
  <c r="H125"/>
  <c r="G125"/>
  <c r="F125"/>
  <c r="E125"/>
  <c r="S123" s="1"/>
  <c r="D125"/>
  <c r="P122"/>
  <c r="O122"/>
  <c r="N122"/>
  <c r="M122"/>
  <c r="L122"/>
  <c r="K122"/>
  <c r="J122"/>
  <c r="I122"/>
  <c r="H122"/>
  <c r="G122"/>
  <c r="T120" s="1"/>
  <c r="F122"/>
  <c r="E122"/>
  <c r="D122"/>
  <c r="P119"/>
  <c r="O119"/>
  <c r="N119"/>
  <c r="M119"/>
  <c r="L119"/>
  <c r="K119"/>
  <c r="J119"/>
  <c r="I119"/>
  <c r="H119"/>
  <c r="G119"/>
  <c r="F119"/>
  <c r="E119"/>
  <c r="Q117" s="1"/>
  <c r="D119"/>
  <c r="P116"/>
  <c r="O116"/>
  <c r="N116"/>
  <c r="M116"/>
  <c r="L116"/>
  <c r="K116"/>
  <c r="J116"/>
  <c r="I116"/>
  <c r="H116"/>
  <c r="G116"/>
  <c r="F116"/>
  <c r="E116"/>
  <c r="D116"/>
  <c r="T114"/>
  <c r="P113"/>
  <c r="O113"/>
  <c r="N113"/>
  <c r="M113"/>
  <c r="L113"/>
  <c r="K113"/>
  <c r="J113"/>
  <c r="I113"/>
  <c r="H113"/>
  <c r="G113"/>
  <c r="F113"/>
  <c r="E113"/>
  <c r="S111" s="1"/>
  <c r="D113"/>
  <c r="P110"/>
  <c r="O110"/>
  <c r="N110"/>
  <c r="M110"/>
  <c r="L110"/>
  <c r="K110"/>
  <c r="J110"/>
  <c r="I110"/>
  <c r="H110"/>
  <c r="G110"/>
  <c r="S108" s="1"/>
  <c r="F110"/>
  <c r="E110"/>
  <c r="D110"/>
  <c r="P107"/>
  <c r="O107"/>
  <c r="N107"/>
  <c r="M107"/>
  <c r="L107"/>
  <c r="K107"/>
  <c r="J107"/>
  <c r="I107"/>
  <c r="H107"/>
  <c r="G107"/>
  <c r="F107"/>
  <c r="E107"/>
  <c r="Q105" s="1"/>
  <c r="D107"/>
  <c r="P104"/>
  <c r="O104"/>
  <c r="N104"/>
  <c r="M104"/>
  <c r="L104"/>
  <c r="K104"/>
  <c r="J104"/>
  <c r="I104"/>
  <c r="H104"/>
  <c r="G104"/>
  <c r="F104"/>
  <c r="E104"/>
  <c r="D104"/>
  <c r="T102"/>
  <c r="P101"/>
  <c r="O101"/>
  <c r="N101"/>
  <c r="M101"/>
  <c r="L101"/>
  <c r="K101"/>
  <c r="J101"/>
  <c r="I101"/>
  <c r="H101"/>
  <c r="G101"/>
  <c r="F101"/>
  <c r="E101"/>
  <c r="S99" s="1"/>
  <c r="D101"/>
  <c r="P98"/>
  <c r="O98"/>
  <c r="N98"/>
  <c r="M98"/>
  <c r="L98"/>
  <c r="K98"/>
  <c r="J98"/>
  <c r="I98"/>
  <c r="H98"/>
  <c r="G98"/>
  <c r="Q96" s="1"/>
  <c r="F98"/>
  <c r="E98"/>
  <c r="D98"/>
  <c r="P95"/>
  <c r="O95"/>
  <c r="N95"/>
  <c r="M95"/>
  <c r="L95"/>
  <c r="K95"/>
  <c r="J95"/>
  <c r="I95"/>
  <c r="H95"/>
  <c r="G95"/>
  <c r="F95"/>
  <c r="E95"/>
  <c r="Q93" s="1"/>
  <c r="D95"/>
  <c r="P92"/>
  <c r="O92"/>
  <c r="N92"/>
  <c r="M92"/>
  <c r="L92"/>
  <c r="K92"/>
  <c r="J92"/>
  <c r="I92"/>
  <c r="H92"/>
  <c r="G92"/>
  <c r="T90" s="1"/>
  <c r="F92"/>
  <c r="E92"/>
  <c r="D92"/>
  <c r="P89"/>
  <c r="O89"/>
  <c r="N89"/>
  <c r="M89"/>
  <c r="L89"/>
  <c r="K89"/>
  <c r="J89"/>
  <c r="I89"/>
  <c r="H89"/>
  <c r="G89"/>
  <c r="F89"/>
  <c r="E89"/>
  <c r="S87" s="1"/>
  <c r="D89"/>
  <c r="P86"/>
  <c r="O86"/>
  <c r="N86"/>
  <c r="M86"/>
  <c r="L86"/>
  <c r="K86"/>
  <c r="J86"/>
  <c r="I86"/>
  <c r="H86"/>
  <c r="G86"/>
  <c r="T84" s="1"/>
  <c r="F86"/>
  <c r="E86"/>
  <c r="D86"/>
  <c r="P83"/>
  <c r="O83"/>
  <c r="N83"/>
  <c r="M83"/>
  <c r="L83"/>
  <c r="K83"/>
  <c r="J83"/>
  <c r="I83"/>
  <c r="H83"/>
  <c r="G83"/>
  <c r="F83"/>
  <c r="E83"/>
  <c r="Q81" s="1"/>
  <c r="D83"/>
  <c r="P80"/>
  <c r="O80"/>
  <c r="N80"/>
  <c r="M80"/>
  <c r="L80"/>
  <c r="K80"/>
  <c r="J80"/>
  <c r="I80"/>
  <c r="H80"/>
  <c r="G80"/>
  <c r="T78" s="1"/>
  <c r="F80"/>
  <c r="E80"/>
  <c r="D80"/>
  <c r="P77"/>
  <c r="O77"/>
  <c r="N77"/>
  <c r="M77"/>
  <c r="L77"/>
  <c r="K77"/>
  <c r="J77"/>
  <c r="I77"/>
  <c r="H77"/>
  <c r="G77"/>
  <c r="F77"/>
  <c r="E77"/>
  <c r="S75" s="1"/>
  <c r="D77"/>
  <c r="P74"/>
  <c r="O74"/>
  <c r="N74"/>
  <c r="M74"/>
  <c r="L74"/>
  <c r="K74"/>
  <c r="J74"/>
  <c r="I74"/>
  <c r="H74"/>
  <c r="G74"/>
  <c r="T72" s="1"/>
  <c r="F74"/>
  <c r="E74"/>
  <c r="D74"/>
  <c r="R72"/>
  <c r="P71"/>
  <c r="O71"/>
  <c r="N71"/>
  <c r="M71"/>
  <c r="L71"/>
  <c r="K71"/>
  <c r="J71"/>
  <c r="I71"/>
  <c r="H71"/>
  <c r="G71"/>
  <c r="F71"/>
  <c r="E71"/>
  <c r="Q69" s="1"/>
  <c r="D71"/>
  <c r="P68"/>
  <c r="O68"/>
  <c r="N68"/>
  <c r="M68"/>
  <c r="L68"/>
  <c r="K68"/>
  <c r="J68"/>
  <c r="I68"/>
  <c r="H68"/>
  <c r="G68"/>
  <c r="F68"/>
  <c r="E68"/>
  <c r="D68"/>
  <c r="T66"/>
  <c r="P65"/>
  <c r="O65"/>
  <c r="N65"/>
  <c r="M65"/>
  <c r="L65"/>
  <c r="K65"/>
  <c r="J65"/>
  <c r="I65"/>
  <c r="H65"/>
  <c r="G65"/>
  <c r="F65"/>
  <c r="E65"/>
  <c r="S63" s="1"/>
  <c r="D65"/>
  <c r="P62"/>
  <c r="O62"/>
  <c r="N62"/>
  <c r="M62"/>
  <c r="L62"/>
  <c r="K62"/>
  <c r="J62"/>
  <c r="I62"/>
  <c r="H62"/>
  <c r="G62"/>
  <c r="T60" s="1"/>
  <c r="F62"/>
  <c r="E62"/>
  <c r="D62"/>
  <c r="P59"/>
  <c r="O59"/>
  <c r="N59"/>
  <c r="M59"/>
  <c r="L59"/>
  <c r="K59"/>
  <c r="J59"/>
  <c r="I59"/>
  <c r="H59"/>
  <c r="G59"/>
  <c r="F59"/>
  <c r="E59"/>
  <c r="Q57" s="1"/>
  <c r="D59"/>
  <c r="P56"/>
  <c r="O56"/>
  <c r="N56"/>
  <c r="M56"/>
  <c r="L56"/>
  <c r="K56"/>
  <c r="J56"/>
  <c r="I56"/>
  <c r="H56"/>
  <c r="G56"/>
  <c r="F56"/>
  <c r="E56"/>
  <c r="D56"/>
  <c r="T54"/>
  <c r="P53"/>
  <c r="O53"/>
  <c r="N53"/>
  <c r="M53"/>
  <c r="L53"/>
  <c r="K53"/>
  <c r="J53"/>
  <c r="I53"/>
  <c r="H53"/>
  <c r="G53"/>
  <c r="F53"/>
  <c r="E53"/>
  <c r="S51" s="1"/>
  <c r="D53"/>
  <c r="P50"/>
  <c r="O50"/>
  <c r="N50"/>
  <c r="M50"/>
  <c r="L50"/>
  <c r="K50"/>
  <c r="J50"/>
  <c r="I50"/>
  <c r="H50"/>
  <c r="G50"/>
  <c r="Q48" s="1"/>
  <c r="F50"/>
  <c r="E50"/>
  <c r="D50"/>
  <c r="P47"/>
  <c r="O47"/>
  <c r="N47"/>
  <c r="M47"/>
  <c r="L47"/>
  <c r="K47"/>
  <c r="J47"/>
  <c r="I47"/>
  <c r="H47"/>
  <c r="G47"/>
  <c r="F47"/>
  <c r="E47"/>
  <c r="Q45" s="1"/>
  <c r="D47"/>
  <c r="P44"/>
  <c r="O44"/>
  <c r="N44"/>
  <c r="M44"/>
  <c r="L44"/>
  <c r="K44"/>
  <c r="J44"/>
  <c r="I44"/>
  <c r="H44"/>
  <c r="G44"/>
  <c r="F44"/>
  <c r="E44"/>
  <c r="D44"/>
  <c r="T42"/>
  <c r="P41"/>
  <c r="O41"/>
  <c r="N41"/>
  <c r="M41"/>
  <c r="L41"/>
  <c r="K41"/>
  <c r="J41"/>
  <c r="I41"/>
  <c r="H41"/>
  <c r="G41"/>
  <c r="F41"/>
  <c r="E41"/>
  <c r="S39" s="1"/>
  <c r="D41"/>
  <c r="P38"/>
  <c r="O38"/>
  <c r="N38"/>
  <c r="M38"/>
  <c r="L38"/>
  <c r="K38"/>
  <c r="J38"/>
  <c r="I38"/>
  <c r="H38"/>
  <c r="G38"/>
  <c r="T36" s="1"/>
  <c r="F38"/>
  <c r="E38"/>
  <c r="D38"/>
  <c r="R36"/>
  <c r="P35"/>
  <c r="O35"/>
  <c r="N35"/>
  <c r="M35"/>
  <c r="L35"/>
  <c r="K35"/>
  <c r="J35"/>
  <c r="I35"/>
  <c r="H35"/>
  <c r="G35"/>
  <c r="F35"/>
  <c r="E35"/>
  <c r="Q33" s="1"/>
  <c r="D35"/>
  <c r="P32"/>
  <c r="O32"/>
  <c r="N32"/>
  <c r="M32"/>
  <c r="L32"/>
  <c r="K32"/>
  <c r="J32"/>
  <c r="I32"/>
  <c r="H32"/>
  <c r="G32"/>
  <c r="F32"/>
  <c r="E32"/>
  <c r="D32"/>
  <c r="T30"/>
  <c r="P29"/>
  <c r="O29"/>
  <c r="N29"/>
  <c r="M29"/>
  <c r="L29"/>
  <c r="K29"/>
  <c r="J29"/>
  <c r="I29"/>
  <c r="H29"/>
  <c r="G29"/>
  <c r="F29"/>
  <c r="E29"/>
  <c r="S27" s="1"/>
  <c r="D29"/>
  <c r="P26"/>
  <c r="O26"/>
  <c r="N26"/>
  <c r="M26"/>
  <c r="L26"/>
  <c r="K26"/>
  <c r="J26"/>
  <c r="I26"/>
  <c r="H26"/>
  <c r="G26"/>
  <c r="T24" s="1"/>
  <c r="F26"/>
  <c r="E26"/>
  <c r="D26"/>
  <c r="R24"/>
  <c r="P23"/>
  <c r="O23"/>
  <c r="N23"/>
  <c r="M23"/>
  <c r="L23"/>
  <c r="K23"/>
  <c r="J23"/>
  <c r="I23"/>
  <c r="H23"/>
  <c r="G23"/>
  <c r="F23"/>
  <c r="E23"/>
  <c r="Q21" s="1"/>
  <c r="D23"/>
  <c r="P20"/>
  <c r="O20"/>
  <c r="N20"/>
  <c r="M20"/>
  <c r="L20"/>
  <c r="K20"/>
  <c r="J20"/>
  <c r="I20"/>
  <c r="H20"/>
  <c r="G20"/>
  <c r="F20"/>
  <c r="E20"/>
  <c r="D20"/>
  <c r="T18"/>
  <c r="P17"/>
  <c r="O17"/>
  <c r="N17"/>
  <c r="M17"/>
  <c r="L17"/>
  <c r="K17"/>
  <c r="J17"/>
  <c r="I17"/>
  <c r="H17"/>
  <c r="G17"/>
  <c r="F17"/>
  <c r="E17"/>
  <c r="S15" s="1"/>
  <c r="D17"/>
  <c r="P14"/>
  <c r="O14"/>
  <c r="N14"/>
  <c r="M14"/>
  <c r="L14"/>
  <c r="K14"/>
  <c r="J14"/>
  <c r="I14"/>
  <c r="H14"/>
  <c r="G14"/>
  <c r="Q12" s="1"/>
  <c r="F14"/>
  <c r="E14"/>
  <c r="D14"/>
  <c r="N15" i="3"/>
  <c r="N16"/>
  <c r="N6"/>
  <c r="N5"/>
  <c r="R447" i="17" l="1"/>
  <c r="U447" s="1"/>
  <c r="V447" s="1"/>
  <c r="Y450" i="18"/>
  <c r="Z450" s="1"/>
  <c r="V450"/>
  <c r="U429" i="17"/>
  <c r="V429" s="1"/>
  <c r="R48"/>
  <c r="R84"/>
  <c r="R144"/>
  <c r="U156"/>
  <c r="R180"/>
  <c r="R192"/>
  <c r="R204"/>
  <c r="R216"/>
  <c r="U216" s="1"/>
  <c r="R228"/>
  <c r="R252"/>
  <c r="R264"/>
  <c r="T12"/>
  <c r="T48"/>
  <c r="S57"/>
  <c r="S69"/>
  <c r="R78"/>
  <c r="S81"/>
  <c r="S93"/>
  <c r="T96"/>
  <c r="S105"/>
  <c r="T108"/>
  <c r="S117"/>
  <c r="S129"/>
  <c r="S141"/>
  <c r="S153"/>
  <c r="T156"/>
  <c r="S165"/>
  <c r="T168"/>
  <c r="S177"/>
  <c r="T180"/>
  <c r="S189"/>
  <c r="T192"/>
  <c r="R198"/>
  <c r="T201"/>
  <c r="T204"/>
  <c r="R210"/>
  <c r="T213"/>
  <c r="R222"/>
  <c r="T225"/>
  <c r="R234"/>
  <c r="T237"/>
  <c r="T240"/>
  <c r="R246"/>
  <c r="T249"/>
  <c r="T252"/>
  <c r="R258"/>
  <c r="T261"/>
  <c r="T264"/>
  <c r="R270"/>
  <c r="T273"/>
  <c r="T276"/>
  <c r="R282"/>
  <c r="T285"/>
  <c r="T288"/>
  <c r="R294"/>
  <c r="T297"/>
  <c r="R318"/>
  <c r="T318"/>
  <c r="R333"/>
  <c r="U333" s="1"/>
  <c r="V333" s="1"/>
  <c r="R342"/>
  <c r="T342"/>
  <c r="S348"/>
  <c r="R357"/>
  <c r="U357" s="1"/>
  <c r="V357" s="1"/>
  <c r="R366"/>
  <c r="T366"/>
  <c r="S372"/>
  <c r="R381"/>
  <c r="U381" s="1"/>
  <c r="V381" s="1"/>
  <c r="R390"/>
  <c r="T390"/>
  <c r="S396"/>
  <c r="R405"/>
  <c r="R414"/>
  <c r="T414"/>
  <c r="S420"/>
  <c r="R429"/>
  <c r="R438"/>
  <c r="T438"/>
  <c r="S444"/>
  <c r="W42" i="18"/>
  <c r="R12" i="17"/>
  <c r="R96"/>
  <c r="U192"/>
  <c r="V192" s="1"/>
  <c r="U204"/>
  <c r="R276"/>
  <c r="U276" s="1"/>
  <c r="V276" s="1"/>
  <c r="T300"/>
  <c r="R300"/>
  <c r="V357" i="18"/>
  <c r="X357"/>
  <c r="R18" i="17"/>
  <c r="S33"/>
  <c r="S45"/>
  <c r="R30"/>
  <c r="R54"/>
  <c r="R66"/>
  <c r="S78"/>
  <c r="R90"/>
  <c r="R102"/>
  <c r="R114"/>
  <c r="R126"/>
  <c r="R138"/>
  <c r="R150"/>
  <c r="R162"/>
  <c r="R174"/>
  <c r="R186"/>
  <c r="S198"/>
  <c r="Q201"/>
  <c r="S210"/>
  <c r="Q213"/>
  <c r="S222"/>
  <c r="Q225"/>
  <c r="S234"/>
  <c r="Q237"/>
  <c r="S246"/>
  <c r="Q249"/>
  <c r="S258"/>
  <c r="Q261"/>
  <c r="S270"/>
  <c r="Q273"/>
  <c r="S282"/>
  <c r="Q285"/>
  <c r="S294"/>
  <c r="S300"/>
  <c r="Q303"/>
  <c r="R312"/>
  <c r="S318"/>
  <c r="T324"/>
  <c r="Q327"/>
  <c r="R336"/>
  <c r="S342"/>
  <c r="Q345"/>
  <c r="T348"/>
  <c r="Q351"/>
  <c r="U351" s="1"/>
  <c r="V351" s="1"/>
  <c r="R360"/>
  <c r="S366"/>
  <c r="Q369"/>
  <c r="T372"/>
  <c r="Q375"/>
  <c r="R384"/>
  <c r="S390"/>
  <c r="Q393"/>
  <c r="T396"/>
  <c r="Q399"/>
  <c r="R408"/>
  <c r="S414"/>
  <c r="Q417"/>
  <c r="T420"/>
  <c r="Q423"/>
  <c r="R432"/>
  <c r="S438"/>
  <c r="Q441"/>
  <c r="T444"/>
  <c r="W54" i="18"/>
  <c r="U12" i="17"/>
  <c r="U48"/>
  <c r="R60"/>
  <c r="U96"/>
  <c r="R108"/>
  <c r="R120"/>
  <c r="R156"/>
  <c r="U180"/>
  <c r="U228"/>
  <c r="V228" s="1"/>
  <c r="R240"/>
  <c r="U240" s="1"/>
  <c r="V240" s="1"/>
  <c r="U252"/>
  <c r="U264"/>
  <c r="U405"/>
  <c r="V324" i="18"/>
  <c r="U324"/>
  <c r="X384"/>
  <c r="U384"/>
  <c r="V420"/>
  <c r="U420"/>
  <c r="S21" i="17"/>
  <c r="S18"/>
  <c r="R42"/>
  <c r="Q15"/>
  <c r="Q27"/>
  <c r="T33"/>
  <c r="Q39"/>
  <c r="Q51"/>
  <c r="Q63"/>
  <c r="T69"/>
  <c r="Q75"/>
  <c r="Q87"/>
  <c r="Q99"/>
  <c r="T105"/>
  <c r="Q111"/>
  <c r="T117"/>
  <c r="Q123"/>
  <c r="U123" s="1"/>
  <c r="V123" s="1"/>
  <c r="Q135"/>
  <c r="T141"/>
  <c r="Q147"/>
  <c r="Q159"/>
  <c r="T165"/>
  <c r="Q171"/>
  <c r="Q183"/>
  <c r="Q195"/>
  <c r="S204"/>
  <c r="Q207"/>
  <c r="R213"/>
  <c r="T216"/>
  <c r="Q219"/>
  <c r="T228"/>
  <c r="Q231"/>
  <c r="S240"/>
  <c r="Q243"/>
  <c r="S252"/>
  <c r="Q255"/>
  <c r="U255" s="1"/>
  <c r="V255" s="1"/>
  <c r="S264"/>
  <c r="Q267"/>
  <c r="S276"/>
  <c r="Q279"/>
  <c r="S288"/>
  <c r="V288" s="1"/>
  <c r="Q291"/>
  <c r="R306"/>
  <c r="T306"/>
  <c r="T309"/>
  <c r="R321"/>
  <c r="U321" s="1"/>
  <c r="V321" s="1"/>
  <c r="R330"/>
  <c r="T330"/>
  <c r="T333"/>
  <c r="S336"/>
  <c r="R345"/>
  <c r="R354"/>
  <c r="T354"/>
  <c r="T357"/>
  <c r="S360"/>
  <c r="R369"/>
  <c r="R378"/>
  <c r="T378"/>
  <c r="T381"/>
  <c r="S384"/>
  <c r="V384" s="1"/>
  <c r="R393"/>
  <c r="R402"/>
  <c r="T402"/>
  <c r="T405"/>
  <c r="S408"/>
  <c r="R417"/>
  <c r="R426"/>
  <c r="T426"/>
  <c r="T429"/>
  <c r="S432"/>
  <c r="R441"/>
  <c r="S297"/>
  <c r="Q300"/>
  <c r="U300" s="1"/>
  <c r="S309"/>
  <c r="Q312"/>
  <c r="U312" s="1"/>
  <c r="S321"/>
  <c r="Q324"/>
  <c r="U324" s="1"/>
  <c r="S333"/>
  <c r="Q336"/>
  <c r="S345"/>
  <c r="Q348"/>
  <c r="U348" s="1"/>
  <c r="V348" s="1"/>
  <c r="S357"/>
  <c r="Q360"/>
  <c r="U360" s="1"/>
  <c r="S369"/>
  <c r="Q372"/>
  <c r="U372" s="1"/>
  <c r="V372" s="1"/>
  <c r="S381"/>
  <c r="Q384"/>
  <c r="U384" s="1"/>
  <c r="S393"/>
  <c r="Q396"/>
  <c r="U396" s="1"/>
  <c r="V396" s="1"/>
  <c r="S405"/>
  <c r="Q408"/>
  <c r="U408" s="1"/>
  <c r="S417"/>
  <c r="Q420"/>
  <c r="U420" s="1"/>
  <c r="V420" s="1"/>
  <c r="S429"/>
  <c r="Q432"/>
  <c r="S441"/>
  <c r="Q444"/>
  <c r="U444" s="1"/>
  <c r="V444" s="1"/>
  <c r="W12" i="18"/>
  <c r="U15"/>
  <c r="Y15" s="1"/>
  <c r="V21"/>
  <c r="X24"/>
  <c r="W27"/>
  <c r="V36"/>
  <c r="V45"/>
  <c r="X45"/>
  <c r="X48"/>
  <c r="W51"/>
  <c r="V60"/>
  <c r="Y60" s="1"/>
  <c r="Z60" s="1"/>
  <c r="V69"/>
  <c r="X69"/>
  <c r="X72"/>
  <c r="W75"/>
  <c r="V93"/>
  <c r="X93"/>
  <c r="X96"/>
  <c r="W99"/>
  <c r="V117"/>
  <c r="X117"/>
  <c r="X120"/>
  <c r="W123"/>
  <c r="V141"/>
  <c r="X141"/>
  <c r="X144"/>
  <c r="W147"/>
  <c r="V165"/>
  <c r="X165"/>
  <c r="X168"/>
  <c r="W171"/>
  <c r="V189"/>
  <c r="X189"/>
  <c r="X204"/>
  <c r="U204"/>
  <c r="Y204" s="1"/>
  <c r="Z204" s="1"/>
  <c r="X216"/>
  <c r="U216"/>
  <c r="X228"/>
  <c r="U228"/>
  <c r="X240"/>
  <c r="U240"/>
  <c r="X252"/>
  <c r="U252"/>
  <c r="Y252" s="1"/>
  <c r="Z252" s="1"/>
  <c r="X264"/>
  <c r="U264"/>
  <c r="X276"/>
  <c r="U276"/>
  <c r="X288"/>
  <c r="U288"/>
  <c r="X300"/>
  <c r="U300"/>
  <c r="Y300" s="1"/>
  <c r="Z300" s="1"/>
  <c r="X312"/>
  <c r="U312"/>
  <c r="V348"/>
  <c r="U348"/>
  <c r="Y348" s="1"/>
  <c r="Z348" s="1"/>
  <c r="V381"/>
  <c r="X381"/>
  <c r="X408"/>
  <c r="U408"/>
  <c r="V444"/>
  <c r="Y444" s="1"/>
  <c r="Z444" s="1"/>
  <c r="U444"/>
  <c r="X27"/>
  <c r="U30"/>
  <c r="V39"/>
  <c r="X51"/>
  <c r="U54"/>
  <c r="V63"/>
  <c r="W189"/>
  <c r="U192"/>
  <c r="V201"/>
  <c r="X201"/>
  <c r="V213"/>
  <c r="X213"/>
  <c r="V225"/>
  <c r="X225"/>
  <c r="V237"/>
  <c r="X237"/>
  <c r="V249"/>
  <c r="X249"/>
  <c r="V261"/>
  <c r="X261"/>
  <c r="V273"/>
  <c r="X273"/>
  <c r="V285"/>
  <c r="X285"/>
  <c r="V297"/>
  <c r="X297"/>
  <c r="V309"/>
  <c r="X309"/>
  <c r="X336"/>
  <c r="U336"/>
  <c r="Y336" s="1"/>
  <c r="Z336" s="1"/>
  <c r="V372"/>
  <c r="U372"/>
  <c r="V405"/>
  <c r="X405"/>
  <c r="X432"/>
  <c r="U432"/>
  <c r="U12"/>
  <c r="W15"/>
  <c r="V24"/>
  <c r="Y24" s="1"/>
  <c r="Z24" s="1"/>
  <c r="V33"/>
  <c r="X33"/>
  <c r="X36"/>
  <c r="W39"/>
  <c r="V48"/>
  <c r="V57"/>
  <c r="X57"/>
  <c r="X60"/>
  <c r="W63"/>
  <c r="V81"/>
  <c r="X81"/>
  <c r="X84"/>
  <c r="W87"/>
  <c r="V105"/>
  <c r="X105"/>
  <c r="X108"/>
  <c r="W111"/>
  <c r="V129"/>
  <c r="X129"/>
  <c r="X132"/>
  <c r="W135"/>
  <c r="V153"/>
  <c r="X153"/>
  <c r="X156"/>
  <c r="W159"/>
  <c r="V177"/>
  <c r="X177"/>
  <c r="X180"/>
  <c r="W183"/>
  <c r="V333"/>
  <c r="X333"/>
  <c r="X360"/>
  <c r="U360"/>
  <c r="V396"/>
  <c r="U396"/>
  <c r="Y396" s="1"/>
  <c r="Z396" s="1"/>
  <c r="V429"/>
  <c r="X429"/>
  <c r="W195"/>
  <c r="W201"/>
  <c r="W207"/>
  <c r="W213"/>
  <c r="W219"/>
  <c r="W225"/>
  <c r="W231"/>
  <c r="W237"/>
  <c r="W243"/>
  <c r="W249"/>
  <c r="W255"/>
  <c r="W261"/>
  <c r="W267"/>
  <c r="W273"/>
  <c r="W279"/>
  <c r="W285"/>
  <c r="W291"/>
  <c r="W297"/>
  <c r="W303"/>
  <c r="W309"/>
  <c r="X315"/>
  <c r="U318"/>
  <c r="W333"/>
  <c r="X339"/>
  <c r="U342"/>
  <c r="W357"/>
  <c r="X363"/>
  <c r="U366"/>
  <c r="W381"/>
  <c r="X387"/>
  <c r="U390"/>
  <c r="W405"/>
  <c r="X411"/>
  <c r="U414"/>
  <c r="W429"/>
  <c r="X435"/>
  <c r="U438"/>
  <c r="U66"/>
  <c r="V72"/>
  <c r="Y72" s="1"/>
  <c r="Z72" s="1"/>
  <c r="X75"/>
  <c r="U78"/>
  <c r="V84"/>
  <c r="X87"/>
  <c r="U90"/>
  <c r="V96"/>
  <c r="X99"/>
  <c r="U102"/>
  <c r="V108"/>
  <c r="X111"/>
  <c r="U114"/>
  <c r="V120"/>
  <c r="Y120" s="1"/>
  <c r="Z120" s="1"/>
  <c r="X123"/>
  <c r="U126"/>
  <c r="V132"/>
  <c r="X135"/>
  <c r="U138"/>
  <c r="V144"/>
  <c r="X147"/>
  <c r="U150"/>
  <c r="V156"/>
  <c r="X159"/>
  <c r="U162"/>
  <c r="V168"/>
  <c r="Y168" s="1"/>
  <c r="Z168" s="1"/>
  <c r="X171"/>
  <c r="U174"/>
  <c r="V180"/>
  <c r="X183"/>
  <c r="U186"/>
  <c r="V192"/>
  <c r="X195"/>
  <c r="U198"/>
  <c r="V204"/>
  <c r="X207"/>
  <c r="U210"/>
  <c r="V216"/>
  <c r="Y216" s="1"/>
  <c r="Z216" s="1"/>
  <c r="X219"/>
  <c r="U222"/>
  <c r="V228"/>
  <c r="X231"/>
  <c r="U234"/>
  <c r="V240"/>
  <c r="X243"/>
  <c r="U246"/>
  <c r="V252"/>
  <c r="X255"/>
  <c r="U258"/>
  <c r="V264"/>
  <c r="Y264" s="1"/>
  <c r="Z264" s="1"/>
  <c r="X267"/>
  <c r="U270"/>
  <c r="V276"/>
  <c r="X279"/>
  <c r="U282"/>
  <c r="V288"/>
  <c r="X291"/>
  <c r="U294"/>
  <c r="V300"/>
  <c r="X303"/>
  <c r="U306"/>
  <c r="V312"/>
  <c r="Y312" s="1"/>
  <c r="Z312" s="1"/>
  <c r="V321"/>
  <c r="X321"/>
  <c r="X324"/>
  <c r="W327"/>
  <c r="V336"/>
  <c r="V345"/>
  <c r="X345"/>
  <c r="X348"/>
  <c r="W351"/>
  <c r="V360"/>
  <c r="V369"/>
  <c r="X369"/>
  <c r="X372"/>
  <c r="W375"/>
  <c r="V384"/>
  <c r="Y384" s="1"/>
  <c r="Z384" s="1"/>
  <c r="V393"/>
  <c r="X393"/>
  <c r="X396"/>
  <c r="V408"/>
  <c r="V417"/>
  <c r="X417"/>
  <c r="X420"/>
  <c r="W423"/>
  <c r="V432"/>
  <c r="Y432" s="1"/>
  <c r="Z432" s="1"/>
  <c r="V441"/>
  <c r="X441"/>
  <c r="X444"/>
  <c r="W447"/>
  <c r="V12"/>
  <c r="X15"/>
  <c r="U18"/>
  <c r="W24"/>
  <c r="U27"/>
  <c r="Y27" s="1"/>
  <c r="Z27" s="1"/>
  <c r="W36"/>
  <c r="U39"/>
  <c r="W48"/>
  <c r="U51"/>
  <c r="Y51" s="1"/>
  <c r="Z51" s="1"/>
  <c r="W60"/>
  <c r="U63"/>
  <c r="Y63" s="1"/>
  <c r="Z63" s="1"/>
  <c r="W72"/>
  <c r="U75"/>
  <c r="Y75" s="1"/>
  <c r="W84"/>
  <c r="U87"/>
  <c r="Y87" s="1"/>
  <c r="Z87" s="1"/>
  <c r="W96"/>
  <c r="U99"/>
  <c r="Y99" s="1"/>
  <c r="W108"/>
  <c r="U111"/>
  <c r="Y111" s="1"/>
  <c r="Z111" s="1"/>
  <c r="W120"/>
  <c r="U123"/>
  <c r="Y123" s="1"/>
  <c r="W132"/>
  <c r="U135"/>
  <c r="Y135" s="1"/>
  <c r="Z135" s="1"/>
  <c r="W144"/>
  <c r="U147"/>
  <c r="Y147" s="1"/>
  <c r="W156"/>
  <c r="U159"/>
  <c r="Y159" s="1"/>
  <c r="Z159" s="1"/>
  <c r="W168"/>
  <c r="U171"/>
  <c r="Y171" s="1"/>
  <c r="W180"/>
  <c r="U183"/>
  <c r="Y183" s="1"/>
  <c r="Z183" s="1"/>
  <c r="W192"/>
  <c r="U195"/>
  <c r="Y195" s="1"/>
  <c r="Z195" s="1"/>
  <c r="W204"/>
  <c r="U207"/>
  <c r="Y207" s="1"/>
  <c r="W216"/>
  <c r="U219"/>
  <c r="Y219" s="1"/>
  <c r="Z219" s="1"/>
  <c r="W228"/>
  <c r="U231"/>
  <c r="Y231" s="1"/>
  <c r="W240"/>
  <c r="U243"/>
  <c r="Y243" s="1"/>
  <c r="Z243" s="1"/>
  <c r="W252"/>
  <c r="U255"/>
  <c r="Y255" s="1"/>
  <c r="W264"/>
  <c r="U267"/>
  <c r="Y267" s="1"/>
  <c r="Z267" s="1"/>
  <c r="W276"/>
  <c r="U279"/>
  <c r="Y279" s="1"/>
  <c r="W288"/>
  <c r="U291"/>
  <c r="Y291" s="1"/>
  <c r="Z291" s="1"/>
  <c r="W300"/>
  <c r="U303"/>
  <c r="Y303" s="1"/>
  <c r="W312"/>
  <c r="V315"/>
  <c r="W321"/>
  <c r="X327"/>
  <c r="U330"/>
  <c r="V339"/>
  <c r="W345"/>
  <c r="X351"/>
  <c r="U354"/>
  <c r="V363"/>
  <c r="W369"/>
  <c r="X375"/>
  <c r="U378"/>
  <c r="Y378" s="1"/>
  <c r="Z378" s="1"/>
  <c r="V387"/>
  <c r="W393"/>
  <c r="X399"/>
  <c r="U402"/>
  <c r="V411"/>
  <c r="W417"/>
  <c r="X423"/>
  <c r="U426"/>
  <c r="V435"/>
  <c r="W441"/>
  <c r="X465"/>
  <c r="X483"/>
  <c r="X486"/>
  <c r="X504"/>
  <c r="X447"/>
  <c r="X468"/>
  <c r="X495"/>
  <c r="X498"/>
  <c r="U315"/>
  <c r="Y315" s="1"/>
  <c r="Z315" s="1"/>
  <c r="W324"/>
  <c r="U327"/>
  <c r="Y327" s="1"/>
  <c r="W336"/>
  <c r="U339"/>
  <c r="Y339" s="1"/>
  <c r="Z339" s="1"/>
  <c r="W348"/>
  <c r="U351"/>
  <c r="Y351" s="1"/>
  <c r="Z351" s="1"/>
  <c r="W360"/>
  <c r="U363"/>
  <c r="Y363" s="1"/>
  <c r="Z363" s="1"/>
  <c r="W372"/>
  <c r="U375"/>
  <c r="Y375" s="1"/>
  <c r="Z375" s="1"/>
  <c r="W384"/>
  <c r="U387"/>
  <c r="Y387" s="1"/>
  <c r="Z387" s="1"/>
  <c r="W396"/>
  <c r="U399"/>
  <c r="Y399" s="1"/>
  <c r="W399"/>
  <c r="W408"/>
  <c r="U411"/>
  <c r="Y411" s="1"/>
  <c r="Z411" s="1"/>
  <c r="W420"/>
  <c r="U423"/>
  <c r="Y423" s="1"/>
  <c r="Z423" s="1"/>
  <c r="W432"/>
  <c r="U435"/>
  <c r="Y435" s="1"/>
  <c r="Z435" s="1"/>
  <c r="W444"/>
  <c r="U447"/>
  <c r="Y447" s="1"/>
  <c r="X459"/>
  <c r="X462"/>
  <c r="X480"/>
  <c r="X507"/>
  <c r="Y12"/>
  <c r="Z12" s="1"/>
  <c r="Y36"/>
  <c r="Z36" s="1"/>
  <c r="Y48"/>
  <c r="Y84"/>
  <c r="Z84" s="1"/>
  <c r="Y96"/>
  <c r="Y108"/>
  <c r="Z108" s="1"/>
  <c r="Y132"/>
  <c r="Z132" s="1"/>
  <c r="Y144"/>
  <c r="Y156"/>
  <c r="Z156" s="1"/>
  <c r="Y180"/>
  <c r="Z180" s="1"/>
  <c r="Y192"/>
  <c r="Y228"/>
  <c r="Z228" s="1"/>
  <c r="Y240"/>
  <c r="Y276"/>
  <c r="Z276" s="1"/>
  <c r="Y288"/>
  <c r="Y324"/>
  <c r="Z324" s="1"/>
  <c r="Y360"/>
  <c r="Y372"/>
  <c r="Z372" s="1"/>
  <c r="Y408"/>
  <c r="Y420"/>
  <c r="Z420" s="1"/>
  <c r="X18"/>
  <c r="U21"/>
  <c r="X30"/>
  <c r="U33"/>
  <c r="Y33" s="1"/>
  <c r="Z33" s="1"/>
  <c r="X42"/>
  <c r="U45"/>
  <c r="X54"/>
  <c r="U57"/>
  <c r="Y57" s="1"/>
  <c r="Z57" s="1"/>
  <c r="X66"/>
  <c r="U69"/>
  <c r="X78"/>
  <c r="U81"/>
  <c r="Y81" s="1"/>
  <c r="Z81" s="1"/>
  <c r="X90"/>
  <c r="U93"/>
  <c r="X102"/>
  <c r="U105"/>
  <c r="Y105" s="1"/>
  <c r="Z105" s="1"/>
  <c r="X114"/>
  <c r="U117"/>
  <c r="X126"/>
  <c r="U129"/>
  <c r="Y129" s="1"/>
  <c r="Z129" s="1"/>
  <c r="X138"/>
  <c r="U141"/>
  <c r="X150"/>
  <c r="U153"/>
  <c r="Y153" s="1"/>
  <c r="Z153" s="1"/>
  <c r="X162"/>
  <c r="U165"/>
  <c r="X174"/>
  <c r="U177"/>
  <c r="Y177" s="1"/>
  <c r="Z177" s="1"/>
  <c r="X186"/>
  <c r="U189"/>
  <c r="X198"/>
  <c r="U201"/>
  <c r="Y201" s="1"/>
  <c r="Z201" s="1"/>
  <c r="X210"/>
  <c r="U213"/>
  <c r="X222"/>
  <c r="U225"/>
  <c r="Y225" s="1"/>
  <c r="Z225" s="1"/>
  <c r="X234"/>
  <c r="U237"/>
  <c r="X246"/>
  <c r="U249"/>
  <c r="Y249" s="1"/>
  <c r="Z249" s="1"/>
  <c r="X258"/>
  <c r="U261"/>
  <c r="X270"/>
  <c r="U273"/>
  <c r="Y273" s="1"/>
  <c r="Z273" s="1"/>
  <c r="X282"/>
  <c r="U285"/>
  <c r="X294"/>
  <c r="U297"/>
  <c r="Y297" s="1"/>
  <c r="Z297" s="1"/>
  <c r="X306"/>
  <c r="U309"/>
  <c r="X318"/>
  <c r="U321"/>
  <c r="Y321" s="1"/>
  <c r="Z321" s="1"/>
  <c r="X330"/>
  <c r="U333"/>
  <c r="Y333" s="1"/>
  <c r="X342"/>
  <c r="U345"/>
  <c r="Y345" s="1"/>
  <c r="Z345" s="1"/>
  <c r="X354"/>
  <c r="U357"/>
  <c r="Y357" s="1"/>
  <c r="X366"/>
  <c r="U369"/>
  <c r="Y369" s="1"/>
  <c r="Z369" s="1"/>
  <c r="X378"/>
  <c r="U381"/>
  <c r="X390"/>
  <c r="U393"/>
  <c r="Y393" s="1"/>
  <c r="Z393" s="1"/>
  <c r="X402"/>
  <c r="U405"/>
  <c r="Y405" s="1"/>
  <c r="Z405" s="1"/>
  <c r="X414"/>
  <c r="U417"/>
  <c r="Y417" s="1"/>
  <c r="Z417" s="1"/>
  <c r="X426"/>
  <c r="U429"/>
  <c r="X438"/>
  <c r="U441"/>
  <c r="Y441" s="1"/>
  <c r="Z441" s="1"/>
  <c r="V18"/>
  <c r="W21"/>
  <c r="V30"/>
  <c r="Y30" s="1"/>
  <c r="Z30" s="1"/>
  <c r="V42"/>
  <c r="Y42" s="1"/>
  <c r="Z42" s="1"/>
  <c r="V54"/>
  <c r="Y54" s="1"/>
  <c r="V66"/>
  <c r="V78"/>
  <c r="Y78" s="1"/>
  <c r="Z78" s="1"/>
  <c r="V90"/>
  <c r="Y90" s="1"/>
  <c r="Z90" s="1"/>
  <c r="V102"/>
  <c r="V114"/>
  <c r="V126"/>
  <c r="Y126" s="1"/>
  <c r="Z126" s="1"/>
  <c r="V138"/>
  <c r="Y138" s="1"/>
  <c r="Z138" s="1"/>
  <c r="V150"/>
  <c r="V162"/>
  <c r="V174"/>
  <c r="Y174" s="1"/>
  <c r="Z174" s="1"/>
  <c r="V186"/>
  <c r="Y186" s="1"/>
  <c r="Z186" s="1"/>
  <c r="V198"/>
  <c r="V210"/>
  <c r="V222"/>
  <c r="Y222" s="1"/>
  <c r="Z222" s="1"/>
  <c r="V234"/>
  <c r="Y234" s="1"/>
  <c r="Z234" s="1"/>
  <c r="V246"/>
  <c r="V258"/>
  <c r="V270"/>
  <c r="Y270" s="1"/>
  <c r="Z270" s="1"/>
  <c r="V282"/>
  <c r="Y282" s="1"/>
  <c r="Z282" s="1"/>
  <c r="V294"/>
  <c r="V306"/>
  <c r="V318"/>
  <c r="Y318" s="1"/>
  <c r="Z318" s="1"/>
  <c r="V330"/>
  <c r="Y330" s="1"/>
  <c r="Z330" s="1"/>
  <c r="V342"/>
  <c r="Y342" s="1"/>
  <c r="Z342" s="1"/>
  <c r="V354"/>
  <c r="V366"/>
  <c r="Y366" s="1"/>
  <c r="Z366" s="1"/>
  <c r="V378"/>
  <c r="V390"/>
  <c r="V402"/>
  <c r="V414"/>
  <c r="Y414" s="1"/>
  <c r="Z414" s="1"/>
  <c r="V426"/>
  <c r="Y426" s="1"/>
  <c r="Z426" s="1"/>
  <c r="V438"/>
  <c r="Y438" s="1"/>
  <c r="Z438" s="1"/>
  <c r="U165" i="17"/>
  <c r="V165" s="1"/>
  <c r="V300"/>
  <c r="V360"/>
  <c r="V408"/>
  <c r="U207"/>
  <c r="V207" s="1"/>
  <c r="U399"/>
  <c r="V399" s="1"/>
  <c r="S12"/>
  <c r="V12" s="1"/>
  <c r="T15"/>
  <c r="Q18"/>
  <c r="R21"/>
  <c r="U21" s="1"/>
  <c r="V21" s="1"/>
  <c r="S24"/>
  <c r="T27"/>
  <c r="Q30"/>
  <c r="U30" s="1"/>
  <c r="R33"/>
  <c r="U33" s="1"/>
  <c r="V33" s="1"/>
  <c r="S36"/>
  <c r="T39"/>
  <c r="Q42"/>
  <c r="U42" s="1"/>
  <c r="R45"/>
  <c r="U45" s="1"/>
  <c r="V45" s="1"/>
  <c r="S48"/>
  <c r="V48" s="1"/>
  <c r="T51"/>
  <c r="Q54"/>
  <c r="R57"/>
  <c r="U57" s="1"/>
  <c r="V57" s="1"/>
  <c r="S60"/>
  <c r="T63"/>
  <c r="Q66"/>
  <c r="U66" s="1"/>
  <c r="V66" s="1"/>
  <c r="R69"/>
  <c r="U69" s="1"/>
  <c r="V69" s="1"/>
  <c r="S72"/>
  <c r="T75"/>
  <c r="Q78"/>
  <c r="U78" s="1"/>
  <c r="V78" s="1"/>
  <c r="R81"/>
  <c r="U81" s="1"/>
  <c r="V81" s="1"/>
  <c r="S84"/>
  <c r="T87"/>
  <c r="Q90"/>
  <c r="U90" s="1"/>
  <c r="R93"/>
  <c r="U93" s="1"/>
  <c r="V93" s="1"/>
  <c r="S96"/>
  <c r="T99"/>
  <c r="Q102"/>
  <c r="R105"/>
  <c r="U105" s="1"/>
  <c r="V105" s="1"/>
  <c r="T111"/>
  <c r="Q114"/>
  <c r="U114" s="1"/>
  <c r="R117"/>
  <c r="U117" s="1"/>
  <c r="V117" s="1"/>
  <c r="S120"/>
  <c r="T123"/>
  <c r="Q126"/>
  <c r="U126" s="1"/>
  <c r="R129"/>
  <c r="U129" s="1"/>
  <c r="V129" s="1"/>
  <c r="S132"/>
  <c r="T135"/>
  <c r="Q138"/>
  <c r="U138" s="1"/>
  <c r="R141"/>
  <c r="U141" s="1"/>
  <c r="V141" s="1"/>
  <c r="S144"/>
  <c r="T147"/>
  <c r="Q150"/>
  <c r="R153"/>
  <c r="U153" s="1"/>
  <c r="V153" s="1"/>
  <c r="S156"/>
  <c r="V156" s="1"/>
  <c r="T159"/>
  <c r="Q162"/>
  <c r="U162" s="1"/>
  <c r="R165"/>
  <c r="S168"/>
  <c r="V168" s="1"/>
  <c r="T171"/>
  <c r="Q174"/>
  <c r="U174" s="1"/>
  <c r="R177"/>
  <c r="U177" s="1"/>
  <c r="V177" s="1"/>
  <c r="S180"/>
  <c r="V180" s="1"/>
  <c r="T183"/>
  <c r="Q186"/>
  <c r="U186" s="1"/>
  <c r="R189"/>
  <c r="U189" s="1"/>
  <c r="V189" s="1"/>
  <c r="S192"/>
  <c r="T195"/>
  <c r="Q198"/>
  <c r="U198" s="1"/>
  <c r="R201"/>
  <c r="U201" s="1"/>
  <c r="V201" s="1"/>
  <c r="T207"/>
  <c r="Q210"/>
  <c r="U210" s="1"/>
  <c r="V210" s="1"/>
  <c r="S216"/>
  <c r="T219"/>
  <c r="Q222"/>
  <c r="U222" s="1"/>
  <c r="V222" s="1"/>
  <c r="R225"/>
  <c r="U225" s="1"/>
  <c r="V225" s="1"/>
  <c r="S228"/>
  <c r="T231"/>
  <c r="Q234"/>
  <c r="U234" s="1"/>
  <c r="V234" s="1"/>
  <c r="R237"/>
  <c r="U237" s="1"/>
  <c r="V237" s="1"/>
  <c r="T243"/>
  <c r="Q246"/>
  <c r="U246" s="1"/>
  <c r="R249"/>
  <c r="U249" s="1"/>
  <c r="V249" s="1"/>
  <c r="T255"/>
  <c r="Q258"/>
  <c r="R261"/>
  <c r="U261" s="1"/>
  <c r="V261" s="1"/>
  <c r="T267"/>
  <c r="Q270"/>
  <c r="U270" s="1"/>
  <c r="R273"/>
  <c r="U273" s="1"/>
  <c r="V273" s="1"/>
  <c r="T279"/>
  <c r="Q282"/>
  <c r="U282" s="1"/>
  <c r="V282" s="1"/>
  <c r="R285"/>
  <c r="U285" s="1"/>
  <c r="V285" s="1"/>
  <c r="T291"/>
  <c r="Q294"/>
  <c r="U294" s="1"/>
  <c r="R297"/>
  <c r="U297" s="1"/>
  <c r="V297" s="1"/>
  <c r="T303"/>
  <c r="Q306"/>
  <c r="U306" s="1"/>
  <c r="V306" s="1"/>
  <c r="R309"/>
  <c r="U309" s="1"/>
  <c r="V309" s="1"/>
  <c r="S312"/>
  <c r="V312" s="1"/>
  <c r="T315"/>
  <c r="Q318"/>
  <c r="U318" s="1"/>
  <c r="S324"/>
  <c r="T327"/>
  <c r="Q330"/>
  <c r="U330" s="1"/>
  <c r="V330" s="1"/>
  <c r="T339"/>
  <c r="Q342"/>
  <c r="U342" s="1"/>
  <c r="V342" s="1"/>
  <c r="T351"/>
  <c r="Q354"/>
  <c r="T363"/>
  <c r="Q366"/>
  <c r="U366" s="1"/>
  <c r="V366" s="1"/>
  <c r="T375"/>
  <c r="Q378"/>
  <c r="T387"/>
  <c r="Q390"/>
  <c r="U390" s="1"/>
  <c r="V390" s="1"/>
  <c r="T399"/>
  <c r="Q402"/>
  <c r="U402" s="1"/>
  <c r="V402" s="1"/>
  <c r="T411"/>
  <c r="Q414"/>
  <c r="U414" s="1"/>
  <c r="T423"/>
  <c r="Q426"/>
  <c r="U426" s="1"/>
  <c r="V426" s="1"/>
  <c r="T435"/>
  <c r="Q438"/>
  <c r="U438" s="1"/>
  <c r="V438" s="1"/>
  <c r="R15"/>
  <c r="U15" s="1"/>
  <c r="V15" s="1"/>
  <c r="T21"/>
  <c r="Q24"/>
  <c r="U24" s="1"/>
  <c r="R27"/>
  <c r="S30"/>
  <c r="Q36"/>
  <c r="U36" s="1"/>
  <c r="V36" s="1"/>
  <c r="R39"/>
  <c r="U39" s="1"/>
  <c r="V39" s="1"/>
  <c r="S42"/>
  <c r="T45"/>
  <c r="R51"/>
  <c r="U51" s="1"/>
  <c r="V51" s="1"/>
  <c r="S54"/>
  <c r="T57"/>
  <c r="Q60"/>
  <c r="U60" s="1"/>
  <c r="R63"/>
  <c r="S66"/>
  <c r="Q72"/>
  <c r="U72" s="1"/>
  <c r="R75"/>
  <c r="U75" s="1"/>
  <c r="V75" s="1"/>
  <c r="T81"/>
  <c r="Q84"/>
  <c r="U84" s="1"/>
  <c r="R87"/>
  <c r="U87" s="1"/>
  <c r="V87" s="1"/>
  <c r="S90"/>
  <c r="T93"/>
  <c r="R99"/>
  <c r="S102"/>
  <c r="Q108"/>
  <c r="U108" s="1"/>
  <c r="V108" s="1"/>
  <c r="R111"/>
  <c r="U111" s="1"/>
  <c r="V111" s="1"/>
  <c r="S114"/>
  <c r="Q120"/>
  <c r="U120" s="1"/>
  <c r="R123"/>
  <c r="S126"/>
  <c r="T129"/>
  <c r="Q132"/>
  <c r="U132" s="1"/>
  <c r="R135"/>
  <c r="U135" s="1"/>
  <c r="V135" s="1"/>
  <c r="S138"/>
  <c r="Q144"/>
  <c r="U144" s="1"/>
  <c r="R147"/>
  <c r="U147" s="1"/>
  <c r="V147" s="1"/>
  <c r="S150"/>
  <c r="T153"/>
  <c r="R159"/>
  <c r="S162"/>
  <c r="R171"/>
  <c r="U171" s="1"/>
  <c r="V171" s="1"/>
  <c r="S174"/>
  <c r="T177"/>
  <c r="R183"/>
  <c r="U183" s="1"/>
  <c r="V183" s="1"/>
  <c r="S186"/>
  <c r="T189"/>
  <c r="R195"/>
  <c r="R207"/>
  <c r="R219"/>
  <c r="U219" s="1"/>
  <c r="V219" s="1"/>
  <c r="R231"/>
  <c r="U231" s="1"/>
  <c r="V231" s="1"/>
  <c r="R243"/>
  <c r="U243" s="1"/>
  <c r="V243" s="1"/>
  <c r="R255"/>
  <c r="R267"/>
  <c r="U267" s="1"/>
  <c r="V267" s="1"/>
  <c r="R279"/>
  <c r="U279" s="1"/>
  <c r="V279" s="1"/>
  <c r="R291"/>
  <c r="U291" s="1"/>
  <c r="V291" s="1"/>
  <c r="R303"/>
  <c r="U303" s="1"/>
  <c r="V303" s="1"/>
  <c r="R315"/>
  <c r="U315" s="1"/>
  <c r="V315" s="1"/>
  <c r="R327"/>
  <c r="U327" s="1"/>
  <c r="V327" s="1"/>
  <c r="R339"/>
  <c r="U339" s="1"/>
  <c r="V339" s="1"/>
  <c r="R351"/>
  <c r="R363"/>
  <c r="U363" s="1"/>
  <c r="V363" s="1"/>
  <c r="R375"/>
  <c r="U375" s="1"/>
  <c r="V375" s="1"/>
  <c r="R387"/>
  <c r="U387" s="1"/>
  <c r="V387" s="1"/>
  <c r="R399"/>
  <c r="R411"/>
  <c r="U411" s="1"/>
  <c r="V411" s="1"/>
  <c r="R423"/>
  <c r="U423" s="1"/>
  <c r="V423" s="1"/>
  <c r="R435"/>
  <c r="U435" s="1"/>
  <c r="V435" s="1"/>
  <c r="U393" l="1"/>
  <c r="V393" s="1"/>
  <c r="V132"/>
  <c r="U27"/>
  <c r="V27" s="1"/>
  <c r="V414"/>
  <c r="V246"/>
  <c r="U102"/>
  <c r="U54"/>
  <c r="Z360" i="18"/>
  <c r="Z303"/>
  <c r="Z231"/>
  <c r="V252" i="17"/>
  <c r="U369"/>
  <c r="V369" s="1"/>
  <c r="U213"/>
  <c r="V213" s="1"/>
  <c r="V264"/>
  <c r="V120"/>
  <c r="V324"/>
  <c r="V294"/>
  <c r="U18"/>
  <c r="V18" s="1"/>
  <c r="Z408" i="18"/>
  <c r="Z447"/>
  <c r="Z255"/>
  <c r="U195" i="17"/>
  <c r="V195" s="1"/>
  <c r="U159"/>
  <c r="V159" s="1"/>
  <c r="V144"/>
  <c r="U99"/>
  <c r="V99" s="1"/>
  <c r="V318"/>
  <c r="U258"/>
  <c r="V258" s="1"/>
  <c r="V216"/>
  <c r="V198"/>
  <c r="V186"/>
  <c r="V162"/>
  <c r="U150"/>
  <c r="V150" s="1"/>
  <c r="Y402" i="18"/>
  <c r="Z402" s="1"/>
  <c r="Y354"/>
  <c r="Z354" s="1"/>
  <c r="Y306"/>
  <c r="Z306" s="1"/>
  <c r="Y258"/>
  <c r="Z258" s="1"/>
  <c r="Y210"/>
  <c r="Z210" s="1"/>
  <c r="Y162"/>
  <c r="Z162" s="1"/>
  <c r="Y114"/>
  <c r="Z114" s="1"/>
  <c r="Y66"/>
  <c r="Z66" s="1"/>
  <c r="Y429"/>
  <c r="Z429" s="1"/>
  <c r="Y381"/>
  <c r="Z381" s="1"/>
  <c r="Z357"/>
  <c r="Z333"/>
  <c r="Y309"/>
  <c r="Z309" s="1"/>
  <c r="Y285"/>
  <c r="Z285" s="1"/>
  <c r="Y261"/>
  <c r="Z261" s="1"/>
  <c r="Y237"/>
  <c r="Z237" s="1"/>
  <c r="Y213"/>
  <c r="Z213" s="1"/>
  <c r="Y189"/>
  <c r="Z189" s="1"/>
  <c r="Y165"/>
  <c r="Z165" s="1"/>
  <c r="Y141"/>
  <c r="Z141" s="1"/>
  <c r="Y117"/>
  <c r="Z117" s="1"/>
  <c r="Y93"/>
  <c r="Z93" s="1"/>
  <c r="Y69"/>
  <c r="Z69" s="1"/>
  <c r="Y45"/>
  <c r="Z45" s="1"/>
  <c r="Y21"/>
  <c r="Z399"/>
  <c r="Z327"/>
  <c r="Z15"/>
  <c r="U432" i="17"/>
  <c r="V432" s="1"/>
  <c r="U336"/>
  <c r="V336" s="1"/>
  <c r="U441"/>
  <c r="V441" s="1"/>
  <c r="U345"/>
  <c r="V345" s="1"/>
  <c r="Z279" i="18"/>
  <c r="Z207"/>
  <c r="Y39"/>
  <c r="Z39" s="1"/>
  <c r="U63" i="17"/>
  <c r="V63" s="1"/>
  <c r="U378"/>
  <c r="V378" s="1"/>
  <c r="U354"/>
  <c r="V354" s="1"/>
  <c r="V270"/>
  <c r="V96"/>
  <c r="Y390" i="18"/>
  <c r="Z390" s="1"/>
  <c r="Y294"/>
  <c r="Z294" s="1"/>
  <c r="Y246"/>
  <c r="Z246" s="1"/>
  <c r="Y198"/>
  <c r="Z198" s="1"/>
  <c r="Y150"/>
  <c r="Z150" s="1"/>
  <c r="Y102"/>
  <c r="Z102" s="1"/>
  <c r="Z54"/>
  <c r="Y18"/>
  <c r="Z18" s="1"/>
  <c r="Z288"/>
  <c r="Z240"/>
  <c r="Z192"/>
  <c r="Z144"/>
  <c r="Z96"/>
  <c r="Z48"/>
  <c r="Z171"/>
  <c r="Z147"/>
  <c r="Z123"/>
  <c r="Z99"/>
  <c r="Z75"/>
  <c r="V405" i="17"/>
  <c r="U417"/>
  <c r="V417" s="1"/>
  <c r="V204"/>
  <c r="Z21" i="18"/>
  <c r="V114" i="17"/>
  <c r="V72"/>
  <c r="V102"/>
  <c r="V90"/>
  <c r="V54"/>
  <c r="V42"/>
  <c r="V30"/>
  <c r="V84"/>
  <c r="V24"/>
  <c r="V60"/>
  <c r="V174"/>
  <c r="V138"/>
  <c r="V126"/>
  <c r="D257" i="15" l="1"/>
  <c r="E257" s="1"/>
  <c r="D256"/>
  <c r="E256" s="1"/>
  <c r="D255"/>
  <c r="E255" s="1"/>
  <c r="D254"/>
  <c r="E254" s="1"/>
  <c r="D253"/>
  <c r="E253" s="1"/>
  <c r="D252"/>
  <c r="E252" s="1"/>
  <c r="D251"/>
  <c r="E251" s="1"/>
  <c r="D250"/>
  <c r="E250" s="1"/>
  <c r="D249"/>
  <c r="E249" s="1"/>
  <c r="D248"/>
  <c r="E248" s="1"/>
  <c r="D84"/>
  <c r="E84" s="1"/>
  <c r="D83"/>
  <c r="E83" s="1"/>
  <c r="D82"/>
  <c r="E82" s="1"/>
  <c r="D81"/>
  <c r="E81" s="1"/>
  <c r="D80"/>
  <c r="E80" s="1"/>
  <c r="D79"/>
  <c r="E79" s="1"/>
  <c r="D78"/>
  <c r="E78" s="1"/>
  <c r="D77"/>
  <c r="E77" s="1"/>
  <c r="D76"/>
  <c r="E76" s="1"/>
  <c r="D75"/>
  <c r="E75" s="1"/>
  <c r="D74"/>
  <c r="E74" s="1"/>
  <c r="D73"/>
  <c r="E73" s="1"/>
  <c r="D72"/>
  <c r="E72" s="1"/>
  <c r="D71"/>
  <c r="E71" s="1"/>
  <c r="D70"/>
  <c r="E70" s="1"/>
  <c r="D69"/>
  <c r="E69" s="1"/>
  <c r="D68"/>
  <c r="E68" s="1"/>
  <c r="D67"/>
  <c r="E67" s="1"/>
  <c r="D66"/>
  <c r="E66" s="1"/>
  <c r="D65"/>
  <c r="E65" s="1"/>
  <c r="D64"/>
  <c r="E64" s="1"/>
  <c r="D63"/>
  <c r="E63" s="1"/>
  <c r="D62"/>
  <c r="E62" s="1"/>
  <c r="D61"/>
  <c r="E61" s="1"/>
  <c r="D60"/>
  <c r="E60" s="1"/>
  <c r="D59"/>
  <c r="E59" s="1"/>
  <c r="D58"/>
  <c r="E58" s="1"/>
  <c r="D57"/>
  <c r="E57" s="1"/>
  <c r="D56"/>
  <c r="E56" s="1"/>
  <c r="D55"/>
  <c r="E55" s="1"/>
  <c r="D54"/>
  <c r="E54" s="1"/>
  <c r="D53"/>
  <c r="E53"/>
  <c r="D52"/>
  <c r="E52" s="1"/>
  <c r="D51"/>
  <c r="E51" s="1"/>
  <c r="D50"/>
  <c r="E50" s="1"/>
  <c r="D49"/>
  <c r="E49" s="1"/>
  <c r="D48"/>
  <c r="E48" s="1"/>
  <c r="D47"/>
  <c r="E47" s="1"/>
  <c r="D46"/>
  <c r="E46" s="1"/>
  <c r="D45"/>
  <c r="E45"/>
  <c r="D44"/>
  <c r="E44" s="1"/>
  <c r="D43"/>
  <c r="E43" s="1"/>
  <c r="D42"/>
  <c r="E42" s="1"/>
  <c r="D41"/>
  <c r="E41" s="1"/>
  <c r="D40"/>
  <c r="E40" s="1"/>
  <c r="D39"/>
  <c r="E39" s="1"/>
  <c r="D38"/>
  <c r="E38" s="1"/>
  <c r="D37"/>
  <c r="E37" s="1"/>
  <c r="D36"/>
  <c r="E36" s="1"/>
  <c r="D35"/>
  <c r="E35" s="1"/>
  <c r="D34"/>
  <c r="E34" s="1"/>
  <c r="D33"/>
  <c r="E33" s="1"/>
  <c r="D32"/>
  <c r="E32" s="1"/>
  <c r="D31"/>
  <c r="E31" s="1"/>
  <c r="D30"/>
  <c r="E30" s="1"/>
  <c r="D29"/>
  <c r="E29" s="1"/>
  <c r="D28"/>
  <c r="E28" s="1"/>
  <c r="D27"/>
  <c r="E27" s="1"/>
  <c r="D26"/>
  <c r="E26" s="1"/>
  <c r="D25"/>
  <c r="E25" s="1"/>
  <c r="D24"/>
  <c r="E24" s="1"/>
  <c r="D23"/>
  <c r="E23" s="1"/>
  <c r="D22"/>
  <c r="E22" s="1"/>
  <c r="D21"/>
  <c r="E21"/>
  <c r="D20"/>
  <c r="E20" s="1"/>
  <c r="D19"/>
  <c r="E19" s="1"/>
  <c r="D18"/>
  <c r="E18" s="1"/>
  <c r="D17"/>
  <c r="E17" s="1"/>
  <c r="D16"/>
  <c r="E16" s="1"/>
  <c r="D15"/>
  <c r="E15" s="1"/>
  <c r="D14"/>
  <c r="E14" s="1"/>
  <c r="D13"/>
  <c r="E13"/>
  <c r="D12"/>
  <c r="E12" s="1"/>
  <c r="D11"/>
  <c r="E11" s="1"/>
  <c r="D10"/>
  <c r="E10" s="1"/>
  <c r="D9"/>
  <c r="E9" s="1"/>
  <c r="D8"/>
  <c r="E8" s="1"/>
  <c r="D7"/>
  <c r="E7" s="1"/>
  <c r="D6"/>
  <c r="E6" s="1"/>
  <c r="D5"/>
  <c r="E5" s="1"/>
  <c r="D4"/>
  <c r="E4" s="1"/>
  <c r="D3"/>
  <c r="E3" s="1"/>
  <c r="H42" i="14"/>
  <c r="G43" s="1"/>
  <c r="D42"/>
  <c r="Q41"/>
  <c r="P41"/>
  <c r="P42" s="1"/>
  <c r="O41"/>
  <c r="O44" s="1"/>
  <c r="M41"/>
  <c r="L41"/>
  <c r="L42" s="1"/>
  <c r="K41"/>
  <c r="K44"/>
  <c r="I41"/>
  <c r="H41"/>
  <c r="G41"/>
  <c r="D41"/>
  <c r="D44" s="1"/>
  <c r="C41"/>
  <c r="C42" s="1"/>
  <c r="B41"/>
  <c r="Q40"/>
  <c r="Q42" s="1"/>
  <c r="M40"/>
  <c r="M42" s="1"/>
  <c r="I40"/>
  <c r="I42" s="1"/>
  <c r="D40"/>
  <c r="I44"/>
  <c r="K43"/>
  <c r="I43"/>
  <c r="S17" i="13"/>
  <c r="R17"/>
  <c r="Q17"/>
  <c r="P17"/>
  <c r="O17"/>
  <c r="N17"/>
  <c r="M17"/>
  <c r="L17"/>
  <c r="K17"/>
  <c r="J17"/>
  <c r="I17"/>
  <c r="H17"/>
  <c r="G17"/>
  <c r="F17"/>
  <c r="E17"/>
  <c r="D17"/>
  <c r="C17"/>
  <c r="S11"/>
  <c r="R11"/>
  <c r="Q11"/>
  <c r="P11"/>
  <c r="O11"/>
  <c r="N11"/>
  <c r="M11"/>
  <c r="L11"/>
  <c r="K11"/>
  <c r="J11"/>
  <c r="I11"/>
  <c r="H11"/>
  <c r="G11"/>
  <c r="F11"/>
  <c r="E11"/>
  <c r="D11"/>
  <c r="C11"/>
  <c r="S5"/>
  <c r="R5"/>
  <c r="Q5"/>
  <c r="P5"/>
  <c r="O5"/>
  <c r="N5"/>
  <c r="M5"/>
  <c r="L5"/>
  <c r="K5"/>
  <c r="J5"/>
  <c r="I5"/>
  <c r="H5"/>
  <c r="G5"/>
  <c r="F5"/>
  <c r="E5"/>
  <c r="D5"/>
  <c r="C5"/>
  <c r="U3" l="1"/>
  <c r="V3"/>
  <c r="V9"/>
  <c r="U15"/>
  <c r="G44" i="14"/>
  <c r="O43"/>
  <c r="D43"/>
  <c r="T3" i="13"/>
  <c r="X3" s="1"/>
  <c r="T9"/>
  <c r="Q44" i="14"/>
  <c r="Q43"/>
  <c r="W15" i="13"/>
  <c r="T15"/>
  <c r="M44" i="14"/>
  <c r="M43"/>
  <c r="W9" i="13"/>
  <c r="V15"/>
  <c r="B44" i="14"/>
  <c r="B43"/>
  <c r="W3" i="13"/>
  <c r="U9"/>
  <c r="X15" l="1"/>
  <c r="X9"/>
</calcChain>
</file>

<file path=xl/comments1.xml><?xml version="1.0" encoding="utf-8"?>
<comments xmlns="http://schemas.openxmlformats.org/spreadsheetml/2006/main">
  <authors>
    <author>abhijit</author>
  </authors>
  <commentList>
    <comment ref="J6" authorId="0">
      <text>
        <r>
          <rPr>
            <b/>
            <sz val="9"/>
            <color indexed="81"/>
            <rFont val="Tahoma"/>
            <family val="2"/>
          </rPr>
          <t>abhijit:</t>
        </r>
        <r>
          <rPr>
            <sz val="9"/>
            <color indexed="81"/>
            <rFont val="Tahoma"/>
            <family val="2"/>
          </rPr>
          <t xml:space="preserve">
Enter entries:
E.g. 0</t>
        </r>
      </text>
    </comment>
    <comment ref="J16" authorId="0">
      <text>
        <r>
          <rPr>
            <b/>
            <sz val="9"/>
            <color indexed="81"/>
            <rFont val="Tahoma"/>
            <family val="2"/>
          </rPr>
          <t>abhijit:</t>
        </r>
        <r>
          <rPr>
            <sz val="9"/>
            <color indexed="81"/>
            <rFont val="Tahoma"/>
            <family val="2"/>
          </rPr>
          <t xml:space="preserve">
Enter entries:
E.g. 0</t>
        </r>
      </text>
    </comment>
  </commentList>
</comments>
</file>

<file path=xl/sharedStrings.xml><?xml version="1.0" encoding="utf-8"?>
<sst xmlns="http://schemas.openxmlformats.org/spreadsheetml/2006/main" count="2294" uniqueCount="266">
  <si>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</si>
  <si>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</si>
  <si>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</si>
  <si>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</si>
  <si>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</si>
  <si>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</si>
  <si>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</si>
  <si>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</si>
  <si>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</si>
  <si>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</si>
  <si>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</si>
  <si>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</si>
  <si>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</si>
  <si>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</si>
  <si>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</si>
  <si>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</si>
  <si>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</si>
  <si>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</si>
  <si>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</si>
  <si>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</si>
  <si>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</si>
  <si>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</si>
  <si>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</si>
  <si>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</si>
  <si>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</si>
  <si>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</si>
  <si>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</si>
  <si>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</si>
  <si>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</si>
  <si>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</si>
  <si>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</si>
  <si>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</si>
  <si>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</si>
  <si>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</si>
  <si>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</si>
  <si>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</si>
  <si>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</si>
  <si>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</si>
  <si>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</si>
  <si>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</si>
  <si>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</si>
  <si>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</si>
  <si>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LPDN values</t>
  </si>
  <si>
    <t>USL</t>
  </si>
  <si>
    <t>Pre CP</t>
  </si>
  <si>
    <t>Post CP</t>
  </si>
  <si>
    <t>Pass</t>
  </si>
  <si>
    <t>YEDR1</t>
  </si>
  <si>
    <t>102/1159</t>
  </si>
  <si>
    <t>64/102</t>
  </si>
  <si>
    <t>102/74</t>
  </si>
  <si>
    <t>cathode chiller tripped @1:00pm just after QC</t>
  </si>
  <si>
    <t>wf struck in LL</t>
  </si>
  <si>
    <t>Wafer was stuck in load lock B</t>
  </si>
  <si>
    <t>CP check performed after Chanmber PM done</t>
  </si>
  <si>
    <t>CP after 100 seasoning wfs</t>
  </si>
  <si>
    <t>25 more seasoning wf ran in chamber</t>
  </si>
  <si>
    <t>1428/1340</t>
  </si>
  <si>
    <t>CP PASS ON 29/08/2018 AT 00:00</t>
  </si>
  <si>
    <t>Fresh wafer</t>
  </si>
  <si>
    <t>NOX1000</t>
  </si>
  <si>
    <t>NOX500</t>
  </si>
  <si>
    <t>1 time used wafer</t>
  </si>
  <si>
    <t>delta CP</t>
  </si>
  <si>
    <t>-</t>
  </si>
  <si>
    <t xml:space="preserve">Pass Criteria for Uniformity: &lt;10% </t>
  </si>
  <si>
    <t>Max Etch Rate</t>
  </si>
  <si>
    <t>Min Etch Rate</t>
  </si>
  <si>
    <t>Etch Rate Å/Min</t>
  </si>
  <si>
    <t>%STDEV</t>
  </si>
  <si>
    <t>%Uniformity</t>
  </si>
  <si>
    <t>LCL</t>
  </si>
  <si>
    <t>UCL</t>
  </si>
  <si>
    <t>LSL</t>
  </si>
  <si>
    <t>Measurement
Tool</t>
  </si>
  <si>
    <t>Site</t>
  </si>
  <si>
    <t>MTOP1</t>
  </si>
  <si>
    <t>Pre</t>
  </si>
  <si>
    <t>Post</t>
  </si>
  <si>
    <t xml:space="preserve">∆ /Time=ERÅ/Min
</t>
  </si>
  <si>
    <t>Q18010066.F1</t>
  </si>
  <si>
    <t>Q18020075.F1</t>
  </si>
  <si>
    <t>Q18040053.F1</t>
  </si>
  <si>
    <t>102/64</t>
  </si>
  <si>
    <t>Chuck temp@54 C</t>
  </si>
  <si>
    <t>1534/1159</t>
  </si>
  <si>
    <t>Q18200024.F1</t>
  </si>
  <si>
    <t>Q18240028.F1</t>
  </si>
  <si>
    <t>Q18250056.F1</t>
  </si>
  <si>
    <t>Q18330026.F1</t>
  </si>
  <si>
    <t>Q18320093.F1</t>
  </si>
  <si>
    <t>ch. PM done .Refurbed Kit from LNS korea Installed</t>
  </si>
  <si>
    <t>Q18370101.F1</t>
  </si>
  <si>
    <t>Q18410115.F1</t>
  </si>
  <si>
    <t>Q18420087.F1</t>
  </si>
  <si>
    <t>Q18430029.F1</t>
  </si>
  <si>
    <t>Q18440093.F1</t>
  </si>
  <si>
    <t>Q18470045.F1</t>
  </si>
  <si>
    <t>1340/1159</t>
  </si>
  <si>
    <t>Q19010019.F1</t>
  </si>
  <si>
    <t xml:space="preserve">Pass Criteria for Uniformity: &lt;15% </t>
  </si>
  <si>
    <t>STDEV</t>
  </si>
  <si>
    <t>% Uni USL</t>
  </si>
  <si>
    <t>% Uni UCL</t>
  </si>
  <si>
    <t>Q18030083.F1</t>
  </si>
  <si>
    <t>Thickness - 2000A used from Diff.Section</t>
  </si>
  <si>
    <t>Reason-  Used wfs used due to non-availability</t>
  </si>
  <si>
    <t>Q18120059.F1</t>
  </si>
  <si>
    <t>OLD Wafer Less thickness 3800 A</t>
  </si>
  <si>
    <t>Fresh Wafer with poly thickness 5400</t>
  </si>
  <si>
    <t>Q18440022.F1</t>
  </si>
  <si>
    <t>SiN CH#A</t>
  </si>
  <si>
    <t>SiN CH# B</t>
  </si>
  <si>
    <t>Poly CH#A</t>
  </si>
  <si>
    <t>POLY Ch #B</t>
  </si>
  <si>
    <t>ER</t>
  </si>
  <si>
    <t>Uni</t>
  </si>
  <si>
    <t>AVG ER</t>
  </si>
  <si>
    <t>3 Sigma</t>
  </si>
  <si>
    <t>Date
MM/DD/YYYY)</t>
  </si>
  <si>
    <t>Δ CP</t>
  </si>
  <si>
    <t>ME2 STEP of Z-GC-ETCH-ME1-45</t>
  </si>
  <si>
    <t xml:space="preserve">Sequence Name is - </t>
  </si>
  <si>
    <t>POLY ER ME2</t>
  </si>
  <si>
    <t>Std Dev</t>
  </si>
  <si>
    <t>OE STEP of Z-GC-ETCH-ME1-45</t>
  </si>
  <si>
    <t>POLY ER OE</t>
  </si>
  <si>
    <t>Z-GC-EXPT-C1D</t>
  </si>
  <si>
    <r>
      <t>Area</t>
    </r>
    <r>
      <rPr>
        <b/>
        <sz val="10"/>
        <rFont val="Calibri"/>
        <family val="2"/>
        <scheme val="minor"/>
      </rPr>
      <t>: Dry Etch</t>
    </r>
  </si>
  <si>
    <r>
      <t>Tool</t>
    </r>
    <r>
      <rPr>
        <b/>
        <sz val="10"/>
        <rFont val="Calibri"/>
        <family val="2"/>
        <scheme val="minor"/>
      </rPr>
      <t>: REPL1A</t>
    </r>
  </si>
  <si>
    <r>
      <t>QC Name</t>
    </r>
    <r>
      <rPr>
        <b/>
        <sz val="10"/>
        <rFont val="Calibri"/>
        <family val="2"/>
        <scheme val="minor"/>
      </rPr>
      <t>: CP Test</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</si>
  <si>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</si>
  <si>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</si>
  <si>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</si>
  <si>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Etch Rate (A/Min)</t>
  </si>
  <si>
    <t>Date (MM/DD/YYYY)</t>
  </si>
  <si>
    <t>QC after facility shutdown. Seasoning wf shortage due to ltd G4 PR</t>
  </si>
  <si>
    <t>1159/1340</t>
  </si>
  <si>
    <t>121/1335</t>
  </si>
  <si>
    <t>Fresh wafer. CPX measurement issue</t>
  </si>
  <si>
    <t xml:space="preserve">Post value on same wf measured  after cpx got repaired </t>
  </si>
  <si>
    <t>% Uni</t>
  </si>
  <si>
    <t>Lot ID</t>
  </si>
  <si>
    <t>lot track out issue in DMIS</t>
  </si>
  <si>
    <t>Chiller motor swapped</t>
  </si>
  <si>
    <t>Thickness  (Å)</t>
  </si>
  <si>
    <t>Buffer Chamber was opened</t>
  </si>
  <si>
    <t>Q19040039.F1</t>
  </si>
  <si>
    <t>Q19050022.F1</t>
  </si>
  <si>
    <t>Q19050101.F1</t>
  </si>
  <si>
    <t>Q19060067.F1</t>
  </si>
  <si>
    <t>Q19090052.F1</t>
  </si>
  <si>
    <t>Q19100020.F1</t>
  </si>
  <si>
    <t>After the RF Matcher installed from Ch B</t>
  </si>
  <si>
    <t>Q19130071.F</t>
  </si>
  <si>
    <t>Q19130103.F1</t>
  </si>
  <si>
    <t>Q19140044.F1</t>
  </si>
  <si>
    <t>Q19150047.F1</t>
  </si>
  <si>
    <t>Q19170118.F1</t>
  </si>
  <si>
    <t>1335/1428</t>
  </si>
  <si>
    <t>Q19200059.F1</t>
  </si>
  <si>
    <t>Q19210038.F1</t>
  </si>
  <si>
    <t>74/102</t>
  </si>
  <si>
    <t>Q19130071.F1</t>
  </si>
  <si>
    <t>Q19190045.F1</t>
  </si>
  <si>
    <t>S.No</t>
  </si>
  <si>
    <t>STD</t>
  </si>
  <si>
    <t>UNI</t>
  </si>
  <si>
    <t>CPX Down(CPX UP ON 17:00)</t>
  </si>
  <si>
    <t>Q19210081.F1</t>
  </si>
  <si>
    <t>Q19220039.F1</t>
  </si>
  <si>
    <t>Q19220093.F1</t>
  </si>
  <si>
    <t>Q19220094.F1</t>
  </si>
  <si>
    <t>Q19220095.F1</t>
  </si>
  <si>
    <t>Pre (Bin 1- 61 , Bin 2- 32  Area count 2)    Post( Bin 1- 81 , Bin 2- 63  Area count 13)</t>
  </si>
  <si>
    <t>CP after 100 seasoning wfs, Q19220093.F1. Ch RF PM Performed</t>
  </si>
  <si>
    <t>Q19230044.F1</t>
  </si>
  <si>
    <t>121/1428</t>
  </si>
  <si>
    <t>Q19230094.F1</t>
  </si>
  <si>
    <t>Q19240051.F1</t>
  </si>
  <si>
    <t>Q19250067.F1</t>
  </si>
  <si>
    <t>Q19250121.F1</t>
  </si>
  <si>
    <t>1340/121</t>
  </si>
  <si>
    <t>121/1340</t>
  </si>
  <si>
    <t>Q19260016.F1</t>
  </si>
  <si>
    <t>Q19280077.F1</t>
  </si>
  <si>
    <t>Q19290052.F1</t>
  </si>
  <si>
    <t>CP adder analyzed-Sandeep Kulkarni</t>
  </si>
  <si>
    <t>CP adder analyzed</t>
  </si>
  <si>
    <t>Q19300089.F1</t>
  </si>
  <si>
    <t>Q19310002.F1</t>
  </si>
  <si>
    <t>Q19310111.F1</t>
  </si>
  <si>
    <t>Q19320005.F1</t>
  </si>
  <si>
    <r>
      <t>Area</t>
    </r>
    <r>
      <rPr>
        <b/>
        <sz val="12"/>
        <rFont val="Calibri"/>
        <family val="2"/>
        <scheme val="minor"/>
      </rPr>
      <t>: Dry Etch</t>
    </r>
  </si>
  <si>
    <r>
      <t>Tool</t>
    </r>
    <r>
      <rPr>
        <b/>
        <sz val="12"/>
        <rFont val="Calibri"/>
        <family val="2"/>
        <scheme val="minor"/>
      </rPr>
      <t>: REPL1A</t>
    </r>
  </si>
  <si>
    <r>
      <t>QC Name</t>
    </r>
    <r>
      <rPr>
        <sz val="12"/>
        <color theme="1"/>
        <rFont val="Calibri"/>
        <family val="2"/>
        <scheme val="minor"/>
      </rPr>
      <t>: ER</t>
    </r>
  </si>
  <si>
    <r>
      <rPr>
        <b/>
        <u/>
        <sz val="12"/>
        <rFont val="Calibri"/>
        <family val="2"/>
        <scheme val="minor"/>
      </rPr>
      <t>Frequency:</t>
    </r>
    <r>
      <rPr>
        <b/>
        <sz val="12"/>
        <rFont val="Calibri"/>
        <family val="2"/>
        <scheme val="minor"/>
      </rPr>
      <t xml:space="preserve"> 72hrs or 500 production wfs   </t>
    </r>
  </si>
  <si>
    <r>
      <t>Wafer Type</t>
    </r>
    <r>
      <rPr>
        <b/>
        <sz val="12"/>
        <rFont val="Calibri"/>
        <family val="2"/>
        <scheme val="minor"/>
      </rPr>
      <t xml:space="preserve">: NIT 2800 </t>
    </r>
  </si>
  <si>
    <r>
      <rPr>
        <b/>
        <u/>
        <sz val="12"/>
        <rFont val="Calibri"/>
        <family val="2"/>
        <scheme val="minor"/>
      </rPr>
      <t xml:space="preserve">Measurment Tool (MTOP1) Recipe: </t>
    </r>
    <r>
      <rPr>
        <b/>
        <sz val="12"/>
        <rFont val="Calibri"/>
        <family val="2"/>
        <scheme val="minor"/>
      </rPr>
      <t>ETCH/QC/CS-B-RIE-NEW</t>
    </r>
  </si>
  <si>
    <r>
      <t>Recipe;</t>
    </r>
    <r>
      <rPr>
        <b/>
        <sz val="12"/>
        <rFont val="Calibri"/>
        <family val="2"/>
        <scheme val="minor"/>
      </rPr>
      <t xml:space="preserve"> SiN ER </t>
    </r>
  </si>
  <si>
    <r>
      <t>Pass Criteria for Etch rate</t>
    </r>
    <r>
      <rPr>
        <b/>
        <sz val="12"/>
        <rFont val="Calibri"/>
        <family val="2"/>
        <scheme val="minor"/>
      </rPr>
      <t xml:space="preserve">: LSL:1600 USL:2600 Å /Min </t>
    </r>
  </si>
  <si>
    <r>
      <rPr>
        <b/>
        <u/>
        <sz val="12"/>
        <rFont val="Calibri"/>
        <family val="2"/>
        <scheme val="minor"/>
      </rPr>
      <t xml:space="preserve">Frequency: </t>
    </r>
    <r>
      <rPr>
        <b/>
        <sz val="12"/>
        <rFont val="Calibri"/>
        <family val="2"/>
        <scheme val="minor"/>
      </rPr>
      <t>72hrs or 500 production wfs</t>
    </r>
    <r>
      <rPr>
        <b/>
        <sz val="12"/>
        <color indexed="22"/>
        <rFont val="Calibri"/>
        <family val="2"/>
        <scheme val="minor"/>
      </rPr>
      <t xml:space="preserve">   </t>
    </r>
  </si>
  <si>
    <r>
      <t>Wafer Type</t>
    </r>
    <r>
      <rPr>
        <b/>
        <sz val="12"/>
        <rFont val="Calibri"/>
        <family val="2"/>
        <scheme val="minor"/>
      </rPr>
      <t>:  POLY 6300</t>
    </r>
  </si>
  <si>
    <r>
      <rPr>
        <b/>
        <u/>
        <sz val="12"/>
        <rFont val="Calibri"/>
        <family val="2"/>
        <scheme val="minor"/>
      </rPr>
      <t xml:space="preserve">Measurment Tool (MTOP1) Recipe: </t>
    </r>
    <r>
      <rPr>
        <b/>
        <sz val="12"/>
        <rFont val="Calibri"/>
        <family val="2"/>
        <scheme val="minor"/>
      </rPr>
      <t>ETCH/QC/17_POLY-3mm</t>
    </r>
  </si>
  <si>
    <r>
      <t>Recipe;</t>
    </r>
    <r>
      <rPr>
        <b/>
        <sz val="12"/>
        <rFont val="Calibri"/>
        <family val="2"/>
        <scheme val="minor"/>
      </rPr>
      <t xml:space="preserve">  Poly ER</t>
    </r>
  </si>
  <si>
    <t>1335/1159</t>
  </si>
  <si>
    <t>Q19330036.F1</t>
  </si>
  <si>
    <t>After std. Sea + Dry clean 2 wfs</t>
  </si>
  <si>
    <t>Q19330077.F1</t>
  </si>
  <si>
    <t>Q19340103.F1</t>
  </si>
  <si>
    <t>Q19350065.F1</t>
  </si>
  <si>
    <t>Q19360009.F1</t>
  </si>
  <si>
    <t>Q19360079.F1</t>
  </si>
  <si>
    <t>Q19360140.F1</t>
  </si>
  <si>
    <t>Q19380042.F1</t>
  </si>
  <si>
    <t>1 time used wf</t>
  </si>
  <si>
    <t>Q19380100.F1</t>
  </si>
  <si>
    <t>Q19390092.F1</t>
  </si>
  <si>
    <t>DTCU of Ch A and B swapped</t>
  </si>
  <si>
    <t>Q19400022.F1</t>
  </si>
  <si>
    <t>Q19400032.F1</t>
  </si>
  <si>
    <t xml:space="preserve">ER_point
</t>
  </si>
  <si>
    <t>Date</t>
  </si>
  <si>
    <t>site_1</t>
  </si>
  <si>
    <t>site_2</t>
  </si>
  <si>
    <t>site_3</t>
  </si>
  <si>
    <t>site_4</t>
  </si>
  <si>
    <t>site_5</t>
  </si>
  <si>
    <t>site_6</t>
  </si>
  <si>
    <t>site_7</t>
  </si>
  <si>
    <t>site_8</t>
  </si>
  <si>
    <t>site_9</t>
  </si>
  <si>
    <t>site_10</t>
  </si>
  <si>
    <t>site_11</t>
  </si>
  <si>
    <t>site_12</t>
  </si>
  <si>
    <t>site_13</t>
  </si>
  <si>
    <t>site_14</t>
  </si>
  <si>
    <t>site_15</t>
  </si>
  <si>
    <t>site_16</t>
  </si>
  <si>
    <t>site_17</t>
  </si>
  <si>
    <t>Input</t>
  </si>
  <si>
    <t>Output</t>
  </si>
  <si>
    <t>Q19420105.F1</t>
  </si>
  <si>
    <t>Q19440017.F1</t>
  </si>
  <si>
    <t>Q19420110.F1</t>
  </si>
  <si>
    <t>DTCU put back in chamber A</t>
  </si>
  <si>
    <t>Q19430061.F1</t>
  </si>
  <si>
    <t>Q19440020.F1</t>
  </si>
  <si>
    <t>Q19440092.F1</t>
  </si>
  <si>
    <t>M-1: Raw data</t>
  </si>
  <si>
    <t>M-2: Avg. data</t>
  </si>
  <si>
    <t>POLY</t>
  </si>
  <si>
    <t>NIT</t>
  </si>
  <si>
    <t>Q19450021.F1</t>
  </si>
  <si>
    <r>
      <rPr>
        <b/>
        <sz val="12"/>
        <color theme="0"/>
        <rFont val="Calibri"/>
        <family val="2"/>
        <scheme val="minor"/>
      </rPr>
      <t>NOTE:</t>
    </r>
    <r>
      <rPr>
        <sz val="12"/>
        <color theme="0"/>
        <rFont val="Calibri"/>
        <family val="2"/>
        <scheme val="minor"/>
      </rPr>
      <t xml:space="preserve">
* In case of multiple QCs on same date, enter this:
0 --&gt; 1st entry
1 --&gt; 2nd entry
2 --&gt; 3rd entry
…
...
…so on</t>
    </r>
  </si>
  <si>
    <t>Q19470062.F1</t>
  </si>
  <si>
    <t>Q19470122.F1</t>
  </si>
  <si>
    <t>Measurement point was disturbed</t>
  </si>
  <si>
    <t>x</t>
  </si>
  <si>
    <t>y</t>
  </si>
  <si>
    <t>wf run w/o seasoning</t>
  </si>
  <si>
    <t>1340/1335</t>
  </si>
  <si>
    <t>Q19480126.F1</t>
  </si>
  <si>
    <t>Q19490035.F1</t>
  </si>
  <si>
    <t>Now onwards New GRITEK Wf are being used</t>
  </si>
  <si>
    <t>UCL changed to 50</t>
  </si>
</sst>
</file>

<file path=xl/styles.xml><?xml version="1.0" encoding="utf-8"?>
<styleSheet xmlns="http://schemas.openxmlformats.org/spreadsheetml/2006/main">
  <numFmts count="3">
    <numFmt numFmtId="164" formatCode="mm\/dd\/yyyy"/>
    <numFmt numFmtId="165" formatCode="m/d/yyyy;@"/>
    <numFmt numFmtId="166" formatCode="m/d;@"/>
  </numFmts>
  <fonts count="51">
    <font>
      <sz val="12"/>
      <color theme="1"/>
      <name val="Calibri"/>
      <family val="2"/>
      <scheme val="minor"/>
    </font>
    <font>
      <b/>
      <sz val="12"/>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sz val="10"/>
      <color theme="1"/>
      <name val="Arial"/>
      <family val="2"/>
    </font>
    <font>
      <b/>
      <sz val="10"/>
      <color rgb="FFFF0000"/>
      <name val="Arial"/>
      <family val="2"/>
    </font>
    <font>
      <b/>
      <u/>
      <sz val="10"/>
      <name val="Calibri"/>
      <family val="2"/>
      <scheme val="minor"/>
    </font>
    <font>
      <b/>
      <sz val="10"/>
      <name val="Calibri"/>
      <family val="2"/>
      <scheme val="minor"/>
    </font>
    <font>
      <sz val="10"/>
      <name val="Calibri"/>
      <family val="2"/>
      <scheme val="minor"/>
    </font>
    <font>
      <sz val="10"/>
      <color theme="1"/>
      <name val="Calibri"/>
      <family val="2"/>
      <scheme val="minor"/>
    </font>
    <font>
      <b/>
      <sz val="10"/>
      <color theme="1"/>
      <name val="Calibri"/>
      <family val="2"/>
      <scheme val="minor"/>
    </font>
    <font>
      <sz val="10"/>
      <color indexed="23"/>
      <name val="Calibri"/>
      <family val="2"/>
      <scheme val="minor"/>
    </font>
    <font>
      <sz val="10"/>
      <color rgb="FFFF0000"/>
      <name val="Arial"/>
      <family val="2"/>
    </font>
    <font>
      <b/>
      <u/>
      <sz val="12"/>
      <name val="Calibri"/>
      <family val="2"/>
      <scheme val="minor"/>
    </font>
    <font>
      <u/>
      <sz val="12"/>
      <color rgb="FF00B050"/>
      <name val="Calibri"/>
      <family val="2"/>
      <scheme val="minor"/>
    </font>
    <font>
      <b/>
      <sz val="12"/>
      <name val="Calibri"/>
      <family val="2"/>
      <scheme val="minor"/>
    </font>
    <font>
      <sz val="12"/>
      <name val="Calibri"/>
      <family val="2"/>
      <scheme val="minor"/>
    </font>
    <font>
      <sz val="12"/>
      <color indexed="12"/>
      <name val="Calibri"/>
      <family val="2"/>
      <scheme val="minor"/>
    </font>
    <font>
      <b/>
      <sz val="12"/>
      <color rgb="FF00B050"/>
      <name val="Calibri"/>
      <family val="2"/>
      <scheme val="minor"/>
    </font>
    <font>
      <sz val="12"/>
      <color rgb="FF00B050"/>
      <name val="Calibri"/>
      <family val="2"/>
      <scheme val="minor"/>
    </font>
    <font>
      <sz val="12"/>
      <name val="Arial"/>
      <family val="2"/>
    </font>
    <font>
      <b/>
      <u/>
      <sz val="12"/>
      <name val="Arial"/>
      <family val="2"/>
    </font>
    <font>
      <sz val="12"/>
      <color rgb="FF00B050"/>
      <name val="Arial"/>
      <family val="2"/>
    </font>
    <font>
      <u/>
      <sz val="12"/>
      <color rgb="FF00B050"/>
      <name val="Arial"/>
      <family val="2"/>
    </font>
    <font>
      <b/>
      <u/>
      <sz val="12"/>
      <color rgb="FF00B050"/>
      <name val="Calibri"/>
      <family val="2"/>
      <scheme val="minor"/>
    </font>
    <font>
      <b/>
      <sz val="12"/>
      <color indexed="22"/>
      <name val="Calibri"/>
      <family val="2"/>
      <scheme val="minor"/>
    </font>
    <font>
      <sz val="14"/>
      <color theme="1"/>
      <name val="Calibri"/>
      <family val="2"/>
      <scheme val="minor"/>
    </font>
    <font>
      <b/>
      <sz val="18"/>
      <color theme="5"/>
      <name val="Calibri"/>
      <family val="2"/>
      <scheme val="minor"/>
    </font>
    <font>
      <b/>
      <sz val="18"/>
      <color rgb="FF92D050"/>
      <name val="Calibri"/>
      <family val="2"/>
      <scheme val="minor"/>
    </font>
    <font>
      <u/>
      <sz val="12"/>
      <color theme="1"/>
      <name val="Calibri"/>
      <family val="2"/>
      <scheme val="minor"/>
    </font>
    <font>
      <b/>
      <sz val="12"/>
      <color theme="4"/>
      <name val="Calibri"/>
      <family val="2"/>
      <scheme val="minor"/>
    </font>
    <font>
      <b/>
      <sz val="14"/>
      <color theme="0"/>
      <name val="Calibri"/>
      <family val="2"/>
      <scheme val="minor"/>
    </font>
    <font>
      <sz val="12"/>
      <color theme="0"/>
      <name val="Calibri"/>
      <family val="2"/>
      <scheme val="minor"/>
    </font>
    <font>
      <b/>
      <sz val="12"/>
      <color theme="0"/>
      <name val="Calibri"/>
      <family val="2"/>
      <scheme val="minor"/>
    </font>
    <font>
      <sz val="9"/>
      <color indexed="81"/>
      <name val="Tahoma"/>
      <family val="2"/>
    </font>
    <font>
      <b/>
      <sz val="9"/>
      <color indexed="81"/>
      <name val="Tahoma"/>
      <family val="2"/>
    </font>
    <font>
      <sz val="36"/>
      <color rgb="FF000000"/>
      <name val="Calibri"/>
      <family val="2"/>
      <scheme val="minor"/>
    </font>
    <font>
      <b/>
      <u/>
      <sz val="14"/>
      <color rgb="FF0066CC"/>
      <name val="Calibri"/>
      <family val="2"/>
      <scheme val="minor"/>
    </font>
    <font>
      <b/>
      <sz val="16"/>
      <color rgb="FFFF0000"/>
      <name val="Calibri"/>
      <family val="2"/>
      <scheme val="minor"/>
    </font>
    <font>
      <b/>
      <u/>
      <sz val="14"/>
      <color rgb="FF339966"/>
      <name val="Calibri"/>
      <family val="2"/>
      <scheme val="minor"/>
    </font>
    <font>
      <b/>
      <sz val="14"/>
      <color rgb="FF000000"/>
      <name val="Calibri"/>
      <family val="2"/>
      <scheme val="minor"/>
    </font>
    <font>
      <b/>
      <sz val="14"/>
      <color rgb="FF00CCFF"/>
      <name val="Calibri"/>
      <family val="2"/>
      <scheme val="minor"/>
    </font>
    <font>
      <b/>
      <sz val="12"/>
      <color rgb="FF0000FF"/>
      <name val="Calibri"/>
      <family val="2"/>
      <scheme val="minor"/>
    </font>
  </fonts>
  <fills count="16">
    <fill>
      <patternFill patternType="none"/>
    </fill>
    <fill>
      <patternFill patternType="gray125"/>
    </fill>
    <fill>
      <patternFill patternType="solid">
        <fgColor indexed="9"/>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theme="7" tint="0.39997558519241921"/>
        <bgColor indexed="64"/>
      </patternFill>
    </fill>
  </fills>
  <borders count="56">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thin">
        <color indexed="64"/>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s>
  <cellStyleXfs count="2">
    <xf numFmtId="0" fontId="0" fillId="0" borderId="0"/>
    <xf numFmtId="0" fontId="6" fillId="0" borderId="0"/>
  </cellStyleXfs>
  <cellXfs count="457">
    <xf numFmtId="0" fontId="0" fillId="0" borderId="0" xfId="0"/>
    <xf numFmtId="0" fontId="1" fillId="0" borderId="0" xfId="0" applyFont="1"/>
    <xf numFmtId="0" fontId="3" fillId="2" borderId="0" xfId="0" applyFont="1" applyFill="1" applyAlignment="1"/>
    <xf numFmtId="0" fontId="2" fillId="2" borderId="4" xfId="0" applyFont="1" applyFill="1" applyBorder="1" applyAlignment="1"/>
    <xf numFmtId="0" fontId="5" fillId="0" borderId="0" xfId="0" applyFont="1" applyBorder="1"/>
    <xf numFmtId="0" fontId="2" fillId="2" borderId="0" xfId="0" applyFont="1" applyFill="1" applyBorder="1" applyAlignment="1"/>
    <xf numFmtId="0" fontId="4" fillId="2" borderId="0" xfId="0" applyFont="1" applyFill="1" applyBorder="1" applyAlignment="1"/>
    <xf numFmtId="0" fontId="2" fillId="2" borderId="5" xfId="0" applyFont="1" applyFill="1" applyBorder="1" applyAlignment="1">
      <alignment horizontal="right"/>
    </xf>
    <xf numFmtId="0" fontId="6" fillId="2" borderId="0" xfId="0" applyFont="1" applyFill="1" applyAlignment="1"/>
    <xf numFmtId="0" fontId="7" fillId="2" borderId="0" xfId="0" applyFont="1" applyFill="1" applyAlignment="1"/>
    <xf numFmtId="0" fontId="2" fillId="2" borderId="4" xfId="0" applyFont="1" applyFill="1" applyBorder="1" applyAlignment="1">
      <alignment horizontal="left"/>
    </xf>
    <xf numFmtId="0" fontId="5" fillId="2" borderId="0" xfId="0" applyFont="1" applyFill="1" applyBorder="1"/>
    <xf numFmtId="0" fontId="7" fillId="0" borderId="0" xfId="0" applyFont="1" applyBorder="1" applyAlignment="1"/>
    <xf numFmtId="0" fontId="9" fillId="0" borderId="0" xfId="0" applyFont="1" applyBorder="1" applyAlignment="1">
      <alignment wrapText="1"/>
    </xf>
    <xf numFmtId="0" fontId="4" fillId="2" borderId="5" xfId="0" applyFont="1" applyFill="1" applyBorder="1" applyAlignment="1"/>
    <xf numFmtId="0" fontId="4" fillId="2" borderId="4" xfId="0" applyFont="1" applyFill="1" applyBorder="1" applyAlignment="1"/>
    <xf numFmtId="0" fontId="4" fillId="2" borderId="0" xfId="0" applyFont="1" applyFill="1" applyAlignment="1">
      <alignment horizontal="left"/>
    </xf>
    <xf numFmtId="0" fontId="4" fillId="2" borderId="6" xfId="0" applyFont="1" applyFill="1" applyBorder="1" applyAlignment="1"/>
    <xf numFmtId="0" fontId="4" fillId="2" borderId="7" xfId="0" applyFont="1" applyFill="1" applyBorder="1" applyAlignment="1"/>
    <xf numFmtId="0" fontId="4" fillId="2" borderId="8" xfId="0" applyFont="1" applyFill="1" applyBorder="1" applyAlignment="1"/>
    <xf numFmtId="0" fontId="10" fillId="0" borderId="9" xfId="0" applyFont="1" applyBorder="1" applyAlignment="1">
      <alignment horizontal="center" vertical="center" wrapText="1"/>
    </xf>
    <xf numFmtId="0" fontId="5" fillId="0" borderId="9" xfId="0" applyFont="1" applyBorder="1" applyAlignment="1">
      <alignment horizontal="center" vertical="center" wrapText="1"/>
    </xf>
    <xf numFmtId="0" fontId="5" fillId="0" borderId="9" xfId="0" applyFont="1" applyBorder="1" applyAlignment="1">
      <alignment horizontal="center" vertical="center"/>
    </xf>
    <xf numFmtId="0" fontId="7" fillId="0" borderId="0" xfId="0" applyFont="1" applyBorder="1"/>
    <xf numFmtId="0" fontId="5" fillId="0" borderId="9" xfId="0" applyFont="1" applyBorder="1" applyAlignment="1">
      <alignment horizontal="center"/>
    </xf>
    <xf numFmtId="0" fontId="5" fillId="0" borderId="9" xfId="0" applyFont="1" applyBorder="1" applyAlignment="1">
      <alignment horizontal="center" wrapText="1"/>
    </xf>
    <xf numFmtId="0" fontId="11" fillId="0" borderId="9" xfId="0" applyFont="1" applyBorder="1" applyAlignment="1"/>
    <xf numFmtId="0" fontId="6" fillId="0" borderId="9" xfId="0" applyFont="1" applyBorder="1" applyAlignment="1"/>
    <xf numFmtId="0" fontId="6" fillId="0" borderId="0" xfId="0" applyFont="1" applyBorder="1" applyAlignment="1"/>
    <xf numFmtId="0" fontId="6" fillId="0" borderId="0" xfId="0" applyFont="1" applyBorder="1"/>
    <xf numFmtId="0" fontId="11" fillId="0" borderId="9" xfId="0" applyFont="1" applyFill="1" applyBorder="1" applyAlignment="1"/>
    <xf numFmtId="0" fontId="12" fillId="0" borderId="0" xfId="0" applyFont="1"/>
    <xf numFmtId="0" fontId="11" fillId="0" borderId="10" xfId="0" applyFont="1" applyFill="1" applyBorder="1" applyAlignment="1"/>
    <xf numFmtId="14" fontId="0" fillId="0" borderId="0" xfId="0" applyNumberFormat="1"/>
    <xf numFmtId="0" fontId="6" fillId="3" borderId="9" xfId="0" applyFont="1" applyFill="1" applyBorder="1" applyAlignment="1">
      <alignment horizontal="center" vertical="center"/>
    </xf>
    <xf numFmtId="0" fontId="6" fillId="6" borderId="9" xfId="0" applyFont="1" applyFill="1" applyBorder="1" applyAlignment="1">
      <alignment horizontal="center" vertical="center"/>
    </xf>
    <xf numFmtId="0" fontId="6" fillId="9" borderId="9" xfId="0" applyFont="1" applyFill="1" applyBorder="1" applyAlignment="1">
      <alignment horizontal="center" vertical="center"/>
    </xf>
    <xf numFmtId="0" fontId="12" fillId="3" borderId="15" xfId="0" applyFont="1" applyFill="1" applyBorder="1" applyAlignment="1">
      <alignment vertical="center"/>
    </xf>
    <xf numFmtId="0" fontId="12" fillId="3" borderId="14" xfId="0" applyFont="1" applyFill="1" applyBorder="1" applyAlignment="1">
      <alignment vertical="center"/>
    </xf>
    <xf numFmtId="0" fontId="6" fillId="3" borderId="14" xfId="0" applyFont="1" applyFill="1" applyBorder="1" applyAlignment="1">
      <alignment horizontal="center" vertical="center" wrapText="1"/>
    </xf>
    <xf numFmtId="0" fontId="6" fillId="3" borderId="9" xfId="0" applyFont="1" applyFill="1" applyBorder="1" applyAlignment="1">
      <alignment horizontal="center" vertical="center" wrapText="1"/>
    </xf>
    <xf numFmtId="0" fontId="6" fillId="3" borderId="12" xfId="0" applyFont="1" applyFill="1" applyBorder="1" applyAlignment="1">
      <alignment vertical="center" wrapText="1"/>
    </xf>
    <xf numFmtId="0" fontId="6" fillId="4" borderId="12" xfId="0" applyFont="1" applyFill="1" applyBorder="1" applyAlignment="1">
      <alignment vertical="center"/>
    </xf>
    <xf numFmtId="0" fontId="6" fillId="4" borderId="9" xfId="0" applyFont="1" applyFill="1" applyBorder="1" applyAlignment="1">
      <alignment vertical="center" wrapText="1"/>
    </xf>
    <xf numFmtId="0" fontId="6" fillId="4" borderId="9" xfId="0" applyFont="1" applyFill="1" applyBorder="1" applyAlignment="1">
      <alignment vertical="center"/>
    </xf>
    <xf numFmtId="0" fontId="6" fillId="3" borderId="9" xfId="0" applyFont="1" applyFill="1" applyBorder="1" applyAlignment="1">
      <alignment vertical="center" wrapText="1"/>
    </xf>
    <xf numFmtId="0" fontId="6" fillId="0" borderId="9" xfId="0" applyFont="1" applyBorder="1" applyAlignment="1">
      <alignment vertical="center"/>
    </xf>
    <xf numFmtId="0" fontId="6" fillId="5" borderId="9" xfId="0" applyFont="1" applyFill="1" applyBorder="1" applyAlignment="1">
      <alignment vertical="center"/>
    </xf>
    <xf numFmtId="0" fontId="6" fillId="0" borderId="9" xfId="0" applyFont="1" applyBorder="1" applyAlignment="1">
      <alignment horizontal="center" vertical="center"/>
    </xf>
    <xf numFmtId="0" fontId="12" fillId="0" borderId="0" xfId="0" applyFont="1" applyAlignment="1">
      <alignment vertical="center"/>
    </xf>
    <xf numFmtId="0" fontId="12" fillId="6" borderId="15" xfId="0" applyFont="1" applyFill="1" applyBorder="1" applyAlignment="1">
      <alignment vertical="center"/>
    </xf>
    <xf numFmtId="0" fontId="12" fillId="6" borderId="14" xfId="0" applyFont="1" applyFill="1" applyBorder="1" applyAlignment="1">
      <alignment vertical="center"/>
    </xf>
    <xf numFmtId="0" fontId="6" fillId="6" borderId="15" xfId="0" applyFont="1" applyFill="1" applyBorder="1" applyAlignment="1">
      <alignment horizontal="center" vertical="center" wrapText="1"/>
    </xf>
    <xf numFmtId="0" fontId="6" fillId="6" borderId="9" xfId="0" applyFont="1" applyFill="1" applyBorder="1" applyAlignment="1">
      <alignment horizontal="center" vertical="center" wrapText="1"/>
    </xf>
    <xf numFmtId="0" fontId="6" fillId="6" borderId="12" xfId="0" applyFont="1" applyFill="1" applyBorder="1" applyAlignment="1">
      <alignment vertical="center" wrapText="1"/>
    </xf>
    <xf numFmtId="0" fontId="6" fillId="7" borderId="9" xfId="0" applyFont="1" applyFill="1" applyBorder="1" applyAlignment="1">
      <alignment vertical="center"/>
    </xf>
    <xf numFmtId="0" fontId="6" fillId="7" borderId="9" xfId="0" applyFont="1" applyFill="1" applyBorder="1" applyAlignment="1">
      <alignment vertical="center" wrapText="1"/>
    </xf>
    <xf numFmtId="0" fontId="6" fillId="6" borderId="9" xfId="0" applyFont="1" applyFill="1" applyBorder="1" applyAlignment="1">
      <alignment vertical="center" wrapText="1"/>
    </xf>
    <xf numFmtId="0" fontId="6" fillId="8" borderId="9" xfId="0" applyFont="1" applyFill="1" applyBorder="1" applyAlignment="1">
      <alignment vertical="center"/>
    </xf>
    <xf numFmtId="0" fontId="12" fillId="9" borderId="15" xfId="0" applyFont="1" applyFill="1" applyBorder="1" applyAlignment="1">
      <alignment vertical="center"/>
    </xf>
    <xf numFmtId="0" fontId="12" fillId="9" borderId="14" xfId="0" applyFont="1" applyFill="1" applyBorder="1" applyAlignment="1">
      <alignment vertical="center"/>
    </xf>
    <xf numFmtId="0" fontId="6" fillId="9" borderId="9" xfId="0" applyFont="1" applyFill="1" applyBorder="1" applyAlignment="1">
      <alignment horizontal="center" vertical="center" wrapText="1"/>
    </xf>
    <xf numFmtId="0" fontId="6" fillId="9" borderId="12" xfId="0" applyFont="1" applyFill="1" applyBorder="1" applyAlignment="1">
      <alignment vertical="center" wrapText="1"/>
    </xf>
    <xf numFmtId="0" fontId="6" fillId="10" borderId="9" xfId="0" applyFont="1" applyFill="1" applyBorder="1" applyAlignment="1">
      <alignment vertical="center"/>
    </xf>
    <xf numFmtId="0" fontId="6" fillId="10" borderId="9" xfId="0" applyFont="1" applyFill="1" applyBorder="1" applyAlignment="1">
      <alignment vertical="center" wrapText="1"/>
    </xf>
    <xf numFmtId="0" fontId="6" fillId="9" borderId="9" xfId="0" applyFont="1" applyFill="1" applyBorder="1" applyAlignment="1">
      <alignment vertical="center" wrapText="1"/>
    </xf>
    <xf numFmtId="0" fontId="6" fillId="11" borderId="9" xfId="0" applyFont="1" applyFill="1" applyBorder="1" applyAlignment="1">
      <alignment vertical="center"/>
    </xf>
    <xf numFmtId="0" fontId="14" fillId="2" borderId="5" xfId="0" applyFont="1" applyFill="1" applyBorder="1" applyAlignment="1"/>
    <xf numFmtId="0" fontId="14" fillId="2" borderId="0" xfId="0" applyFont="1" applyFill="1" applyAlignment="1"/>
    <xf numFmtId="164" fontId="14" fillId="2" borderId="0" xfId="0" applyNumberFormat="1" applyFont="1" applyFill="1" applyBorder="1" applyAlignment="1">
      <alignment horizontal="left" vertical="center"/>
    </xf>
    <xf numFmtId="0" fontId="15" fillId="2" borderId="0" xfId="0" applyFont="1" applyFill="1" applyAlignment="1">
      <alignment horizontal="left" vertical="center"/>
    </xf>
    <xf numFmtId="0" fontId="16" fillId="0" borderId="0" xfId="0" applyFont="1" applyAlignment="1">
      <alignment horizontal="left" vertical="center"/>
    </xf>
    <xf numFmtId="0" fontId="17" fillId="0" borderId="5" xfId="0" applyFont="1" applyBorder="1"/>
    <xf numFmtId="0" fontId="17" fillId="0" borderId="0" xfId="0" applyFont="1"/>
    <xf numFmtId="0" fontId="15" fillId="2" borderId="0" xfId="0" applyFont="1" applyFill="1" applyBorder="1" applyAlignment="1">
      <alignment horizontal="left" vertical="center"/>
    </xf>
    <xf numFmtId="0" fontId="15" fillId="2" borderId="0" xfId="0" applyFont="1" applyFill="1" applyBorder="1" applyAlignment="1">
      <alignment vertical="center"/>
    </xf>
    <xf numFmtId="164" fontId="15" fillId="2" borderId="7" xfId="0" applyNumberFormat="1" applyFont="1" applyFill="1" applyBorder="1" applyAlignment="1">
      <alignment horizontal="left" vertical="center"/>
    </xf>
    <xf numFmtId="0" fontId="18" fillId="0" borderId="0" xfId="0" applyFont="1" applyAlignment="1">
      <alignment horizontal="center" vertical="top"/>
    </xf>
    <xf numFmtId="0" fontId="17" fillId="0" borderId="9" xfId="0" applyFont="1" applyBorder="1"/>
    <xf numFmtId="0" fontId="19" fillId="0" borderId="9" xfId="0" applyFont="1" applyFill="1" applyBorder="1" applyAlignment="1"/>
    <xf numFmtId="0" fontId="16" fillId="0" borderId="9" xfId="0" applyFont="1" applyFill="1" applyBorder="1" applyAlignment="1"/>
    <xf numFmtId="0" fontId="17" fillId="0" borderId="9" xfId="0" applyFont="1" applyBorder="1" applyAlignment="1">
      <alignment horizontal="center" vertical="center"/>
    </xf>
    <xf numFmtId="0" fontId="17" fillId="0" borderId="9" xfId="0" applyFont="1" applyFill="1" applyBorder="1"/>
    <xf numFmtId="0" fontId="17" fillId="0" borderId="9" xfId="0" applyFont="1" applyFill="1" applyBorder="1" applyAlignment="1">
      <alignment horizontal="center"/>
    </xf>
    <xf numFmtId="0" fontId="16" fillId="0" borderId="9" xfId="0" applyFont="1" applyFill="1" applyBorder="1" applyAlignment="1">
      <alignment horizontal="center"/>
    </xf>
    <xf numFmtId="0" fontId="17" fillId="0" borderId="9" xfId="0" applyFont="1" applyBorder="1" applyAlignment="1">
      <alignment horizontal="center"/>
    </xf>
    <xf numFmtId="0" fontId="16" fillId="0" borderId="9" xfId="0" applyFont="1" applyFill="1" applyBorder="1" applyAlignment="1">
      <alignment wrapText="1"/>
    </xf>
    <xf numFmtId="0" fontId="16" fillId="0" borderId="9" xfId="0" applyFont="1" applyBorder="1" applyAlignment="1">
      <alignment wrapText="1"/>
    </xf>
    <xf numFmtId="0" fontId="19" fillId="0" borderId="9" xfId="0" applyFont="1" applyBorder="1" applyAlignment="1"/>
    <xf numFmtId="0" fontId="16" fillId="0" borderId="9" xfId="0" applyFont="1" applyBorder="1" applyAlignment="1">
      <alignment horizontal="center"/>
    </xf>
    <xf numFmtId="0" fontId="17" fillId="0" borderId="9" xfId="0" applyFont="1" applyFill="1" applyBorder="1" applyAlignment="1">
      <alignment horizontal="center" vertical="center"/>
    </xf>
    <xf numFmtId="0" fontId="16" fillId="0" borderId="9" xfId="0" applyFont="1" applyBorder="1"/>
    <xf numFmtId="0" fontId="17" fillId="0" borderId="9" xfId="0" applyFont="1" applyBorder="1" applyAlignment="1">
      <alignment wrapText="1"/>
    </xf>
    <xf numFmtId="0" fontId="17" fillId="0" borderId="0" xfId="0" applyFont="1" applyAlignment="1">
      <alignment horizontal="center"/>
    </xf>
    <xf numFmtId="0" fontId="17" fillId="0" borderId="0" xfId="0" applyFont="1" applyAlignment="1">
      <alignment horizontal="center" vertical="center"/>
    </xf>
    <xf numFmtId="0" fontId="16" fillId="0" borderId="0" xfId="0" applyFont="1" applyAlignment="1">
      <alignment horizontal="center" vertical="center"/>
    </xf>
    <xf numFmtId="0" fontId="15" fillId="2" borderId="0" xfId="0" applyFont="1" applyFill="1" applyBorder="1" applyAlignment="1">
      <alignment horizontal="center" vertical="center"/>
    </xf>
    <xf numFmtId="0" fontId="16" fillId="0" borderId="2" xfId="0" applyFont="1" applyBorder="1" applyAlignment="1">
      <alignment horizontal="center" vertical="top"/>
    </xf>
    <xf numFmtId="0" fontId="16" fillId="0" borderId="2" xfId="0" applyFont="1" applyBorder="1" applyAlignment="1">
      <alignment horizontal="center" vertical="top" wrapText="1"/>
    </xf>
    <xf numFmtId="0" fontId="17" fillId="0" borderId="2" xfId="0" applyFont="1" applyBorder="1" applyAlignment="1">
      <alignment horizontal="center" vertical="center"/>
    </xf>
    <xf numFmtId="0" fontId="16" fillId="0" borderId="3" xfId="0" applyFont="1" applyFill="1" applyBorder="1" applyAlignment="1">
      <alignment horizontal="center" vertical="top"/>
    </xf>
    <xf numFmtId="0" fontId="17" fillId="0" borderId="12" xfId="0" applyFont="1" applyBorder="1"/>
    <xf numFmtId="0" fontId="19" fillId="0" borderId="12" xfId="0" applyFont="1" applyFill="1" applyBorder="1" applyAlignment="1"/>
    <xf numFmtId="0" fontId="17" fillId="0" borderId="12" xfId="0" applyFont="1" applyBorder="1" applyAlignment="1">
      <alignment horizontal="center"/>
    </xf>
    <xf numFmtId="0" fontId="16" fillId="0" borderId="12" xfId="0" applyFont="1" applyFill="1" applyBorder="1" applyAlignment="1"/>
    <xf numFmtId="0" fontId="17" fillId="0" borderId="12" xfId="0" applyFont="1" applyBorder="1" applyAlignment="1">
      <alignment horizontal="center" vertical="center"/>
    </xf>
    <xf numFmtId="164" fontId="15" fillId="0" borderId="28" xfId="0" applyNumberFormat="1" applyFont="1" applyBorder="1" applyAlignment="1">
      <alignment horizontal="center" vertical="top" wrapText="1"/>
    </xf>
    <xf numFmtId="0" fontId="15" fillId="0" borderId="29" xfId="0" applyFont="1" applyBorder="1" applyAlignment="1">
      <alignment horizontal="center" vertical="top" wrapText="1"/>
    </xf>
    <xf numFmtId="0" fontId="15" fillId="0" borderId="29" xfId="0" applyFont="1" applyBorder="1" applyAlignment="1">
      <alignment horizontal="center" vertical="top"/>
    </xf>
    <xf numFmtId="0" fontId="18" fillId="0" borderId="29" xfId="0" applyFont="1" applyBorder="1" applyAlignment="1">
      <alignment horizontal="center" vertical="top"/>
    </xf>
    <xf numFmtId="0" fontId="18" fillId="0" borderId="32" xfId="0" applyFont="1" applyBorder="1" applyAlignment="1">
      <alignment horizontal="center" vertical="top"/>
    </xf>
    <xf numFmtId="0" fontId="6" fillId="0" borderId="9" xfId="0" applyFont="1" applyFill="1" applyBorder="1" applyAlignment="1"/>
    <xf numFmtId="0" fontId="6" fillId="0" borderId="9" xfId="0" applyFont="1" applyBorder="1"/>
    <xf numFmtId="164" fontId="16" fillId="0" borderId="0" xfId="0" applyNumberFormat="1" applyFont="1" applyBorder="1" applyAlignment="1">
      <alignment horizontal="center" vertical="center" wrapText="1"/>
    </xf>
    <xf numFmtId="164" fontId="17" fillId="0" borderId="12" xfId="0" applyNumberFormat="1" applyFont="1" applyBorder="1" applyAlignment="1">
      <alignment horizontal="center" vertical="center"/>
    </xf>
    <xf numFmtId="164" fontId="17" fillId="0" borderId="9" xfId="0" applyNumberFormat="1" applyFont="1" applyBorder="1" applyAlignment="1">
      <alignment horizontal="center" vertical="center"/>
    </xf>
    <xf numFmtId="164" fontId="17" fillId="0" borderId="0" xfId="0" applyNumberFormat="1" applyFont="1" applyAlignment="1">
      <alignment horizontal="center" vertical="center"/>
    </xf>
    <xf numFmtId="0" fontId="17" fillId="0" borderId="11" xfId="0" applyFont="1" applyFill="1" applyBorder="1"/>
    <xf numFmtId="0" fontId="17" fillId="0" borderId="10" xfId="0" applyFont="1" applyBorder="1"/>
    <xf numFmtId="0" fontId="17" fillId="0" borderId="10" xfId="0" applyFont="1" applyBorder="1" applyAlignment="1">
      <alignment horizontal="center"/>
    </xf>
    <xf numFmtId="0" fontId="17" fillId="0" borderId="11" xfId="0" applyFont="1" applyFill="1" applyBorder="1" applyAlignment="1">
      <alignment horizontal="center"/>
    </xf>
    <xf numFmtId="0" fontId="20" fillId="0" borderId="9" xfId="0" applyFont="1" applyBorder="1"/>
    <xf numFmtId="0" fontId="0" fillId="0" borderId="0" xfId="0" applyFont="1" applyAlignment="1">
      <alignment horizontal="center" vertical="center"/>
    </xf>
    <xf numFmtId="0" fontId="0" fillId="0" borderId="0" xfId="0" applyFont="1"/>
    <xf numFmtId="0" fontId="6" fillId="0" borderId="0" xfId="1" applyFont="1"/>
    <xf numFmtId="0" fontId="6" fillId="0" borderId="0" xfId="1"/>
    <xf numFmtId="0" fontId="5" fillId="0" borderId="16" xfId="1" applyFont="1" applyBorder="1" applyAlignment="1">
      <alignment vertical="top" wrapText="1"/>
    </xf>
    <xf numFmtId="0" fontId="6" fillId="0" borderId="0" xfId="1" applyBorder="1" applyAlignment="1">
      <alignment vertical="center"/>
    </xf>
    <xf numFmtId="0" fontId="5" fillId="0" borderId="9" xfId="1" applyFont="1" applyBorder="1" applyAlignment="1">
      <alignment vertical="top" wrapText="1"/>
    </xf>
    <xf numFmtId="0" fontId="13" fillId="0" borderId="0" xfId="1" applyFont="1"/>
    <xf numFmtId="164" fontId="5" fillId="0" borderId="9" xfId="1" applyNumberFormat="1" applyFont="1" applyBorder="1" applyAlignment="1">
      <alignment horizontal="center" vertical="center" wrapText="1"/>
    </xf>
    <xf numFmtId="0" fontId="5" fillId="0" borderId="9" xfId="1" applyFont="1" applyBorder="1" applyAlignment="1">
      <alignment horizontal="center" vertical="center"/>
    </xf>
    <xf numFmtId="0" fontId="5" fillId="0" borderId="13" xfId="1" applyFont="1" applyBorder="1" applyAlignment="1">
      <alignment horizontal="center" vertical="center" wrapText="1"/>
    </xf>
    <xf numFmtId="0" fontId="5" fillId="0" borderId="4" xfId="1" applyFont="1" applyBorder="1" applyAlignment="1">
      <alignment horizontal="center" vertical="top"/>
    </xf>
    <xf numFmtId="0" fontId="6" fillId="0" borderId="0" xfId="1" applyBorder="1" applyAlignment="1">
      <alignment horizontal="center" vertical="center"/>
    </xf>
    <xf numFmtId="0" fontId="5" fillId="0" borderId="9" xfId="1" applyFont="1" applyBorder="1" applyAlignment="1">
      <alignment horizontal="center" vertical="top" wrapText="1"/>
    </xf>
    <xf numFmtId="0" fontId="5" fillId="0" borderId="9" xfId="1" applyFont="1" applyBorder="1" applyAlignment="1">
      <alignment horizontal="center" vertical="top"/>
    </xf>
    <xf numFmtId="164" fontId="6" fillId="0" borderId="9" xfId="1" applyNumberFormat="1" applyBorder="1" applyAlignment="1">
      <alignment horizontal="center" vertical="center"/>
    </xf>
    <xf numFmtId="0" fontId="6" fillId="0" borderId="9" xfId="1" applyFont="1" applyFill="1" applyBorder="1" applyAlignment="1">
      <alignment wrapText="1"/>
    </xf>
    <xf numFmtId="0" fontId="6" fillId="0" borderId="9" xfId="1" applyFill="1" applyBorder="1"/>
    <xf numFmtId="0" fontId="11" fillId="0" borderId="9" xfId="1" applyFont="1" applyFill="1" applyBorder="1" applyAlignment="1"/>
    <xf numFmtId="0" fontId="6" fillId="0" borderId="13" xfId="1" applyFill="1" applyBorder="1" applyAlignment="1">
      <alignment horizontal="center" vertical="center"/>
    </xf>
    <xf numFmtId="0" fontId="6" fillId="0" borderId="4" xfId="1" applyFill="1" applyBorder="1"/>
    <xf numFmtId="0" fontId="10" fillId="0" borderId="0" xfId="1" applyFont="1" applyBorder="1" applyAlignment="1">
      <alignment horizontal="center" wrapText="1"/>
    </xf>
    <xf numFmtId="0" fontId="6" fillId="0" borderId="9" xfId="1" applyFont="1" applyBorder="1" applyAlignment="1">
      <alignment wrapText="1"/>
    </xf>
    <xf numFmtId="0" fontId="11" fillId="0" borderId="9" xfId="1" applyFont="1" applyBorder="1" applyAlignment="1"/>
    <xf numFmtId="0" fontId="6" fillId="0" borderId="9" xfId="1" applyFont="1" applyBorder="1" applyAlignment="1">
      <alignment horizontal="center"/>
    </xf>
    <xf numFmtId="0" fontId="6" fillId="0" borderId="9" xfId="1" applyBorder="1"/>
    <xf numFmtId="0" fontId="6" fillId="0" borderId="9" xfId="1" applyBorder="1" applyAlignment="1">
      <alignment horizontal="center" vertical="center"/>
    </xf>
    <xf numFmtId="164" fontId="6" fillId="0" borderId="0" xfId="1" applyNumberFormat="1" applyAlignment="1">
      <alignment horizontal="center" vertical="center"/>
    </xf>
    <xf numFmtId="0" fontId="6" fillId="0" borderId="0" xfId="1" applyFont="1" applyFill="1" applyBorder="1" applyAlignment="1">
      <alignment wrapText="1"/>
    </xf>
    <xf numFmtId="0" fontId="6" fillId="0" borderId="4" xfId="1" applyFill="1" applyBorder="1" applyAlignment="1">
      <alignment horizontal="center" vertical="center"/>
    </xf>
    <xf numFmtId="0" fontId="6" fillId="0" borderId="0" xfId="1" applyFill="1" applyBorder="1" applyAlignment="1">
      <alignment horizontal="center" vertical="center"/>
    </xf>
    <xf numFmtId="164" fontId="6" fillId="0" borderId="0" xfId="1" applyNumberFormat="1" applyFont="1" applyAlignment="1">
      <alignment horizontal="center" vertical="center"/>
    </xf>
    <xf numFmtId="0" fontId="6" fillId="0" borderId="4" xfId="1" applyFont="1" applyFill="1" applyBorder="1"/>
    <xf numFmtId="164" fontId="6" fillId="0" borderId="9" xfId="1" applyNumberFormat="1" applyFont="1" applyBorder="1" applyAlignment="1">
      <alignment horizontal="center" vertical="center"/>
    </xf>
    <xf numFmtId="0" fontId="6" fillId="0" borderId="11" xfId="1" applyFill="1" applyBorder="1"/>
    <xf numFmtId="0" fontId="11" fillId="0" borderId="11" xfId="1" applyFont="1" applyFill="1" applyBorder="1" applyAlignment="1"/>
    <xf numFmtId="0" fontId="6" fillId="0" borderId="13" xfId="1" applyFont="1" applyBorder="1" applyAlignment="1">
      <alignment horizontal="center" vertical="center"/>
    </xf>
    <xf numFmtId="0" fontId="6" fillId="0" borderId="4" xfId="1" applyFont="1" applyBorder="1" applyAlignment="1"/>
    <xf numFmtId="0" fontId="6" fillId="0" borderId="4" xfId="1" applyFont="1" applyFill="1" applyBorder="1" applyAlignment="1"/>
    <xf numFmtId="0" fontId="6" fillId="0" borderId="13" xfId="1" applyFont="1" applyFill="1" applyBorder="1" applyAlignment="1">
      <alignment horizontal="center" vertical="center"/>
    </xf>
    <xf numFmtId="0" fontId="6" fillId="0" borderId="13" xfId="1" applyBorder="1" applyAlignment="1">
      <alignment horizontal="center" vertical="center"/>
    </xf>
    <xf numFmtId="164" fontId="6" fillId="0" borderId="10" xfId="1" applyNumberFormat="1" applyBorder="1" applyAlignment="1">
      <alignment horizontal="center" vertical="center"/>
    </xf>
    <xf numFmtId="0" fontId="6" fillId="0" borderId="10" xfId="1" applyBorder="1"/>
    <xf numFmtId="0" fontId="11" fillId="0" borderId="10" xfId="1" applyFont="1" applyFill="1" applyBorder="1" applyAlignment="1"/>
    <xf numFmtId="0" fontId="6" fillId="0" borderId="1" xfId="1" applyBorder="1" applyAlignment="1">
      <alignment horizontal="center" vertical="center"/>
    </xf>
    <xf numFmtId="164" fontId="6" fillId="0" borderId="13" xfId="1" applyNumberFormat="1" applyBorder="1" applyAlignment="1">
      <alignment horizontal="center" vertical="center"/>
    </xf>
    <xf numFmtId="0" fontId="6" fillId="0" borderId="4" xfId="1" applyBorder="1"/>
    <xf numFmtId="0" fontId="6" fillId="0" borderId="0" xfId="1" applyAlignment="1">
      <alignment horizontal="center" vertical="center"/>
    </xf>
    <xf numFmtId="0" fontId="6" fillId="0" borderId="0" xfId="1" applyBorder="1"/>
    <xf numFmtId="0" fontId="18" fillId="0" borderId="9" xfId="0" applyFont="1" applyBorder="1"/>
    <xf numFmtId="165" fontId="21" fillId="2" borderId="1" xfId="0" applyNumberFormat="1" applyFont="1" applyFill="1" applyBorder="1" applyAlignment="1">
      <alignment horizontal="left" vertical="center"/>
    </xf>
    <xf numFmtId="0" fontId="21" fillId="2" borderId="2" xfId="0" applyFont="1" applyFill="1" applyBorder="1" applyAlignment="1">
      <alignment horizontal="left"/>
    </xf>
    <xf numFmtId="0" fontId="21" fillId="2" borderId="3" xfId="0" applyFont="1" applyFill="1" applyBorder="1" applyAlignment="1">
      <alignment horizontal="left"/>
    </xf>
    <xf numFmtId="2" fontId="21" fillId="2" borderId="2" xfId="0" applyNumberFormat="1" applyFont="1" applyFill="1" applyBorder="1" applyAlignment="1">
      <alignment horizontal="left"/>
    </xf>
    <xf numFmtId="0" fontId="21" fillId="2" borderId="2" xfId="0" applyFont="1" applyFill="1" applyBorder="1" applyAlignment="1">
      <alignment horizontal="left" vertical="center"/>
    </xf>
    <xf numFmtId="0" fontId="21" fillId="2" borderId="2" xfId="0" applyFont="1" applyFill="1" applyBorder="1" applyAlignment="1">
      <alignment horizontal="center" vertical="center"/>
    </xf>
    <xf numFmtId="0" fontId="21" fillId="2" borderId="2" xfId="0" applyFont="1" applyFill="1" applyBorder="1" applyAlignment="1">
      <alignment horizontal="left" vertical="top" wrapText="1"/>
    </xf>
    <xf numFmtId="0" fontId="22" fillId="2" borderId="2" xfId="0" applyFont="1" applyFill="1" applyBorder="1" applyAlignment="1">
      <alignment vertical="center"/>
    </xf>
    <xf numFmtId="0" fontId="22" fillId="2" borderId="2" xfId="0" applyFont="1" applyFill="1" applyBorder="1" applyAlignment="1">
      <alignment horizontal="center" vertical="center"/>
    </xf>
    <xf numFmtId="0" fontId="22" fillId="2" borderId="3" xfId="0" applyFont="1" applyFill="1" applyBorder="1" applyAlignment="1">
      <alignment horizontal="center" vertical="center"/>
    </xf>
    <xf numFmtId="0" fontId="21" fillId="2" borderId="0" xfId="0" applyFont="1" applyFill="1" applyAlignment="1"/>
    <xf numFmtId="165" fontId="21" fillId="2" borderId="4" xfId="0" applyNumberFormat="1" applyFont="1" applyFill="1" applyBorder="1" applyAlignment="1">
      <alignment horizontal="left" vertical="center"/>
    </xf>
    <xf numFmtId="0" fontId="21" fillId="2" borderId="0" xfId="0" applyFont="1" applyFill="1" applyBorder="1" applyAlignment="1">
      <alignment horizontal="left"/>
    </xf>
    <xf numFmtId="0" fontId="24" fillId="0" borderId="0" xfId="0" applyFont="1" applyBorder="1" applyAlignment="1">
      <alignment horizontal="left"/>
    </xf>
    <xf numFmtId="0" fontId="24" fillId="2" borderId="0" xfId="0" applyFont="1" applyFill="1" applyBorder="1" applyAlignment="1">
      <alignment horizontal="left"/>
    </xf>
    <xf numFmtId="0" fontId="23" fillId="2" borderId="0" xfId="0" applyFont="1" applyFill="1" applyBorder="1" applyAlignment="1">
      <alignment horizontal="left"/>
    </xf>
    <xf numFmtId="0" fontId="21" fillId="2" borderId="5" xfId="0" applyFont="1" applyFill="1" applyBorder="1" applyAlignment="1">
      <alignment horizontal="left" vertical="top"/>
    </xf>
    <xf numFmtId="2" fontId="21" fillId="2" borderId="0" xfId="0" applyNumberFormat="1" applyFont="1" applyFill="1" applyBorder="1" applyAlignment="1">
      <alignment horizontal="left"/>
    </xf>
    <xf numFmtId="0" fontId="24" fillId="0" borderId="0" xfId="0" applyFont="1" applyBorder="1" applyAlignment="1">
      <alignment horizontal="left" vertical="center"/>
    </xf>
    <xf numFmtId="0" fontId="24" fillId="0" borderId="0" xfId="0" applyFont="1" applyBorder="1" applyAlignment="1">
      <alignment horizontal="center" vertical="center"/>
    </xf>
    <xf numFmtId="0" fontId="21" fillId="2" borderId="0" xfId="0" applyFont="1" applyFill="1" applyBorder="1" applyAlignment="1">
      <alignment horizontal="left" vertical="top" wrapText="1"/>
    </xf>
    <xf numFmtId="0" fontId="22" fillId="2" borderId="0" xfId="0" applyFont="1" applyFill="1" applyBorder="1" applyAlignment="1">
      <alignment vertical="center"/>
    </xf>
    <xf numFmtId="0" fontId="22" fillId="2" borderId="0" xfId="0" applyFont="1" applyFill="1" applyBorder="1" applyAlignment="1">
      <alignment horizontal="center" vertical="center"/>
    </xf>
    <xf numFmtId="0" fontId="22" fillId="2" borderId="5" xfId="0" applyFont="1" applyFill="1" applyBorder="1" applyAlignment="1">
      <alignment horizontal="center" vertical="center"/>
    </xf>
    <xf numFmtId="0" fontId="23" fillId="2" borderId="5" xfId="0" applyFont="1" applyFill="1" applyBorder="1" applyAlignment="1">
      <alignment horizontal="left"/>
    </xf>
    <xf numFmtId="2" fontId="23" fillId="2" borderId="0" xfId="0" applyNumberFormat="1" applyFont="1" applyFill="1" applyBorder="1" applyAlignment="1">
      <alignment horizontal="left"/>
    </xf>
    <xf numFmtId="0" fontId="23" fillId="2" borderId="0" xfId="0" applyFont="1" applyFill="1" applyBorder="1" applyAlignment="1">
      <alignment horizontal="left" vertical="center"/>
    </xf>
    <xf numFmtId="0" fontId="23" fillId="2" borderId="0" xfId="0" applyFont="1" applyFill="1" applyBorder="1" applyAlignment="1">
      <alignment horizontal="center" vertical="center"/>
    </xf>
    <xf numFmtId="0" fontId="23" fillId="2" borderId="0" xfId="0" applyFont="1" applyFill="1" applyBorder="1" applyAlignment="1">
      <alignment horizontal="left" vertical="top" wrapText="1"/>
    </xf>
    <xf numFmtId="0" fontId="0" fillId="0" borderId="0" xfId="0" applyFont="1" applyBorder="1" applyAlignment="1">
      <alignment horizontal="left"/>
    </xf>
    <xf numFmtId="0" fontId="25" fillId="2" borderId="0" xfId="0" applyFont="1" applyFill="1" applyBorder="1" applyAlignment="1">
      <alignment horizontal="left" vertical="center"/>
    </xf>
    <xf numFmtId="2" fontId="25" fillId="2" borderId="0" xfId="0" applyNumberFormat="1" applyFont="1" applyFill="1" applyBorder="1" applyAlignment="1">
      <alignment horizontal="left" vertical="center"/>
    </xf>
    <xf numFmtId="0" fontId="0" fillId="2" borderId="0" xfId="0" applyFont="1" applyFill="1" applyBorder="1" applyAlignment="1">
      <alignment horizontal="left" vertical="center"/>
    </xf>
    <xf numFmtId="0" fontId="0" fillId="2" borderId="0" xfId="0" applyFont="1" applyFill="1" applyBorder="1" applyAlignment="1">
      <alignment horizontal="center" vertical="center"/>
    </xf>
    <xf numFmtId="0" fontId="0" fillId="0" borderId="0" xfId="0" applyFont="1" applyBorder="1" applyAlignment="1">
      <alignment horizontal="left" vertical="top" wrapText="1"/>
    </xf>
    <xf numFmtId="165" fontId="23" fillId="2" borderId="4" xfId="0" applyNumberFormat="1" applyFont="1" applyFill="1" applyBorder="1" applyAlignment="1">
      <alignment horizontal="left" vertical="center"/>
    </xf>
    <xf numFmtId="165" fontId="24" fillId="0" borderId="10" xfId="0" applyNumberFormat="1" applyFont="1" applyBorder="1" applyAlignment="1">
      <alignment horizontal="center" vertical="center" wrapText="1"/>
    </xf>
    <xf numFmtId="2" fontId="0" fillId="0" borderId="0" xfId="0" applyNumberFormat="1" applyFont="1"/>
    <xf numFmtId="0" fontId="24" fillId="0" borderId="10" xfId="0" applyFont="1" applyBorder="1" applyAlignment="1">
      <alignment horizontal="center" vertical="center" wrapText="1"/>
    </xf>
    <xf numFmtId="0" fontId="24" fillId="0" borderId="1" xfId="0" applyFont="1" applyBorder="1" applyAlignment="1">
      <alignment horizontal="center" vertical="center" wrapText="1"/>
    </xf>
    <xf numFmtId="0" fontId="24" fillId="0" borderId="1" xfId="0" applyFont="1" applyBorder="1" applyAlignment="1">
      <alignment horizontal="left" vertical="top" wrapText="1"/>
    </xf>
    <xf numFmtId="0" fontId="22" fillId="2" borderId="10" xfId="0" applyFont="1" applyFill="1" applyBorder="1" applyAlignment="1">
      <alignment vertical="center"/>
    </xf>
    <xf numFmtId="0" fontId="22" fillId="2" borderId="10" xfId="0" applyFont="1" applyFill="1" applyBorder="1" applyAlignment="1">
      <alignment horizontal="center" vertical="center"/>
    </xf>
    <xf numFmtId="166" fontId="23" fillId="0" borderId="28" xfId="0" applyNumberFormat="1" applyFont="1" applyBorder="1" applyAlignment="1">
      <alignment horizontal="center" vertical="top" wrapText="1"/>
    </xf>
    <xf numFmtId="0" fontId="23" fillId="0" borderId="29" xfId="0" applyFont="1" applyBorder="1" applyAlignment="1">
      <alignment horizontal="center" vertical="top" wrapText="1"/>
    </xf>
    <xf numFmtId="0" fontId="23" fillId="0" borderId="30" xfId="0" applyFont="1" applyBorder="1" applyAlignment="1">
      <alignment horizontal="center" vertical="top" wrapText="1"/>
    </xf>
    <xf numFmtId="2" fontId="23" fillId="0" borderId="29" xfId="0" applyNumberFormat="1" applyFont="1" applyBorder="1" applyAlignment="1">
      <alignment horizontal="center" vertical="top" wrapText="1"/>
    </xf>
    <xf numFmtId="0" fontId="23" fillId="0" borderId="29" xfId="0" applyFont="1" applyBorder="1" applyAlignment="1">
      <alignment horizontal="center" vertical="top"/>
    </xf>
    <xf numFmtId="0" fontId="23" fillId="0" borderId="31" xfId="0" applyFont="1" applyBorder="1" applyAlignment="1">
      <alignment horizontal="center" vertical="top" wrapText="1"/>
    </xf>
    <xf numFmtId="0" fontId="26" fillId="2" borderId="29" xfId="0" applyFont="1" applyFill="1" applyBorder="1" applyAlignment="1">
      <alignment horizontal="center" vertical="top"/>
    </xf>
    <xf numFmtId="0" fontId="26" fillId="2" borderId="32" xfId="0" applyFont="1" applyFill="1" applyBorder="1" applyAlignment="1">
      <alignment horizontal="center" vertical="top"/>
    </xf>
    <xf numFmtId="0" fontId="1" fillId="0" borderId="0" xfId="0" applyFont="1" applyAlignment="1">
      <alignment horizontal="center" vertical="top"/>
    </xf>
    <xf numFmtId="164" fontId="0" fillId="0" borderId="12" xfId="0" applyNumberFormat="1" applyFont="1" applyBorder="1" applyAlignment="1">
      <alignment horizontal="center" vertical="center"/>
    </xf>
    <xf numFmtId="0" fontId="24" fillId="0" borderId="12" xfId="0" applyFont="1" applyBorder="1" applyAlignment="1">
      <alignment horizontal="center" vertical="top" wrapText="1"/>
    </xf>
    <xf numFmtId="0" fontId="24" fillId="0" borderId="12" xfId="0" applyFont="1" applyBorder="1" applyAlignment="1">
      <alignment vertical="top" wrapText="1"/>
    </xf>
    <xf numFmtId="2" fontId="24" fillId="0" borderId="12" xfId="0" applyNumberFormat="1" applyFont="1" applyBorder="1" applyAlignment="1">
      <alignment vertical="top" wrapText="1"/>
    </xf>
    <xf numFmtId="0" fontId="24" fillId="0" borderId="12" xfId="0" applyFont="1" applyBorder="1" applyAlignment="1">
      <alignment vertical="top"/>
    </xf>
    <xf numFmtId="0" fontId="0" fillId="0" borderId="27" xfId="0" applyFont="1" applyBorder="1" applyAlignment="1">
      <alignment horizontal="right" vertical="center"/>
    </xf>
    <xf numFmtId="0" fontId="0" fillId="0" borderId="0" xfId="0" applyFont="1" applyBorder="1" applyAlignment="1">
      <alignment horizontal="center" vertical="center"/>
    </xf>
    <xf numFmtId="0" fontId="0" fillId="0" borderId="0" xfId="0" applyFont="1" applyAlignment="1">
      <alignment horizontal="left" vertical="top" wrapText="1"/>
    </xf>
    <xf numFmtId="0" fontId="27" fillId="2" borderId="11" xfId="0" applyFont="1" applyFill="1" applyBorder="1" applyAlignment="1">
      <alignment vertical="center"/>
    </xf>
    <xf numFmtId="0" fontId="27" fillId="2" borderId="12" xfId="0" applyNumberFormat="1" applyFont="1" applyFill="1" applyBorder="1" applyAlignment="1">
      <alignment vertical="center"/>
    </xf>
    <xf numFmtId="0" fontId="27" fillId="2" borderId="12" xfId="0" applyFont="1" applyFill="1" applyBorder="1" applyAlignment="1">
      <alignment horizontal="center" vertical="center"/>
    </xf>
    <xf numFmtId="0" fontId="24" fillId="0" borderId="9" xfId="0" applyFont="1" applyBorder="1" applyAlignment="1">
      <alignment vertical="top" wrapText="1"/>
    </xf>
    <xf numFmtId="2" fontId="24" fillId="0" borderId="9" xfId="0" applyNumberFormat="1" applyFont="1" applyBorder="1" applyAlignment="1">
      <alignment vertical="top" wrapText="1"/>
    </xf>
    <xf numFmtId="0" fontId="24" fillId="0" borderId="9" xfId="0" applyFont="1" applyBorder="1" applyAlignment="1">
      <alignment vertical="top"/>
    </xf>
    <xf numFmtId="0" fontId="0" fillId="0" borderId="18" xfId="0" applyFont="1" applyBorder="1" applyAlignment="1">
      <alignment horizontal="right" vertical="center"/>
    </xf>
    <xf numFmtId="0" fontId="0" fillId="0" borderId="0" xfId="0" applyFont="1" applyBorder="1" applyAlignment="1">
      <alignment horizontal="right" vertical="center"/>
    </xf>
    <xf numFmtId="0" fontId="27" fillId="2" borderId="10" xfId="0" applyFont="1" applyFill="1" applyBorder="1" applyAlignment="1">
      <alignment vertical="center"/>
    </xf>
    <xf numFmtId="0" fontId="27" fillId="2" borderId="9" xfId="0" applyNumberFormat="1" applyFont="1" applyFill="1" applyBorder="1" applyAlignment="1">
      <alignment vertical="center"/>
    </xf>
    <xf numFmtId="0" fontId="27" fillId="2" borderId="9" xfId="0" applyFont="1" applyFill="1" applyBorder="1" applyAlignment="1">
      <alignment horizontal="center" vertical="center"/>
    </xf>
    <xf numFmtId="0" fontId="24" fillId="0" borderId="19" xfId="0" applyFont="1" applyBorder="1" applyAlignment="1">
      <alignment vertical="top" wrapText="1"/>
    </xf>
    <xf numFmtId="0" fontId="24" fillId="0" borderId="19" xfId="0" applyFont="1" applyBorder="1" applyAlignment="1">
      <alignment horizontal="center" wrapText="1"/>
    </xf>
    <xf numFmtId="2" fontId="24" fillId="0" borderId="19" xfId="0" applyNumberFormat="1" applyFont="1" applyBorder="1" applyAlignment="1">
      <alignment vertical="top" wrapText="1"/>
    </xf>
    <xf numFmtId="0" fontId="24" fillId="0" borderId="19" xfId="0" applyFont="1" applyBorder="1" applyAlignment="1">
      <alignment vertical="top"/>
    </xf>
    <xf numFmtId="0" fontId="0" fillId="0" borderId="20" xfId="0" applyFont="1" applyBorder="1" applyAlignment="1">
      <alignment horizontal="right" vertical="center"/>
    </xf>
    <xf numFmtId="164" fontId="0" fillId="0" borderId="9" xfId="0" applyNumberFormat="1" applyFont="1" applyBorder="1" applyAlignment="1">
      <alignment horizontal="center" vertical="center"/>
    </xf>
    <xf numFmtId="0" fontId="24" fillId="0" borderId="16" xfId="0" applyFont="1" applyBorder="1" applyAlignment="1">
      <alignment horizontal="center" vertical="top" wrapText="1"/>
    </xf>
    <xf numFmtId="0" fontId="24" fillId="0" borderId="16" xfId="0" applyFont="1" applyBorder="1" applyAlignment="1">
      <alignment vertical="top" wrapText="1"/>
    </xf>
    <xf numFmtId="2" fontId="24" fillId="0" borderId="16" xfId="0" applyNumberFormat="1" applyFont="1" applyBorder="1" applyAlignment="1">
      <alignment vertical="top" wrapText="1"/>
    </xf>
    <xf numFmtId="0" fontId="24" fillId="0" borderId="16" xfId="0" applyFont="1" applyBorder="1" applyAlignment="1">
      <alignment vertical="top"/>
    </xf>
    <xf numFmtId="0" fontId="0" fillId="0" borderId="17" xfId="0" applyFont="1" applyBorder="1" applyAlignment="1">
      <alignment horizontal="right" vertical="center"/>
    </xf>
    <xf numFmtId="0" fontId="24" fillId="0" borderId="0" xfId="0" applyFont="1" applyAlignment="1">
      <alignment horizontal="center" vertical="top" wrapText="1"/>
    </xf>
    <xf numFmtId="0" fontId="0" fillId="0" borderId="0" xfId="0" applyFont="1" applyAlignment="1">
      <alignment horizontal="center" vertical="top" wrapText="1"/>
    </xf>
    <xf numFmtId="0" fontId="0" fillId="0" borderId="9" xfId="0" applyFont="1" applyBorder="1" applyAlignment="1">
      <alignment horizontal="right" vertical="center"/>
    </xf>
    <xf numFmtId="0" fontId="24" fillId="0" borderId="26" xfId="0" applyFont="1" applyBorder="1" applyAlignment="1">
      <alignment vertical="top" wrapText="1"/>
    </xf>
    <xf numFmtId="0" fontId="0" fillId="0" borderId="19" xfId="0" applyFont="1" applyBorder="1" applyAlignment="1">
      <alignment horizontal="right" vertical="center"/>
    </xf>
    <xf numFmtId="0" fontId="24" fillId="0" borderId="0" xfId="0" applyFont="1" applyAlignment="1">
      <alignment horizontal="left" vertical="top" wrapText="1"/>
    </xf>
    <xf numFmtId="0" fontId="0" fillId="0" borderId="0" xfId="0" applyFont="1" applyAlignment="1">
      <alignment horizontal="center" vertical="top"/>
    </xf>
    <xf numFmtId="164" fontId="0" fillId="0" borderId="21" xfId="0" applyNumberFormat="1" applyFont="1" applyBorder="1" applyAlignment="1">
      <alignment horizontal="center" vertical="center"/>
    </xf>
    <xf numFmtId="0" fontId="0" fillId="0" borderId="22" xfId="0" applyFont="1" applyBorder="1"/>
    <xf numFmtId="0" fontId="0" fillId="0" borderId="15" xfId="0" applyFont="1" applyBorder="1"/>
    <xf numFmtId="0" fontId="0" fillId="0" borderId="24" xfId="0" applyFont="1" applyBorder="1"/>
    <xf numFmtId="0" fontId="0" fillId="0" borderId="0" xfId="0" applyFont="1" applyAlignment="1">
      <alignment horizontal="left" vertical="top"/>
    </xf>
    <xf numFmtId="0" fontId="22" fillId="2" borderId="9" xfId="0" applyFont="1" applyFill="1" applyBorder="1" applyAlignment="1">
      <alignment vertical="center"/>
    </xf>
    <xf numFmtId="0" fontId="22" fillId="2" borderId="9" xfId="0" applyFont="1" applyFill="1" applyBorder="1" applyAlignment="1">
      <alignment horizontal="center" vertical="center"/>
    </xf>
    <xf numFmtId="0" fontId="28" fillId="0" borderId="16" xfId="0" applyFont="1" applyBorder="1" applyAlignment="1">
      <alignment horizontal="center" vertical="top" wrapText="1"/>
    </xf>
    <xf numFmtId="0" fontId="28" fillId="0" borderId="16" xfId="0" applyFont="1" applyBorder="1" applyAlignment="1">
      <alignment vertical="top" wrapText="1"/>
    </xf>
    <xf numFmtId="0" fontId="0" fillId="0" borderId="0" xfId="0" applyFont="1" applyAlignment="1">
      <alignment horizontal="center" wrapText="1"/>
    </xf>
    <xf numFmtId="0" fontId="29" fillId="2" borderId="9" xfId="0" applyFont="1" applyFill="1" applyBorder="1" applyAlignment="1">
      <alignment horizontal="center" vertical="center"/>
    </xf>
    <xf numFmtId="0" fontId="30" fillId="2" borderId="10" xfId="0" applyFont="1" applyFill="1" applyBorder="1" applyAlignment="1">
      <alignment vertical="center"/>
    </xf>
    <xf numFmtId="0" fontId="30" fillId="2" borderId="9" xfId="0" applyNumberFormat="1" applyFont="1" applyFill="1" applyBorder="1" applyAlignment="1">
      <alignment vertical="center"/>
    </xf>
    <xf numFmtId="0" fontId="30" fillId="2" borderId="9" xfId="0" applyFont="1" applyFill="1" applyBorder="1" applyAlignment="1">
      <alignment horizontal="center" vertical="center"/>
    </xf>
    <xf numFmtId="165" fontId="0" fillId="0" borderId="23" xfId="0" applyNumberFormat="1" applyFont="1" applyBorder="1" applyAlignment="1">
      <alignment horizontal="center" vertical="center"/>
    </xf>
    <xf numFmtId="0" fontId="28" fillId="0" borderId="9" xfId="0" applyFont="1" applyBorder="1" applyAlignment="1">
      <alignment vertical="top" wrapText="1"/>
    </xf>
    <xf numFmtId="0" fontId="28" fillId="0" borderId="9" xfId="0" applyFont="1" applyBorder="1" applyAlignment="1">
      <alignment vertical="top"/>
    </xf>
    <xf numFmtId="0" fontId="31" fillId="2" borderId="9" xfId="0" applyFont="1" applyFill="1" applyBorder="1" applyAlignment="1">
      <alignment vertical="center"/>
    </xf>
    <xf numFmtId="0" fontId="31" fillId="2" borderId="9" xfId="0" applyFont="1" applyFill="1" applyBorder="1" applyAlignment="1">
      <alignment horizontal="center" vertical="center"/>
    </xf>
    <xf numFmtId="165" fontId="0" fillId="0" borderId="40" xfId="0" applyNumberFormat="1" applyFont="1" applyBorder="1" applyAlignment="1">
      <alignment horizontal="center" vertical="center"/>
    </xf>
    <xf numFmtId="0" fontId="28" fillId="0" borderId="19" xfId="0" applyFont="1" applyBorder="1" applyAlignment="1">
      <alignment vertical="top" wrapText="1"/>
    </xf>
    <xf numFmtId="0" fontId="28" fillId="0" borderId="19" xfId="0" applyFont="1" applyBorder="1" applyAlignment="1">
      <alignment horizontal="center" wrapText="1"/>
    </xf>
    <xf numFmtId="0" fontId="28" fillId="0" borderId="19" xfId="0" applyFont="1" applyBorder="1" applyAlignment="1">
      <alignment vertical="top"/>
    </xf>
    <xf numFmtId="0" fontId="28" fillId="0" borderId="17" xfId="0" applyFont="1" applyBorder="1" applyAlignment="1">
      <alignment horizontal="right" vertical="center"/>
    </xf>
    <xf numFmtId="0" fontId="28" fillId="0" borderId="0" xfId="0" applyFont="1" applyAlignment="1">
      <alignment horizontal="center" wrapText="1"/>
    </xf>
    <xf numFmtId="0" fontId="28" fillId="0" borderId="0" xfId="0" applyFont="1" applyAlignment="1">
      <alignment horizontal="center" vertical="center"/>
    </xf>
    <xf numFmtId="0" fontId="0" fillId="0" borderId="0" xfId="0" applyFont="1" applyProtection="1">
      <protection locked="0"/>
    </xf>
    <xf numFmtId="0" fontId="0" fillId="0" borderId="4" xfId="0" applyFont="1" applyFill="1" applyBorder="1"/>
    <xf numFmtId="0" fontId="0" fillId="0" borderId="0" xfId="0" applyFont="1" applyFill="1" applyBorder="1"/>
    <xf numFmtId="165" fontId="0" fillId="0" borderId="41" xfId="0" applyNumberFormat="1" applyFont="1" applyBorder="1" applyAlignment="1">
      <alignment horizontal="center" vertical="center"/>
    </xf>
    <xf numFmtId="164" fontId="0" fillId="0" borderId="10" xfId="0" applyNumberFormat="1" applyFont="1" applyBorder="1" applyAlignment="1">
      <alignment vertical="top"/>
    </xf>
    <xf numFmtId="0" fontId="0" fillId="0" borderId="42" xfId="0" applyFont="1" applyBorder="1" applyAlignment="1">
      <alignment vertical="center"/>
    </xf>
    <xf numFmtId="164" fontId="0" fillId="0" borderId="11" xfId="0" applyNumberFormat="1" applyFont="1" applyBorder="1" applyAlignment="1">
      <alignment vertical="top"/>
    </xf>
    <xf numFmtId="164" fontId="0" fillId="0" borderId="12" xfId="0" applyNumberFormat="1" applyFont="1" applyBorder="1" applyAlignment="1">
      <alignment vertical="top"/>
    </xf>
    <xf numFmtId="165" fontId="0" fillId="0" borderId="0" xfId="0" applyNumberFormat="1" applyFont="1" applyAlignment="1">
      <alignment horizontal="center" vertical="center"/>
    </xf>
    <xf numFmtId="0" fontId="0" fillId="0" borderId="0" xfId="0" applyFont="1" applyAlignment="1">
      <alignment horizontal="right" vertical="center"/>
    </xf>
    <xf numFmtId="14" fontId="21" fillId="2" borderId="1" xfId="0" applyNumberFormat="1" applyFont="1" applyFill="1" applyBorder="1" applyAlignment="1"/>
    <xf numFmtId="0" fontId="21" fillId="2" borderId="2" xfId="0" applyFont="1" applyFill="1" applyBorder="1" applyAlignment="1"/>
    <xf numFmtId="0" fontId="21" fillId="2" borderId="3" xfId="0" applyFont="1" applyFill="1" applyBorder="1" applyAlignment="1"/>
    <xf numFmtId="2" fontId="21" fillId="2" borderId="2" xfId="0" applyNumberFormat="1" applyFont="1" applyFill="1" applyBorder="1" applyAlignment="1"/>
    <xf numFmtId="0" fontId="21" fillId="2" borderId="2" xfId="0" applyFont="1" applyFill="1" applyBorder="1" applyAlignment="1">
      <alignment horizontal="center"/>
    </xf>
    <xf numFmtId="0" fontId="27" fillId="0" borderId="0" xfId="0" applyFont="1" applyAlignment="1">
      <alignment vertical="center"/>
    </xf>
    <xf numFmtId="0" fontId="32" fillId="2" borderId="0" xfId="0" applyFont="1" applyFill="1" applyAlignment="1">
      <alignment vertical="center"/>
    </xf>
    <xf numFmtId="0" fontId="21" fillId="2" borderId="0" xfId="0" applyFont="1" applyFill="1" applyAlignment="1">
      <alignment horizontal="center" vertical="center"/>
    </xf>
    <xf numFmtId="14" fontId="21" fillId="2" borderId="4" xfId="0" applyNumberFormat="1" applyFont="1" applyFill="1" applyBorder="1" applyAlignment="1"/>
    <xf numFmtId="0" fontId="24" fillId="0" borderId="0" xfId="0" applyFont="1" applyBorder="1"/>
    <xf numFmtId="0" fontId="24" fillId="2" borderId="0" xfId="0" applyFont="1" applyFill="1" applyBorder="1"/>
    <xf numFmtId="0" fontId="21" fillId="2" borderId="0" xfId="0" applyFont="1" applyFill="1" applyBorder="1" applyAlignment="1"/>
    <xf numFmtId="0" fontId="21" fillId="2" borderId="5" xfId="0" applyFont="1" applyFill="1" applyBorder="1" applyAlignment="1"/>
    <xf numFmtId="2" fontId="21" fillId="2" borderId="0" xfId="0" applyNumberFormat="1" applyFont="1" applyFill="1" applyBorder="1" applyAlignment="1"/>
    <xf numFmtId="0" fontId="23" fillId="2" borderId="0" xfId="0" applyFont="1" applyFill="1" applyBorder="1" applyAlignment="1"/>
    <xf numFmtId="0" fontId="24" fillId="0" borderId="0" xfId="0" applyFont="1" applyBorder="1" applyAlignment="1">
      <alignment horizontal="center"/>
    </xf>
    <xf numFmtId="14" fontId="21" fillId="2" borderId="4" xfId="0" applyNumberFormat="1" applyFont="1" applyFill="1" applyBorder="1" applyAlignment="1">
      <alignment horizontal="left"/>
    </xf>
    <xf numFmtId="0" fontId="23" fillId="2" borderId="0" xfId="0" applyFont="1" applyFill="1" applyBorder="1"/>
    <xf numFmtId="0" fontId="23" fillId="2" borderId="5" xfId="0" applyFont="1" applyFill="1" applyBorder="1" applyAlignment="1"/>
    <xf numFmtId="2" fontId="23" fillId="2" borderId="0" xfId="0" applyNumberFormat="1" applyFont="1" applyFill="1" applyBorder="1" applyAlignment="1"/>
    <xf numFmtId="0" fontId="23" fillId="2" borderId="0" xfId="0" applyFont="1" applyFill="1" applyBorder="1" applyAlignment="1">
      <alignment horizontal="center"/>
    </xf>
    <xf numFmtId="0" fontId="0" fillId="0" borderId="0" xfId="0" applyFont="1" applyBorder="1" applyAlignment="1"/>
    <xf numFmtId="0" fontId="0" fillId="0" borderId="5" xfId="0" applyFont="1" applyBorder="1" applyAlignment="1"/>
    <xf numFmtId="14" fontId="23" fillId="2" borderId="4" xfId="0" applyNumberFormat="1" applyFont="1" applyFill="1" applyBorder="1" applyAlignment="1"/>
    <xf numFmtId="14" fontId="24" fillId="0" borderId="10" xfId="0" applyNumberFormat="1" applyFont="1" applyBorder="1" applyAlignment="1">
      <alignment horizontal="center" vertical="top" wrapText="1"/>
    </xf>
    <xf numFmtId="0" fontId="0" fillId="0" borderId="2" xfId="0" applyFont="1" applyBorder="1"/>
    <xf numFmtId="0" fontId="0" fillId="0" borderId="0" xfId="0" applyFont="1" applyAlignment="1"/>
    <xf numFmtId="165" fontId="23" fillId="0" borderId="28" xfId="0" applyNumberFormat="1" applyFont="1" applyBorder="1" applyAlignment="1">
      <alignment horizontal="center" vertical="top" wrapText="1"/>
    </xf>
    <xf numFmtId="0" fontId="23" fillId="0" borderId="29" xfId="0" applyFont="1" applyBorder="1" applyAlignment="1"/>
    <xf numFmtId="0" fontId="26" fillId="0" borderId="30" xfId="0" applyFont="1" applyFill="1" applyBorder="1" applyAlignment="1">
      <alignment horizontal="center" vertical="top"/>
    </xf>
    <xf numFmtId="0" fontId="26" fillId="0" borderId="30" xfId="0" applyFont="1" applyBorder="1" applyAlignment="1">
      <alignment horizontal="center" vertical="top"/>
    </xf>
    <xf numFmtId="0" fontId="26" fillId="0" borderId="39" xfId="0" applyFont="1" applyBorder="1" applyAlignment="1">
      <alignment horizontal="center" vertical="top"/>
    </xf>
    <xf numFmtId="164" fontId="24" fillId="0" borderId="12" xfId="0" applyNumberFormat="1" applyFont="1" applyBorder="1" applyAlignment="1">
      <alignment horizontal="center" vertical="center"/>
    </xf>
    <xf numFmtId="0" fontId="24" fillId="0" borderId="38" xfId="0" applyFont="1" applyBorder="1" applyAlignment="1">
      <alignment vertical="top" wrapText="1"/>
    </xf>
    <xf numFmtId="0" fontId="0" fillId="0" borderId="0" xfId="0" applyFont="1" applyBorder="1" applyAlignment="1">
      <alignment vertical="center"/>
    </xf>
    <xf numFmtId="0" fontId="0" fillId="0" borderId="12" xfId="0" applyFont="1" applyBorder="1" applyAlignment="1">
      <alignment horizontal="right"/>
    </xf>
    <xf numFmtId="0" fontId="0" fillId="0" borderId="0" xfId="0" applyFont="1" applyBorder="1" applyAlignment="1">
      <alignment horizontal="right"/>
    </xf>
    <xf numFmtId="0" fontId="27" fillId="0" borderId="0" xfId="0" applyNumberFormat="1" applyFont="1" applyAlignment="1">
      <alignment vertical="center"/>
    </xf>
    <xf numFmtId="0" fontId="27" fillId="0" borderId="0" xfId="0" applyFont="1" applyAlignment="1">
      <alignment horizontal="center" vertical="center"/>
    </xf>
    <xf numFmtId="0" fontId="0" fillId="0" borderId="33" xfId="0" applyFont="1" applyBorder="1"/>
    <xf numFmtId="0" fontId="0" fillId="0" borderId="9" xfId="0" applyFont="1" applyBorder="1"/>
    <xf numFmtId="2" fontId="0" fillId="0" borderId="9" xfId="0" applyNumberFormat="1" applyFont="1" applyBorder="1"/>
    <xf numFmtId="0" fontId="0" fillId="0" borderId="9" xfId="0" applyFont="1" applyBorder="1" applyAlignment="1">
      <alignment horizontal="right"/>
    </xf>
    <xf numFmtId="0" fontId="0" fillId="0" borderId="19" xfId="0" applyFont="1" applyBorder="1"/>
    <xf numFmtId="0" fontId="0" fillId="0" borderId="34" xfId="0" applyFont="1" applyBorder="1"/>
    <xf numFmtId="0" fontId="0" fillId="0" borderId="25" xfId="0" applyFont="1" applyBorder="1"/>
    <xf numFmtId="0" fontId="0" fillId="0" borderId="35" xfId="0" applyFont="1" applyBorder="1" applyAlignment="1">
      <alignment horizontal="center" vertical="center"/>
    </xf>
    <xf numFmtId="2" fontId="0" fillId="0" borderId="19" xfId="0" applyNumberFormat="1" applyFont="1" applyBorder="1"/>
    <xf numFmtId="0" fontId="0" fillId="0" borderId="19" xfId="0" applyFont="1" applyBorder="1" applyAlignment="1">
      <alignment horizontal="right"/>
    </xf>
    <xf numFmtId="164" fontId="24" fillId="0" borderId="13" xfId="0" applyNumberFormat="1" applyFont="1" applyBorder="1" applyAlignment="1">
      <alignment horizontal="center" vertical="center"/>
    </xf>
    <xf numFmtId="0" fontId="24" fillId="0" borderId="33" xfId="0" applyFont="1" applyBorder="1" applyAlignment="1">
      <alignment vertical="top" wrapText="1"/>
    </xf>
    <xf numFmtId="164" fontId="0" fillId="0" borderId="13" xfId="0" applyNumberFormat="1" applyFont="1" applyBorder="1" applyAlignment="1">
      <alignment horizontal="center" vertical="center"/>
    </xf>
    <xf numFmtId="0" fontId="0" fillId="0" borderId="9" xfId="0" applyFont="1" applyBorder="1" applyAlignment="1">
      <alignment horizontal="center"/>
    </xf>
    <xf numFmtId="0" fontId="0" fillId="0" borderId="0" xfId="0" applyFont="1" applyBorder="1" applyAlignment="1">
      <alignment horizontal="center"/>
    </xf>
    <xf numFmtId="0" fontId="0" fillId="0" borderId="19" xfId="0" applyFont="1" applyBorder="1" applyAlignment="1">
      <alignment horizontal="center"/>
    </xf>
    <xf numFmtId="0" fontId="24" fillId="0" borderId="0" xfId="0" applyFont="1" applyAlignment="1">
      <alignment horizontal="left" vertical="top"/>
    </xf>
    <xf numFmtId="0" fontId="0" fillId="0" borderId="10" xfId="0" applyFont="1" applyBorder="1"/>
    <xf numFmtId="0" fontId="0" fillId="0" borderId="1" xfId="0" applyFont="1" applyBorder="1"/>
    <xf numFmtId="0" fontId="0" fillId="0" borderId="36" xfId="0" applyFont="1" applyBorder="1"/>
    <xf numFmtId="2" fontId="0" fillId="0" borderId="10" xfId="0" applyNumberFormat="1" applyFont="1" applyBorder="1"/>
    <xf numFmtId="0" fontId="0" fillId="0" borderId="10" xfId="0" applyFont="1" applyBorder="1" applyAlignment="1">
      <alignment horizontal="right"/>
    </xf>
    <xf numFmtId="164" fontId="24" fillId="0" borderId="23" xfId="0" applyNumberFormat="1" applyFont="1" applyBorder="1" applyAlignment="1">
      <alignment horizontal="center" vertical="center"/>
    </xf>
    <xf numFmtId="0" fontId="0" fillId="0" borderId="9" xfId="0" applyFont="1" applyBorder="1" applyAlignment="1">
      <alignment vertical="center"/>
    </xf>
    <xf numFmtId="0" fontId="0" fillId="0" borderId="18" xfId="0" applyFont="1" applyBorder="1" applyAlignment="1">
      <alignment horizontal="right"/>
    </xf>
    <xf numFmtId="0" fontId="0" fillId="0" borderId="10" xfId="0" applyFont="1" applyBorder="1" applyAlignment="1">
      <alignment horizontal="center" vertical="center"/>
    </xf>
    <xf numFmtId="0" fontId="0" fillId="0" borderId="37" xfId="0" applyFont="1" applyBorder="1" applyAlignment="1">
      <alignment horizontal="right"/>
    </xf>
    <xf numFmtId="0" fontId="0" fillId="0" borderId="19" xfId="0" applyFont="1" applyBorder="1" applyAlignment="1">
      <alignment horizontal="center" vertical="center"/>
    </xf>
    <xf numFmtId="0" fontId="0" fillId="0" borderId="20" xfId="0" applyFont="1" applyBorder="1" applyAlignment="1">
      <alignment horizontal="right"/>
    </xf>
    <xf numFmtId="0" fontId="0" fillId="0" borderId="5" xfId="0" applyFont="1" applyFill="1" applyBorder="1"/>
    <xf numFmtId="0" fontId="0" fillId="0" borderId="9" xfId="0" applyFont="1" applyBorder="1" applyAlignment="1">
      <alignment horizontal="center" vertical="center"/>
    </xf>
    <xf numFmtId="0" fontId="0" fillId="0" borderId="13" xfId="0" applyFont="1" applyBorder="1"/>
    <xf numFmtId="0" fontId="0" fillId="0" borderId="7" xfId="0" applyFont="1" applyBorder="1" applyAlignment="1">
      <alignment horizontal="center" vertical="center"/>
    </xf>
    <xf numFmtId="164" fontId="24" fillId="0" borderId="9" xfId="0" applyNumberFormat="1" applyFont="1" applyBorder="1" applyAlignment="1">
      <alignment horizontal="center" vertical="center"/>
    </xf>
    <xf numFmtId="0" fontId="0" fillId="0" borderId="9" xfId="0" applyFont="1" applyFill="1" applyBorder="1"/>
    <xf numFmtId="14" fontId="0" fillId="0" borderId="9" xfId="0" applyNumberFormat="1" applyFont="1" applyBorder="1"/>
    <xf numFmtId="165" fontId="0" fillId="0" borderId="9" xfId="0" applyNumberFormat="1" applyFont="1" applyBorder="1" applyAlignment="1">
      <alignment horizontal="right"/>
    </xf>
    <xf numFmtId="0" fontId="24" fillId="0" borderId="9" xfId="0" applyFont="1" applyBorder="1" applyAlignment="1">
      <alignment horizontal="right"/>
    </xf>
    <xf numFmtId="0" fontId="0" fillId="0" borderId="4" xfId="0" applyFont="1" applyFill="1" applyBorder="1" applyProtection="1">
      <protection locked="0"/>
    </xf>
    <xf numFmtId="0" fontId="0" fillId="0" borderId="0" xfId="0" applyFont="1" applyFill="1" applyBorder="1" applyProtection="1">
      <protection locked="0"/>
    </xf>
    <xf numFmtId="0" fontId="24" fillId="0" borderId="0" xfId="0" applyFont="1" applyAlignment="1">
      <alignment horizontal="center" vertical="center"/>
    </xf>
    <xf numFmtId="0" fontId="0" fillId="0" borderId="0" xfId="0" applyFont="1" applyAlignment="1">
      <alignment horizontal="center"/>
    </xf>
    <xf numFmtId="14" fontId="0" fillId="0" borderId="0" xfId="0" applyNumberFormat="1" applyFont="1"/>
    <xf numFmtId="0" fontId="0" fillId="0" borderId="2" xfId="0" applyFont="1"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28" fillId="2" borderId="9" xfId="0" applyFont="1" applyFill="1" applyBorder="1" applyAlignment="1">
      <alignment horizontal="center" vertical="center"/>
    </xf>
    <xf numFmtId="0" fontId="0" fillId="0" borderId="0" xfId="0" applyAlignment="1"/>
    <xf numFmtId="0" fontId="0" fillId="0" borderId="2" xfId="0" applyBorder="1"/>
    <xf numFmtId="0" fontId="0" fillId="0" borderId="0" xfId="0" applyBorder="1"/>
    <xf numFmtId="0" fontId="34" fillId="0" borderId="0" xfId="0" applyFont="1" applyAlignment="1">
      <alignment horizontal="left" vertical="top"/>
    </xf>
    <xf numFmtId="0" fontId="0" fillId="0" borderId="0" xfId="0" applyAlignment="1">
      <alignment wrapText="1"/>
    </xf>
    <xf numFmtId="0" fontId="37" fillId="0" borderId="0" xfId="0" applyFont="1"/>
    <xf numFmtId="0" fontId="0" fillId="11" borderId="46" xfId="0" applyFill="1" applyBorder="1"/>
    <xf numFmtId="0" fontId="0" fillId="11" borderId="44" xfId="0" applyFill="1" applyBorder="1"/>
    <xf numFmtId="14" fontId="0" fillId="13" borderId="47" xfId="0" applyNumberFormat="1" applyFill="1" applyBorder="1"/>
    <xf numFmtId="0" fontId="0" fillId="6" borderId="0" xfId="0" applyFill="1"/>
    <xf numFmtId="0" fontId="0" fillId="6" borderId="48" xfId="0" applyFill="1" applyBorder="1"/>
    <xf numFmtId="0" fontId="38" fillId="0" borderId="43" xfId="0" applyFont="1" applyBorder="1"/>
    <xf numFmtId="0" fontId="38" fillId="0" borderId="45" xfId="0" applyFont="1" applyBorder="1"/>
    <xf numFmtId="0" fontId="38" fillId="0" borderId="32" xfId="0" applyFont="1" applyBorder="1"/>
    <xf numFmtId="0" fontId="35" fillId="0" borderId="47" xfId="0" applyFont="1" applyBorder="1"/>
    <xf numFmtId="14" fontId="24" fillId="0" borderId="5" xfId="0" applyNumberFormat="1" applyFont="1" applyBorder="1" applyAlignment="1">
      <alignment horizontal="center" vertical="top" wrapText="1"/>
    </xf>
    <xf numFmtId="0" fontId="24" fillId="0" borderId="4" xfId="0" applyFont="1" applyBorder="1" applyAlignment="1">
      <alignment horizontal="center" vertical="top" wrapText="1"/>
    </xf>
    <xf numFmtId="0" fontId="0" fillId="0" borderId="0" xfId="0" applyFont="1" applyBorder="1"/>
    <xf numFmtId="165" fontId="24" fillId="0" borderId="5" xfId="0" applyNumberFormat="1" applyFont="1" applyBorder="1" applyAlignment="1">
      <alignment horizontal="center" vertical="center" wrapText="1"/>
    </xf>
    <xf numFmtId="0" fontId="24" fillId="0" borderId="11" xfId="0" applyFont="1" applyBorder="1" applyAlignment="1">
      <alignment horizontal="center" vertical="center" wrapText="1"/>
    </xf>
    <xf numFmtId="0" fontId="24" fillId="0" borderId="4" xfId="0" applyFont="1" applyBorder="1" applyAlignment="1">
      <alignment horizontal="center" vertical="center" wrapText="1"/>
    </xf>
    <xf numFmtId="0" fontId="24" fillId="0" borderId="4" xfId="0" applyFont="1" applyBorder="1" applyAlignment="1">
      <alignment horizontal="left" vertical="top" wrapText="1"/>
    </xf>
    <xf numFmtId="0" fontId="22" fillId="2" borderId="11" xfId="0" applyFont="1" applyFill="1" applyBorder="1" applyAlignment="1">
      <alignment vertical="center"/>
    </xf>
    <xf numFmtId="0" fontId="22" fillId="2" borderId="11" xfId="0" applyFont="1" applyFill="1" applyBorder="1" applyAlignment="1">
      <alignment horizontal="center" vertical="center"/>
    </xf>
    <xf numFmtId="0" fontId="22" fillId="2" borderId="4" xfId="0" applyFont="1" applyFill="1" applyBorder="1" applyAlignment="1">
      <alignment horizontal="center" vertical="center"/>
    </xf>
    <xf numFmtId="0" fontId="24" fillId="0" borderId="1" xfId="0" applyFont="1" applyBorder="1" applyAlignment="1">
      <alignment horizontal="center" vertical="top" wrapText="1"/>
    </xf>
    <xf numFmtId="0" fontId="0" fillId="0" borderId="0" xfId="0" applyProtection="1">
      <protection locked="0"/>
    </xf>
    <xf numFmtId="0" fontId="0" fillId="0" borderId="9" xfId="0" applyBorder="1" applyAlignment="1">
      <alignment horizontal="center" vertical="center"/>
    </xf>
    <xf numFmtId="1" fontId="0" fillId="15" borderId="0" xfId="0" applyNumberFormat="1" applyFill="1"/>
    <xf numFmtId="0" fontId="6" fillId="0" borderId="9" xfId="0" applyFont="1" applyBorder="1" applyAlignment="1">
      <alignment horizontal="center"/>
    </xf>
    <xf numFmtId="0" fontId="14" fillId="2" borderId="0" xfId="0" applyFont="1" applyFill="1" applyAlignment="1">
      <alignment horizontal="left" vertical="center"/>
    </xf>
    <xf numFmtId="0" fontId="14" fillId="2" borderId="0" xfId="0" applyFont="1" applyFill="1" applyAlignment="1">
      <alignment horizontal="left" vertical="center"/>
    </xf>
    <xf numFmtId="0" fontId="11" fillId="2" borderId="10" xfId="0" applyFont="1" applyFill="1" applyBorder="1" applyAlignment="1">
      <alignment horizontal="center" vertical="top"/>
    </xf>
    <xf numFmtId="0" fontId="11" fillId="2" borderId="11" xfId="0" applyFont="1" applyFill="1" applyBorder="1" applyAlignment="1">
      <alignment horizontal="center" vertical="top"/>
    </xf>
    <xf numFmtId="0" fontId="11" fillId="2" borderId="12" xfId="0" applyFont="1" applyFill="1" applyBorder="1" applyAlignment="1">
      <alignment horizontal="center" vertical="top"/>
    </xf>
    <xf numFmtId="0" fontId="6" fillId="0" borderId="9" xfId="0" applyFont="1" applyBorder="1" applyAlignment="1">
      <alignment horizontal="center"/>
    </xf>
    <xf numFmtId="0" fontId="2" fillId="2" borderId="1" xfId="0" applyFont="1" applyFill="1" applyBorder="1" applyAlignment="1">
      <alignment horizontal="center"/>
    </xf>
    <xf numFmtId="0" fontId="2" fillId="2" borderId="2" xfId="0" applyFont="1" applyFill="1" applyBorder="1" applyAlignment="1">
      <alignment horizontal="center"/>
    </xf>
    <xf numFmtId="0" fontId="2" fillId="2" borderId="3" xfId="0" applyFont="1" applyFill="1" applyBorder="1" applyAlignment="1">
      <alignment horizontal="center"/>
    </xf>
    <xf numFmtId="0" fontId="4" fillId="2" borderId="0" xfId="0" applyFont="1" applyFill="1" applyBorder="1" applyAlignment="1">
      <alignment horizontal="center"/>
    </xf>
    <xf numFmtId="0" fontId="4" fillId="2" borderId="5" xfId="0" applyFont="1" applyFill="1" applyBorder="1" applyAlignment="1">
      <alignment horizontal="center"/>
    </xf>
    <xf numFmtId="0" fontId="14" fillId="2" borderId="0" xfId="0" applyFont="1" applyFill="1" applyAlignment="1">
      <alignment horizontal="left" vertical="center"/>
    </xf>
    <xf numFmtId="0" fontId="16" fillId="0" borderId="1" xfId="0" applyFont="1" applyBorder="1" applyAlignment="1">
      <alignment horizontal="center" vertical="top"/>
    </xf>
    <xf numFmtId="0" fontId="16" fillId="0" borderId="3" xfId="0" applyFont="1" applyBorder="1" applyAlignment="1">
      <alignment horizontal="center" vertical="top"/>
    </xf>
    <xf numFmtId="0" fontId="24" fillId="0" borderId="34" xfId="0" applyFont="1" applyBorder="1" applyAlignment="1">
      <alignment horizontal="center" vertical="top" wrapText="1"/>
    </xf>
    <xf numFmtId="0" fontId="24" fillId="0" borderId="24" xfId="0" applyFont="1" applyBorder="1" applyAlignment="1">
      <alignment horizontal="center" vertical="top" wrapText="1"/>
    </xf>
    <xf numFmtId="14" fontId="24" fillId="0" borderId="34" xfId="0" applyNumberFormat="1" applyFont="1" applyBorder="1" applyAlignment="1">
      <alignment horizontal="center" vertical="top" wrapText="1"/>
    </xf>
    <xf numFmtId="14" fontId="24" fillId="0" borderId="24" xfId="0" applyNumberFormat="1" applyFont="1" applyBorder="1" applyAlignment="1">
      <alignment horizontal="center" vertical="top" wrapText="1"/>
    </xf>
    <xf numFmtId="14" fontId="24" fillId="0" borderId="26" xfId="0" applyNumberFormat="1" applyFont="1" applyBorder="1" applyAlignment="1">
      <alignment horizontal="center" vertical="top" wrapText="1"/>
    </xf>
    <xf numFmtId="0" fontId="36" fillId="0" borderId="35" xfId="0" applyFont="1" applyBorder="1" applyAlignment="1">
      <alignment horizontal="center"/>
    </xf>
    <xf numFmtId="0" fontId="36" fillId="0" borderId="49" xfId="0" applyFont="1" applyBorder="1" applyAlignment="1">
      <alignment horizontal="center"/>
    </xf>
    <xf numFmtId="0" fontId="39" fillId="12" borderId="50" xfId="0" applyFont="1" applyFill="1" applyBorder="1" applyAlignment="1">
      <alignment horizontal="center"/>
    </xf>
    <xf numFmtId="0" fontId="39" fillId="12" borderId="30" xfId="0" applyFont="1" applyFill="1" applyBorder="1" applyAlignment="1">
      <alignment horizontal="center"/>
    </xf>
    <xf numFmtId="0" fontId="39" fillId="12" borderId="39" xfId="0" applyFont="1" applyFill="1" applyBorder="1" applyAlignment="1">
      <alignment horizontal="center"/>
    </xf>
    <xf numFmtId="0" fontId="40" fillId="14" borderId="51" xfId="0" applyFont="1" applyFill="1" applyBorder="1" applyAlignment="1">
      <alignment horizontal="left" vertical="top" wrapText="1"/>
    </xf>
    <xf numFmtId="0" fontId="40" fillId="14" borderId="52" xfId="0" applyFont="1" applyFill="1" applyBorder="1" applyAlignment="1">
      <alignment horizontal="left" vertical="top"/>
    </xf>
    <xf numFmtId="0" fontId="40" fillId="14" borderId="53" xfId="0" applyFont="1" applyFill="1" applyBorder="1" applyAlignment="1">
      <alignment horizontal="left" vertical="top"/>
    </xf>
    <xf numFmtId="0" fontId="40" fillId="14" borderId="42" xfId="0" applyFont="1" applyFill="1" applyBorder="1" applyAlignment="1">
      <alignment horizontal="left" vertical="top"/>
    </xf>
    <xf numFmtId="0" fontId="40" fillId="14" borderId="0" xfId="0" applyFont="1" applyFill="1" applyBorder="1" applyAlignment="1">
      <alignment horizontal="left" vertical="top"/>
    </xf>
    <xf numFmtId="0" fontId="40" fillId="14" borderId="54" xfId="0" applyFont="1" applyFill="1" applyBorder="1" applyAlignment="1">
      <alignment horizontal="left" vertical="top"/>
    </xf>
    <xf numFmtId="0" fontId="40" fillId="14" borderId="55" xfId="0" applyFont="1" applyFill="1" applyBorder="1" applyAlignment="1">
      <alignment horizontal="left" vertical="top"/>
    </xf>
    <xf numFmtId="0" fontId="40" fillId="14" borderId="35" xfId="0" applyFont="1" applyFill="1" applyBorder="1" applyAlignment="1">
      <alignment horizontal="left" vertical="top"/>
    </xf>
    <xf numFmtId="0" fontId="40" fillId="14" borderId="49" xfId="0" applyFont="1" applyFill="1" applyBorder="1" applyAlignment="1">
      <alignment horizontal="left" vertical="top"/>
    </xf>
    <xf numFmtId="0" fontId="39" fillId="3" borderId="42" xfId="0" applyFont="1" applyFill="1" applyBorder="1" applyAlignment="1">
      <alignment horizontal="center"/>
    </xf>
    <xf numFmtId="0" fontId="39" fillId="3" borderId="0" xfId="0" applyFont="1" applyFill="1" applyBorder="1" applyAlignment="1">
      <alignment horizontal="center"/>
    </xf>
    <xf numFmtId="0" fontId="5" fillId="0" borderId="13" xfId="1" applyFont="1" applyBorder="1" applyAlignment="1">
      <alignment horizontal="center" vertical="center"/>
    </xf>
    <xf numFmtId="0" fontId="5" fillId="0" borderId="14" xfId="1" applyFont="1" applyBorder="1" applyAlignment="1">
      <alignment horizontal="center" vertical="center"/>
    </xf>
    <xf numFmtId="0" fontId="6" fillId="3" borderId="13" xfId="0" applyFont="1" applyFill="1" applyBorder="1" applyAlignment="1">
      <alignment horizontal="center" vertical="center"/>
    </xf>
    <xf numFmtId="0" fontId="6" fillId="3" borderId="15" xfId="0" applyFont="1" applyFill="1" applyBorder="1" applyAlignment="1">
      <alignment horizontal="center" vertical="center"/>
    </xf>
    <xf numFmtId="0" fontId="6" fillId="6" borderId="13" xfId="0" applyFont="1" applyFill="1" applyBorder="1" applyAlignment="1">
      <alignment horizontal="center" vertical="center" wrapText="1"/>
    </xf>
    <xf numFmtId="0" fontId="6" fillId="6" borderId="15" xfId="0" applyFont="1" applyFill="1" applyBorder="1" applyAlignment="1">
      <alignment horizontal="center" vertical="center" wrapText="1"/>
    </xf>
    <xf numFmtId="0" fontId="6" fillId="6" borderId="15" xfId="0" applyFont="1" applyFill="1" applyBorder="1" applyAlignment="1">
      <alignment horizontal="center" vertical="center"/>
    </xf>
    <xf numFmtId="0" fontId="6" fillId="9" borderId="13" xfId="0" applyFont="1" applyFill="1" applyBorder="1" applyAlignment="1">
      <alignment horizontal="center" vertical="center" wrapText="1"/>
    </xf>
    <xf numFmtId="0" fontId="6" fillId="9" borderId="15" xfId="0" applyFont="1" applyFill="1" applyBorder="1" applyAlignment="1">
      <alignment horizontal="center" vertical="center" wrapText="1"/>
    </xf>
  </cellXfs>
  <cellStyles count="2">
    <cellStyle name="Normal" xfId="0" builtinId="0"/>
    <cellStyle name="Normal 2" xfId="1"/>
  </cellStyles>
  <dxfs count="1730">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colors>
    <mruColors>
      <color rgb="FF0066FF"/>
      <color rgb="FF00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304798</xdr:colOff>
      <xdr:row>18</xdr:row>
      <xdr:rowOff>76200</xdr:rowOff>
    </xdr:to>
    <xdr:pic>
      <xdr:nvPicPr>
        <xdr:cNvPr id="4" name="REPL1A_CP_Plot" descr="xlwings_plot.png">
          <a:extLst>
            <a:ext uri="{FF2B5EF4-FFF2-40B4-BE49-F238E27FC236}">
              <a16:creationId xmlns="" xmlns:a16="http://schemas.microsoft.com/office/drawing/2014/main" id="{00000000-0008-0000-0200-000004000000}"/>
            </a:ext>
          </a:extLst>
        </xdr:cNvPr>
        <xdr:cNvPicPr>
          <a:picLocks/>
        </xdr:cNvPicPr>
      </xdr:nvPicPr>
      <xdr:blipFill>
        <a:blip xmlns:r="http://schemas.openxmlformats.org/officeDocument/2006/relationships" r:embed="rId1"/>
        <a:stretch>
          <a:fillRect/>
        </a:stretch>
      </xdr:blipFill>
      <xdr:spPr>
        <a:xfrm>
          <a:off x="0" y="0"/>
          <a:ext cx="15392398" cy="36766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25</xdr:col>
      <xdr:colOff>161925</xdr:colOff>
      <xdr:row>21</xdr:row>
      <xdr:rowOff>123828</xdr:rowOff>
    </xdr:to>
    <xdr:pic>
      <xdr:nvPicPr>
        <xdr:cNvPr id="4" name="REPL1A_NIT_ER_Plot" descr="xlwings_plot.png">
          <a:extLst>
            <a:ext uri="{FF2B5EF4-FFF2-40B4-BE49-F238E27FC236}">
              <a16:creationId xmlns="" xmlns:a16="http://schemas.microsoft.com/office/drawing/2014/main" id="{00000000-0008-0000-0300-000004000000}"/>
            </a:ext>
          </a:extLst>
        </xdr:cNvPr>
        <xdr:cNvPicPr>
          <a:picLocks/>
        </xdr:cNvPicPr>
      </xdr:nvPicPr>
      <xdr:blipFill>
        <a:blip xmlns:r="http://schemas.openxmlformats.org/officeDocument/2006/relationships" r:embed="rId1"/>
        <a:stretch>
          <a:fillRect/>
        </a:stretch>
      </xdr:blipFill>
      <xdr:spPr>
        <a:xfrm>
          <a:off x="0" y="3"/>
          <a:ext cx="17359842" cy="4346575"/>
        </a:xfrm>
        <a:prstGeom prst="rect">
          <a:avLst/>
        </a:prstGeom>
      </xdr:spPr>
    </xdr:pic>
    <xdr:clientData/>
  </xdr:twoCellAnchor>
  <xdr:twoCellAnchor editAs="oneCell">
    <xdr:from>
      <xdr:col>0</xdr:col>
      <xdr:colOff>0</xdr:colOff>
      <xdr:row>25</xdr:row>
      <xdr:rowOff>123826</xdr:rowOff>
    </xdr:from>
    <xdr:to>
      <xdr:col>25</xdr:col>
      <xdr:colOff>121227</xdr:colOff>
      <xdr:row>48</xdr:row>
      <xdr:rowOff>103910</xdr:rowOff>
    </xdr:to>
    <xdr:pic>
      <xdr:nvPicPr>
        <xdr:cNvPr id="5" name="REPL1A_NIT_UNIF_Plot" descr="xlwings_plot.png">
          <a:extLst>
            <a:ext uri="{FF2B5EF4-FFF2-40B4-BE49-F238E27FC236}">
              <a16:creationId xmlns="" xmlns:a16="http://schemas.microsoft.com/office/drawing/2014/main" id="{00000000-0008-0000-0300-000005000000}"/>
            </a:ext>
          </a:extLst>
        </xdr:cNvPr>
        <xdr:cNvPicPr>
          <a:picLocks/>
        </xdr:cNvPicPr>
      </xdr:nvPicPr>
      <xdr:blipFill>
        <a:blip xmlns:r="http://schemas.openxmlformats.org/officeDocument/2006/relationships" r:embed="rId2"/>
        <a:stretch>
          <a:fillRect/>
        </a:stretch>
      </xdr:blipFill>
      <xdr:spPr>
        <a:xfrm>
          <a:off x="0" y="5150909"/>
          <a:ext cx="17319144" cy="460500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19</xdr:col>
      <xdr:colOff>485775</xdr:colOff>
      <xdr:row>14</xdr:row>
      <xdr:rowOff>123828</xdr:rowOff>
    </xdr:to>
    <xdr:pic>
      <xdr:nvPicPr>
        <xdr:cNvPr id="4" name="REPL1A_POLY_ER_Plot" descr="xlwings_plot.png">
          <a:extLst>
            <a:ext uri="{FF2B5EF4-FFF2-40B4-BE49-F238E27FC236}">
              <a16:creationId xmlns="" xmlns:a16="http://schemas.microsoft.com/office/drawing/2014/main" id="{00000000-0008-0000-0400-000004000000}"/>
            </a:ext>
          </a:extLst>
        </xdr:cNvPr>
        <xdr:cNvPicPr>
          <a:picLocks/>
        </xdr:cNvPicPr>
      </xdr:nvPicPr>
      <xdr:blipFill>
        <a:blip xmlns:r="http://schemas.openxmlformats.org/officeDocument/2006/relationships" r:embed="rId1"/>
        <a:stretch>
          <a:fillRect/>
        </a:stretch>
      </xdr:blipFill>
      <xdr:spPr>
        <a:xfrm>
          <a:off x="0" y="3"/>
          <a:ext cx="13515975" cy="2924175"/>
        </a:xfrm>
        <a:prstGeom prst="rect">
          <a:avLst/>
        </a:prstGeom>
      </xdr:spPr>
    </xdr:pic>
    <xdr:clientData/>
  </xdr:twoCellAnchor>
  <xdr:twoCellAnchor editAs="oneCell">
    <xdr:from>
      <xdr:col>0</xdr:col>
      <xdr:colOff>0</xdr:colOff>
      <xdr:row>18</xdr:row>
      <xdr:rowOff>133352</xdr:rowOff>
    </xdr:from>
    <xdr:to>
      <xdr:col>19</xdr:col>
      <xdr:colOff>457200</xdr:colOff>
      <xdr:row>35</xdr:row>
      <xdr:rowOff>114302</xdr:rowOff>
    </xdr:to>
    <xdr:pic>
      <xdr:nvPicPr>
        <xdr:cNvPr id="5" name="REPL1A_POLY_UNIF_Plot" descr="xlwings_plot.png">
          <a:extLst>
            <a:ext uri="{FF2B5EF4-FFF2-40B4-BE49-F238E27FC236}">
              <a16:creationId xmlns="" xmlns:a16="http://schemas.microsoft.com/office/drawing/2014/main" id="{00000000-0008-0000-0400-000005000000}"/>
            </a:ext>
          </a:extLst>
        </xdr:cNvPr>
        <xdr:cNvPicPr>
          <a:picLocks/>
        </xdr:cNvPicPr>
      </xdr:nvPicPr>
      <xdr:blipFill>
        <a:blip xmlns:r="http://schemas.openxmlformats.org/officeDocument/2006/relationships" r:embed="rId2"/>
        <a:stretch>
          <a:fillRect/>
        </a:stretch>
      </xdr:blipFill>
      <xdr:spPr>
        <a:xfrm>
          <a:off x="0" y="3733802"/>
          <a:ext cx="13487400" cy="338137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comments" Target="../comments1.x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vmlDrawing" Target="../drawings/vmlDrawing1.vml"/><Relationship Id="rId16" Type="http://schemas.openxmlformats.org/officeDocument/2006/relationships/ctrlProp" Target="../ctrlProps/ctrlProp1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1"/>
  <dimension ref="A1:T57"/>
  <sheetViews>
    <sheetView workbookViewId="0">
      <selection activeCell="I12" sqref="I12"/>
    </sheetView>
  </sheetViews>
  <sheetFormatPr defaultColWidth="11" defaultRowHeight="15.75"/>
  <sheetData>
    <row r="1" spans="1:20" s="2" customFormat="1" ht="12.75">
      <c r="A1" s="419" t="s">
        <v>11</v>
      </c>
      <c r="B1" s="420"/>
      <c r="C1" s="420"/>
      <c r="D1" s="420"/>
      <c r="E1" s="420"/>
      <c r="F1" s="420"/>
      <c r="G1" s="421"/>
    </row>
    <row r="2" spans="1:20">
      <c r="A2" s="3" t="s">
        <v>12</v>
      </c>
      <c r="B2" s="4"/>
      <c r="C2" s="5"/>
      <c r="D2" s="6"/>
      <c r="E2" s="6"/>
      <c r="F2" s="4"/>
      <c r="G2" s="7" t="s">
        <v>13</v>
      </c>
      <c r="H2" s="8"/>
      <c r="I2" s="8"/>
      <c r="J2" s="8"/>
      <c r="K2" s="9"/>
      <c r="L2" s="9"/>
      <c r="M2" s="9"/>
      <c r="N2" s="8"/>
      <c r="O2" s="8"/>
      <c r="P2" s="8"/>
      <c r="Q2" s="8"/>
      <c r="R2" s="8"/>
      <c r="S2" s="8"/>
      <c r="T2" s="8"/>
    </row>
    <row r="3" spans="1:20">
      <c r="A3" s="10" t="s">
        <v>14</v>
      </c>
      <c r="B3" s="11"/>
      <c r="C3" s="6"/>
      <c r="D3" s="6"/>
      <c r="E3" s="6"/>
      <c r="F3" s="422" t="s">
        <v>15</v>
      </c>
      <c r="G3" s="423"/>
      <c r="H3" s="12"/>
      <c r="I3" s="12"/>
      <c r="J3" s="12"/>
      <c r="K3" s="12"/>
      <c r="L3" s="12"/>
      <c r="M3" s="12"/>
      <c r="N3" s="12"/>
      <c r="O3" s="12"/>
      <c r="P3" s="12"/>
      <c r="Q3" s="12"/>
      <c r="R3" s="12"/>
      <c r="S3" s="12"/>
      <c r="T3" s="13"/>
    </row>
    <row r="4" spans="1:20">
      <c r="A4" s="10" t="s">
        <v>16</v>
      </c>
      <c r="B4" s="11"/>
      <c r="C4" s="6"/>
      <c r="D4" s="6"/>
      <c r="E4" s="6"/>
      <c r="F4" s="422" t="s">
        <v>17</v>
      </c>
      <c r="G4" s="423"/>
      <c r="H4" s="12"/>
      <c r="I4" s="12"/>
      <c r="J4" s="12"/>
      <c r="K4" s="12"/>
      <c r="L4" s="12"/>
      <c r="M4" s="12"/>
      <c r="N4" s="12"/>
      <c r="O4" s="12"/>
      <c r="P4" s="12"/>
      <c r="Q4" s="12"/>
      <c r="R4" s="12"/>
      <c r="S4" s="12"/>
      <c r="T4" s="13"/>
    </row>
    <row r="5" spans="1:20">
      <c r="A5" s="3" t="s">
        <v>18</v>
      </c>
      <c r="B5" s="11"/>
      <c r="C5" s="6"/>
      <c r="D5" s="6"/>
      <c r="E5" s="6"/>
      <c r="F5" s="6"/>
      <c r="G5" s="14"/>
      <c r="H5" s="12"/>
      <c r="I5" s="12"/>
      <c r="J5" s="12"/>
      <c r="K5" s="12"/>
      <c r="L5" s="12"/>
      <c r="M5" s="12"/>
      <c r="N5" s="12"/>
      <c r="O5" s="12"/>
      <c r="P5" s="12"/>
      <c r="Q5" s="12"/>
      <c r="R5" s="12"/>
      <c r="S5" s="12"/>
      <c r="T5" s="13"/>
    </row>
    <row r="6" spans="1:20">
      <c r="A6" s="3" t="s">
        <v>19</v>
      </c>
      <c r="B6" s="11"/>
      <c r="C6" s="6"/>
      <c r="D6" s="6"/>
      <c r="E6" s="6"/>
      <c r="F6" s="6"/>
      <c r="G6" s="14"/>
      <c r="H6" s="12"/>
      <c r="I6" s="12"/>
      <c r="J6" s="12"/>
      <c r="K6" s="12"/>
      <c r="L6" s="12"/>
      <c r="M6" s="12"/>
      <c r="N6" s="12"/>
      <c r="O6" s="12"/>
      <c r="P6" s="12"/>
      <c r="Q6" s="12"/>
      <c r="R6" s="12"/>
      <c r="S6" s="12"/>
      <c r="T6" s="13"/>
    </row>
    <row r="7" spans="1:20">
      <c r="A7" s="15"/>
      <c r="B7" s="16" t="s">
        <v>20</v>
      </c>
      <c r="C7" s="6"/>
      <c r="D7" s="6"/>
      <c r="E7" s="6"/>
      <c r="F7" s="6"/>
      <c r="G7" s="14"/>
      <c r="H7" s="12"/>
      <c r="I7" s="12"/>
      <c r="J7" s="12"/>
      <c r="K7" s="12"/>
      <c r="L7" s="12"/>
      <c r="M7" s="12"/>
      <c r="N7" s="12"/>
      <c r="O7" s="12"/>
      <c r="P7" s="12"/>
      <c r="Q7" s="12"/>
      <c r="R7" s="12"/>
      <c r="S7" s="12"/>
      <c r="T7" s="13"/>
    </row>
    <row r="8" spans="1:20">
      <c r="A8" s="15"/>
      <c r="B8" s="16" t="s">
        <v>21</v>
      </c>
      <c r="C8" s="6"/>
      <c r="D8" s="6"/>
      <c r="E8" s="6"/>
      <c r="F8" s="6"/>
      <c r="G8" s="14"/>
      <c r="H8" s="12"/>
      <c r="I8" s="12"/>
      <c r="J8" s="12"/>
      <c r="K8" s="12"/>
      <c r="L8" s="12"/>
      <c r="M8" s="12"/>
      <c r="N8" s="12"/>
      <c r="O8" s="12"/>
      <c r="P8" s="12"/>
      <c r="Q8" s="12"/>
      <c r="R8" s="12"/>
      <c r="S8" s="12"/>
      <c r="T8" s="13"/>
    </row>
    <row r="9" spans="1:20">
      <c r="A9" s="15"/>
      <c r="B9" s="16" t="s">
        <v>22</v>
      </c>
      <c r="C9" s="6"/>
      <c r="D9" s="6"/>
      <c r="E9" s="6"/>
      <c r="F9" s="6"/>
      <c r="G9" s="14"/>
      <c r="H9" s="12"/>
      <c r="I9" s="12"/>
      <c r="J9" s="12"/>
      <c r="K9" s="12"/>
      <c r="L9" s="12"/>
      <c r="M9" s="12"/>
      <c r="N9" s="12"/>
      <c r="O9" s="12"/>
      <c r="P9" s="12"/>
      <c r="Q9" s="12"/>
      <c r="R9" s="12"/>
      <c r="S9" s="12"/>
      <c r="T9" s="13"/>
    </row>
    <row r="10" spans="1:20">
      <c r="A10" s="15"/>
      <c r="B10" s="16" t="s">
        <v>23</v>
      </c>
      <c r="C10" s="6"/>
      <c r="D10" s="6"/>
      <c r="E10" s="6"/>
      <c r="F10" s="6"/>
      <c r="G10" s="14"/>
      <c r="H10" s="12"/>
      <c r="I10" s="12"/>
      <c r="J10" s="12"/>
      <c r="K10" s="12"/>
      <c r="L10" s="12"/>
      <c r="M10" s="12"/>
      <c r="N10" s="12"/>
      <c r="O10" s="12"/>
      <c r="P10" s="12"/>
      <c r="Q10" s="12"/>
      <c r="R10" s="12"/>
      <c r="S10" s="12"/>
      <c r="T10" s="13"/>
    </row>
    <row r="11" spans="1:20">
      <c r="A11" s="17"/>
      <c r="B11" s="16" t="s">
        <v>24</v>
      </c>
      <c r="C11" s="6"/>
      <c r="D11" s="6"/>
      <c r="E11" s="6"/>
      <c r="F11" s="18"/>
      <c r="G11" s="19"/>
      <c r="H11" s="12"/>
      <c r="I11" s="12"/>
      <c r="J11" s="12"/>
      <c r="K11" s="12"/>
      <c r="L11" s="12"/>
      <c r="M11" s="12"/>
      <c r="N11" s="12"/>
      <c r="O11" s="12"/>
      <c r="P11" s="12"/>
      <c r="Q11" s="12"/>
      <c r="R11" s="12"/>
      <c r="S11" s="12"/>
      <c r="T11" s="13"/>
    </row>
    <row r="12" spans="1:20" ht="24">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c r="A13" s="415"/>
      <c r="B13" s="24" t="s">
        <v>32</v>
      </c>
      <c r="C13" s="25"/>
      <c r="D13" s="24" t="s">
        <v>33</v>
      </c>
      <c r="E13" s="26"/>
      <c r="F13" s="418"/>
      <c r="G13" s="27"/>
      <c r="H13" s="28"/>
      <c r="I13" s="29"/>
      <c r="J13" s="28"/>
      <c r="K13" s="28"/>
      <c r="L13" s="28"/>
      <c r="M13" s="28"/>
      <c r="N13" s="28"/>
      <c r="O13" s="28"/>
      <c r="P13" s="28"/>
      <c r="Q13" s="28"/>
      <c r="R13" s="28"/>
      <c r="S13" s="28"/>
      <c r="T13" s="13"/>
    </row>
    <row r="14" spans="1:20">
      <c r="A14" s="416"/>
      <c r="B14" s="24" t="s">
        <v>34</v>
      </c>
      <c r="C14" s="25"/>
      <c r="D14" s="24" t="s">
        <v>33</v>
      </c>
      <c r="E14" s="26"/>
      <c r="F14" s="418"/>
      <c r="G14" s="27"/>
      <c r="H14" s="28"/>
      <c r="I14" s="29"/>
      <c r="J14" s="28"/>
      <c r="K14" s="28"/>
      <c r="L14" s="28"/>
      <c r="M14" s="28"/>
      <c r="N14" s="28"/>
      <c r="O14" s="28"/>
      <c r="P14" s="28"/>
      <c r="Q14" s="28"/>
      <c r="R14" s="28"/>
      <c r="S14" s="28"/>
      <c r="T14" s="13"/>
    </row>
    <row r="15" spans="1:20">
      <c r="A15" s="416"/>
      <c r="B15" s="24" t="s">
        <v>35</v>
      </c>
      <c r="C15" s="25"/>
      <c r="D15" s="24" t="s">
        <v>33</v>
      </c>
      <c r="E15" s="26"/>
      <c r="F15" s="418"/>
      <c r="G15" s="27"/>
      <c r="H15" s="28"/>
      <c r="I15" s="29"/>
      <c r="J15" s="28"/>
      <c r="K15" s="28"/>
      <c r="L15" s="28"/>
      <c r="M15" s="28"/>
      <c r="N15" s="28"/>
      <c r="O15" s="28"/>
      <c r="P15" s="28"/>
      <c r="Q15" s="28"/>
      <c r="R15" s="28"/>
      <c r="S15" s="28"/>
      <c r="T15" s="13"/>
    </row>
    <row r="16" spans="1:20">
      <c r="A16" s="416"/>
      <c r="B16" s="24" t="s">
        <v>36</v>
      </c>
      <c r="C16" s="25"/>
      <c r="D16" s="24" t="s">
        <v>33</v>
      </c>
      <c r="E16" s="26"/>
      <c r="F16" s="418"/>
      <c r="G16" s="27"/>
      <c r="H16" s="28"/>
      <c r="I16" s="29"/>
      <c r="J16" s="28"/>
      <c r="K16" s="28"/>
      <c r="L16" s="28"/>
      <c r="M16" s="28"/>
      <c r="N16" s="28"/>
      <c r="O16" s="28"/>
      <c r="P16" s="28"/>
      <c r="Q16" s="28"/>
      <c r="R16" s="28"/>
      <c r="S16" s="28"/>
      <c r="T16" s="13"/>
    </row>
    <row r="17" spans="1:20">
      <c r="A17" s="417"/>
      <c r="B17" s="24" t="s">
        <v>37</v>
      </c>
      <c r="C17" s="25"/>
      <c r="D17" s="24" t="s">
        <v>33</v>
      </c>
      <c r="E17" s="26"/>
      <c r="F17" s="418"/>
      <c r="G17" s="27"/>
      <c r="H17" s="28"/>
      <c r="I17" s="29"/>
      <c r="J17" s="28"/>
      <c r="K17" s="28"/>
      <c r="L17" s="28"/>
      <c r="M17" s="28"/>
      <c r="N17" s="28"/>
      <c r="O17" s="28"/>
      <c r="P17" s="28"/>
      <c r="Q17" s="28"/>
      <c r="R17" s="28"/>
      <c r="S17" s="28"/>
      <c r="T17" s="13"/>
    </row>
    <row r="18" spans="1:20">
      <c r="A18" s="415"/>
      <c r="B18" s="24" t="s">
        <v>32</v>
      </c>
      <c r="C18" s="25"/>
      <c r="D18" s="24" t="s">
        <v>33</v>
      </c>
      <c r="E18" s="26"/>
      <c r="F18" s="418"/>
      <c r="G18" s="27"/>
    </row>
    <row r="19" spans="1:20">
      <c r="A19" s="416"/>
      <c r="B19" s="24" t="s">
        <v>34</v>
      </c>
      <c r="C19" s="25"/>
      <c r="D19" s="24" t="s">
        <v>33</v>
      </c>
      <c r="E19" s="26"/>
      <c r="F19" s="418"/>
      <c r="G19" s="27"/>
    </row>
    <row r="20" spans="1:20">
      <c r="A20" s="416"/>
      <c r="B20" s="24" t="s">
        <v>35</v>
      </c>
      <c r="C20" s="25"/>
      <c r="D20" s="24" t="s">
        <v>33</v>
      </c>
      <c r="E20" s="26"/>
      <c r="F20" s="418"/>
      <c r="G20" s="27"/>
    </row>
    <row r="21" spans="1:20">
      <c r="A21" s="416"/>
      <c r="B21" s="24" t="s">
        <v>36</v>
      </c>
      <c r="C21" s="25"/>
      <c r="D21" s="24" t="s">
        <v>33</v>
      </c>
      <c r="E21" s="26"/>
      <c r="F21" s="418"/>
      <c r="G21" s="27"/>
    </row>
    <row r="22" spans="1:20">
      <c r="A22" s="417"/>
      <c r="B22" s="24" t="s">
        <v>37</v>
      </c>
      <c r="C22" s="25"/>
      <c r="D22" s="24" t="s">
        <v>33</v>
      </c>
      <c r="E22" s="26"/>
      <c r="F22" s="418"/>
      <c r="G22" s="27"/>
    </row>
    <row r="23" spans="1:20">
      <c r="A23" s="415"/>
      <c r="B23" s="24" t="s">
        <v>32</v>
      </c>
      <c r="C23" s="25"/>
      <c r="D23" s="24" t="s">
        <v>33</v>
      </c>
      <c r="E23" s="26"/>
      <c r="F23" s="418"/>
      <c r="G23" s="27"/>
    </row>
    <row r="24" spans="1:20">
      <c r="A24" s="416"/>
      <c r="B24" s="24" t="s">
        <v>34</v>
      </c>
      <c r="C24" s="25"/>
      <c r="D24" s="24" t="s">
        <v>33</v>
      </c>
      <c r="E24" s="26"/>
      <c r="F24" s="418"/>
      <c r="G24" s="27"/>
    </row>
    <row r="25" spans="1:20">
      <c r="A25" s="416"/>
      <c r="B25" s="24" t="s">
        <v>35</v>
      </c>
      <c r="C25" s="25"/>
      <c r="D25" s="24" t="s">
        <v>33</v>
      </c>
      <c r="E25" s="26"/>
      <c r="F25" s="418"/>
      <c r="G25" s="27"/>
    </row>
    <row r="26" spans="1:20">
      <c r="A26" s="416"/>
      <c r="B26" s="24" t="s">
        <v>36</v>
      </c>
      <c r="C26" s="25"/>
      <c r="D26" s="24" t="s">
        <v>33</v>
      </c>
      <c r="E26" s="26"/>
      <c r="F26" s="418"/>
      <c r="G26" s="27"/>
    </row>
    <row r="27" spans="1:20">
      <c r="A27" s="417"/>
      <c r="B27" s="24" t="s">
        <v>37</v>
      </c>
      <c r="C27" s="25"/>
      <c r="D27" s="24" t="s">
        <v>33</v>
      </c>
      <c r="E27" s="26"/>
      <c r="F27" s="418"/>
      <c r="G27" s="27"/>
    </row>
    <row r="28" spans="1:20">
      <c r="A28" s="415"/>
      <c r="B28" s="24" t="s">
        <v>32</v>
      </c>
      <c r="C28" s="25"/>
      <c r="D28" s="24" t="s">
        <v>33</v>
      </c>
      <c r="E28" s="26"/>
      <c r="F28" s="418"/>
      <c r="G28" s="27"/>
    </row>
    <row r="29" spans="1:20">
      <c r="A29" s="416"/>
      <c r="B29" s="24" t="s">
        <v>34</v>
      </c>
      <c r="C29" s="25"/>
      <c r="D29" s="24" t="s">
        <v>33</v>
      </c>
      <c r="E29" s="26"/>
      <c r="F29" s="418"/>
      <c r="G29" s="27"/>
    </row>
    <row r="30" spans="1:20">
      <c r="A30" s="416"/>
      <c r="B30" s="24" t="s">
        <v>35</v>
      </c>
      <c r="C30" s="25"/>
      <c r="D30" s="24" t="s">
        <v>33</v>
      </c>
      <c r="E30" s="26"/>
      <c r="F30" s="418"/>
      <c r="G30" s="27"/>
    </row>
    <row r="31" spans="1:20">
      <c r="A31" s="416"/>
      <c r="B31" s="24" t="s">
        <v>36</v>
      </c>
      <c r="C31" s="25"/>
      <c r="D31" s="24" t="s">
        <v>33</v>
      </c>
      <c r="E31" s="26"/>
      <c r="F31" s="418"/>
      <c r="G31" s="27"/>
    </row>
    <row r="32" spans="1:20">
      <c r="A32" s="417"/>
      <c r="B32" s="24" t="s">
        <v>37</v>
      </c>
      <c r="C32" s="25"/>
      <c r="D32" s="24" t="s">
        <v>33</v>
      </c>
      <c r="E32" s="26"/>
      <c r="F32" s="418"/>
      <c r="G32" s="27"/>
    </row>
    <row r="33" spans="1:7">
      <c r="A33" s="415"/>
      <c r="B33" s="24" t="s">
        <v>32</v>
      </c>
      <c r="C33" s="25"/>
      <c r="D33" s="24" t="s">
        <v>33</v>
      </c>
      <c r="E33" s="26"/>
      <c r="F33" s="418"/>
      <c r="G33" s="27"/>
    </row>
    <row r="34" spans="1:7">
      <c r="A34" s="416"/>
      <c r="B34" s="24" t="s">
        <v>34</v>
      </c>
      <c r="C34" s="25"/>
      <c r="D34" s="24" t="s">
        <v>33</v>
      </c>
      <c r="E34" s="26"/>
      <c r="F34" s="418"/>
      <c r="G34" s="27"/>
    </row>
    <row r="35" spans="1:7">
      <c r="A35" s="416"/>
      <c r="B35" s="24" t="s">
        <v>35</v>
      </c>
      <c r="C35" s="25"/>
      <c r="D35" s="24" t="s">
        <v>33</v>
      </c>
      <c r="E35" s="26"/>
      <c r="F35" s="418"/>
      <c r="G35" s="27"/>
    </row>
    <row r="36" spans="1:7">
      <c r="A36" s="416"/>
      <c r="B36" s="24" t="s">
        <v>36</v>
      </c>
      <c r="C36" s="25"/>
      <c r="D36" s="24" t="s">
        <v>33</v>
      </c>
      <c r="E36" s="26"/>
      <c r="F36" s="418"/>
      <c r="G36" s="27"/>
    </row>
    <row r="37" spans="1:7">
      <c r="A37" s="417"/>
      <c r="B37" s="24" t="s">
        <v>37</v>
      </c>
      <c r="C37" s="25"/>
      <c r="D37" s="24" t="s">
        <v>33</v>
      </c>
      <c r="E37" s="26"/>
      <c r="F37" s="418"/>
      <c r="G37" s="27"/>
    </row>
    <row r="38" spans="1:7">
      <c r="A38" s="415"/>
      <c r="B38" s="24" t="s">
        <v>32</v>
      </c>
      <c r="C38" s="25"/>
      <c r="D38" s="24" t="s">
        <v>33</v>
      </c>
      <c r="E38" s="26"/>
      <c r="F38" s="418"/>
      <c r="G38" s="27"/>
    </row>
    <row r="39" spans="1:7">
      <c r="A39" s="416"/>
      <c r="B39" s="24" t="s">
        <v>34</v>
      </c>
      <c r="C39" s="25"/>
      <c r="D39" s="24" t="s">
        <v>33</v>
      </c>
      <c r="E39" s="26"/>
      <c r="F39" s="418"/>
      <c r="G39" s="27"/>
    </row>
    <row r="40" spans="1:7">
      <c r="A40" s="416"/>
      <c r="B40" s="24" t="s">
        <v>35</v>
      </c>
      <c r="C40" s="25"/>
      <c r="D40" s="24" t="s">
        <v>33</v>
      </c>
      <c r="E40" s="26"/>
      <c r="F40" s="418"/>
      <c r="G40" s="27"/>
    </row>
    <row r="41" spans="1:7">
      <c r="A41" s="416"/>
      <c r="B41" s="24" t="s">
        <v>36</v>
      </c>
      <c r="C41" s="25"/>
      <c r="D41" s="24" t="s">
        <v>33</v>
      </c>
      <c r="E41" s="26"/>
      <c r="F41" s="418"/>
      <c r="G41" s="27"/>
    </row>
    <row r="42" spans="1:7">
      <c r="A42" s="417"/>
      <c r="B42" s="24" t="s">
        <v>37</v>
      </c>
      <c r="C42" s="25"/>
      <c r="D42" s="24" t="s">
        <v>33</v>
      </c>
      <c r="E42" s="26"/>
      <c r="F42" s="418"/>
      <c r="G42" s="27"/>
    </row>
    <row r="43" spans="1:7">
      <c r="A43" s="415"/>
      <c r="B43" s="24" t="s">
        <v>32</v>
      </c>
      <c r="C43" s="25"/>
      <c r="D43" s="24" t="s">
        <v>33</v>
      </c>
      <c r="E43" s="26"/>
      <c r="F43" s="418"/>
      <c r="G43" s="27"/>
    </row>
    <row r="44" spans="1:7">
      <c r="A44" s="416"/>
      <c r="B44" s="24" t="s">
        <v>34</v>
      </c>
      <c r="C44" s="25"/>
      <c r="D44" s="24" t="s">
        <v>33</v>
      </c>
      <c r="E44" s="26"/>
      <c r="F44" s="418"/>
      <c r="G44" s="27"/>
    </row>
    <row r="45" spans="1:7">
      <c r="A45" s="416"/>
      <c r="B45" s="24" t="s">
        <v>35</v>
      </c>
      <c r="C45" s="25"/>
      <c r="D45" s="24" t="s">
        <v>33</v>
      </c>
      <c r="E45" s="26"/>
      <c r="F45" s="418"/>
      <c r="G45" s="27"/>
    </row>
    <row r="46" spans="1:7">
      <c r="A46" s="416"/>
      <c r="B46" s="24" t="s">
        <v>36</v>
      </c>
      <c r="C46" s="25"/>
      <c r="D46" s="24" t="s">
        <v>33</v>
      </c>
      <c r="E46" s="26"/>
      <c r="F46" s="418"/>
      <c r="G46" s="27"/>
    </row>
    <row r="47" spans="1:7">
      <c r="A47" s="417"/>
      <c r="B47" s="24" t="s">
        <v>37</v>
      </c>
      <c r="C47" s="25"/>
      <c r="D47" s="24" t="s">
        <v>33</v>
      </c>
      <c r="E47" s="26"/>
      <c r="F47" s="418"/>
      <c r="G47" s="27"/>
    </row>
    <row r="48" spans="1:7">
      <c r="A48" s="415"/>
      <c r="B48" s="24" t="s">
        <v>32</v>
      </c>
      <c r="C48" s="25"/>
      <c r="D48" s="24" t="s">
        <v>33</v>
      </c>
      <c r="E48" s="26"/>
      <c r="F48" s="418"/>
      <c r="G48" s="27"/>
    </row>
    <row r="49" spans="1:7">
      <c r="A49" s="416"/>
      <c r="B49" s="24" t="s">
        <v>34</v>
      </c>
      <c r="C49" s="25"/>
      <c r="D49" s="24" t="s">
        <v>33</v>
      </c>
      <c r="E49" s="26"/>
      <c r="F49" s="418"/>
      <c r="G49" s="27"/>
    </row>
    <row r="50" spans="1:7">
      <c r="A50" s="416"/>
      <c r="B50" s="24" t="s">
        <v>35</v>
      </c>
      <c r="C50" s="25"/>
      <c r="D50" s="24" t="s">
        <v>33</v>
      </c>
      <c r="E50" s="26"/>
      <c r="F50" s="418"/>
      <c r="G50" s="27"/>
    </row>
    <row r="51" spans="1:7">
      <c r="A51" s="416"/>
      <c r="B51" s="24" t="s">
        <v>36</v>
      </c>
      <c r="C51" s="25"/>
      <c r="D51" s="24" t="s">
        <v>33</v>
      </c>
      <c r="E51" s="26"/>
      <c r="F51" s="418"/>
      <c r="G51" s="27"/>
    </row>
    <row r="52" spans="1:7">
      <c r="A52" s="417"/>
      <c r="B52" s="24" t="s">
        <v>37</v>
      </c>
      <c r="C52" s="25"/>
      <c r="D52" s="24" t="s">
        <v>33</v>
      </c>
      <c r="E52" s="26"/>
      <c r="F52" s="418"/>
      <c r="G52" s="27"/>
    </row>
    <row r="53" spans="1:7">
      <c r="A53" s="415"/>
      <c r="B53" s="24" t="s">
        <v>32</v>
      </c>
      <c r="C53" s="25"/>
      <c r="D53" s="24" t="s">
        <v>33</v>
      </c>
      <c r="E53" s="26"/>
      <c r="F53" s="418"/>
      <c r="G53" s="27"/>
    </row>
    <row r="54" spans="1:7">
      <c r="A54" s="416"/>
      <c r="B54" s="24" t="s">
        <v>34</v>
      </c>
      <c r="C54" s="25"/>
      <c r="D54" s="24" t="s">
        <v>33</v>
      </c>
      <c r="E54" s="26"/>
      <c r="F54" s="418"/>
      <c r="G54" s="27"/>
    </row>
    <row r="55" spans="1:7">
      <c r="A55" s="416"/>
      <c r="B55" s="24" t="s">
        <v>35</v>
      </c>
      <c r="C55" s="25"/>
      <c r="D55" s="24" t="s">
        <v>33</v>
      </c>
      <c r="E55" s="26"/>
      <c r="F55" s="418"/>
      <c r="G55" s="27"/>
    </row>
    <row r="56" spans="1:7">
      <c r="A56" s="416"/>
      <c r="B56" s="24" t="s">
        <v>36</v>
      </c>
      <c r="C56" s="25"/>
      <c r="D56" s="24" t="s">
        <v>33</v>
      </c>
      <c r="E56" s="26"/>
      <c r="F56" s="418"/>
      <c r="G56" s="27"/>
    </row>
    <row r="57" spans="1:7">
      <c r="A57" s="417"/>
      <c r="B57" s="24" t="s">
        <v>37</v>
      </c>
      <c r="C57" s="25"/>
      <c r="D57" s="24" t="s">
        <v>33</v>
      </c>
      <c r="E57" s="26"/>
      <c r="F57" s="418"/>
      <c r="G57" s="27"/>
    </row>
  </sheetData>
  <mergeCells count="20">
    <mergeCell ref="A48:A52"/>
    <mergeCell ref="F48:F52"/>
    <mergeCell ref="A53:A57"/>
    <mergeCell ref="F53:F57"/>
    <mergeCell ref="F30:F35"/>
    <mergeCell ref="A33:A37"/>
    <mergeCell ref="F36:F41"/>
    <mergeCell ref="A38:A42"/>
    <mergeCell ref="F42:F47"/>
    <mergeCell ref="A43:A47"/>
    <mergeCell ref="A1:G1"/>
    <mergeCell ref="F3:G3"/>
    <mergeCell ref="F4:G4"/>
    <mergeCell ref="A13:A17"/>
    <mergeCell ref="F13:F17"/>
    <mergeCell ref="A18:A22"/>
    <mergeCell ref="F18:F23"/>
    <mergeCell ref="A23:A27"/>
    <mergeCell ref="F24:F29"/>
    <mergeCell ref="A28:A32"/>
  </mergeCells>
  <pageMargins left="0.75" right="0.75" top="1" bottom="1" header="0.5" footer="0.5"/>
</worksheet>
</file>

<file path=xl/worksheets/sheet2.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7"/>
  <dimension ref="A26:A123"/>
  <sheetViews>
    <sheetView workbookViewId="0">
      <selection activeCell="W21" sqref="W21"/>
    </sheetView>
  </sheetViews>
  <sheetFormatPr defaultRowHeight="15.75"/>
  <sheetData>
    <row r="26" spans="1:1">
      <c r="A26" s="33"/>
    </row>
    <row r="27" spans="1:1">
      <c r="A27" s="33"/>
    </row>
    <row r="28" spans="1:1">
      <c r="A28" s="33"/>
    </row>
    <row r="29" spans="1:1">
      <c r="A29" s="33"/>
    </row>
    <row r="30" spans="1:1">
      <c r="A30" s="33"/>
    </row>
    <row r="31" spans="1:1">
      <c r="A31" s="33"/>
    </row>
    <row r="32" spans="1:1">
      <c r="A32" s="33"/>
    </row>
    <row r="33" spans="1:1">
      <c r="A33" s="33"/>
    </row>
    <row r="34" spans="1:1">
      <c r="A34" s="33"/>
    </row>
    <row r="35" spans="1:1">
      <c r="A35" s="33"/>
    </row>
    <row r="36" spans="1:1">
      <c r="A36" s="33"/>
    </row>
    <row r="37" spans="1:1">
      <c r="A37" s="33"/>
    </row>
    <row r="38" spans="1:1">
      <c r="A38" s="33"/>
    </row>
    <row r="39" spans="1:1">
      <c r="A39" s="33"/>
    </row>
    <row r="40" spans="1:1">
      <c r="A40" s="33"/>
    </row>
    <row r="41" spans="1:1">
      <c r="A41" s="33"/>
    </row>
    <row r="42" spans="1:1">
      <c r="A42" s="33"/>
    </row>
    <row r="43" spans="1:1">
      <c r="A43" s="33"/>
    </row>
    <row r="44" spans="1:1">
      <c r="A44" s="33"/>
    </row>
    <row r="45" spans="1:1">
      <c r="A45" s="33"/>
    </row>
    <row r="46" spans="1:1">
      <c r="A46" s="33"/>
    </row>
    <row r="47" spans="1:1">
      <c r="A47" s="33"/>
    </row>
    <row r="48" spans="1:1">
      <c r="A48" s="33"/>
    </row>
    <row r="49" spans="1:1">
      <c r="A49" s="33"/>
    </row>
    <row r="50" spans="1:1">
      <c r="A50" s="33"/>
    </row>
    <row r="51" spans="1:1">
      <c r="A51" s="33"/>
    </row>
    <row r="52" spans="1:1">
      <c r="A52" s="33"/>
    </row>
    <row r="53" spans="1:1">
      <c r="A53" s="33"/>
    </row>
    <row r="54" spans="1:1">
      <c r="A54" s="33"/>
    </row>
    <row r="55" spans="1:1">
      <c r="A55" s="33"/>
    </row>
    <row r="56" spans="1:1">
      <c r="A56" s="33"/>
    </row>
    <row r="57" spans="1:1">
      <c r="A57" s="33"/>
    </row>
    <row r="58" spans="1:1">
      <c r="A58" s="33"/>
    </row>
    <row r="59" spans="1:1">
      <c r="A59" s="33"/>
    </row>
    <row r="60" spans="1:1">
      <c r="A60" s="33"/>
    </row>
    <row r="61" spans="1:1">
      <c r="A61" s="33"/>
    </row>
    <row r="62" spans="1:1">
      <c r="A62" s="33"/>
    </row>
    <row r="63" spans="1:1">
      <c r="A63" s="33"/>
    </row>
    <row r="64" spans="1:1">
      <c r="A64" s="33"/>
    </row>
    <row r="65" spans="1:1">
      <c r="A65" s="33"/>
    </row>
    <row r="66" spans="1:1">
      <c r="A66" s="33"/>
    </row>
    <row r="67" spans="1:1">
      <c r="A67" s="33"/>
    </row>
    <row r="68" spans="1:1">
      <c r="A68" s="33"/>
    </row>
    <row r="69" spans="1:1">
      <c r="A69" s="33"/>
    </row>
    <row r="70" spans="1:1">
      <c r="A70" s="33"/>
    </row>
    <row r="71" spans="1:1">
      <c r="A71" s="33"/>
    </row>
    <row r="72" spans="1:1">
      <c r="A72" s="33"/>
    </row>
    <row r="73" spans="1:1">
      <c r="A73" s="33"/>
    </row>
    <row r="74" spans="1:1">
      <c r="A74" s="33"/>
    </row>
    <row r="75" spans="1:1">
      <c r="A75" s="33"/>
    </row>
    <row r="76" spans="1:1">
      <c r="A76" s="33"/>
    </row>
    <row r="77" spans="1:1">
      <c r="A77" s="33"/>
    </row>
    <row r="78" spans="1:1">
      <c r="A78" s="33"/>
    </row>
    <row r="79" spans="1:1">
      <c r="A79" s="33"/>
    </row>
    <row r="80" spans="1:1">
      <c r="A80" s="33"/>
    </row>
    <row r="81" spans="1:1">
      <c r="A81" s="33"/>
    </row>
    <row r="82" spans="1:1">
      <c r="A82" s="33"/>
    </row>
    <row r="83" spans="1:1">
      <c r="A83" s="33"/>
    </row>
    <row r="84" spans="1:1">
      <c r="A84" s="33"/>
    </row>
    <row r="85" spans="1:1">
      <c r="A85" s="33"/>
    </row>
    <row r="86" spans="1:1">
      <c r="A86" s="33"/>
    </row>
    <row r="87" spans="1:1">
      <c r="A87" s="33"/>
    </row>
    <row r="88" spans="1:1">
      <c r="A88" s="33"/>
    </row>
    <row r="89" spans="1:1">
      <c r="A89" s="33"/>
    </row>
    <row r="90" spans="1:1">
      <c r="A90" s="33"/>
    </row>
    <row r="91" spans="1:1">
      <c r="A91" s="33"/>
    </row>
    <row r="92" spans="1:1">
      <c r="A92" s="33"/>
    </row>
    <row r="93" spans="1:1">
      <c r="A93" s="33"/>
    </row>
    <row r="94" spans="1:1">
      <c r="A94" s="33"/>
    </row>
    <row r="95" spans="1:1">
      <c r="A95" s="33"/>
    </row>
    <row r="96" spans="1:1">
      <c r="A96" s="33"/>
    </row>
    <row r="97" spans="1:1">
      <c r="A97" s="33"/>
    </row>
    <row r="98" spans="1:1">
      <c r="A98" s="33"/>
    </row>
    <row r="99" spans="1:1">
      <c r="A99" s="33"/>
    </row>
    <row r="100" spans="1:1">
      <c r="A100" s="33"/>
    </row>
    <row r="101" spans="1:1">
      <c r="A101" s="33"/>
    </row>
    <row r="102" spans="1:1">
      <c r="A102" s="33"/>
    </row>
    <row r="103" spans="1:1">
      <c r="A103" s="33"/>
    </row>
    <row r="104" spans="1:1">
      <c r="A104" s="33"/>
    </row>
    <row r="105" spans="1:1">
      <c r="A105" s="33"/>
    </row>
    <row r="106" spans="1:1">
      <c r="A106" s="33"/>
    </row>
    <row r="107" spans="1:1">
      <c r="A107" s="33"/>
    </row>
    <row r="108" spans="1:1">
      <c r="A108" s="33"/>
    </row>
    <row r="109" spans="1:1">
      <c r="A109" s="33"/>
    </row>
    <row r="110" spans="1:1">
      <c r="A110" s="33"/>
    </row>
    <row r="111" spans="1:1">
      <c r="A111" s="33"/>
    </row>
    <row r="112" spans="1:1">
      <c r="A112" s="33"/>
    </row>
    <row r="113" spans="1:1">
      <c r="A113" s="33"/>
    </row>
    <row r="114" spans="1:1">
      <c r="A114" s="33"/>
    </row>
    <row r="115" spans="1:1">
      <c r="A115" s="33"/>
    </row>
    <row r="116" spans="1:1">
      <c r="A116" s="33"/>
    </row>
    <row r="117" spans="1:1">
      <c r="A117" s="33"/>
    </row>
    <row r="118" spans="1:1">
      <c r="A118" s="33"/>
    </row>
    <row r="119" spans="1:1">
      <c r="A119" s="33"/>
    </row>
    <row r="120" spans="1:1">
      <c r="A120" s="33"/>
    </row>
    <row r="121" spans="1:1">
      <c r="A121" s="33"/>
    </row>
    <row r="122" spans="1:1">
      <c r="A122" s="33"/>
    </row>
    <row r="123" spans="1:1">
      <c r="A123" s="33"/>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Sheet8"/>
  <dimension ref="A29:A100"/>
  <sheetViews>
    <sheetView topLeftCell="H7" zoomScale="90" zoomScaleNormal="90" workbookViewId="0">
      <selection activeCell="X52" sqref="X52"/>
    </sheetView>
  </sheetViews>
  <sheetFormatPr defaultRowHeight="15.75"/>
  <sheetData>
    <row r="29" spans="1:1">
      <c r="A29" s="33"/>
    </row>
    <row r="30" spans="1:1">
      <c r="A30" s="33"/>
    </row>
    <row r="31" spans="1:1">
      <c r="A31" s="33"/>
    </row>
    <row r="32" spans="1:1">
      <c r="A32" s="33"/>
    </row>
    <row r="33" spans="1:1">
      <c r="A33" s="33"/>
    </row>
    <row r="34" spans="1:1">
      <c r="A34" s="33"/>
    </row>
    <row r="35" spans="1:1">
      <c r="A35" s="33"/>
    </row>
    <row r="36" spans="1:1">
      <c r="A36" s="33"/>
    </row>
    <row r="37" spans="1:1">
      <c r="A37" s="33"/>
    </row>
    <row r="38" spans="1:1">
      <c r="A38" s="33"/>
    </row>
    <row r="39" spans="1:1">
      <c r="A39" s="33"/>
    </row>
    <row r="40" spans="1:1">
      <c r="A40" s="33"/>
    </row>
    <row r="41" spans="1:1">
      <c r="A41" s="33"/>
    </row>
    <row r="42" spans="1:1">
      <c r="A42" s="33"/>
    </row>
    <row r="43" spans="1:1">
      <c r="A43" s="33"/>
    </row>
    <row r="44" spans="1:1">
      <c r="A44" s="33"/>
    </row>
    <row r="45" spans="1:1">
      <c r="A45" s="33"/>
    </row>
    <row r="46" spans="1:1">
      <c r="A46" s="33"/>
    </row>
    <row r="47" spans="1:1">
      <c r="A47" s="33"/>
    </row>
    <row r="48" spans="1:1">
      <c r="A48" s="33"/>
    </row>
    <row r="49" spans="1:1">
      <c r="A49" s="33"/>
    </row>
    <row r="50" spans="1:1">
      <c r="A50" s="33"/>
    </row>
    <row r="51" spans="1:1">
      <c r="A51" s="33"/>
    </row>
    <row r="52" spans="1:1">
      <c r="A52" s="33"/>
    </row>
    <row r="53" spans="1:1">
      <c r="A53" s="33"/>
    </row>
    <row r="54" spans="1:1">
      <c r="A54" s="33"/>
    </row>
    <row r="55" spans="1:1">
      <c r="A55" s="33"/>
    </row>
    <row r="56" spans="1:1">
      <c r="A56" s="33"/>
    </row>
    <row r="57" spans="1:1">
      <c r="A57" s="33"/>
    </row>
    <row r="58" spans="1:1">
      <c r="A58" s="33"/>
    </row>
    <row r="59" spans="1:1">
      <c r="A59" s="33"/>
    </row>
    <row r="60" spans="1:1">
      <c r="A60" s="33"/>
    </row>
    <row r="61" spans="1:1">
      <c r="A61" s="33"/>
    </row>
    <row r="62" spans="1:1">
      <c r="A62" s="33"/>
    </row>
    <row r="63" spans="1:1">
      <c r="A63" s="33"/>
    </row>
    <row r="64" spans="1:1">
      <c r="A64" s="33"/>
    </row>
    <row r="65" spans="1:1">
      <c r="A65" s="33"/>
    </row>
    <row r="66" spans="1:1">
      <c r="A66" s="33"/>
    </row>
    <row r="67" spans="1:1">
      <c r="A67" s="33"/>
    </row>
    <row r="68" spans="1:1">
      <c r="A68" s="33"/>
    </row>
    <row r="69" spans="1:1">
      <c r="A69" s="33"/>
    </row>
    <row r="70" spans="1:1">
      <c r="A70" s="33"/>
    </row>
    <row r="71" spans="1:1">
      <c r="A71" s="33"/>
    </row>
    <row r="72" spans="1:1">
      <c r="A72" s="33"/>
    </row>
    <row r="73" spans="1:1">
      <c r="A73" s="33"/>
    </row>
    <row r="74" spans="1:1">
      <c r="A74" s="33"/>
    </row>
    <row r="75" spans="1:1">
      <c r="A75" s="33"/>
    </row>
    <row r="76" spans="1:1">
      <c r="A76" s="33"/>
    </row>
    <row r="77" spans="1:1">
      <c r="A77" s="33"/>
    </row>
    <row r="78" spans="1:1">
      <c r="A78" s="33"/>
    </row>
    <row r="79" spans="1:1">
      <c r="A79" s="33"/>
    </row>
    <row r="80" spans="1:1">
      <c r="A80" s="33"/>
    </row>
    <row r="81" spans="1:1">
      <c r="A81" s="33"/>
    </row>
    <row r="82" spans="1:1">
      <c r="A82" s="33"/>
    </row>
    <row r="83" spans="1:1">
      <c r="A83" s="33"/>
    </row>
    <row r="84" spans="1:1">
      <c r="A84" s="33"/>
    </row>
    <row r="85" spans="1:1">
      <c r="A85" s="33"/>
    </row>
    <row r="86" spans="1:1">
      <c r="A86" s="33"/>
    </row>
    <row r="87" spans="1:1">
      <c r="A87" s="33"/>
    </row>
    <row r="88" spans="1:1">
      <c r="A88" s="33"/>
    </row>
    <row r="89" spans="1:1">
      <c r="A89" s="33"/>
    </row>
    <row r="90" spans="1:1">
      <c r="A90" s="33"/>
    </row>
    <row r="91" spans="1:1">
      <c r="A91" s="33"/>
    </row>
    <row r="92" spans="1:1">
      <c r="A92" s="33"/>
    </row>
    <row r="93" spans="1:1">
      <c r="A93" s="33"/>
    </row>
    <row r="94" spans="1:1">
      <c r="A94" s="33"/>
    </row>
    <row r="95" spans="1:1">
      <c r="A95" s="33"/>
    </row>
    <row r="96" spans="1:1">
      <c r="A96" s="33"/>
    </row>
    <row r="97" spans="1:1">
      <c r="A97" s="33"/>
    </row>
    <row r="98" spans="1:1">
      <c r="A98" s="33"/>
    </row>
    <row r="99" spans="1:1">
      <c r="A99" s="33"/>
    </row>
    <row r="100" spans="1:1">
      <c r="A100" s="33"/>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9"/>
  <dimension ref="A29:A106"/>
  <sheetViews>
    <sheetView topLeftCell="A13" workbookViewId="0">
      <selection activeCell="J17" sqref="J17"/>
    </sheetView>
  </sheetViews>
  <sheetFormatPr defaultRowHeight="15.75"/>
  <sheetData>
    <row r="29" spans="1:1">
      <c r="A29" s="33"/>
    </row>
    <row r="30" spans="1:1">
      <c r="A30" s="33"/>
    </row>
    <row r="31" spans="1:1">
      <c r="A31" s="33"/>
    </row>
    <row r="32" spans="1:1">
      <c r="A32" s="33"/>
    </row>
    <row r="33" spans="1:1">
      <c r="A33" s="33"/>
    </row>
    <row r="34" spans="1:1">
      <c r="A34" s="33"/>
    </row>
    <row r="35" spans="1:1">
      <c r="A35" s="33"/>
    </row>
    <row r="36" spans="1:1">
      <c r="A36" s="33"/>
    </row>
    <row r="37" spans="1:1">
      <c r="A37" s="33"/>
    </row>
    <row r="38" spans="1:1">
      <c r="A38" s="33"/>
    </row>
    <row r="39" spans="1:1">
      <c r="A39" s="33"/>
    </row>
    <row r="40" spans="1:1">
      <c r="A40" s="33"/>
    </row>
    <row r="41" spans="1:1">
      <c r="A41" s="33"/>
    </row>
    <row r="42" spans="1:1">
      <c r="A42" s="33"/>
    </row>
    <row r="43" spans="1:1">
      <c r="A43" s="33"/>
    </row>
    <row r="44" spans="1:1">
      <c r="A44" s="33"/>
    </row>
    <row r="45" spans="1:1">
      <c r="A45" s="33"/>
    </row>
    <row r="46" spans="1:1">
      <c r="A46" s="33"/>
    </row>
    <row r="47" spans="1:1">
      <c r="A47" s="33"/>
    </row>
    <row r="48" spans="1:1">
      <c r="A48" s="33"/>
    </row>
    <row r="49" spans="1:1">
      <c r="A49" s="33"/>
    </row>
    <row r="50" spans="1:1">
      <c r="A50" s="33"/>
    </row>
    <row r="51" spans="1:1">
      <c r="A51" s="33"/>
    </row>
    <row r="52" spans="1:1">
      <c r="A52" s="33"/>
    </row>
    <row r="53" spans="1:1">
      <c r="A53" s="33"/>
    </row>
    <row r="54" spans="1:1">
      <c r="A54" s="33"/>
    </row>
    <row r="55" spans="1:1">
      <c r="A55" s="33"/>
    </row>
    <row r="56" spans="1:1">
      <c r="A56" s="33"/>
    </row>
    <row r="57" spans="1:1">
      <c r="A57" s="33"/>
    </row>
    <row r="58" spans="1:1">
      <c r="A58" s="33"/>
    </row>
    <row r="59" spans="1:1">
      <c r="A59" s="33"/>
    </row>
    <row r="60" spans="1:1">
      <c r="A60" s="33"/>
    </row>
    <row r="61" spans="1:1">
      <c r="A61" s="33"/>
    </row>
    <row r="62" spans="1:1">
      <c r="A62" s="33"/>
    </row>
    <row r="63" spans="1:1">
      <c r="A63" s="33"/>
    </row>
    <row r="64" spans="1:1">
      <c r="A64" s="33"/>
    </row>
    <row r="65" spans="1:1">
      <c r="A65" s="33"/>
    </row>
    <row r="66" spans="1:1">
      <c r="A66" s="33"/>
    </row>
    <row r="67" spans="1:1">
      <c r="A67" s="33"/>
    </row>
    <row r="68" spans="1:1">
      <c r="A68" s="33"/>
    </row>
    <row r="69" spans="1:1">
      <c r="A69" s="33"/>
    </row>
    <row r="70" spans="1:1">
      <c r="A70" s="33"/>
    </row>
    <row r="71" spans="1:1">
      <c r="A71" s="33"/>
    </row>
    <row r="72" spans="1:1">
      <c r="A72" s="33"/>
    </row>
    <row r="73" spans="1:1">
      <c r="A73" s="33"/>
    </row>
    <row r="74" spans="1:1">
      <c r="A74" s="33"/>
    </row>
    <row r="75" spans="1:1">
      <c r="A75" s="33"/>
    </row>
    <row r="76" spans="1:1">
      <c r="A76" s="33"/>
    </row>
    <row r="77" spans="1:1">
      <c r="A77" s="33"/>
    </row>
    <row r="78" spans="1:1">
      <c r="A78" s="33"/>
    </row>
    <row r="79" spans="1:1">
      <c r="A79" s="33"/>
    </row>
    <row r="80" spans="1:1">
      <c r="A80" s="33"/>
    </row>
    <row r="81" spans="1:1">
      <c r="A81" s="33"/>
    </row>
    <row r="82" spans="1:1">
      <c r="A82" s="33"/>
    </row>
    <row r="83" spans="1:1">
      <c r="A83" s="33"/>
    </row>
    <row r="84" spans="1:1">
      <c r="A84" s="33"/>
    </row>
    <row r="85" spans="1:1">
      <c r="A85" s="33"/>
    </row>
    <row r="86" spans="1:1">
      <c r="A86" s="33"/>
    </row>
    <row r="87" spans="1:1">
      <c r="A87" s="33"/>
    </row>
    <row r="88" spans="1:1">
      <c r="A88" s="33"/>
    </row>
    <row r="89" spans="1:1">
      <c r="A89" s="33"/>
    </row>
    <row r="90" spans="1:1">
      <c r="A90" s="33"/>
    </row>
    <row r="91" spans="1:1">
      <c r="A91" s="33"/>
    </row>
    <row r="92" spans="1:1">
      <c r="A92" s="33"/>
    </row>
    <row r="93" spans="1:1">
      <c r="A93" s="33"/>
    </row>
    <row r="94" spans="1:1">
      <c r="A94" s="33"/>
    </row>
    <row r="95" spans="1:1">
      <c r="A95" s="33"/>
    </row>
    <row r="96" spans="1:1">
      <c r="A96" s="33"/>
    </row>
    <row r="97" spans="1:1">
      <c r="A97" s="33"/>
    </row>
    <row r="98" spans="1:1">
      <c r="A98" s="33"/>
    </row>
    <row r="99" spans="1:1">
      <c r="A99" s="33"/>
    </row>
    <row r="100" spans="1:1">
      <c r="A100" s="33"/>
    </row>
    <row r="101" spans="1:1">
      <c r="A101" s="33"/>
    </row>
    <row r="102" spans="1:1">
      <c r="A102" s="33"/>
    </row>
    <row r="103" spans="1:1">
      <c r="A103" s="33"/>
    </row>
    <row r="104" spans="1:1">
      <c r="A104" s="33"/>
    </row>
    <row r="105" spans="1:1">
      <c r="A105" s="33"/>
    </row>
    <row r="106" spans="1:1">
      <c r="A106" s="33"/>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Sheet4"/>
  <dimension ref="A1:J238"/>
  <sheetViews>
    <sheetView zoomScale="85" zoomScaleNormal="85" workbookViewId="0">
      <pane ySplit="9" topLeftCell="A182" activePane="bottomLeft" state="frozen"/>
      <selection pane="bottomLeft" activeCell="E212" sqref="E212"/>
    </sheetView>
  </sheetViews>
  <sheetFormatPr defaultColWidth="11.25" defaultRowHeight="12.75"/>
  <cols>
    <col min="1" max="1" width="12.25" style="116" customWidth="1"/>
    <col min="2" max="5" width="11.25" style="73"/>
    <col min="6" max="6" width="11.25" style="93"/>
    <col min="7" max="7" width="11.25" style="73"/>
    <col min="8" max="9" width="11.25" style="94"/>
    <col min="10" max="10" width="56.5" style="73" bestFit="1" customWidth="1"/>
    <col min="11" max="16384" width="11.25" style="73"/>
  </cols>
  <sheetData>
    <row r="1" spans="1:10" s="68" customFormat="1">
      <c r="A1" s="424" t="s">
        <v>11</v>
      </c>
      <c r="B1" s="424"/>
      <c r="C1" s="424"/>
      <c r="D1" s="424"/>
      <c r="E1" s="424"/>
      <c r="F1" s="424"/>
      <c r="G1" s="424"/>
      <c r="H1" s="424"/>
      <c r="I1" s="414"/>
      <c r="J1" s="67"/>
    </row>
    <row r="2" spans="1:10">
      <c r="A2" s="69" t="s">
        <v>128</v>
      </c>
      <c r="B2" s="413"/>
      <c r="C2" s="413"/>
      <c r="D2" s="413"/>
      <c r="E2" s="70"/>
      <c r="F2" s="95"/>
      <c r="G2" s="71"/>
      <c r="H2" s="413" t="s">
        <v>129</v>
      </c>
      <c r="I2" s="414" t="s">
        <v>129</v>
      </c>
      <c r="J2" s="72"/>
    </row>
    <row r="3" spans="1:10">
      <c r="A3" s="69" t="s">
        <v>130</v>
      </c>
      <c r="B3" s="74"/>
      <c r="C3" s="74"/>
      <c r="D3" s="74"/>
      <c r="E3" s="75" t="s">
        <v>38</v>
      </c>
      <c r="F3" s="96"/>
      <c r="G3" s="75"/>
      <c r="H3" s="75"/>
      <c r="I3" s="75"/>
      <c r="J3" s="72"/>
    </row>
    <row r="4" spans="1:10">
      <c r="A4" s="69" t="s">
        <v>131</v>
      </c>
      <c r="B4" s="75"/>
      <c r="C4" s="75"/>
      <c r="D4" s="75"/>
      <c r="E4" s="75" t="s">
        <v>39</v>
      </c>
      <c r="F4" s="96"/>
      <c r="G4" s="75"/>
      <c r="H4" s="75"/>
      <c r="I4" s="75"/>
      <c r="J4" s="72"/>
    </row>
    <row r="5" spans="1:10">
      <c r="A5" s="69" t="s">
        <v>132</v>
      </c>
      <c r="B5" s="74"/>
      <c r="C5" s="74"/>
      <c r="D5" s="74"/>
      <c r="E5" s="74"/>
      <c r="F5" s="96"/>
      <c r="G5" s="74"/>
      <c r="H5" s="74"/>
      <c r="I5" s="74"/>
      <c r="J5" s="72"/>
    </row>
    <row r="6" spans="1:10">
      <c r="A6" s="69" t="s">
        <v>133</v>
      </c>
      <c r="B6" s="74"/>
      <c r="C6" s="74"/>
      <c r="D6" s="74"/>
      <c r="E6" s="74"/>
      <c r="F6" s="96"/>
      <c r="G6" s="74"/>
      <c r="H6" s="74"/>
      <c r="I6" s="74"/>
      <c r="J6" s="72"/>
    </row>
    <row r="7" spans="1:10">
      <c r="A7" s="76"/>
      <c r="B7" s="74"/>
      <c r="C7" s="74"/>
      <c r="D7" s="74"/>
      <c r="E7" s="74"/>
      <c r="F7" s="96"/>
      <c r="G7" s="74"/>
      <c r="H7" s="74"/>
      <c r="I7" s="74"/>
      <c r="J7" s="72"/>
    </row>
    <row r="8" spans="1:10" ht="13.5" thickBot="1">
      <c r="A8" s="113"/>
      <c r="B8" s="425" t="s">
        <v>40</v>
      </c>
      <c r="C8" s="426"/>
      <c r="D8" s="97"/>
      <c r="E8" s="97"/>
      <c r="F8" s="98"/>
      <c r="G8" s="97"/>
      <c r="H8" s="99"/>
      <c r="I8" s="99"/>
      <c r="J8" s="100"/>
    </row>
    <row r="9" spans="1:10" s="77" customFormat="1" ht="33" customHeight="1" thickBot="1">
      <c r="A9" s="106" t="s">
        <v>135</v>
      </c>
      <c r="B9" s="107" t="s">
        <v>44</v>
      </c>
      <c r="C9" s="107" t="s">
        <v>45</v>
      </c>
      <c r="D9" s="108" t="s">
        <v>63</v>
      </c>
      <c r="E9" s="108" t="s">
        <v>29</v>
      </c>
      <c r="F9" s="107" t="s">
        <v>41</v>
      </c>
      <c r="G9" s="108" t="s">
        <v>42</v>
      </c>
      <c r="H9" s="109" t="s">
        <v>72</v>
      </c>
      <c r="I9" s="109" t="s">
        <v>43</v>
      </c>
      <c r="J9" s="110" t="s">
        <v>31</v>
      </c>
    </row>
    <row r="10" spans="1:10">
      <c r="A10" s="114">
        <v>43101</v>
      </c>
      <c r="B10" s="101">
        <v>17</v>
      </c>
      <c r="C10" s="101">
        <v>46</v>
      </c>
      <c r="D10" s="101">
        <v>29</v>
      </c>
      <c r="E10" s="102" t="s">
        <v>46</v>
      </c>
      <c r="F10" s="103">
        <v>1428</v>
      </c>
      <c r="G10" s="104" t="s">
        <v>47</v>
      </c>
      <c r="H10" s="105">
        <v>60</v>
      </c>
      <c r="I10" s="105">
        <v>60</v>
      </c>
      <c r="J10" s="101"/>
    </row>
    <row r="11" spans="1:10">
      <c r="A11" s="115">
        <v>43104</v>
      </c>
      <c r="B11" s="82">
        <v>16</v>
      </c>
      <c r="C11" s="82">
        <v>27</v>
      </c>
      <c r="D11" s="82">
        <f t="shared" ref="D11:D41" si="0">IF(((C11="")*AND(B11="")),"",(C11-B11))</f>
        <v>11</v>
      </c>
      <c r="E11" s="79" t="str">
        <f t="shared" ref="E11:E41" si="1">IF(D11="","",IF(D11&lt;60,"Pass","Fail"))</f>
        <v>Pass</v>
      </c>
      <c r="F11" s="83">
        <v>1335</v>
      </c>
      <c r="G11" s="80" t="s">
        <v>47</v>
      </c>
      <c r="H11" s="81">
        <v>60</v>
      </c>
      <c r="I11" s="81">
        <v>60</v>
      </c>
      <c r="J11" s="78"/>
    </row>
    <row r="12" spans="1:10">
      <c r="A12" s="115">
        <v>43112</v>
      </c>
      <c r="B12" s="82">
        <v>18</v>
      </c>
      <c r="C12" s="82">
        <v>40</v>
      </c>
      <c r="D12" s="82">
        <f t="shared" si="0"/>
        <v>22</v>
      </c>
      <c r="E12" s="79" t="str">
        <f t="shared" si="1"/>
        <v>Pass</v>
      </c>
      <c r="F12" s="83" t="s">
        <v>48</v>
      </c>
      <c r="G12" s="80" t="s">
        <v>47</v>
      </c>
      <c r="H12" s="81">
        <v>60</v>
      </c>
      <c r="I12" s="81">
        <v>60</v>
      </c>
      <c r="J12" s="78"/>
    </row>
    <row r="13" spans="1:10">
      <c r="A13" s="115">
        <v>43116</v>
      </c>
      <c r="B13" s="82">
        <v>18</v>
      </c>
      <c r="C13" s="82">
        <v>77</v>
      </c>
      <c r="D13" s="82">
        <f t="shared" si="0"/>
        <v>59</v>
      </c>
      <c r="E13" s="79" t="str">
        <f t="shared" si="1"/>
        <v>Pass</v>
      </c>
      <c r="F13" s="83">
        <v>102</v>
      </c>
      <c r="G13" s="80" t="s">
        <v>47</v>
      </c>
      <c r="H13" s="81">
        <v>60</v>
      </c>
      <c r="I13" s="81">
        <v>60</v>
      </c>
      <c r="J13" s="78"/>
    </row>
    <row r="14" spans="1:10">
      <c r="A14" s="115">
        <v>43119</v>
      </c>
      <c r="B14" s="82">
        <v>14</v>
      </c>
      <c r="C14" s="82">
        <v>22</v>
      </c>
      <c r="D14" s="82">
        <f t="shared" si="0"/>
        <v>8</v>
      </c>
      <c r="E14" s="79" t="str">
        <f t="shared" si="1"/>
        <v>Pass</v>
      </c>
      <c r="F14" s="83">
        <v>1428</v>
      </c>
      <c r="G14" s="80"/>
      <c r="H14" s="81">
        <v>60</v>
      </c>
      <c r="I14" s="81">
        <v>60</v>
      </c>
      <c r="J14" s="78"/>
    </row>
    <row r="15" spans="1:10">
      <c r="A15" s="115">
        <v>43122</v>
      </c>
      <c r="B15" s="82">
        <v>18</v>
      </c>
      <c r="C15" s="82">
        <v>123</v>
      </c>
      <c r="D15" s="82">
        <f t="shared" si="0"/>
        <v>105</v>
      </c>
      <c r="E15" s="79" t="str">
        <f t="shared" si="1"/>
        <v>Fail</v>
      </c>
      <c r="F15" s="83">
        <v>1428</v>
      </c>
      <c r="G15" s="80"/>
      <c r="H15" s="81">
        <v>60</v>
      </c>
      <c r="I15" s="81">
        <v>60</v>
      </c>
      <c r="J15" s="78"/>
    </row>
    <row r="16" spans="1:10">
      <c r="A16" s="115">
        <v>43122</v>
      </c>
      <c r="B16" s="82">
        <v>19</v>
      </c>
      <c r="C16" s="82">
        <v>521</v>
      </c>
      <c r="D16" s="82">
        <f t="shared" si="0"/>
        <v>502</v>
      </c>
      <c r="E16" s="79" t="str">
        <f t="shared" si="1"/>
        <v>Fail</v>
      </c>
      <c r="F16" s="83">
        <v>121</v>
      </c>
      <c r="G16" s="80"/>
      <c r="H16" s="81">
        <v>60</v>
      </c>
      <c r="I16" s="81">
        <v>60</v>
      </c>
      <c r="J16" s="78"/>
    </row>
    <row r="17" spans="1:10">
      <c r="A17" s="115">
        <v>43122</v>
      </c>
      <c r="B17" s="82">
        <v>14</v>
      </c>
      <c r="C17" s="82">
        <v>762</v>
      </c>
      <c r="D17" s="82">
        <f t="shared" si="0"/>
        <v>748</v>
      </c>
      <c r="E17" s="79" t="str">
        <f t="shared" si="1"/>
        <v>Fail</v>
      </c>
      <c r="F17" s="83">
        <v>102</v>
      </c>
      <c r="G17" s="80"/>
      <c r="H17" s="81">
        <v>60</v>
      </c>
      <c r="I17" s="81">
        <v>60</v>
      </c>
      <c r="J17" s="78"/>
    </row>
    <row r="18" spans="1:10">
      <c r="A18" s="115">
        <v>43122</v>
      </c>
      <c r="B18" s="82">
        <v>27</v>
      </c>
      <c r="C18" s="82">
        <v>48</v>
      </c>
      <c r="D18" s="82">
        <f t="shared" si="0"/>
        <v>21</v>
      </c>
      <c r="E18" s="79" t="str">
        <f t="shared" si="1"/>
        <v>Pass</v>
      </c>
      <c r="F18" s="83">
        <v>102</v>
      </c>
      <c r="G18" s="80"/>
      <c r="H18" s="81">
        <v>60</v>
      </c>
      <c r="I18" s="81">
        <v>60</v>
      </c>
      <c r="J18" s="78"/>
    </row>
    <row r="19" spans="1:10">
      <c r="A19" s="115">
        <v>43125</v>
      </c>
      <c r="B19" s="82">
        <v>27</v>
      </c>
      <c r="C19" s="82">
        <v>279</v>
      </c>
      <c r="D19" s="82">
        <f t="shared" si="0"/>
        <v>252</v>
      </c>
      <c r="E19" s="79" t="str">
        <f t="shared" si="1"/>
        <v>Fail</v>
      </c>
      <c r="F19" s="83">
        <v>102</v>
      </c>
      <c r="G19" s="80"/>
      <c r="H19" s="81">
        <v>60</v>
      </c>
      <c r="I19" s="81">
        <v>60</v>
      </c>
      <c r="J19" s="78"/>
    </row>
    <row r="20" spans="1:10">
      <c r="A20" s="115">
        <v>43125</v>
      </c>
      <c r="B20" s="82">
        <v>6</v>
      </c>
      <c r="C20" s="82">
        <v>178</v>
      </c>
      <c r="D20" s="82">
        <f t="shared" si="0"/>
        <v>172</v>
      </c>
      <c r="E20" s="79" t="str">
        <f t="shared" si="1"/>
        <v>Fail</v>
      </c>
      <c r="F20" s="83">
        <v>102</v>
      </c>
      <c r="G20" s="80"/>
      <c r="H20" s="81">
        <v>60</v>
      </c>
      <c r="I20" s="81">
        <v>60</v>
      </c>
      <c r="J20" s="78"/>
    </row>
    <row r="21" spans="1:10">
      <c r="A21" s="115">
        <v>43125</v>
      </c>
      <c r="B21" s="82">
        <v>36</v>
      </c>
      <c r="C21" s="82">
        <v>49</v>
      </c>
      <c r="D21" s="82">
        <f t="shared" si="0"/>
        <v>13</v>
      </c>
      <c r="E21" s="79" t="str">
        <f t="shared" si="1"/>
        <v>Pass</v>
      </c>
      <c r="F21" s="83">
        <v>1335</v>
      </c>
      <c r="G21" s="80"/>
      <c r="H21" s="81">
        <v>60</v>
      </c>
      <c r="I21" s="81">
        <v>60</v>
      </c>
      <c r="J21" s="78"/>
    </row>
    <row r="22" spans="1:10">
      <c r="A22" s="115">
        <v>43129</v>
      </c>
      <c r="B22" s="82">
        <v>11</v>
      </c>
      <c r="C22" s="82">
        <v>29</v>
      </c>
      <c r="D22" s="82">
        <f t="shared" si="0"/>
        <v>18</v>
      </c>
      <c r="E22" s="79" t="str">
        <f t="shared" si="1"/>
        <v>Pass</v>
      </c>
      <c r="F22" s="84" t="s">
        <v>49</v>
      </c>
      <c r="G22" s="80"/>
      <c r="H22" s="81">
        <v>60</v>
      </c>
      <c r="I22" s="81">
        <v>60</v>
      </c>
      <c r="J22" s="78"/>
    </row>
    <row r="23" spans="1:10">
      <c r="A23" s="115">
        <v>43132</v>
      </c>
      <c r="B23" s="82">
        <v>1</v>
      </c>
      <c r="C23" s="82">
        <v>10</v>
      </c>
      <c r="D23" s="82">
        <f t="shared" si="0"/>
        <v>9</v>
      </c>
      <c r="E23" s="79" t="str">
        <f t="shared" si="1"/>
        <v>Pass</v>
      </c>
      <c r="F23" s="83">
        <v>1335</v>
      </c>
      <c r="G23" s="80"/>
      <c r="H23" s="81">
        <v>60</v>
      </c>
      <c r="I23" s="81">
        <v>60</v>
      </c>
      <c r="J23" s="78"/>
    </row>
    <row r="24" spans="1:10">
      <c r="A24" s="115">
        <v>43137</v>
      </c>
      <c r="B24" s="82">
        <v>20</v>
      </c>
      <c r="C24" s="82">
        <v>52</v>
      </c>
      <c r="D24" s="82">
        <f t="shared" si="0"/>
        <v>32</v>
      </c>
      <c r="E24" s="79" t="str">
        <f t="shared" si="1"/>
        <v>Pass</v>
      </c>
      <c r="F24" s="83">
        <v>1519</v>
      </c>
      <c r="G24" s="80"/>
      <c r="H24" s="81">
        <v>60</v>
      </c>
      <c r="I24" s="81">
        <v>60</v>
      </c>
      <c r="J24" s="78"/>
    </row>
    <row r="25" spans="1:10">
      <c r="A25" s="115">
        <v>43138</v>
      </c>
      <c r="B25" s="82">
        <v>42</v>
      </c>
      <c r="C25" s="82">
        <v>100</v>
      </c>
      <c r="D25" s="82">
        <f t="shared" si="0"/>
        <v>58</v>
      </c>
      <c r="E25" s="79" t="str">
        <f t="shared" si="1"/>
        <v>Pass</v>
      </c>
      <c r="F25" s="83">
        <v>1428</v>
      </c>
      <c r="G25" s="80"/>
      <c r="H25" s="81">
        <v>60</v>
      </c>
      <c r="I25" s="81">
        <v>60</v>
      </c>
      <c r="J25" s="78"/>
    </row>
    <row r="26" spans="1:10">
      <c r="A26" s="115">
        <v>43141</v>
      </c>
      <c r="B26" s="82">
        <v>91</v>
      </c>
      <c r="C26" s="82">
        <v>119</v>
      </c>
      <c r="D26" s="82">
        <f>IF(((C26="")*AND(B26="")),"",(C26-B26))</f>
        <v>28</v>
      </c>
      <c r="E26" s="79" t="str">
        <f>IF(D26="","",IF(D26&lt;60,"Pass","Fail"))</f>
        <v>Pass</v>
      </c>
      <c r="F26" s="83">
        <v>102</v>
      </c>
      <c r="G26" s="80"/>
      <c r="H26" s="81">
        <v>60</v>
      </c>
      <c r="I26" s="81">
        <v>60</v>
      </c>
      <c r="J26" s="78"/>
    </row>
    <row r="27" spans="1:10">
      <c r="A27" s="115">
        <v>43146</v>
      </c>
      <c r="B27" s="82">
        <v>25</v>
      </c>
      <c r="C27" s="82">
        <v>29</v>
      </c>
      <c r="D27" s="82">
        <f t="shared" si="0"/>
        <v>4</v>
      </c>
      <c r="E27" s="79" t="str">
        <f t="shared" si="1"/>
        <v>Pass</v>
      </c>
      <c r="F27" s="83">
        <v>1335</v>
      </c>
      <c r="G27" s="80"/>
      <c r="H27" s="81">
        <v>60</v>
      </c>
      <c r="I27" s="81">
        <v>60</v>
      </c>
      <c r="J27" s="78"/>
    </row>
    <row r="28" spans="1:10">
      <c r="A28" s="115">
        <v>43151</v>
      </c>
      <c r="B28" s="82">
        <v>44</v>
      </c>
      <c r="C28" s="82">
        <v>41</v>
      </c>
      <c r="D28" s="82">
        <f>IF(((C28="")*AND(B28="")),"",(C28-B28))</f>
        <v>-3</v>
      </c>
      <c r="E28" s="79" t="str">
        <f>IF(D28="","",IF(D28&lt;60,"Pass","Fail"))</f>
        <v>Pass</v>
      </c>
      <c r="F28" s="83">
        <v>102</v>
      </c>
      <c r="G28" s="80"/>
      <c r="H28" s="81">
        <v>60</v>
      </c>
      <c r="I28" s="81">
        <v>60</v>
      </c>
      <c r="J28" s="78"/>
    </row>
    <row r="29" spans="1:10">
      <c r="A29" s="115">
        <v>43156</v>
      </c>
      <c r="B29" s="82">
        <v>46</v>
      </c>
      <c r="C29" s="82">
        <v>1343</v>
      </c>
      <c r="D29" s="82">
        <f t="shared" si="0"/>
        <v>1297</v>
      </c>
      <c r="E29" s="79" t="str">
        <f t="shared" si="1"/>
        <v>Fail</v>
      </c>
      <c r="F29" s="83">
        <v>1534</v>
      </c>
      <c r="G29" s="80"/>
      <c r="H29" s="81">
        <v>60</v>
      </c>
      <c r="I29" s="81">
        <v>60</v>
      </c>
      <c r="J29" s="78"/>
    </row>
    <row r="30" spans="1:10">
      <c r="A30" s="115">
        <v>43157</v>
      </c>
      <c r="B30" s="82">
        <v>7</v>
      </c>
      <c r="C30" s="82">
        <v>20</v>
      </c>
      <c r="D30" s="82">
        <f t="shared" si="0"/>
        <v>13</v>
      </c>
      <c r="E30" s="79" t="str">
        <f t="shared" si="1"/>
        <v>Pass</v>
      </c>
      <c r="F30" s="83">
        <v>1159</v>
      </c>
      <c r="G30" s="80" t="s">
        <v>47</v>
      </c>
      <c r="H30" s="81">
        <v>60</v>
      </c>
      <c r="I30" s="81">
        <v>60</v>
      </c>
      <c r="J30" s="78"/>
    </row>
    <row r="31" spans="1:10">
      <c r="A31" s="115">
        <v>43177</v>
      </c>
      <c r="B31" s="82">
        <v>36</v>
      </c>
      <c r="C31" s="82">
        <v>237</v>
      </c>
      <c r="D31" s="82">
        <f t="shared" si="0"/>
        <v>201</v>
      </c>
      <c r="E31" s="79" t="str">
        <f t="shared" si="1"/>
        <v>Fail</v>
      </c>
      <c r="F31" s="83">
        <v>1159</v>
      </c>
      <c r="G31" s="80" t="s">
        <v>47</v>
      </c>
      <c r="H31" s="81">
        <v>60</v>
      </c>
      <c r="I31" s="81">
        <v>60</v>
      </c>
      <c r="J31" s="78"/>
    </row>
    <row r="32" spans="1:10">
      <c r="A32" s="115">
        <v>43177</v>
      </c>
      <c r="B32" s="82">
        <v>9</v>
      </c>
      <c r="C32" s="82">
        <v>17</v>
      </c>
      <c r="D32" s="82">
        <f t="shared" si="0"/>
        <v>8</v>
      </c>
      <c r="E32" s="79" t="str">
        <f t="shared" si="1"/>
        <v>Pass</v>
      </c>
      <c r="F32" s="83">
        <v>1159</v>
      </c>
      <c r="G32" s="80" t="s">
        <v>47</v>
      </c>
      <c r="H32" s="81">
        <v>60</v>
      </c>
      <c r="I32" s="81">
        <v>60</v>
      </c>
      <c r="J32" s="78"/>
    </row>
    <row r="33" spans="1:10">
      <c r="A33" s="115">
        <v>43182</v>
      </c>
      <c r="B33" s="82">
        <v>22</v>
      </c>
      <c r="C33" s="82">
        <v>35</v>
      </c>
      <c r="D33" s="82">
        <f t="shared" si="0"/>
        <v>13</v>
      </c>
      <c r="E33" s="79" t="str">
        <f t="shared" si="1"/>
        <v>Pass</v>
      </c>
      <c r="F33" s="83">
        <v>1159</v>
      </c>
      <c r="G33" s="80" t="s">
        <v>47</v>
      </c>
      <c r="H33" s="81">
        <v>60</v>
      </c>
      <c r="I33" s="81">
        <v>60</v>
      </c>
      <c r="J33" s="78"/>
    </row>
    <row r="34" spans="1:10">
      <c r="A34" s="115">
        <v>43199</v>
      </c>
      <c r="B34" s="82">
        <v>43</v>
      </c>
      <c r="C34" s="82">
        <v>47</v>
      </c>
      <c r="D34" s="82">
        <f t="shared" si="0"/>
        <v>4</v>
      </c>
      <c r="E34" s="79" t="str">
        <f t="shared" si="1"/>
        <v>Pass</v>
      </c>
      <c r="F34" s="83">
        <v>1159</v>
      </c>
      <c r="G34" s="80" t="s">
        <v>47</v>
      </c>
      <c r="H34" s="81">
        <v>60</v>
      </c>
      <c r="I34" s="81">
        <v>60</v>
      </c>
      <c r="J34" s="78"/>
    </row>
    <row r="35" spans="1:10">
      <c r="A35" s="115">
        <v>43203</v>
      </c>
      <c r="B35" s="82">
        <v>27</v>
      </c>
      <c r="C35" s="82">
        <v>1124</v>
      </c>
      <c r="D35" s="82">
        <f t="shared" si="0"/>
        <v>1097</v>
      </c>
      <c r="E35" s="79" t="str">
        <f t="shared" si="1"/>
        <v>Fail</v>
      </c>
      <c r="F35" s="83">
        <v>1159</v>
      </c>
      <c r="G35" s="80" t="s">
        <v>47</v>
      </c>
      <c r="H35" s="81">
        <v>60</v>
      </c>
      <c r="I35" s="81">
        <v>60</v>
      </c>
      <c r="J35" s="78"/>
    </row>
    <row r="36" spans="1:10">
      <c r="A36" s="115">
        <v>43206</v>
      </c>
      <c r="B36" s="82">
        <v>13</v>
      </c>
      <c r="C36" s="82">
        <v>14</v>
      </c>
      <c r="D36" s="82">
        <f t="shared" si="0"/>
        <v>1</v>
      </c>
      <c r="E36" s="79" t="str">
        <f t="shared" si="1"/>
        <v>Pass</v>
      </c>
      <c r="F36" s="83">
        <v>1335</v>
      </c>
      <c r="G36" s="80" t="s">
        <v>47</v>
      </c>
      <c r="H36" s="81">
        <v>60</v>
      </c>
      <c r="I36" s="81">
        <v>60</v>
      </c>
      <c r="J36" s="78"/>
    </row>
    <row r="37" spans="1:10">
      <c r="A37" s="115">
        <v>43214</v>
      </c>
      <c r="B37" s="82">
        <v>44</v>
      </c>
      <c r="C37" s="82">
        <v>376</v>
      </c>
      <c r="D37" s="82">
        <f t="shared" si="0"/>
        <v>332</v>
      </c>
      <c r="E37" s="79" t="str">
        <f t="shared" si="1"/>
        <v>Fail</v>
      </c>
      <c r="F37" s="83">
        <v>74</v>
      </c>
      <c r="G37" s="80" t="s">
        <v>47</v>
      </c>
      <c r="H37" s="81">
        <v>60</v>
      </c>
      <c r="I37" s="81">
        <v>60</v>
      </c>
      <c r="J37" s="78"/>
    </row>
    <row r="38" spans="1:10">
      <c r="A38" s="115">
        <v>43214</v>
      </c>
      <c r="B38" s="82">
        <v>4</v>
      </c>
      <c r="C38" s="82">
        <v>34</v>
      </c>
      <c r="D38" s="82">
        <f t="shared" si="0"/>
        <v>30</v>
      </c>
      <c r="E38" s="79" t="str">
        <f t="shared" si="1"/>
        <v>Pass</v>
      </c>
      <c r="F38" s="84" t="s">
        <v>50</v>
      </c>
      <c r="G38" s="80" t="s">
        <v>47</v>
      </c>
      <c r="H38" s="81">
        <v>60</v>
      </c>
      <c r="I38" s="81">
        <v>60</v>
      </c>
      <c r="J38" s="78"/>
    </row>
    <row r="39" spans="1:10">
      <c r="A39" s="115">
        <v>43221</v>
      </c>
      <c r="B39" s="82">
        <v>16</v>
      </c>
      <c r="C39" s="82">
        <v>44</v>
      </c>
      <c r="D39" s="82">
        <f t="shared" si="0"/>
        <v>28</v>
      </c>
      <c r="E39" s="79" t="str">
        <f t="shared" si="1"/>
        <v>Pass</v>
      </c>
      <c r="F39" s="83">
        <v>74</v>
      </c>
      <c r="G39" s="80" t="s">
        <v>47</v>
      </c>
      <c r="H39" s="81">
        <v>60</v>
      </c>
      <c r="I39" s="81">
        <v>60</v>
      </c>
      <c r="J39" s="78"/>
    </row>
    <row r="40" spans="1:10">
      <c r="A40" s="115">
        <v>43222</v>
      </c>
      <c r="B40" s="82">
        <v>21</v>
      </c>
      <c r="C40" s="82">
        <v>27</v>
      </c>
      <c r="D40" s="82">
        <f t="shared" si="0"/>
        <v>6</v>
      </c>
      <c r="E40" s="79" t="str">
        <f t="shared" si="1"/>
        <v>Pass</v>
      </c>
      <c r="F40" s="83">
        <v>1159</v>
      </c>
      <c r="G40" s="80" t="s">
        <v>47</v>
      </c>
      <c r="H40" s="81">
        <v>60</v>
      </c>
      <c r="I40" s="81">
        <v>60</v>
      </c>
      <c r="J40" s="78"/>
    </row>
    <row r="41" spans="1:10">
      <c r="A41" s="115">
        <v>43234</v>
      </c>
      <c r="B41" s="82">
        <v>31</v>
      </c>
      <c r="C41" s="82">
        <v>23</v>
      </c>
      <c r="D41" s="82">
        <f t="shared" si="0"/>
        <v>-8</v>
      </c>
      <c r="E41" s="79" t="str">
        <f t="shared" si="1"/>
        <v>Pass</v>
      </c>
      <c r="F41" s="83">
        <v>1159</v>
      </c>
      <c r="G41" s="80" t="s">
        <v>47</v>
      </c>
      <c r="H41" s="81">
        <v>60</v>
      </c>
      <c r="I41" s="81">
        <v>60</v>
      </c>
      <c r="J41" s="78"/>
    </row>
    <row r="42" spans="1:10">
      <c r="A42" s="115">
        <v>43238</v>
      </c>
      <c r="B42" s="82">
        <v>46</v>
      </c>
      <c r="C42" s="82">
        <v>31</v>
      </c>
      <c r="D42" s="82">
        <f>IF(((C42="")*AND(B42="")),"",(C42-B42))</f>
        <v>-15</v>
      </c>
      <c r="E42" s="79" t="str">
        <f>IF(D42="","",IF(D42&lt;60,"Pass","Fail"))</f>
        <v>Pass</v>
      </c>
      <c r="F42" s="83">
        <v>64</v>
      </c>
      <c r="G42" s="80" t="s">
        <v>47</v>
      </c>
      <c r="H42" s="81">
        <v>60</v>
      </c>
      <c r="I42" s="81">
        <v>60</v>
      </c>
      <c r="J42" s="78"/>
    </row>
    <row r="43" spans="1:10">
      <c r="A43" s="115">
        <v>43242</v>
      </c>
      <c r="B43" s="82">
        <v>33</v>
      </c>
      <c r="C43" s="82">
        <v>30</v>
      </c>
      <c r="D43" s="82">
        <f>IF(((C43="")*AND(B43="")),"",(C43-B43))</f>
        <v>-3</v>
      </c>
      <c r="E43" s="79" t="str">
        <f>IF(D43="","",IF(D43&lt;60,"Pass","Fail"))</f>
        <v>Pass</v>
      </c>
      <c r="F43" s="83">
        <v>102</v>
      </c>
      <c r="G43" s="80" t="s">
        <v>47</v>
      </c>
      <c r="H43" s="81">
        <v>60</v>
      </c>
      <c r="I43" s="81">
        <v>60</v>
      </c>
      <c r="J43" s="80" t="s">
        <v>51</v>
      </c>
    </row>
    <row r="44" spans="1:10">
      <c r="A44" s="115">
        <v>43243</v>
      </c>
      <c r="B44" s="82">
        <v>48</v>
      </c>
      <c r="C44" s="82">
        <v>76</v>
      </c>
      <c r="D44" s="82">
        <f t="shared" ref="D44:D106" si="2">IF(((C44="")*AND(B44="")),"",(C44-B44))</f>
        <v>28</v>
      </c>
      <c r="E44" s="79" t="str">
        <f t="shared" ref="E44:E106" si="3">IF(D44="","",IF(D44&lt;60,"Pass","Fail"))</f>
        <v>Pass</v>
      </c>
      <c r="F44" s="83">
        <v>1159</v>
      </c>
      <c r="G44" s="80" t="s">
        <v>47</v>
      </c>
      <c r="H44" s="81">
        <v>60</v>
      </c>
      <c r="I44" s="81">
        <v>60</v>
      </c>
      <c r="J44" s="78"/>
    </row>
    <row r="45" spans="1:10">
      <c r="A45" s="115">
        <v>43243</v>
      </c>
      <c r="B45" s="82">
        <v>43</v>
      </c>
      <c r="C45" s="82">
        <v>26</v>
      </c>
      <c r="D45" s="82">
        <f t="shared" si="2"/>
        <v>-17</v>
      </c>
      <c r="E45" s="79" t="str">
        <f t="shared" si="3"/>
        <v>Pass</v>
      </c>
      <c r="F45" s="83">
        <v>1159</v>
      </c>
      <c r="G45" s="80" t="s">
        <v>47</v>
      </c>
      <c r="H45" s="81">
        <v>60</v>
      </c>
      <c r="I45" s="81">
        <v>60</v>
      </c>
      <c r="J45" s="78"/>
    </row>
    <row r="46" spans="1:10">
      <c r="A46" s="115">
        <v>43248</v>
      </c>
      <c r="B46" s="82">
        <v>53</v>
      </c>
      <c r="C46" s="82">
        <v>44</v>
      </c>
      <c r="D46" s="82">
        <f t="shared" si="2"/>
        <v>-9</v>
      </c>
      <c r="E46" s="79" t="str">
        <f t="shared" si="3"/>
        <v>Pass</v>
      </c>
      <c r="F46" s="83">
        <v>102</v>
      </c>
      <c r="G46" s="80" t="s">
        <v>47</v>
      </c>
      <c r="H46" s="81">
        <v>60</v>
      </c>
      <c r="I46" s="81">
        <v>60</v>
      </c>
      <c r="J46" s="78"/>
    </row>
    <row r="47" spans="1:10">
      <c r="A47" s="115">
        <v>43251</v>
      </c>
      <c r="B47" s="82">
        <v>4</v>
      </c>
      <c r="C47" s="82">
        <v>16</v>
      </c>
      <c r="D47" s="82">
        <f t="shared" si="2"/>
        <v>12</v>
      </c>
      <c r="E47" s="79" t="str">
        <f t="shared" si="3"/>
        <v>Pass</v>
      </c>
      <c r="F47" s="83"/>
      <c r="G47" s="80" t="s">
        <v>47</v>
      </c>
      <c r="H47" s="81">
        <v>60</v>
      </c>
      <c r="I47" s="81">
        <v>60</v>
      </c>
      <c r="J47" s="78"/>
    </row>
    <row r="48" spans="1:10">
      <c r="A48" s="115">
        <v>43255</v>
      </c>
      <c r="B48" s="82">
        <v>21</v>
      </c>
      <c r="C48" s="82">
        <v>526</v>
      </c>
      <c r="D48" s="82">
        <f t="shared" si="2"/>
        <v>505</v>
      </c>
      <c r="E48" s="79" t="str">
        <f t="shared" si="3"/>
        <v>Fail</v>
      </c>
      <c r="F48" s="83">
        <v>1335</v>
      </c>
      <c r="G48" s="80" t="s">
        <v>47</v>
      </c>
      <c r="H48" s="81">
        <v>60</v>
      </c>
      <c r="I48" s="81">
        <v>60</v>
      </c>
      <c r="J48" s="78"/>
    </row>
    <row r="49" spans="1:10">
      <c r="A49" s="115">
        <v>43255</v>
      </c>
      <c r="B49" s="82">
        <v>24</v>
      </c>
      <c r="C49" s="82">
        <v>348</v>
      </c>
      <c r="D49" s="82">
        <f t="shared" si="2"/>
        <v>324</v>
      </c>
      <c r="E49" s="79" t="str">
        <f t="shared" si="3"/>
        <v>Fail</v>
      </c>
      <c r="F49" s="83">
        <v>121</v>
      </c>
      <c r="G49" s="80" t="s">
        <v>47</v>
      </c>
      <c r="H49" s="81">
        <v>60</v>
      </c>
      <c r="I49" s="81">
        <v>60</v>
      </c>
      <c r="J49" s="78"/>
    </row>
    <row r="50" spans="1:10">
      <c r="A50" s="115">
        <v>43255</v>
      </c>
      <c r="B50" s="82">
        <v>7</v>
      </c>
      <c r="C50" s="82">
        <v>11</v>
      </c>
      <c r="D50" s="82">
        <f t="shared" si="2"/>
        <v>4</v>
      </c>
      <c r="E50" s="79" t="str">
        <f t="shared" si="3"/>
        <v>Pass</v>
      </c>
      <c r="F50" s="83">
        <v>121</v>
      </c>
      <c r="G50" s="80" t="s">
        <v>47</v>
      </c>
      <c r="H50" s="81">
        <v>60</v>
      </c>
      <c r="I50" s="81">
        <v>60</v>
      </c>
      <c r="J50" s="78"/>
    </row>
    <row r="51" spans="1:10">
      <c r="A51" s="115">
        <v>43258</v>
      </c>
      <c r="B51" s="82">
        <v>14</v>
      </c>
      <c r="C51" s="82">
        <v>10</v>
      </c>
      <c r="D51" s="82">
        <f t="shared" si="2"/>
        <v>-4</v>
      </c>
      <c r="E51" s="79" t="str">
        <f t="shared" si="3"/>
        <v>Pass</v>
      </c>
      <c r="F51" s="83">
        <v>1335</v>
      </c>
      <c r="G51" s="80" t="s">
        <v>47</v>
      </c>
      <c r="H51" s="81">
        <v>60</v>
      </c>
      <c r="I51" s="81">
        <v>60</v>
      </c>
      <c r="J51" s="78"/>
    </row>
    <row r="52" spans="1:10">
      <c r="A52" s="115">
        <v>43262</v>
      </c>
      <c r="B52" s="82">
        <v>44</v>
      </c>
      <c r="C52" s="82">
        <v>80</v>
      </c>
      <c r="D52" s="82">
        <f t="shared" si="2"/>
        <v>36</v>
      </c>
      <c r="E52" s="79" t="str">
        <f t="shared" si="3"/>
        <v>Pass</v>
      </c>
      <c r="F52" s="83">
        <v>1159</v>
      </c>
      <c r="G52" s="80" t="s">
        <v>47</v>
      </c>
      <c r="H52" s="81">
        <v>60</v>
      </c>
      <c r="I52" s="81">
        <v>60</v>
      </c>
      <c r="J52" s="78"/>
    </row>
    <row r="53" spans="1:10">
      <c r="A53" s="115">
        <v>43272</v>
      </c>
      <c r="B53" s="82">
        <v>8</v>
      </c>
      <c r="C53" s="82">
        <v>11</v>
      </c>
      <c r="D53" s="82">
        <f t="shared" si="2"/>
        <v>3</v>
      </c>
      <c r="E53" s="79" t="str">
        <f t="shared" si="3"/>
        <v>Pass</v>
      </c>
      <c r="F53" s="83">
        <v>1159</v>
      </c>
      <c r="G53" s="80" t="s">
        <v>47</v>
      </c>
      <c r="H53" s="81">
        <v>60</v>
      </c>
      <c r="I53" s="81">
        <v>60</v>
      </c>
      <c r="J53" s="78"/>
    </row>
    <row r="54" spans="1:10">
      <c r="A54" s="115">
        <v>43283</v>
      </c>
      <c r="B54" s="82">
        <v>27</v>
      </c>
      <c r="C54" s="82">
        <v>57</v>
      </c>
      <c r="D54" s="82">
        <f t="shared" si="2"/>
        <v>30</v>
      </c>
      <c r="E54" s="79" t="str">
        <f t="shared" si="3"/>
        <v>Pass</v>
      </c>
      <c r="F54" s="83">
        <v>1340</v>
      </c>
      <c r="G54" s="80" t="s">
        <v>47</v>
      </c>
      <c r="H54" s="81">
        <v>60</v>
      </c>
      <c r="I54" s="81">
        <v>60</v>
      </c>
      <c r="J54" s="78"/>
    </row>
    <row r="55" spans="1:10">
      <c r="A55" s="115">
        <v>43287</v>
      </c>
      <c r="B55" s="82">
        <v>36</v>
      </c>
      <c r="C55" s="82">
        <v>27</v>
      </c>
      <c r="D55" s="82">
        <f t="shared" si="2"/>
        <v>-9</v>
      </c>
      <c r="E55" s="79" t="str">
        <f t="shared" si="3"/>
        <v>Pass</v>
      </c>
      <c r="F55" s="85"/>
      <c r="G55" s="80" t="s">
        <v>47</v>
      </c>
      <c r="H55" s="81">
        <v>60</v>
      </c>
      <c r="I55" s="81">
        <v>60</v>
      </c>
      <c r="J55" s="78"/>
    </row>
    <row r="56" spans="1:10">
      <c r="A56" s="115">
        <v>43294</v>
      </c>
      <c r="B56" s="82">
        <v>11</v>
      </c>
      <c r="C56" s="82">
        <v>13</v>
      </c>
      <c r="D56" s="82">
        <f t="shared" si="2"/>
        <v>2</v>
      </c>
      <c r="E56" s="79" t="str">
        <f t="shared" si="3"/>
        <v>Pass</v>
      </c>
      <c r="F56" s="85">
        <v>1335</v>
      </c>
      <c r="G56" s="80" t="s">
        <v>47</v>
      </c>
      <c r="H56" s="81">
        <v>60</v>
      </c>
      <c r="I56" s="81">
        <v>60</v>
      </c>
      <c r="J56" s="78"/>
    </row>
    <row r="57" spans="1:10">
      <c r="A57" s="115">
        <v>43300</v>
      </c>
      <c r="B57" s="82">
        <v>10</v>
      </c>
      <c r="C57" s="82">
        <v>68</v>
      </c>
      <c r="D57" s="82">
        <f t="shared" si="2"/>
        <v>58</v>
      </c>
      <c r="E57" s="79" t="str">
        <f t="shared" si="3"/>
        <v>Pass</v>
      </c>
      <c r="F57" s="85">
        <v>1335</v>
      </c>
      <c r="G57" s="80" t="s">
        <v>47</v>
      </c>
      <c r="H57" s="81">
        <v>60</v>
      </c>
      <c r="I57" s="81">
        <v>60</v>
      </c>
      <c r="J57" s="78"/>
    </row>
    <row r="58" spans="1:10">
      <c r="A58" s="115">
        <v>43304</v>
      </c>
      <c r="B58" s="86">
        <v>9</v>
      </c>
      <c r="C58" s="86">
        <v>15</v>
      </c>
      <c r="D58" s="87">
        <f t="shared" si="2"/>
        <v>6</v>
      </c>
      <c r="E58" s="88" t="str">
        <f t="shared" si="3"/>
        <v>Pass</v>
      </c>
      <c r="F58" s="89">
        <v>1340</v>
      </c>
      <c r="G58" s="80" t="s">
        <v>47</v>
      </c>
      <c r="H58" s="81">
        <v>60</v>
      </c>
      <c r="I58" s="81">
        <v>60</v>
      </c>
      <c r="J58" s="78"/>
    </row>
    <row r="59" spans="1:10">
      <c r="A59" s="115">
        <v>43305</v>
      </c>
      <c r="B59" s="87">
        <v>13</v>
      </c>
      <c r="C59" s="87">
        <v>63</v>
      </c>
      <c r="D59" s="87">
        <f t="shared" si="2"/>
        <v>50</v>
      </c>
      <c r="E59" s="88" t="str">
        <f t="shared" si="3"/>
        <v>Pass</v>
      </c>
      <c r="F59" s="89">
        <v>1340</v>
      </c>
      <c r="G59" s="80" t="s">
        <v>47</v>
      </c>
      <c r="H59" s="81">
        <v>60</v>
      </c>
      <c r="I59" s="81">
        <v>60</v>
      </c>
      <c r="J59" s="78"/>
    </row>
    <row r="60" spans="1:10">
      <c r="A60" s="115">
        <v>43305</v>
      </c>
      <c r="B60" s="87">
        <v>13</v>
      </c>
      <c r="C60" s="87">
        <v>63</v>
      </c>
      <c r="D60" s="87">
        <f t="shared" si="2"/>
        <v>50</v>
      </c>
      <c r="E60" s="88" t="str">
        <f t="shared" si="3"/>
        <v>Pass</v>
      </c>
      <c r="F60" s="89">
        <v>1340</v>
      </c>
      <c r="G60" s="80" t="s">
        <v>47</v>
      </c>
      <c r="H60" s="81">
        <v>60</v>
      </c>
      <c r="I60" s="81">
        <v>60</v>
      </c>
      <c r="J60" s="78"/>
    </row>
    <row r="61" spans="1:10">
      <c r="A61" s="115">
        <v>43306</v>
      </c>
      <c r="B61" s="86">
        <v>21</v>
      </c>
      <c r="C61" s="86">
        <v>23</v>
      </c>
      <c r="D61" s="87">
        <f t="shared" si="2"/>
        <v>2</v>
      </c>
      <c r="E61" s="88" t="str">
        <f t="shared" si="3"/>
        <v>Pass</v>
      </c>
      <c r="F61" s="90">
        <v>121</v>
      </c>
      <c r="G61" s="80" t="s">
        <v>47</v>
      </c>
      <c r="H61" s="81">
        <v>60</v>
      </c>
      <c r="I61" s="81">
        <v>60</v>
      </c>
      <c r="J61" s="78"/>
    </row>
    <row r="62" spans="1:10">
      <c r="A62" s="115">
        <v>43308</v>
      </c>
      <c r="B62" s="87">
        <v>14</v>
      </c>
      <c r="C62" s="87">
        <v>39</v>
      </c>
      <c r="D62" s="87">
        <f t="shared" si="2"/>
        <v>25</v>
      </c>
      <c r="E62" s="88" t="str">
        <f t="shared" si="3"/>
        <v>Pass</v>
      </c>
      <c r="F62" s="89">
        <v>1340</v>
      </c>
      <c r="G62" s="80" t="s">
        <v>47</v>
      </c>
      <c r="H62" s="81">
        <v>60</v>
      </c>
      <c r="I62" s="81">
        <v>60</v>
      </c>
      <c r="J62" s="78"/>
    </row>
    <row r="63" spans="1:10">
      <c r="A63" s="115">
        <v>43313</v>
      </c>
      <c r="B63" s="87">
        <v>10</v>
      </c>
      <c r="C63" s="87">
        <v>200</v>
      </c>
      <c r="D63" s="87">
        <f t="shared" si="2"/>
        <v>190</v>
      </c>
      <c r="E63" s="88" t="str">
        <f t="shared" si="3"/>
        <v>Fail</v>
      </c>
      <c r="F63" s="89">
        <v>74</v>
      </c>
      <c r="G63" s="80" t="s">
        <v>47</v>
      </c>
      <c r="H63" s="81">
        <v>60</v>
      </c>
      <c r="I63" s="81">
        <v>60</v>
      </c>
      <c r="J63" s="78" t="s">
        <v>52</v>
      </c>
    </row>
    <row r="64" spans="1:10">
      <c r="A64" s="115">
        <v>43314</v>
      </c>
      <c r="B64" s="87">
        <v>8</v>
      </c>
      <c r="C64" s="87">
        <v>24</v>
      </c>
      <c r="D64" s="87">
        <f t="shared" si="2"/>
        <v>16</v>
      </c>
      <c r="E64" s="88" t="str">
        <f t="shared" si="3"/>
        <v>Pass</v>
      </c>
      <c r="F64" s="89">
        <v>74</v>
      </c>
      <c r="G64" s="80" t="s">
        <v>47</v>
      </c>
      <c r="H64" s="81">
        <v>60</v>
      </c>
      <c r="I64" s="81">
        <v>60</v>
      </c>
      <c r="J64" s="78"/>
    </row>
    <row r="65" spans="1:10">
      <c r="A65" s="115">
        <v>43320</v>
      </c>
      <c r="B65" s="78">
        <v>6</v>
      </c>
      <c r="C65" s="78">
        <v>8</v>
      </c>
      <c r="D65" s="78">
        <f t="shared" si="2"/>
        <v>2</v>
      </c>
      <c r="E65" s="79" t="str">
        <f t="shared" si="3"/>
        <v>Pass</v>
      </c>
      <c r="F65" s="81">
        <v>1519</v>
      </c>
      <c r="G65" s="80" t="s">
        <v>47</v>
      </c>
      <c r="H65" s="81">
        <v>60</v>
      </c>
      <c r="I65" s="81">
        <v>60</v>
      </c>
      <c r="J65" s="78"/>
    </row>
    <row r="66" spans="1:10">
      <c r="A66" s="115">
        <v>43321</v>
      </c>
      <c r="B66" s="87">
        <v>16</v>
      </c>
      <c r="C66" s="87">
        <v>964</v>
      </c>
      <c r="D66" s="87">
        <f t="shared" si="2"/>
        <v>948</v>
      </c>
      <c r="E66" s="88" t="str">
        <f t="shared" si="3"/>
        <v>Fail</v>
      </c>
      <c r="F66" s="89">
        <v>1428</v>
      </c>
      <c r="G66" s="80" t="s">
        <v>47</v>
      </c>
      <c r="H66" s="81">
        <v>60</v>
      </c>
      <c r="I66" s="81">
        <v>60</v>
      </c>
      <c r="J66" s="80" t="s">
        <v>53</v>
      </c>
    </row>
    <row r="67" spans="1:10">
      <c r="A67" s="115">
        <v>43321</v>
      </c>
      <c r="B67" s="87">
        <v>8</v>
      </c>
      <c r="C67" s="87">
        <v>19</v>
      </c>
      <c r="D67" s="87">
        <f t="shared" si="2"/>
        <v>11</v>
      </c>
      <c r="E67" s="88" t="str">
        <f t="shared" si="3"/>
        <v>Pass</v>
      </c>
      <c r="F67" s="89">
        <v>1428</v>
      </c>
      <c r="G67" s="80" t="s">
        <v>47</v>
      </c>
      <c r="H67" s="81">
        <v>60</v>
      </c>
      <c r="I67" s="81">
        <v>60</v>
      </c>
      <c r="J67" s="78"/>
    </row>
    <row r="68" spans="1:10">
      <c r="A68" s="115">
        <v>43328</v>
      </c>
      <c r="B68" s="87">
        <v>27</v>
      </c>
      <c r="C68" s="87">
        <v>37</v>
      </c>
      <c r="D68" s="87">
        <f t="shared" si="2"/>
        <v>10</v>
      </c>
      <c r="E68" s="88" t="str">
        <f t="shared" si="3"/>
        <v>Pass</v>
      </c>
      <c r="F68" s="89">
        <v>74</v>
      </c>
      <c r="G68" s="80" t="s">
        <v>47</v>
      </c>
      <c r="H68" s="81">
        <v>60</v>
      </c>
      <c r="I68" s="81">
        <v>60</v>
      </c>
      <c r="J68" s="78"/>
    </row>
    <row r="69" spans="1:10">
      <c r="A69" s="115">
        <v>43336</v>
      </c>
      <c r="B69" s="86">
        <v>11</v>
      </c>
      <c r="C69" s="86">
        <v>82</v>
      </c>
      <c r="D69" s="87">
        <f t="shared" si="2"/>
        <v>71</v>
      </c>
      <c r="E69" s="88" t="str">
        <f t="shared" si="3"/>
        <v>Fail</v>
      </c>
      <c r="F69" s="89">
        <v>1340</v>
      </c>
      <c r="G69" s="80" t="s">
        <v>47</v>
      </c>
      <c r="H69" s="81">
        <v>60</v>
      </c>
      <c r="I69" s="81">
        <v>60</v>
      </c>
      <c r="J69" s="78" t="s">
        <v>54</v>
      </c>
    </row>
    <row r="70" spans="1:10">
      <c r="A70" s="115">
        <v>43336</v>
      </c>
      <c r="B70" s="86">
        <v>14</v>
      </c>
      <c r="C70" s="86">
        <v>124</v>
      </c>
      <c r="D70" s="87">
        <f t="shared" si="2"/>
        <v>110</v>
      </c>
      <c r="E70" s="88" t="str">
        <f t="shared" si="3"/>
        <v>Fail</v>
      </c>
      <c r="F70" s="89">
        <v>1340</v>
      </c>
      <c r="G70" s="80" t="s">
        <v>47</v>
      </c>
      <c r="H70" s="81">
        <v>60</v>
      </c>
      <c r="I70" s="81">
        <v>60</v>
      </c>
      <c r="J70" s="78" t="s">
        <v>55</v>
      </c>
    </row>
    <row r="71" spans="1:10">
      <c r="A71" s="115">
        <v>43336</v>
      </c>
      <c r="B71" s="87">
        <v>19</v>
      </c>
      <c r="C71" s="87">
        <v>157</v>
      </c>
      <c r="D71" s="87">
        <f t="shared" si="2"/>
        <v>138</v>
      </c>
      <c r="E71" s="88" t="str">
        <f t="shared" si="3"/>
        <v>Fail</v>
      </c>
      <c r="F71" s="89">
        <v>1519</v>
      </c>
      <c r="G71" s="80" t="s">
        <v>47</v>
      </c>
      <c r="H71" s="81">
        <v>60</v>
      </c>
      <c r="I71" s="81">
        <v>60</v>
      </c>
      <c r="J71" s="78"/>
    </row>
    <row r="72" spans="1:10">
      <c r="A72" s="115">
        <v>43336</v>
      </c>
      <c r="B72" s="87">
        <v>16</v>
      </c>
      <c r="C72" s="87">
        <v>57</v>
      </c>
      <c r="D72" s="87">
        <f t="shared" si="2"/>
        <v>41</v>
      </c>
      <c r="E72" s="88" t="str">
        <f t="shared" si="3"/>
        <v>Pass</v>
      </c>
      <c r="F72" s="89">
        <v>1159</v>
      </c>
      <c r="G72" s="80" t="s">
        <v>47</v>
      </c>
      <c r="H72" s="81">
        <v>60</v>
      </c>
      <c r="I72" s="81">
        <v>60</v>
      </c>
      <c r="J72" s="78" t="s">
        <v>56</v>
      </c>
    </row>
    <row r="73" spans="1:10">
      <c r="A73" s="115">
        <v>43340</v>
      </c>
      <c r="B73" s="87">
        <v>31</v>
      </c>
      <c r="C73" s="87">
        <v>341</v>
      </c>
      <c r="D73" s="87">
        <f t="shared" si="2"/>
        <v>310</v>
      </c>
      <c r="E73" s="88" t="str">
        <f t="shared" si="3"/>
        <v>Fail</v>
      </c>
      <c r="F73" s="89" t="s">
        <v>57</v>
      </c>
      <c r="G73" s="80" t="s">
        <v>47</v>
      </c>
      <c r="H73" s="81">
        <v>60</v>
      </c>
      <c r="I73" s="81">
        <v>60</v>
      </c>
      <c r="J73" s="78"/>
    </row>
    <row r="74" spans="1:10">
      <c r="A74" s="115">
        <v>43340</v>
      </c>
      <c r="B74" s="87">
        <v>27</v>
      </c>
      <c r="C74" s="87">
        <v>84</v>
      </c>
      <c r="D74" s="87">
        <f t="shared" si="2"/>
        <v>57</v>
      </c>
      <c r="E74" s="88" t="str">
        <f t="shared" si="3"/>
        <v>Pass</v>
      </c>
      <c r="F74" s="89">
        <v>1340</v>
      </c>
      <c r="G74" s="80" t="s">
        <v>47</v>
      </c>
      <c r="H74" s="81">
        <v>60</v>
      </c>
      <c r="I74" s="81">
        <v>60</v>
      </c>
      <c r="J74" s="78" t="s">
        <v>58</v>
      </c>
    </row>
    <row r="75" spans="1:10">
      <c r="A75" s="115">
        <v>43341</v>
      </c>
      <c r="B75" s="87">
        <v>10</v>
      </c>
      <c r="C75" s="87">
        <v>41</v>
      </c>
      <c r="D75" s="87">
        <f t="shared" si="2"/>
        <v>31</v>
      </c>
      <c r="E75" s="88" t="str">
        <f t="shared" si="3"/>
        <v>Pass</v>
      </c>
      <c r="F75" s="89">
        <v>121</v>
      </c>
      <c r="G75" s="80" t="s">
        <v>47</v>
      </c>
      <c r="H75" s="81">
        <v>60</v>
      </c>
      <c r="I75" s="81">
        <v>60</v>
      </c>
      <c r="J75" s="78"/>
    </row>
    <row r="76" spans="1:10">
      <c r="A76" s="115">
        <v>43344</v>
      </c>
      <c r="B76" s="87">
        <v>30</v>
      </c>
      <c r="C76" s="87">
        <v>82</v>
      </c>
      <c r="D76" s="87">
        <f t="shared" si="2"/>
        <v>52</v>
      </c>
      <c r="E76" s="88" t="str">
        <f t="shared" si="3"/>
        <v>Pass</v>
      </c>
      <c r="F76" s="89">
        <v>1428</v>
      </c>
      <c r="G76" s="80" t="s">
        <v>47</v>
      </c>
      <c r="H76" s="81">
        <v>60</v>
      </c>
      <c r="I76" s="81">
        <v>60</v>
      </c>
      <c r="J76" s="78"/>
    </row>
    <row r="77" spans="1:10">
      <c r="A77" s="115">
        <v>43348</v>
      </c>
      <c r="B77" s="87">
        <v>36</v>
      </c>
      <c r="C77" s="87">
        <v>909</v>
      </c>
      <c r="D77" s="87">
        <f t="shared" si="2"/>
        <v>873</v>
      </c>
      <c r="E77" s="88" t="str">
        <f t="shared" si="3"/>
        <v>Fail</v>
      </c>
      <c r="F77" s="89">
        <v>1335</v>
      </c>
      <c r="G77" s="80" t="s">
        <v>47</v>
      </c>
      <c r="H77" s="81">
        <v>60</v>
      </c>
      <c r="I77" s="81">
        <v>60</v>
      </c>
      <c r="J77" s="78" t="s">
        <v>59</v>
      </c>
    </row>
    <row r="78" spans="1:10">
      <c r="A78" s="115">
        <v>43349</v>
      </c>
      <c r="B78" s="87">
        <v>16</v>
      </c>
      <c r="C78" s="87">
        <v>49</v>
      </c>
      <c r="D78" s="87">
        <f t="shared" si="2"/>
        <v>33</v>
      </c>
      <c r="E78" s="88" t="str">
        <f t="shared" si="3"/>
        <v>Pass</v>
      </c>
      <c r="F78" s="89">
        <v>74</v>
      </c>
      <c r="G78" s="80" t="s">
        <v>47</v>
      </c>
      <c r="H78" s="81">
        <v>60</v>
      </c>
      <c r="I78" s="81">
        <v>60</v>
      </c>
      <c r="J78" s="78"/>
    </row>
    <row r="79" spans="1:10">
      <c r="A79" s="115">
        <v>43356</v>
      </c>
      <c r="B79" s="87">
        <v>24</v>
      </c>
      <c r="C79" s="87">
        <v>260</v>
      </c>
      <c r="D79" s="87">
        <f t="shared" si="2"/>
        <v>236</v>
      </c>
      <c r="E79" s="88" t="str">
        <f t="shared" si="3"/>
        <v>Fail</v>
      </c>
      <c r="F79" s="89">
        <v>1159</v>
      </c>
      <c r="G79" s="80" t="s">
        <v>47</v>
      </c>
      <c r="H79" s="81">
        <v>60</v>
      </c>
      <c r="I79" s="81">
        <v>60</v>
      </c>
      <c r="J79" s="78" t="s">
        <v>59</v>
      </c>
    </row>
    <row r="80" spans="1:10">
      <c r="A80" s="115">
        <v>43357</v>
      </c>
      <c r="B80" s="86">
        <v>25</v>
      </c>
      <c r="C80" s="86">
        <v>69</v>
      </c>
      <c r="D80" s="86">
        <f t="shared" si="2"/>
        <v>44</v>
      </c>
      <c r="E80" s="79" t="str">
        <f t="shared" si="3"/>
        <v>Pass</v>
      </c>
      <c r="F80" s="89">
        <v>1159</v>
      </c>
      <c r="G80" s="80" t="s">
        <v>47</v>
      </c>
      <c r="H80" s="81">
        <v>60</v>
      </c>
      <c r="I80" s="81">
        <v>60</v>
      </c>
      <c r="J80" s="78"/>
    </row>
    <row r="81" spans="1:10">
      <c r="A81" s="115">
        <v>43362</v>
      </c>
      <c r="B81" s="86">
        <v>30</v>
      </c>
      <c r="C81" s="86">
        <v>108</v>
      </c>
      <c r="D81" s="86">
        <f t="shared" si="2"/>
        <v>78</v>
      </c>
      <c r="E81" s="79" t="str">
        <f t="shared" si="3"/>
        <v>Fail</v>
      </c>
      <c r="F81" s="89">
        <v>1340</v>
      </c>
      <c r="G81" s="80" t="s">
        <v>47</v>
      </c>
      <c r="H81" s="81">
        <v>60</v>
      </c>
      <c r="I81" s="81">
        <v>60</v>
      </c>
      <c r="J81" s="91" t="s">
        <v>60</v>
      </c>
    </row>
    <row r="82" spans="1:10">
      <c r="A82" s="115">
        <v>43362</v>
      </c>
      <c r="B82" s="86">
        <v>22</v>
      </c>
      <c r="C82" s="86">
        <v>133</v>
      </c>
      <c r="D82" s="86">
        <f t="shared" si="2"/>
        <v>111</v>
      </c>
      <c r="E82" s="79" t="str">
        <f t="shared" si="3"/>
        <v>Fail</v>
      </c>
      <c r="F82" s="89">
        <v>1340</v>
      </c>
      <c r="G82" s="80" t="s">
        <v>47</v>
      </c>
      <c r="H82" s="81">
        <v>60</v>
      </c>
      <c r="I82" s="81">
        <v>60</v>
      </c>
      <c r="J82" s="91" t="s">
        <v>60</v>
      </c>
    </row>
    <row r="83" spans="1:10">
      <c r="A83" s="115">
        <v>43362</v>
      </c>
      <c r="B83" s="86">
        <v>18</v>
      </c>
      <c r="C83" s="86">
        <v>45</v>
      </c>
      <c r="D83" s="86">
        <f t="shared" si="2"/>
        <v>27</v>
      </c>
      <c r="E83" s="79" t="str">
        <f t="shared" si="3"/>
        <v>Pass</v>
      </c>
      <c r="F83" s="89">
        <v>1159</v>
      </c>
      <c r="G83" s="80" t="s">
        <v>47</v>
      </c>
      <c r="H83" s="81">
        <v>60</v>
      </c>
      <c r="I83" s="81">
        <v>60</v>
      </c>
      <c r="J83" s="91" t="s">
        <v>61</v>
      </c>
    </row>
    <row r="84" spans="1:10">
      <c r="A84" s="115">
        <v>43367</v>
      </c>
      <c r="B84" s="86">
        <v>6</v>
      </c>
      <c r="C84" s="86">
        <v>218</v>
      </c>
      <c r="D84" s="86">
        <f t="shared" si="2"/>
        <v>212</v>
      </c>
      <c r="E84" s="79" t="str">
        <f t="shared" si="3"/>
        <v>Fail</v>
      </c>
      <c r="F84" s="89">
        <v>1340</v>
      </c>
      <c r="G84" s="80" t="s">
        <v>47</v>
      </c>
      <c r="H84" s="81">
        <v>60</v>
      </c>
      <c r="I84" s="81">
        <v>60</v>
      </c>
      <c r="J84" s="78"/>
    </row>
    <row r="85" spans="1:10">
      <c r="A85" s="115">
        <v>43370</v>
      </c>
      <c r="B85" s="86">
        <v>16</v>
      </c>
      <c r="C85" s="86">
        <v>20</v>
      </c>
      <c r="D85" s="86">
        <f t="shared" si="2"/>
        <v>4</v>
      </c>
      <c r="E85" s="79" t="str">
        <f t="shared" si="3"/>
        <v>Pass</v>
      </c>
      <c r="F85" s="89">
        <v>1340</v>
      </c>
      <c r="G85" s="80" t="s">
        <v>47</v>
      </c>
      <c r="H85" s="81">
        <v>60</v>
      </c>
      <c r="I85" s="81">
        <v>60</v>
      </c>
      <c r="J85" s="78"/>
    </row>
    <row r="86" spans="1:10">
      <c r="A86" s="115">
        <v>43375</v>
      </c>
      <c r="B86" s="86">
        <v>14</v>
      </c>
      <c r="C86" s="86">
        <v>31</v>
      </c>
      <c r="D86" s="86">
        <f t="shared" si="2"/>
        <v>17</v>
      </c>
      <c r="E86" s="79" t="str">
        <f t="shared" si="3"/>
        <v>Pass</v>
      </c>
      <c r="F86" s="84">
        <v>1534</v>
      </c>
      <c r="G86" s="80" t="s">
        <v>47</v>
      </c>
      <c r="H86" s="81">
        <v>60</v>
      </c>
      <c r="I86" s="81">
        <v>60</v>
      </c>
      <c r="J86" s="78"/>
    </row>
    <row r="87" spans="1:10">
      <c r="A87" s="115">
        <v>43378</v>
      </c>
      <c r="B87" s="86">
        <v>26</v>
      </c>
      <c r="C87" s="86">
        <v>37</v>
      </c>
      <c r="D87" s="86">
        <f t="shared" si="2"/>
        <v>11</v>
      </c>
      <c r="E87" s="79" t="str">
        <f t="shared" si="3"/>
        <v>Pass</v>
      </c>
      <c r="F87" s="84">
        <v>1340</v>
      </c>
      <c r="G87" s="80" t="s">
        <v>47</v>
      </c>
      <c r="H87" s="81">
        <v>60</v>
      </c>
      <c r="I87" s="81">
        <v>60</v>
      </c>
      <c r="J87" s="78"/>
    </row>
    <row r="88" spans="1:10">
      <c r="A88" s="115">
        <v>43382</v>
      </c>
      <c r="B88" s="86">
        <v>19</v>
      </c>
      <c r="C88" s="86">
        <v>43</v>
      </c>
      <c r="D88" s="86">
        <f t="shared" si="2"/>
        <v>24</v>
      </c>
      <c r="E88" s="79" t="str">
        <f t="shared" si="3"/>
        <v>Pass</v>
      </c>
      <c r="F88" s="84">
        <v>1335</v>
      </c>
      <c r="G88" s="80" t="s">
        <v>47</v>
      </c>
      <c r="H88" s="81">
        <v>60</v>
      </c>
      <c r="I88" s="81">
        <v>60</v>
      </c>
      <c r="J88" s="78"/>
    </row>
    <row r="89" spans="1:10">
      <c r="A89" s="115">
        <v>43385</v>
      </c>
      <c r="B89" s="86">
        <v>36</v>
      </c>
      <c r="C89" s="86">
        <v>68</v>
      </c>
      <c r="D89" s="86">
        <f t="shared" si="2"/>
        <v>32</v>
      </c>
      <c r="E89" s="79" t="str">
        <f t="shared" si="3"/>
        <v>Pass</v>
      </c>
      <c r="F89" s="84">
        <v>102</v>
      </c>
      <c r="G89" s="80" t="s">
        <v>47</v>
      </c>
      <c r="H89" s="81">
        <v>60</v>
      </c>
      <c r="I89" s="81">
        <v>60</v>
      </c>
      <c r="J89" s="78"/>
    </row>
    <row r="90" spans="1:10">
      <c r="A90" s="115">
        <v>43388</v>
      </c>
      <c r="B90" s="86">
        <v>13</v>
      </c>
      <c r="C90" s="86">
        <v>82</v>
      </c>
      <c r="D90" s="86">
        <f t="shared" si="2"/>
        <v>69</v>
      </c>
      <c r="E90" s="79" t="str">
        <f t="shared" si="3"/>
        <v>Fail</v>
      </c>
      <c r="F90" s="84">
        <v>1340</v>
      </c>
      <c r="G90" s="80" t="s">
        <v>47</v>
      </c>
      <c r="H90" s="81">
        <v>60</v>
      </c>
      <c r="I90" s="81">
        <v>60</v>
      </c>
      <c r="J90" s="78"/>
    </row>
    <row r="91" spans="1:10">
      <c r="A91" s="115">
        <v>43388</v>
      </c>
      <c r="B91" s="86">
        <v>22</v>
      </c>
      <c r="C91" s="86">
        <v>31</v>
      </c>
      <c r="D91" s="86">
        <f t="shared" si="2"/>
        <v>9</v>
      </c>
      <c r="E91" s="79" t="str">
        <f t="shared" si="3"/>
        <v>Pass</v>
      </c>
      <c r="F91" s="84">
        <v>1340</v>
      </c>
      <c r="G91" s="80" t="s">
        <v>47</v>
      </c>
      <c r="H91" s="81">
        <v>60</v>
      </c>
      <c r="I91" s="81">
        <v>60</v>
      </c>
      <c r="J91" s="78"/>
    </row>
    <row r="92" spans="1:10">
      <c r="A92" s="115">
        <v>43391</v>
      </c>
      <c r="B92" s="78">
        <v>4</v>
      </c>
      <c r="C92" s="78">
        <v>49</v>
      </c>
      <c r="D92" s="78">
        <f t="shared" si="2"/>
        <v>45</v>
      </c>
      <c r="E92" s="79" t="str">
        <f t="shared" si="3"/>
        <v>Pass</v>
      </c>
      <c r="F92" s="85">
        <v>121</v>
      </c>
      <c r="G92" s="80" t="s">
        <v>47</v>
      </c>
      <c r="H92" s="81">
        <v>60</v>
      </c>
      <c r="I92" s="81">
        <v>60</v>
      </c>
      <c r="J92" s="92"/>
    </row>
    <row r="93" spans="1:10">
      <c r="A93" s="115">
        <v>43395</v>
      </c>
      <c r="B93" s="78">
        <v>9</v>
      </c>
      <c r="C93" s="78">
        <v>33</v>
      </c>
      <c r="D93" s="78">
        <f t="shared" si="2"/>
        <v>24</v>
      </c>
      <c r="E93" s="79" t="str">
        <f t="shared" si="3"/>
        <v>Pass</v>
      </c>
      <c r="F93" s="85">
        <v>121</v>
      </c>
      <c r="G93" s="80" t="s">
        <v>47</v>
      </c>
      <c r="H93" s="81">
        <v>60</v>
      </c>
      <c r="I93" s="81">
        <v>60</v>
      </c>
      <c r="J93" s="78"/>
    </row>
    <row r="94" spans="1:10">
      <c r="A94" s="115">
        <v>43398</v>
      </c>
      <c r="B94" s="78">
        <v>36</v>
      </c>
      <c r="C94" s="78">
        <v>165</v>
      </c>
      <c r="D94" s="78">
        <f t="shared" si="2"/>
        <v>129</v>
      </c>
      <c r="E94" s="79" t="str">
        <f t="shared" si="3"/>
        <v>Fail</v>
      </c>
      <c r="F94" s="85">
        <v>121</v>
      </c>
      <c r="G94" s="80" t="s">
        <v>47</v>
      </c>
      <c r="H94" s="81">
        <v>60</v>
      </c>
      <c r="I94" s="81">
        <v>60</v>
      </c>
      <c r="J94" s="78" t="s">
        <v>62</v>
      </c>
    </row>
    <row r="95" spans="1:10">
      <c r="A95" s="115">
        <v>43401</v>
      </c>
      <c r="B95" s="78">
        <v>32</v>
      </c>
      <c r="C95" s="78">
        <v>44</v>
      </c>
      <c r="D95" s="78">
        <f t="shared" si="2"/>
        <v>12</v>
      </c>
      <c r="E95" s="79" t="str">
        <f t="shared" si="3"/>
        <v>Pass</v>
      </c>
      <c r="F95" s="85">
        <v>1340</v>
      </c>
      <c r="G95" s="80" t="s">
        <v>47</v>
      </c>
      <c r="H95" s="81">
        <v>60</v>
      </c>
      <c r="I95" s="81">
        <v>60</v>
      </c>
      <c r="J95" s="78"/>
    </row>
    <row r="96" spans="1:10">
      <c r="A96" s="115">
        <v>43402</v>
      </c>
      <c r="B96" s="78">
        <v>43</v>
      </c>
      <c r="C96" s="78">
        <v>34</v>
      </c>
      <c r="D96" s="78">
        <f t="shared" si="2"/>
        <v>-9</v>
      </c>
      <c r="E96" s="79" t="str">
        <f t="shared" si="3"/>
        <v>Pass</v>
      </c>
      <c r="F96" s="85">
        <v>1428</v>
      </c>
      <c r="G96" s="80" t="s">
        <v>47</v>
      </c>
      <c r="H96" s="81">
        <v>60</v>
      </c>
      <c r="I96" s="81">
        <v>60</v>
      </c>
      <c r="J96" s="78"/>
    </row>
    <row r="97" spans="1:10">
      <c r="A97" s="115">
        <v>43405</v>
      </c>
      <c r="B97" s="78">
        <v>18</v>
      </c>
      <c r="C97" s="78">
        <v>32</v>
      </c>
      <c r="D97" s="78">
        <f t="shared" si="2"/>
        <v>14</v>
      </c>
      <c r="E97" s="79" t="str">
        <f t="shared" si="3"/>
        <v>Pass</v>
      </c>
      <c r="F97" s="85">
        <v>64</v>
      </c>
      <c r="G97" s="80" t="s">
        <v>47</v>
      </c>
      <c r="H97" s="81">
        <v>60</v>
      </c>
      <c r="I97" s="81">
        <v>60</v>
      </c>
      <c r="J97" s="78"/>
    </row>
    <row r="98" spans="1:10">
      <c r="A98" s="115">
        <v>43405</v>
      </c>
      <c r="B98" s="78">
        <v>10</v>
      </c>
      <c r="C98" s="78">
        <v>33</v>
      </c>
      <c r="D98" s="78">
        <f t="shared" si="2"/>
        <v>23</v>
      </c>
      <c r="E98" s="79" t="str">
        <f t="shared" si="3"/>
        <v>Pass</v>
      </c>
      <c r="F98" s="85">
        <v>1335</v>
      </c>
      <c r="G98" s="80" t="s">
        <v>47</v>
      </c>
      <c r="H98" s="81">
        <v>60</v>
      </c>
      <c r="I98" s="81">
        <v>60</v>
      </c>
      <c r="J98" s="78"/>
    </row>
    <row r="99" spans="1:10">
      <c r="A99" s="115">
        <v>43413</v>
      </c>
      <c r="B99" s="78">
        <v>10</v>
      </c>
      <c r="C99" s="78">
        <v>189</v>
      </c>
      <c r="D99" s="78">
        <f t="shared" si="2"/>
        <v>179</v>
      </c>
      <c r="E99" s="79" t="str">
        <f t="shared" si="3"/>
        <v>Fail</v>
      </c>
      <c r="F99" s="85">
        <v>1428</v>
      </c>
      <c r="G99" s="80" t="s">
        <v>47</v>
      </c>
      <c r="H99" s="81">
        <v>60</v>
      </c>
      <c r="I99" s="81">
        <v>60</v>
      </c>
      <c r="J99" s="78"/>
    </row>
    <row r="100" spans="1:10">
      <c r="A100" s="115">
        <v>43415</v>
      </c>
      <c r="B100" s="78">
        <v>13</v>
      </c>
      <c r="C100" s="78">
        <v>40</v>
      </c>
      <c r="D100" s="78">
        <f t="shared" si="2"/>
        <v>27</v>
      </c>
      <c r="E100" s="79" t="str">
        <f t="shared" si="3"/>
        <v>Pass</v>
      </c>
      <c r="F100" s="85">
        <v>1340</v>
      </c>
      <c r="G100" s="80" t="s">
        <v>47</v>
      </c>
      <c r="H100" s="81">
        <v>60</v>
      </c>
      <c r="I100" s="81">
        <v>60</v>
      </c>
      <c r="J100" s="78"/>
    </row>
    <row r="101" spans="1:10">
      <c r="A101" s="115">
        <v>43420</v>
      </c>
      <c r="B101" s="78">
        <v>24</v>
      </c>
      <c r="C101" s="78">
        <v>61</v>
      </c>
      <c r="D101" s="78">
        <f t="shared" si="2"/>
        <v>37</v>
      </c>
      <c r="E101" s="79" t="str">
        <f t="shared" si="3"/>
        <v>Pass</v>
      </c>
      <c r="F101" s="85">
        <v>1428</v>
      </c>
      <c r="G101" s="80" t="s">
        <v>47</v>
      </c>
      <c r="H101" s="81">
        <v>60</v>
      </c>
      <c r="I101" s="81">
        <v>60</v>
      </c>
      <c r="J101" s="78"/>
    </row>
    <row r="102" spans="1:10">
      <c r="A102" s="115">
        <v>43420</v>
      </c>
      <c r="B102" s="78">
        <v>24</v>
      </c>
      <c r="C102" s="78">
        <v>35</v>
      </c>
      <c r="D102" s="78">
        <f t="shared" si="2"/>
        <v>11</v>
      </c>
      <c r="E102" s="79" t="str">
        <f t="shared" si="3"/>
        <v>Pass</v>
      </c>
      <c r="F102" s="85">
        <v>1335</v>
      </c>
      <c r="G102" s="80" t="s">
        <v>47</v>
      </c>
      <c r="H102" s="81">
        <v>60</v>
      </c>
      <c r="I102" s="81">
        <v>60</v>
      </c>
      <c r="J102" s="78"/>
    </row>
    <row r="103" spans="1:10">
      <c r="A103" s="115">
        <v>43438</v>
      </c>
      <c r="B103" s="78">
        <v>27</v>
      </c>
      <c r="C103" s="78">
        <v>40</v>
      </c>
      <c r="D103" s="78">
        <f t="shared" si="2"/>
        <v>13</v>
      </c>
      <c r="E103" s="79" t="str">
        <f t="shared" si="3"/>
        <v>Pass</v>
      </c>
      <c r="F103" s="85">
        <v>1340</v>
      </c>
      <c r="G103" s="80" t="s">
        <v>47</v>
      </c>
      <c r="H103" s="81">
        <v>60</v>
      </c>
      <c r="I103" s="81">
        <v>60</v>
      </c>
      <c r="J103" s="78"/>
    </row>
    <row r="104" spans="1:10">
      <c r="A104" s="115">
        <v>43452</v>
      </c>
      <c r="B104" s="78">
        <v>30</v>
      </c>
      <c r="C104" s="78">
        <v>40</v>
      </c>
      <c r="D104" s="78">
        <f t="shared" si="2"/>
        <v>10</v>
      </c>
      <c r="E104" s="79" t="str">
        <f t="shared" si="3"/>
        <v>Pass</v>
      </c>
      <c r="F104" s="85">
        <v>1340</v>
      </c>
      <c r="G104" s="80" t="s">
        <v>47</v>
      </c>
      <c r="H104" s="81">
        <v>60</v>
      </c>
      <c r="I104" s="81">
        <v>60</v>
      </c>
      <c r="J104" s="78"/>
    </row>
    <row r="105" spans="1:10">
      <c r="A105" s="115">
        <v>43458</v>
      </c>
      <c r="B105" s="78">
        <v>48</v>
      </c>
      <c r="C105" s="78">
        <v>71</v>
      </c>
      <c r="D105" s="78">
        <f t="shared" si="2"/>
        <v>23</v>
      </c>
      <c r="E105" s="79" t="str">
        <f t="shared" si="3"/>
        <v>Pass</v>
      </c>
      <c r="F105" s="85">
        <v>1428</v>
      </c>
      <c r="G105" s="80" t="s">
        <v>47</v>
      </c>
      <c r="H105" s="81">
        <v>60</v>
      </c>
      <c r="I105" s="81">
        <v>60</v>
      </c>
      <c r="J105" s="78"/>
    </row>
    <row r="106" spans="1:10">
      <c r="A106" s="115">
        <v>43462</v>
      </c>
      <c r="B106" s="78">
        <v>26</v>
      </c>
      <c r="C106" s="78">
        <v>48</v>
      </c>
      <c r="D106" s="78">
        <f t="shared" si="2"/>
        <v>22</v>
      </c>
      <c r="E106" s="79" t="str">
        <f t="shared" si="3"/>
        <v>Pass</v>
      </c>
      <c r="F106" s="85">
        <v>1340</v>
      </c>
      <c r="G106" s="80" t="s">
        <v>47</v>
      </c>
      <c r="H106" s="81">
        <v>60</v>
      </c>
      <c r="I106" s="81">
        <v>60</v>
      </c>
      <c r="J106" s="78"/>
    </row>
    <row r="107" spans="1:10">
      <c r="A107" s="115">
        <v>43466</v>
      </c>
      <c r="B107" s="78">
        <v>12</v>
      </c>
      <c r="C107" s="78">
        <v>14</v>
      </c>
      <c r="D107" s="78">
        <f>IF(((C107="")*AND(B107="")),"",(C107-B107))</f>
        <v>2</v>
      </c>
      <c r="E107" s="79" t="str">
        <f>IF(D107="","",IF(D107&lt;60,"Pass","Fail"))</f>
        <v>Pass</v>
      </c>
      <c r="F107" s="85">
        <v>1340</v>
      </c>
      <c r="G107" s="80" t="s">
        <v>47</v>
      </c>
      <c r="H107" s="81">
        <v>60</v>
      </c>
      <c r="I107" s="81">
        <v>60</v>
      </c>
      <c r="J107" s="78"/>
    </row>
    <row r="108" spans="1:10" customFormat="1" ht="12.75" customHeight="1">
      <c r="A108" s="115">
        <v>43476</v>
      </c>
      <c r="B108" s="78">
        <v>21</v>
      </c>
      <c r="C108" s="78">
        <v>255</v>
      </c>
      <c r="D108" s="78">
        <f t="shared" ref="D108:D126" si="4">IF(((C108="")*AND(B108="")),"",(C108-B108))</f>
        <v>234</v>
      </c>
      <c r="E108" s="30" t="str">
        <f t="shared" ref="E108:E142" si="5">IF(D108="","",IF(D108&lt;60,"Pass","Fail"))</f>
        <v>Fail</v>
      </c>
      <c r="F108" s="85">
        <v>121</v>
      </c>
      <c r="G108" s="111" t="s">
        <v>47</v>
      </c>
      <c r="H108" s="81">
        <v>60</v>
      </c>
      <c r="I108" s="81">
        <v>60</v>
      </c>
      <c r="J108" s="78" t="s">
        <v>136</v>
      </c>
    </row>
    <row r="109" spans="1:10" customFormat="1" ht="15.75">
      <c r="A109" s="115">
        <v>43115</v>
      </c>
      <c r="B109" s="78">
        <v>9</v>
      </c>
      <c r="C109" s="78">
        <v>128</v>
      </c>
      <c r="D109" s="78">
        <f t="shared" si="4"/>
        <v>119</v>
      </c>
      <c r="E109" s="30" t="str">
        <f t="shared" si="5"/>
        <v>Fail</v>
      </c>
      <c r="F109" s="85">
        <v>1340</v>
      </c>
      <c r="G109" s="111" t="s">
        <v>47</v>
      </c>
      <c r="H109" s="81">
        <v>60</v>
      </c>
      <c r="I109" s="81">
        <v>60</v>
      </c>
      <c r="J109" s="78" t="s">
        <v>136</v>
      </c>
    </row>
    <row r="110" spans="1:10" customFormat="1" ht="15.75">
      <c r="A110" s="115">
        <v>43115</v>
      </c>
      <c r="B110" s="78">
        <v>11</v>
      </c>
      <c r="C110" s="78">
        <v>36</v>
      </c>
      <c r="D110" s="78">
        <f t="shared" si="4"/>
        <v>25</v>
      </c>
      <c r="E110" s="30" t="str">
        <f t="shared" si="5"/>
        <v>Pass</v>
      </c>
      <c r="F110" s="85" t="s">
        <v>137</v>
      </c>
      <c r="G110" s="111" t="s">
        <v>47</v>
      </c>
      <c r="H110" s="81">
        <v>60</v>
      </c>
      <c r="I110" s="81">
        <v>60</v>
      </c>
      <c r="J110" s="78"/>
    </row>
    <row r="111" spans="1:10" customFormat="1" ht="15.75">
      <c r="A111" s="115">
        <v>43115</v>
      </c>
      <c r="B111" s="78">
        <v>13</v>
      </c>
      <c r="C111" s="78">
        <v>32</v>
      </c>
      <c r="D111" s="78">
        <f t="shared" si="4"/>
        <v>19</v>
      </c>
      <c r="E111" s="30" t="str">
        <f t="shared" si="5"/>
        <v>Pass</v>
      </c>
      <c r="F111" s="85" t="s">
        <v>137</v>
      </c>
      <c r="G111" s="111" t="s">
        <v>47</v>
      </c>
      <c r="H111" s="81">
        <v>60</v>
      </c>
      <c r="I111" s="81">
        <v>60</v>
      </c>
      <c r="J111" s="78"/>
    </row>
    <row r="112" spans="1:10" customFormat="1" ht="15.75">
      <c r="A112" s="115">
        <v>43487</v>
      </c>
      <c r="B112" s="78">
        <v>10</v>
      </c>
      <c r="C112" s="78">
        <v>51</v>
      </c>
      <c r="D112" s="78">
        <f t="shared" si="4"/>
        <v>41</v>
      </c>
      <c r="E112" s="30" t="str">
        <f t="shared" si="5"/>
        <v>Pass</v>
      </c>
      <c r="F112" s="85">
        <v>1335</v>
      </c>
      <c r="G112" s="111" t="s">
        <v>47</v>
      </c>
      <c r="H112" s="81">
        <v>60</v>
      </c>
      <c r="I112" s="81">
        <v>60</v>
      </c>
      <c r="J112" s="78"/>
    </row>
    <row r="113" spans="1:10" customFormat="1" ht="15.75">
      <c r="A113" s="115">
        <v>43493</v>
      </c>
      <c r="B113" s="78">
        <v>13</v>
      </c>
      <c r="C113" s="78">
        <v>30</v>
      </c>
      <c r="D113" s="78">
        <f t="shared" si="4"/>
        <v>17</v>
      </c>
      <c r="E113" s="30" t="str">
        <f t="shared" si="5"/>
        <v>Pass</v>
      </c>
      <c r="F113" s="412" t="s">
        <v>98</v>
      </c>
      <c r="G113" s="111" t="s">
        <v>47</v>
      </c>
      <c r="H113" s="81">
        <v>60</v>
      </c>
      <c r="I113" s="81">
        <v>60</v>
      </c>
      <c r="J113" s="78"/>
    </row>
    <row r="114" spans="1:10" customFormat="1" ht="15.75">
      <c r="A114" s="115">
        <v>43497</v>
      </c>
      <c r="B114" s="78">
        <v>32</v>
      </c>
      <c r="C114" s="78">
        <v>56</v>
      </c>
      <c r="D114" s="78">
        <f t="shared" si="4"/>
        <v>24</v>
      </c>
      <c r="E114" s="30" t="str">
        <f t="shared" si="5"/>
        <v>Pass</v>
      </c>
      <c r="F114" s="120">
        <v>121</v>
      </c>
      <c r="G114" s="78" t="s">
        <v>47</v>
      </c>
      <c r="H114" s="81">
        <v>60</v>
      </c>
      <c r="I114" s="81">
        <v>60</v>
      </c>
      <c r="J114" s="78"/>
    </row>
    <row r="115" spans="1:10" customFormat="1" ht="15.75">
      <c r="A115" s="115">
        <v>43502</v>
      </c>
      <c r="B115" s="78">
        <v>18</v>
      </c>
      <c r="C115" s="78">
        <v>29</v>
      </c>
      <c r="D115" s="78">
        <f t="shared" si="4"/>
        <v>11</v>
      </c>
      <c r="E115" s="30" t="str">
        <f t="shared" si="5"/>
        <v>Pass</v>
      </c>
      <c r="F115" s="120">
        <v>102</v>
      </c>
      <c r="G115" s="78" t="s">
        <v>47</v>
      </c>
      <c r="H115" s="81">
        <v>60</v>
      </c>
      <c r="I115" s="81">
        <v>60</v>
      </c>
      <c r="J115" s="78"/>
    </row>
    <row r="116" spans="1:10" customFormat="1" ht="15.75">
      <c r="A116" s="115">
        <v>43510</v>
      </c>
      <c r="B116" s="78">
        <v>20</v>
      </c>
      <c r="C116" s="78">
        <v>82</v>
      </c>
      <c r="D116" s="78">
        <f t="shared" si="4"/>
        <v>62</v>
      </c>
      <c r="E116" s="30" t="str">
        <f t="shared" si="5"/>
        <v>Fail</v>
      </c>
      <c r="F116" s="85" t="s">
        <v>138</v>
      </c>
      <c r="G116" s="78" t="s">
        <v>47</v>
      </c>
      <c r="H116" s="81">
        <v>60</v>
      </c>
      <c r="I116" s="81">
        <v>60</v>
      </c>
      <c r="J116" s="78"/>
    </row>
    <row r="117" spans="1:10" customFormat="1" ht="15.75">
      <c r="A117" s="115">
        <v>43510</v>
      </c>
      <c r="B117" s="78">
        <v>10</v>
      </c>
      <c r="C117" s="78">
        <v>46</v>
      </c>
      <c r="D117" s="78">
        <f t="shared" si="4"/>
        <v>36</v>
      </c>
      <c r="E117" s="30" t="str">
        <f t="shared" si="5"/>
        <v>Pass</v>
      </c>
      <c r="F117" s="85" t="s">
        <v>138</v>
      </c>
      <c r="G117" s="78" t="s">
        <v>47</v>
      </c>
      <c r="H117" s="81">
        <v>60</v>
      </c>
      <c r="I117" s="81">
        <v>60</v>
      </c>
      <c r="J117" s="78"/>
    </row>
    <row r="118" spans="1:10" customFormat="1" ht="15.75">
      <c r="A118" s="115">
        <v>43510</v>
      </c>
      <c r="B118" s="78">
        <v>19</v>
      </c>
      <c r="C118" s="78">
        <v>38</v>
      </c>
      <c r="D118" s="117">
        <f t="shared" si="4"/>
        <v>19</v>
      </c>
      <c r="E118" s="30" t="str">
        <f t="shared" si="5"/>
        <v>Pass</v>
      </c>
      <c r="F118" s="85" t="s">
        <v>138</v>
      </c>
      <c r="G118" s="78" t="s">
        <v>47</v>
      </c>
      <c r="H118" s="81">
        <v>60</v>
      </c>
      <c r="I118" s="81">
        <v>60</v>
      </c>
      <c r="J118" s="78"/>
    </row>
    <row r="119" spans="1:10" customFormat="1" ht="15.75">
      <c r="A119" s="115">
        <v>43514</v>
      </c>
      <c r="B119" s="78">
        <v>17</v>
      </c>
      <c r="C119" s="78">
        <v>54</v>
      </c>
      <c r="D119" s="117">
        <f t="shared" si="4"/>
        <v>37</v>
      </c>
      <c r="E119" s="30" t="str">
        <f t="shared" si="5"/>
        <v>Pass</v>
      </c>
      <c r="F119" s="85">
        <v>1340</v>
      </c>
      <c r="G119" s="78" t="s">
        <v>47</v>
      </c>
      <c r="H119" s="81">
        <v>60</v>
      </c>
      <c r="I119" s="81">
        <v>60</v>
      </c>
      <c r="J119" s="78"/>
    </row>
    <row r="120" spans="1:10" customFormat="1" ht="15.75">
      <c r="A120" s="115">
        <v>43522</v>
      </c>
      <c r="B120" s="118">
        <v>41</v>
      </c>
      <c r="C120" s="118">
        <v>131</v>
      </c>
      <c r="D120" s="117">
        <f t="shared" si="4"/>
        <v>90</v>
      </c>
      <c r="E120" s="32" t="str">
        <f t="shared" si="5"/>
        <v>Fail</v>
      </c>
      <c r="F120" s="119">
        <v>1340</v>
      </c>
      <c r="G120" s="78" t="s">
        <v>47</v>
      </c>
      <c r="H120" s="81">
        <v>60</v>
      </c>
      <c r="I120" s="81">
        <v>60</v>
      </c>
      <c r="J120" s="78"/>
    </row>
    <row r="121" spans="1:10" customFormat="1" ht="15.75">
      <c r="A121" s="115">
        <v>43522</v>
      </c>
      <c r="B121" s="118">
        <v>41</v>
      </c>
      <c r="C121" s="118">
        <v>64</v>
      </c>
      <c r="D121" s="117">
        <f t="shared" si="4"/>
        <v>23</v>
      </c>
      <c r="E121" s="32" t="str">
        <f t="shared" si="5"/>
        <v>Pass</v>
      </c>
      <c r="F121" s="119">
        <v>1340</v>
      </c>
      <c r="G121" s="78" t="s">
        <v>47</v>
      </c>
      <c r="H121" s="81">
        <v>60</v>
      </c>
      <c r="I121" s="81">
        <v>60</v>
      </c>
      <c r="J121" s="78"/>
    </row>
    <row r="122" spans="1:10" customFormat="1" ht="15.75">
      <c r="A122" s="115">
        <v>43522</v>
      </c>
      <c r="B122" s="78">
        <v>37</v>
      </c>
      <c r="C122" s="78">
        <v>63</v>
      </c>
      <c r="D122" s="82">
        <f t="shared" si="4"/>
        <v>26</v>
      </c>
      <c r="E122" s="30" t="str">
        <f t="shared" si="5"/>
        <v>Pass</v>
      </c>
      <c r="F122" s="85" t="s">
        <v>137</v>
      </c>
      <c r="G122" s="78" t="s">
        <v>47</v>
      </c>
      <c r="H122" s="81">
        <v>60</v>
      </c>
      <c r="I122" s="81">
        <v>60</v>
      </c>
      <c r="J122" s="78"/>
    </row>
    <row r="123" spans="1:10" customFormat="1" ht="15.75">
      <c r="A123" s="115">
        <v>43528</v>
      </c>
      <c r="B123" s="78">
        <v>45</v>
      </c>
      <c r="C123" s="78">
        <v>100</v>
      </c>
      <c r="D123" s="82">
        <f t="shared" si="4"/>
        <v>55</v>
      </c>
      <c r="E123" s="30" t="str">
        <f t="shared" si="5"/>
        <v>Pass</v>
      </c>
      <c r="F123" s="85">
        <v>1159</v>
      </c>
      <c r="G123" s="78" t="s">
        <v>47</v>
      </c>
      <c r="H123" s="81">
        <v>60</v>
      </c>
      <c r="I123" s="81">
        <v>60</v>
      </c>
      <c r="J123" s="78"/>
    </row>
    <row r="124" spans="1:10" customFormat="1" ht="15.75">
      <c r="A124" s="115">
        <v>43546</v>
      </c>
      <c r="B124" s="78">
        <v>15</v>
      </c>
      <c r="C124" s="78">
        <v>36</v>
      </c>
      <c r="D124" s="82">
        <f t="shared" si="4"/>
        <v>21</v>
      </c>
      <c r="E124" s="30" t="str">
        <f t="shared" si="5"/>
        <v>Pass</v>
      </c>
      <c r="F124" s="85">
        <v>1340</v>
      </c>
      <c r="G124" s="78" t="s">
        <v>47</v>
      </c>
      <c r="H124" s="81">
        <v>60</v>
      </c>
      <c r="I124" s="81">
        <v>60</v>
      </c>
      <c r="J124" s="78"/>
    </row>
    <row r="125" spans="1:10" customFormat="1" ht="15.75">
      <c r="A125" s="115">
        <v>43549</v>
      </c>
      <c r="B125" s="78">
        <v>16</v>
      </c>
      <c r="C125" s="78">
        <v>53</v>
      </c>
      <c r="D125" s="82">
        <f t="shared" si="4"/>
        <v>37</v>
      </c>
      <c r="E125" s="30" t="str">
        <f t="shared" si="5"/>
        <v>Pass</v>
      </c>
      <c r="F125" s="85">
        <v>1159</v>
      </c>
      <c r="G125" s="78" t="s">
        <v>47</v>
      </c>
      <c r="H125" s="81">
        <v>60</v>
      </c>
      <c r="I125" s="81">
        <v>60</v>
      </c>
      <c r="J125" s="78"/>
    </row>
    <row r="126" spans="1:10" customFormat="1" ht="15.75">
      <c r="A126" s="115">
        <v>43552</v>
      </c>
      <c r="B126" s="78">
        <v>33</v>
      </c>
      <c r="C126" s="78">
        <v>83</v>
      </c>
      <c r="D126" s="82">
        <f t="shared" si="4"/>
        <v>50</v>
      </c>
      <c r="E126" s="30" t="str">
        <f t="shared" si="5"/>
        <v>Pass</v>
      </c>
      <c r="F126" s="85">
        <v>1159</v>
      </c>
      <c r="G126" s="78" t="s">
        <v>47</v>
      </c>
      <c r="H126" s="81">
        <v>60</v>
      </c>
      <c r="I126" s="81">
        <v>60</v>
      </c>
      <c r="J126" s="78"/>
    </row>
    <row r="127" spans="1:10" customFormat="1" ht="15.75">
      <c r="A127" s="115">
        <v>43558</v>
      </c>
      <c r="B127" s="78">
        <v>17</v>
      </c>
      <c r="C127" s="78">
        <v>34</v>
      </c>
      <c r="D127" s="82">
        <f>IF(((C127="")*AND(B127="")),"",(C127-B127))</f>
        <v>17</v>
      </c>
      <c r="E127" s="30" t="str">
        <f t="shared" si="5"/>
        <v>Pass</v>
      </c>
      <c r="F127" s="85">
        <v>1340</v>
      </c>
      <c r="G127" s="111" t="s">
        <v>47</v>
      </c>
      <c r="H127" s="81">
        <v>60</v>
      </c>
      <c r="I127" s="81">
        <v>60</v>
      </c>
      <c r="J127" s="78"/>
    </row>
    <row r="128" spans="1:10" customFormat="1" ht="15.75">
      <c r="A128" s="115">
        <v>43564</v>
      </c>
      <c r="B128" s="78">
        <v>17</v>
      </c>
      <c r="C128" s="78">
        <v>10</v>
      </c>
      <c r="D128" s="82">
        <f>IF(((C128="")*AND(B128="")),"",(C128-B128))</f>
        <v>-7</v>
      </c>
      <c r="E128" s="30" t="str">
        <f t="shared" si="5"/>
        <v>Pass</v>
      </c>
      <c r="F128" s="85">
        <v>1159</v>
      </c>
      <c r="G128" s="111" t="s">
        <v>47</v>
      </c>
      <c r="H128" s="81">
        <v>60</v>
      </c>
      <c r="I128" s="81">
        <v>60</v>
      </c>
      <c r="J128" s="78"/>
    </row>
    <row r="129" spans="1:10" customFormat="1" ht="15.75">
      <c r="A129" s="115">
        <v>43569</v>
      </c>
      <c r="B129" s="78">
        <v>27</v>
      </c>
      <c r="C129" s="78">
        <v>533</v>
      </c>
      <c r="D129" s="82">
        <f>IF(((C129="")*AND(B129="")),"",(C129-B129))</f>
        <v>506</v>
      </c>
      <c r="E129" s="30" t="str">
        <f t="shared" si="5"/>
        <v>Fail</v>
      </c>
      <c r="F129" s="85">
        <v>102</v>
      </c>
      <c r="G129" s="111" t="s">
        <v>47</v>
      </c>
      <c r="H129" s="81">
        <v>60</v>
      </c>
      <c r="I129" s="81">
        <v>60</v>
      </c>
      <c r="J129" s="78" t="s">
        <v>59</v>
      </c>
    </row>
    <row r="130" spans="1:10" customFormat="1" ht="15.75">
      <c r="A130" s="115">
        <v>43569</v>
      </c>
      <c r="B130" s="78">
        <v>11</v>
      </c>
      <c r="C130" s="78">
        <v>147</v>
      </c>
      <c r="D130" s="82">
        <f>IF(((C130="")*AND(B130="")),"",(C130-B130))</f>
        <v>136</v>
      </c>
      <c r="E130" s="30" t="str">
        <f t="shared" si="5"/>
        <v>Fail</v>
      </c>
      <c r="F130" s="85">
        <v>102</v>
      </c>
      <c r="G130" s="111" t="s">
        <v>47</v>
      </c>
      <c r="H130" s="81">
        <v>60</v>
      </c>
      <c r="I130" s="81">
        <v>60</v>
      </c>
      <c r="J130" s="112" t="s">
        <v>139</v>
      </c>
    </row>
    <row r="131" spans="1:10" customFormat="1" ht="15.75">
      <c r="A131" s="115">
        <v>43570</v>
      </c>
      <c r="B131" s="78">
        <v>11</v>
      </c>
      <c r="C131" s="78">
        <v>48</v>
      </c>
      <c r="D131" s="82">
        <f>IF(((C131="")*AND(B131="")),"",(C131-B131))</f>
        <v>37</v>
      </c>
      <c r="E131" s="30" t="str">
        <f t="shared" si="5"/>
        <v>Pass</v>
      </c>
      <c r="F131" s="85">
        <v>1340</v>
      </c>
      <c r="G131" s="111" t="s">
        <v>47</v>
      </c>
      <c r="H131" s="81">
        <v>60</v>
      </c>
      <c r="I131" s="81">
        <v>60</v>
      </c>
      <c r="J131" s="112" t="s">
        <v>140</v>
      </c>
    </row>
    <row r="132" spans="1:10" customFormat="1" ht="15.75">
      <c r="A132" s="115">
        <v>43577</v>
      </c>
      <c r="B132" s="82">
        <v>31</v>
      </c>
      <c r="C132" s="82">
        <v>37</v>
      </c>
      <c r="D132" s="82">
        <f t="shared" ref="D132:D195" si="6">IF(((C132="")*AND(B132="")),"",(C132-B132))</f>
        <v>6</v>
      </c>
      <c r="E132" s="30" t="str">
        <f t="shared" si="5"/>
        <v>Pass</v>
      </c>
      <c r="F132" s="85">
        <v>1340</v>
      </c>
      <c r="G132" s="111" t="s">
        <v>47</v>
      </c>
      <c r="H132" s="81">
        <v>60</v>
      </c>
      <c r="I132" s="81">
        <v>60</v>
      </c>
      <c r="J132" s="78"/>
    </row>
    <row r="133" spans="1:10" customFormat="1" ht="15.75">
      <c r="A133" s="115">
        <v>43580</v>
      </c>
      <c r="B133" s="82">
        <v>31</v>
      </c>
      <c r="C133" s="82">
        <v>37</v>
      </c>
      <c r="D133" s="82">
        <f t="shared" si="6"/>
        <v>6</v>
      </c>
      <c r="E133" s="30" t="str">
        <f t="shared" si="5"/>
        <v>Pass</v>
      </c>
      <c r="F133" s="85">
        <v>121</v>
      </c>
      <c r="G133" s="111" t="s">
        <v>47</v>
      </c>
      <c r="H133" s="81">
        <v>60</v>
      </c>
      <c r="I133" s="81">
        <v>60</v>
      </c>
      <c r="J133" s="78"/>
    </row>
    <row r="134" spans="1:10" customFormat="1" ht="15.75">
      <c r="A134" s="115">
        <v>43585</v>
      </c>
      <c r="B134" s="82">
        <v>14</v>
      </c>
      <c r="C134" s="82">
        <v>31</v>
      </c>
      <c r="D134" s="82">
        <f t="shared" si="6"/>
        <v>17</v>
      </c>
      <c r="E134" s="30" t="str">
        <f t="shared" si="5"/>
        <v>Pass</v>
      </c>
      <c r="F134" s="85">
        <v>1340</v>
      </c>
      <c r="G134" s="111" t="s">
        <v>47</v>
      </c>
      <c r="H134" s="81">
        <v>60</v>
      </c>
      <c r="I134" s="81">
        <v>60</v>
      </c>
      <c r="J134" s="78"/>
    </row>
    <row r="135" spans="1:10" customFormat="1" ht="15.75">
      <c r="A135" s="115">
        <v>43588</v>
      </c>
      <c r="B135" s="82">
        <v>7</v>
      </c>
      <c r="C135" s="82">
        <v>41</v>
      </c>
      <c r="D135" s="82">
        <f t="shared" si="6"/>
        <v>34</v>
      </c>
      <c r="E135" s="30" t="str">
        <f t="shared" si="5"/>
        <v>Pass</v>
      </c>
      <c r="F135" s="85">
        <v>1340</v>
      </c>
      <c r="G135" s="111" t="s">
        <v>47</v>
      </c>
      <c r="H135" s="81">
        <v>60</v>
      </c>
      <c r="I135" s="81">
        <v>60</v>
      </c>
      <c r="J135" s="78"/>
    </row>
    <row r="136" spans="1:10" customFormat="1" ht="15.75">
      <c r="A136" s="115">
        <v>43591</v>
      </c>
      <c r="B136" s="82">
        <v>17</v>
      </c>
      <c r="C136" s="82">
        <v>34</v>
      </c>
      <c r="D136" s="82">
        <f t="shared" si="6"/>
        <v>17</v>
      </c>
      <c r="E136" s="30" t="str">
        <f t="shared" si="5"/>
        <v>Pass</v>
      </c>
      <c r="F136" s="85">
        <v>1335</v>
      </c>
      <c r="G136" s="111" t="s">
        <v>47</v>
      </c>
      <c r="H136" s="81">
        <v>60</v>
      </c>
      <c r="I136" s="81">
        <v>60</v>
      </c>
      <c r="J136" s="78"/>
    </row>
    <row r="137" spans="1:10" customFormat="1" ht="12.75" customHeight="1">
      <c r="A137" s="115">
        <v>43593</v>
      </c>
      <c r="B137" s="82">
        <v>37</v>
      </c>
      <c r="C137" s="82">
        <v>739</v>
      </c>
      <c r="D137" s="82">
        <f t="shared" si="6"/>
        <v>702</v>
      </c>
      <c r="E137" s="30" t="str">
        <f t="shared" si="5"/>
        <v>Fail</v>
      </c>
      <c r="F137" s="85">
        <v>1428</v>
      </c>
      <c r="G137" s="112" t="s">
        <v>47</v>
      </c>
      <c r="H137" s="81">
        <v>60</v>
      </c>
      <c r="I137" s="81">
        <v>60</v>
      </c>
      <c r="J137" s="121" t="s">
        <v>146</v>
      </c>
    </row>
    <row r="138" spans="1:10" customFormat="1" ht="12.75" customHeight="1">
      <c r="A138" s="115">
        <v>43598</v>
      </c>
      <c r="B138" s="82">
        <v>10</v>
      </c>
      <c r="C138" s="82">
        <v>18</v>
      </c>
      <c r="D138" s="82">
        <f t="shared" si="6"/>
        <v>8</v>
      </c>
      <c r="E138" s="30" t="str">
        <f t="shared" si="5"/>
        <v>Pass</v>
      </c>
      <c r="F138" s="85">
        <v>1335</v>
      </c>
      <c r="G138" s="112" t="s">
        <v>47</v>
      </c>
      <c r="H138" s="81">
        <v>60</v>
      </c>
      <c r="I138" s="81">
        <v>60</v>
      </c>
      <c r="J138" s="78"/>
    </row>
    <row r="139" spans="1:10" customFormat="1" ht="12.75" customHeight="1">
      <c r="A139" s="115">
        <v>43603</v>
      </c>
      <c r="B139" s="82">
        <v>20</v>
      </c>
      <c r="C139" s="82">
        <v>97</v>
      </c>
      <c r="D139" s="82">
        <f t="shared" si="6"/>
        <v>77</v>
      </c>
      <c r="E139" s="30" t="str">
        <f t="shared" si="5"/>
        <v>Fail</v>
      </c>
      <c r="F139" s="85">
        <v>1335</v>
      </c>
      <c r="G139" s="112" t="s">
        <v>47</v>
      </c>
      <c r="H139" s="81">
        <v>60</v>
      </c>
      <c r="I139" s="81">
        <v>60</v>
      </c>
      <c r="J139" s="78"/>
    </row>
    <row r="140" spans="1:10" customFormat="1" ht="12.75" customHeight="1">
      <c r="A140" s="115">
        <v>43603</v>
      </c>
      <c r="B140" s="82">
        <v>26</v>
      </c>
      <c r="C140" s="82">
        <v>334</v>
      </c>
      <c r="D140" s="82">
        <f t="shared" si="6"/>
        <v>308</v>
      </c>
      <c r="E140" s="30" t="str">
        <f t="shared" si="5"/>
        <v>Fail</v>
      </c>
      <c r="F140" s="85">
        <v>1335</v>
      </c>
      <c r="G140" s="112" t="s">
        <v>47</v>
      </c>
      <c r="H140" s="81">
        <v>60</v>
      </c>
      <c r="I140" s="81">
        <v>60</v>
      </c>
      <c r="J140" s="78"/>
    </row>
    <row r="141" spans="1:10" customFormat="1" ht="12.75" customHeight="1">
      <c r="A141" s="115">
        <v>43603</v>
      </c>
      <c r="B141" s="82">
        <v>21</v>
      </c>
      <c r="C141" s="82">
        <v>675</v>
      </c>
      <c r="D141" s="82">
        <f t="shared" si="6"/>
        <v>654</v>
      </c>
      <c r="E141" s="30" t="str">
        <f t="shared" si="5"/>
        <v>Fail</v>
      </c>
      <c r="F141" s="85">
        <v>1335</v>
      </c>
      <c r="G141" s="112" t="s">
        <v>47</v>
      </c>
      <c r="H141" s="81">
        <v>60</v>
      </c>
      <c r="I141" s="81">
        <v>60</v>
      </c>
      <c r="J141" s="78"/>
    </row>
    <row r="142" spans="1:10" customFormat="1" ht="12.75" customHeight="1">
      <c r="A142" s="115">
        <v>43603</v>
      </c>
      <c r="B142" s="78">
        <v>32</v>
      </c>
      <c r="C142" s="78">
        <v>754</v>
      </c>
      <c r="D142" s="82">
        <f t="shared" si="6"/>
        <v>722</v>
      </c>
      <c r="E142" s="30" t="str">
        <f t="shared" si="5"/>
        <v>Fail</v>
      </c>
      <c r="F142" s="85">
        <v>1335</v>
      </c>
      <c r="G142" s="112" t="s">
        <v>47</v>
      </c>
      <c r="H142" s="81">
        <v>60</v>
      </c>
      <c r="I142" s="81">
        <v>60</v>
      </c>
      <c r="J142" s="78"/>
    </row>
    <row r="143" spans="1:10" customFormat="1" ht="12.75" customHeight="1">
      <c r="A143" s="115">
        <v>43605</v>
      </c>
      <c r="B143" s="78">
        <v>6</v>
      </c>
      <c r="C143" s="78">
        <v>21</v>
      </c>
      <c r="D143" s="82">
        <f t="shared" si="6"/>
        <v>15</v>
      </c>
      <c r="E143" s="30" t="str">
        <f>IF(D143="","",IF(D143&lt;60,"Pass","Fail"))</f>
        <v>Pass</v>
      </c>
      <c r="F143" s="85">
        <v>102</v>
      </c>
      <c r="G143" s="112" t="s">
        <v>47</v>
      </c>
      <c r="H143" s="81">
        <v>60</v>
      </c>
      <c r="I143" s="81">
        <v>60</v>
      </c>
      <c r="J143" s="78"/>
    </row>
    <row r="144" spans="1:10">
      <c r="A144" s="115">
        <v>43608</v>
      </c>
      <c r="B144" s="78">
        <v>18</v>
      </c>
      <c r="C144" s="78">
        <v>20</v>
      </c>
      <c r="D144" s="82">
        <f t="shared" si="6"/>
        <v>2</v>
      </c>
      <c r="E144" s="30" t="str">
        <f>IF(D144="","",IF(D144&lt;60,"Pass","Fail"))</f>
        <v>Pass</v>
      </c>
      <c r="F144" s="85">
        <v>1340</v>
      </c>
      <c r="G144" s="112" t="s">
        <v>47</v>
      </c>
      <c r="H144" s="81">
        <v>60</v>
      </c>
      <c r="I144" s="81">
        <v>60</v>
      </c>
      <c r="J144" s="78" t="s">
        <v>168</v>
      </c>
    </row>
    <row r="145" spans="1:10">
      <c r="A145" s="115">
        <v>43612</v>
      </c>
      <c r="B145" s="78">
        <v>29</v>
      </c>
      <c r="C145" s="78">
        <v>141</v>
      </c>
      <c r="D145" s="82">
        <f t="shared" si="6"/>
        <v>112</v>
      </c>
      <c r="E145" s="30" t="str">
        <f t="shared" ref="E145:E200" si="7">IF(D145="","",IF(D145&lt;60,"Pass","Fail"))</f>
        <v>Fail</v>
      </c>
      <c r="F145" s="85">
        <v>74</v>
      </c>
      <c r="G145" s="112" t="s">
        <v>47</v>
      </c>
      <c r="H145" s="81">
        <v>60</v>
      </c>
      <c r="I145" s="81">
        <v>60</v>
      </c>
      <c r="J145" s="78"/>
    </row>
    <row r="146" spans="1:10">
      <c r="A146" s="115">
        <v>43612</v>
      </c>
      <c r="B146" s="78">
        <v>17</v>
      </c>
      <c r="C146" s="78">
        <v>31</v>
      </c>
      <c r="D146" s="78">
        <f t="shared" si="6"/>
        <v>14</v>
      </c>
      <c r="E146" s="30" t="str">
        <f t="shared" si="7"/>
        <v>Pass</v>
      </c>
      <c r="F146" s="85">
        <v>1428</v>
      </c>
      <c r="G146" s="112" t="s">
        <v>47</v>
      </c>
      <c r="H146" s="81">
        <v>60</v>
      </c>
      <c r="I146" s="81">
        <v>60</v>
      </c>
      <c r="J146" s="78"/>
    </row>
    <row r="147" spans="1:10">
      <c r="A147" s="115">
        <v>43616</v>
      </c>
      <c r="B147" s="78">
        <v>24</v>
      </c>
      <c r="C147" s="78">
        <v>297</v>
      </c>
      <c r="D147" s="78">
        <f t="shared" si="6"/>
        <v>273</v>
      </c>
      <c r="E147" s="30" t="str">
        <f t="shared" si="7"/>
        <v>Fail</v>
      </c>
      <c r="F147" s="85">
        <v>1340</v>
      </c>
      <c r="G147" s="112" t="s">
        <v>47</v>
      </c>
      <c r="H147" s="81">
        <v>60</v>
      </c>
      <c r="I147" s="81">
        <v>60</v>
      </c>
      <c r="J147" s="78" t="s">
        <v>175</v>
      </c>
    </row>
    <row r="148" spans="1:10">
      <c r="A148" s="115">
        <v>43616</v>
      </c>
      <c r="B148" s="78">
        <v>21</v>
      </c>
      <c r="C148" s="78">
        <v>48</v>
      </c>
      <c r="D148" s="78">
        <f t="shared" si="6"/>
        <v>27</v>
      </c>
      <c r="E148" s="30" t="str">
        <f t="shared" si="7"/>
        <v>Pass</v>
      </c>
      <c r="F148" s="85">
        <v>1340</v>
      </c>
      <c r="G148" s="112" t="s">
        <v>47</v>
      </c>
      <c r="H148" s="81">
        <v>60</v>
      </c>
      <c r="I148" s="81">
        <v>60</v>
      </c>
      <c r="J148" s="78" t="s">
        <v>172</v>
      </c>
    </row>
    <row r="149" spans="1:10">
      <c r="A149" s="115">
        <v>43616</v>
      </c>
      <c r="B149" s="78">
        <v>20</v>
      </c>
      <c r="C149" s="78">
        <v>30</v>
      </c>
      <c r="D149" s="78">
        <f t="shared" si="6"/>
        <v>10</v>
      </c>
      <c r="E149" s="30" t="str">
        <f t="shared" si="7"/>
        <v>Pass</v>
      </c>
      <c r="F149" s="85">
        <v>1340</v>
      </c>
      <c r="G149" s="112" t="s">
        <v>47</v>
      </c>
      <c r="H149" s="81">
        <v>60</v>
      </c>
      <c r="I149" s="81">
        <v>60</v>
      </c>
      <c r="J149" s="78" t="s">
        <v>173</v>
      </c>
    </row>
    <row r="150" spans="1:10">
      <c r="A150" s="115">
        <v>43619</v>
      </c>
      <c r="B150" s="78">
        <v>17</v>
      </c>
      <c r="C150" s="78">
        <v>236</v>
      </c>
      <c r="D150" s="82">
        <f t="shared" si="6"/>
        <v>219</v>
      </c>
      <c r="E150" s="30" t="str">
        <f t="shared" si="7"/>
        <v>Fail</v>
      </c>
      <c r="F150" s="85">
        <v>1159</v>
      </c>
      <c r="G150" s="112" t="s">
        <v>47</v>
      </c>
      <c r="H150" s="81">
        <v>60</v>
      </c>
      <c r="I150" s="81">
        <v>60</v>
      </c>
      <c r="J150" s="78"/>
    </row>
    <row r="151" spans="1:10">
      <c r="A151" s="115">
        <v>43619</v>
      </c>
      <c r="B151" s="78">
        <v>61</v>
      </c>
      <c r="C151" s="78">
        <v>81</v>
      </c>
      <c r="D151" s="82">
        <f t="shared" si="6"/>
        <v>20</v>
      </c>
      <c r="E151" s="30" t="str">
        <f t="shared" si="7"/>
        <v>Pass</v>
      </c>
      <c r="F151" s="85">
        <v>1428</v>
      </c>
      <c r="G151" s="112" t="s">
        <v>47</v>
      </c>
      <c r="H151" s="81">
        <v>60</v>
      </c>
      <c r="I151" s="81">
        <v>60</v>
      </c>
      <c r="J151" s="171" t="s">
        <v>174</v>
      </c>
    </row>
    <row r="152" spans="1:10">
      <c r="A152" s="115">
        <v>43623</v>
      </c>
      <c r="B152" s="78">
        <v>18</v>
      </c>
      <c r="C152" s="78">
        <v>17</v>
      </c>
      <c r="D152" s="82">
        <f t="shared" si="6"/>
        <v>-1</v>
      </c>
      <c r="E152" s="30" t="str">
        <f t="shared" si="7"/>
        <v>Pass</v>
      </c>
      <c r="F152" s="85">
        <v>1428</v>
      </c>
      <c r="G152" s="112" t="s">
        <v>47</v>
      </c>
      <c r="H152" s="81">
        <v>60</v>
      </c>
      <c r="I152" s="81">
        <v>60</v>
      </c>
      <c r="J152" s="78"/>
    </row>
    <row r="153" spans="1:10">
      <c r="A153" s="115">
        <v>43627</v>
      </c>
      <c r="B153" s="78">
        <v>5</v>
      </c>
      <c r="C153" s="78">
        <v>58</v>
      </c>
      <c r="D153" s="82">
        <f t="shared" si="6"/>
        <v>53</v>
      </c>
      <c r="E153" s="30" t="str">
        <f t="shared" si="7"/>
        <v>Pass</v>
      </c>
      <c r="F153" s="85">
        <v>121</v>
      </c>
      <c r="G153" s="112" t="s">
        <v>47</v>
      </c>
      <c r="H153" s="81">
        <v>60</v>
      </c>
      <c r="I153" s="81">
        <v>60</v>
      </c>
      <c r="J153" s="78"/>
    </row>
    <row r="154" spans="1:10">
      <c r="A154" s="115">
        <v>43633</v>
      </c>
      <c r="B154" s="78">
        <v>53</v>
      </c>
      <c r="C154" s="78">
        <v>654</v>
      </c>
      <c r="D154" s="82">
        <f t="shared" si="6"/>
        <v>601</v>
      </c>
      <c r="E154" s="30" t="str">
        <f t="shared" si="7"/>
        <v>Fail</v>
      </c>
      <c r="F154" s="85">
        <v>1340</v>
      </c>
      <c r="G154" s="112" t="s">
        <v>47</v>
      </c>
      <c r="H154" s="81">
        <v>60</v>
      </c>
      <c r="I154" s="81">
        <v>60</v>
      </c>
      <c r="J154" s="78"/>
    </row>
    <row r="155" spans="1:10">
      <c r="A155" s="115">
        <v>43634</v>
      </c>
      <c r="B155" s="78">
        <v>12</v>
      </c>
      <c r="C155" s="78">
        <v>10</v>
      </c>
      <c r="D155" s="82">
        <f t="shared" si="6"/>
        <v>-2</v>
      </c>
      <c r="E155" s="30" t="str">
        <f t="shared" si="7"/>
        <v>Pass</v>
      </c>
      <c r="F155" s="85" t="s">
        <v>137</v>
      </c>
      <c r="G155" s="112" t="s">
        <v>47</v>
      </c>
      <c r="H155" s="81">
        <v>60</v>
      </c>
      <c r="I155" s="81">
        <v>60</v>
      </c>
      <c r="J155" s="78"/>
    </row>
    <row r="156" spans="1:10">
      <c r="A156" s="115">
        <v>43634</v>
      </c>
      <c r="B156" s="78">
        <v>9</v>
      </c>
      <c r="C156" s="78">
        <v>13</v>
      </c>
      <c r="D156" s="82">
        <f t="shared" si="6"/>
        <v>4</v>
      </c>
      <c r="E156" s="30" t="str">
        <f t="shared" si="7"/>
        <v>Pass</v>
      </c>
      <c r="F156" s="85" t="s">
        <v>137</v>
      </c>
      <c r="G156" s="112" t="s">
        <v>47</v>
      </c>
      <c r="H156" s="81">
        <v>60</v>
      </c>
      <c r="I156" s="81">
        <v>60</v>
      </c>
      <c r="J156" s="78"/>
    </row>
    <row r="157" spans="1:10">
      <c r="A157" s="115">
        <v>43637</v>
      </c>
      <c r="B157" s="78">
        <v>9</v>
      </c>
      <c r="C157" s="78">
        <v>120</v>
      </c>
      <c r="D157" s="82">
        <f t="shared" si="6"/>
        <v>111</v>
      </c>
      <c r="E157" s="30" t="str">
        <f t="shared" si="7"/>
        <v>Fail</v>
      </c>
      <c r="F157" s="85">
        <v>1335</v>
      </c>
      <c r="G157" s="112" t="s">
        <v>47</v>
      </c>
      <c r="H157" s="81">
        <v>60</v>
      </c>
      <c r="I157" s="81">
        <v>60</v>
      </c>
      <c r="J157" s="78"/>
    </row>
    <row r="158" spans="1:10">
      <c r="A158" s="115">
        <v>43637</v>
      </c>
      <c r="B158" s="78">
        <v>10</v>
      </c>
      <c r="C158" s="78">
        <v>13</v>
      </c>
      <c r="D158" s="82">
        <f t="shared" si="6"/>
        <v>3</v>
      </c>
      <c r="E158" s="30" t="str">
        <f t="shared" si="7"/>
        <v>Pass</v>
      </c>
      <c r="F158" s="85">
        <v>1335</v>
      </c>
      <c r="G158" s="112" t="s">
        <v>47</v>
      </c>
      <c r="H158" s="81">
        <v>60</v>
      </c>
      <c r="I158" s="81">
        <v>60</v>
      </c>
      <c r="J158" s="78"/>
    </row>
    <row r="159" spans="1:10">
      <c r="A159" s="115">
        <v>43640</v>
      </c>
      <c r="B159" s="78">
        <v>31</v>
      </c>
      <c r="C159" s="78">
        <v>49</v>
      </c>
      <c r="D159" s="82">
        <f t="shared" si="6"/>
        <v>18</v>
      </c>
      <c r="E159" s="30" t="str">
        <f t="shared" si="7"/>
        <v>Pass</v>
      </c>
      <c r="F159" s="85" t="s">
        <v>183</v>
      </c>
      <c r="G159" s="112" t="s">
        <v>47</v>
      </c>
      <c r="H159" s="81">
        <v>60</v>
      </c>
      <c r="I159" s="81">
        <v>60</v>
      </c>
      <c r="J159" s="78"/>
    </row>
    <row r="160" spans="1:10">
      <c r="A160" s="115">
        <v>43656</v>
      </c>
      <c r="B160" s="78">
        <v>38</v>
      </c>
      <c r="C160" s="78">
        <v>47</v>
      </c>
      <c r="D160" s="82">
        <f t="shared" si="6"/>
        <v>9</v>
      </c>
      <c r="E160" s="30" t="str">
        <f t="shared" si="7"/>
        <v>Pass</v>
      </c>
      <c r="F160" s="85">
        <v>1428</v>
      </c>
      <c r="G160" s="112" t="s">
        <v>47</v>
      </c>
      <c r="H160" s="81">
        <v>60</v>
      </c>
      <c r="I160" s="81">
        <v>60</v>
      </c>
      <c r="J160" s="78"/>
    </row>
    <row r="161" spans="1:10">
      <c r="A161" s="115">
        <v>43661</v>
      </c>
      <c r="B161" s="78">
        <v>8</v>
      </c>
      <c r="C161" s="78">
        <v>26</v>
      </c>
      <c r="D161" s="82">
        <f t="shared" si="6"/>
        <v>18</v>
      </c>
      <c r="E161" s="30" t="str">
        <f t="shared" si="7"/>
        <v>Pass</v>
      </c>
      <c r="F161" s="85">
        <v>1159</v>
      </c>
      <c r="G161" s="112" t="s">
        <v>47</v>
      </c>
      <c r="H161" s="81">
        <v>60</v>
      </c>
      <c r="I161" s="81">
        <v>60</v>
      </c>
      <c r="J161" s="78"/>
    </row>
    <row r="162" spans="1:10">
      <c r="A162" s="115">
        <v>43665</v>
      </c>
      <c r="B162" s="78">
        <v>32</v>
      </c>
      <c r="C162" s="78">
        <v>38</v>
      </c>
      <c r="D162" s="82">
        <f t="shared" si="6"/>
        <v>6</v>
      </c>
      <c r="E162" s="30" t="str">
        <f t="shared" si="7"/>
        <v>Pass</v>
      </c>
      <c r="F162" s="85">
        <v>1159</v>
      </c>
      <c r="G162" s="112" t="s">
        <v>47</v>
      </c>
      <c r="H162" s="81">
        <v>60</v>
      </c>
      <c r="I162" s="81">
        <v>60</v>
      </c>
      <c r="J162" s="171" t="s">
        <v>187</v>
      </c>
    </row>
    <row r="163" spans="1:10">
      <c r="A163" s="115">
        <v>43671</v>
      </c>
      <c r="B163" s="78">
        <v>27</v>
      </c>
      <c r="C163" s="78">
        <v>19</v>
      </c>
      <c r="D163" s="82">
        <f t="shared" si="6"/>
        <v>-8</v>
      </c>
      <c r="E163" s="30" t="str">
        <f t="shared" si="7"/>
        <v>Pass</v>
      </c>
      <c r="F163" s="85">
        <v>1159</v>
      </c>
      <c r="G163" s="112" t="s">
        <v>47</v>
      </c>
      <c r="H163" s="81">
        <v>60</v>
      </c>
      <c r="I163" s="81">
        <v>60</v>
      </c>
      <c r="J163" s="171" t="s">
        <v>188</v>
      </c>
    </row>
    <row r="164" spans="1:10">
      <c r="A164" s="115">
        <v>43674</v>
      </c>
      <c r="B164" s="78">
        <v>16</v>
      </c>
      <c r="C164" s="78">
        <v>17</v>
      </c>
      <c r="D164" s="82">
        <f t="shared" si="6"/>
        <v>1</v>
      </c>
      <c r="E164" s="30" t="str">
        <f t="shared" si="7"/>
        <v>Pass</v>
      </c>
      <c r="F164" s="85">
        <v>1340</v>
      </c>
      <c r="G164" s="112" t="s">
        <v>47</v>
      </c>
      <c r="H164" s="81">
        <v>60</v>
      </c>
      <c r="I164" s="81">
        <v>60</v>
      </c>
      <c r="J164" s="78"/>
    </row>
    <row r="165" spans="1:10">
      <c r="A165" s="115">
        <v>43678</v>
      </c>
      <c r="B165" s="78">
        <v>36</v>
      </c>
      <c r="C165" s="78">
        <v>46</v>
      </c>
      <c r="D165" s="82">
        <f t="shared" si="6"/>
        <v>10</v>
      </c>
      <c r="E165" s="30" t="str">
        <f t="shared" si="7"/>
        <v>Pass</v>
      </c>
      <c r="F165" s="85">
        <v>1159</v>
      </c>
      <c r="G165" s="112" t="s">
        <v>47</v>
      </c>
      <c r="H165" s="81">
        <v>60</v>
      </c>
      <c r="I165" s="81">
        <v>60</v>
      </c>
      <c r="J165" s="78"/>
    </row>
    <row r="166" spans="1:10">
      <c r="A166" s="115">
        <v>43681</v>
      </c>
      <c r="B166" s="78">
        <v>48</v>
      </c>
      <c r="C166" s="78">
        <v>48</v>
      </c>
      <c r="D166" s="82">
        <f t="shared" si="6"/>
        <v>0</v>
      </c>
      <c r="E166" s="30" t="str">
        <f t="shared" si="7"/>
        <v>Pass</v>
      </c>
      <c r="F166" s="85">
        <v>1335</v>
      </c>
      <c r="G166" s="112" t="s">
        <v>47</v>
      </c>
      <c r="H166" s="81">
        <v>60</v>
      </c>
      <c r="I166" s="81">
        <v>60</v>
      </c>
      <c r="J166" s="78"/>
    </row>
    <row r="167" spans="1:10">
      <c r="A167" s="115">
        <v>43685</v>
      </c>
      <c r="B167" s="78">
        <v>18</v>
      </c>
      <c r="C167" s="78">
        <v>240</v>
      </c>
      <c r="D167" s="82">
        <f t="shared" si="6"/>
        <v>222</v>
      </c>
      <c r="E167" s="30" t="str">
        <f t="shared" si="7"/>
        <v>Fail</v>
      </c>
      <c r="F167" s="85">
        <v>121</v>
      </c>
      <c r="G167" s="112" t="s">
        <v>47</v>
      </c>
      <c r="H167" s="81">
        <v>60</v>
      </c>
      <c r="I167" s="81">
        <v>60</v>
      </c>
      <c r="J167" s="78"/>
    </row>
    <row r="168" spans="1:10">
      <c r="A168" s="115">
        <v>43685</v>
      </c>
      <c r="B168" s="78">
        <v>42</v>
      </c>
      <c r="C168" s="78">
        <v>36</v>
      </c>
      <c r="D168" s="82">
        <f t="shared" si="6"/>
        <v>-6</v>
      </c>
      <c r="E168" s="30" t="str">
        <f t="shared" si="7"/>
        <v>Pass</v>
      </c>
      <c r="F168" s="85">
        <v>121</v>
      </c>
      <c r="G168" s="112" t="s">
        <v>47</v>
      </c>
      <c r="H168" s="81">
        <v>60</v>
      </c>
      <c r="I168" s="81">
        <v>60</v>
      </c>
      <c r="J168" s="78"/>
    </row>
    <row r="169" spans="1:10">
      <c r="A169" s="115">
        <v>43685</v>
      </c>
      <c r="B169" s="78">
        <v>23</v>
      </c>
      <c r="C169" s="78">
        <v>44</v>
      </c>
      <c r="D169" s="82">
        <f t="shared" si="6"/>
        <v>21</v>
      </c>
      <c r="E169" s="30" t="str">
        <f t="shared" si="7"/>
        <v>Pass</v>
      </c>
      <c r="F169" s="85">
        <v>121</v>
      </c>
      <c r="G169" s="112" t="s">
        <v>47</v>
      </c>
      <c r="H169" s="81">
        <v>60</v>
      </c>
      <c r="I169" s="81">
        <v>60</v>
      </c>
      <c r="J169" s="78"/>
    </row>
    <row r="170" spans="1:10">
      <c r="A170" s="115">
        <v>43690</v>
      </c>
      <c r="B170" s="78">
        <v>8</v>
      </c>
      <c r="C170" s="78">
        <v>17</v>
      </c>
      <c r="D170" s="82">
        <f t="shared" si="6"/>
        <v>9</v>
      </c>
      <c r="E170" s="30" t="str">
        <f t="shared" si="7"/>
        <v>Pass</v>
      </c>
      <c r="F170" s="85" t="s">
        <v>205</v>
      </c>
      <c r="G170" s="112" t="s">
        <v>47</v>
      </c>
      <c r="H170" s="81">
        <v>60</v>
      </c>
      <c r="I170" s="81">
        <v>60</v>
      </c>
      <c r="J170" s="78"/>
    </row>
    <row r="171" spans="1:10">
      <c r="A171" s="115">
        <v>43694</v>
      </c>
      <c r="B171" s="78">
        <v>21</v>
      </c>
      <c r="C171" s="78">
        <v>549</v>
      </c>
      <c r="D171" s="82">
        <f t="shared" si="6"/>
        <v>528</v>
      </c>
      <c r="E171" s="30" t="str">
        <f t="shared" si="7"/>
        <v>Fail</v>
      </c>
      <c r="F171" s="85">
        <v>64</v>
      </c>
      <c r="G171" s="112" t="s">
        <v>47</v>
      </c>
      <c r="H171" s="81">
        <v>60</v>
      </c>
      <c r="I171" s="81">
        <v>60</v>
      </c>
      <c r="J171" s="78"/>
    </row>
    <row r="172" spans="1:10">
      <c r="A172" s="115">
        <v>43694</v>
      </c>
      <c r="B172" s="78">
        <v>15</v>
      </c>
      <c r="C172" s="78">
        <v>67</v>
      </c>
      <c r="D172" s="82">
        <f t="shared" si="6"/>
        <v>52</v>
      </c>
      <c r="E172" s="30" t="str">
        <f t="shared" si="7"/>
        <v>Pass</v>
      </c>
      <c r="F172" s="85">
        <v>102</v>
      </c>
      <c r="G172" s="112" t="s">
        <v>47</v>
      </c>
      <c r="H172" s="81">
        <v>60</v>
      </c>
      <c r="I172" s="81">
        <v>60</v>
      </c>
      <c r="J172" s="78" t="s">
        <v>207</v>
      </c>
    </row>
    <row r="173" spans="1:10">
      <c r="A173" s="115">
        <v>43697</v>
      </c>
      <c r="B173" s="78">
        <v>11</v>
      </c>
      <c r="C173" s="78">
        <v>45</v>
      </c>
      <c r="D173" s="82">
        <f t="shared" si="6"/>
        <v>34</v>
      </c>
      <c r="E173" s="30" t="str">
        <f t="shared" si="7"/>
        <v>Pass</v>
      </c>
      <c r="F173" s="85">
        <v>1340</v>
      </c>
      <c r="G173" s="112" t="s">
        <v>47</v>
      </c>
      <c r="H173" s="81">
        <v>60</v>
      </c>
      <c r="I173" s="81">
        <v>60</v>
      </c>
      <c r="J173" s="78"/>
    </row>
    <row r="174" spans="1:10">
      <c r="A174" s="115">
        <v>43700</v>
      </c>
      <c r="B174" s="78">
        <v>24</v>
      </c>
      <c r="C174" s="78">
        <v>30</v>
      </c>
      <c r="D174" s="82">
        <f t="shared" si="6"/>
        <v>6</v>
      </c>
      <c r="E174" s="30" t="str">
        <f t="shared" si="7"/>
        <v>Pass</v>
      </c>
      <c r="F174" s="85">
        <v>1340</v>
      </c>
      <c r="G174" s="112" t="s">
        <v>47</v>
      </c>
      <c r="H174" s="81">
        <v>60</v>
      </c>
      <c r="I174" s="81">
        <v>60</v>
      </c>
      <c r="J174" s="78"/>
    </row>
    <row r="175" spans="1:10">
      <c r="A175" s="115">
        <v>43704</v>
      </c>
      <c r="B175" s="78">
        <v>22</v>
      </c>
      <c r="C175" s="78">
        <v>28</v>
      </c>
      <c r="D175" s="82">
        <f t="shared" si="6"/>
        <v>6</v>
      </c>
      <c r="E175" s="30" t="str">
        <f t="shared" si="7"/>
        <v>Pass</v>
      </c>
      <c r="F175" s="85">
        <v>1428</v>
      </c>
      <c r="G175" s="112" t="s">
        <v>47</v>
      </c>
      <c r="H175" s="81">
        <v>60</v>
      </c>
      <c r="I175" s="81">
        <v>60</v>
      </c>
      <c r="J175" s="78"/>
    </row>
    <row r="176" spans="1:10">
      <c r="A176" s="115">
        <v>43710</v>
      </c>
      <c r="B176" s="78">
        <v>21</v>
      </c>
      <c r="C176" s="78">
        <v>34</v>
      </c>
      <c r="D176" s="82">
        <f t="shared" si="6"/>
        <v>13</v>
      </c>
      <c r="E176" s="30" t="str">
        <f t="shared" si="7"/>
        <v>Pass</v>
      </c>
      <c r="F176" s="85">
        <v>1428</v>
      </c>
      <c r="G176" s="112" t="s">
        <v>47</v>
      </c>
      <c r="H176" s="81">
        <v>60</v>
      </c>
      <c r="I176" s="81">
        <v>60</v>
      </c>
      <c r="J176" s="78"/>
    </row>
    <row r="177" spans="1:10">
      <c r="A177" s="115">
        <v>43712</v>
      </c>
      <c r="B177" s="78">
        <v>25</v>
      </c>
      <c r="C177" s="78">
        <v>73</v>
      </c>
      <c r="D177" s="82">
        <f t="shared" si="6"/>
        <v>48</v>
      </c>
      <c r="E177" s="30" t="str">
        <f t="shared" si="7"/>
        <v>Pass</v>
      </c>
      <c r="F177" s="85">
        <v>1428</v>
      </c>
      <c r="G177" s="112" t="s">
        <v>47</v>
      </c>
      <c r="H177" s="81">
        <v>60</v>
      </c>
      <c r="I177" s="81">
        <v>60</v>
      </c>
      <c r="J177" s="78"/>
    </row>
    <row r="178" spans="1:10">
      <c r="A178" s="115">
        <v>43715</v>
      </c>
      <c r="B178" s="78">
        <v>26</v>
      </c>
      <c r="C178" s="78">
        <v>51</v>
      </c>
      <c r="D178" s="82">
        <f t="shared" si="6"/>
        <v>25</v>
      </c>
      <c r="E178" s="30" t="str">
        <f t="shared" si="7"/>
        <v>Pass</v>
      </c>
      <c r="F178" s="85">
        <v>1335</v>
      </c>
      <c r="G178" s="112" t="s">
        <v>47</v>
      </c>
      <c r="H178" s="81">
        <v>60</v>
      </c>
      <c r="I178" s="81">
        <v>60</v>
      </c>
      <c r="J178" s="78"/>
    </row>
    <row r="179" spans="1:10">
      <c r="A179" s="115">
        <v>43719</v>
      </c>
      <c r="B179" s="78">
        <v>32</v>
      </c>
      <c r="C179" s="78">
        <v>41</v>
      </c>
      <c r="D179" s="82">
        <f t="shared" si="6"/>
        <v>9</v>
      </c>
      <c r="E179" s="30" t="str">
        <f t="shared" si="7"/>
        <v>Pass</v>
      </c>
      <c r="F179" s="85">
        <v>74</v>
      </c>
      <c r="G179" s="112" t="s">
        <v>47</v>
      </c>
      <c r="H179" s="81">
        <v>60</v>
      </c>
      <c r="I179" s="81">
        <v>60</v>
      </c>
      <c r="J179" s="78"/>
    </row>
    <row r="180" spans="1:10">
      <c r="A180" s="115">
        <v>43724</v>
      </c>
      <c r="B180" s="78">
        <v>43</v>
      </c>
      <c r="C180" s="78">
        <v>56</v>
      </c>
      <c r="D180" s="82">
        <f t="shared" si="6"/>
        <v>13</v>
      </c>
      <c r="E180" s="30" t="str">
        <f t="shared" si="7"/>
        <v>Pass</v>
      </c>
      <c r="F180" s="85">
        <v>121</v>
      </c>
      <c r="G180" s="112" t="s">
        <v>47</v>
      </c>
      <c r="H180" s="81">
        <v>60</v>
      </c>
      <c r="I180" s="81">
        <v>60</v>
      </c>
      <c r="J180" s="78" t="s">
        <v>215</v>
      </c>
    </row>
    <row r="181" spans="1:10">
      <c r="A181" s="115">
        <v>43727</v>
      </c>
      <c r="B181" s="78">
        <v>24</v>
      </c>
      <c r="C181" s="78">
        <v>36</v>
      </c>
      <c r="D181" s="82">
        <f t="shared" si="6"/>
        <v>12</v>
      </c>
      <c r="E181" s="30" t="str">
        <f t="shared" si="7"/>
        <v>Pass</v>
      </c>
      <c r="F181" s="85">
        <v>1159</v>
      </c>
      <c r="G181" s="112" t="s">
        <v>47</v>
      </c>
      <c r="H181" s="81">
        <v>60</v>
      </c>
      <c r="I181" s="81">
        <v>60</v>
      </c>
      <c r="J181" s="78"/>
    </row>
    <row r="182" spans="1:10">
      <c r="A182" s="115">
        <v>43732</v>
      </c>
      <c r="B182" s="78">
        <v>28</v>
      </c>
      <c r="C182" s="78">
        <v>391</v>
      </c>
      <c r="D182" s="82">
        <f t="shared" si="6"/>
        <v>363</v>
      </c>
      <c r="E182" s="30" t="str">
        <f t="shared" si="7"/>
        <v>Fail</v>
      </c>
      <c r="F182" s="85">
        <v>1335</v>
      </c>
      <c r="G182" s="112" t="s">
        <v>47</v>
      </c>
      <c r="H182" s="81">
        <v>60</v>
      </c>
      <c r="I182" s="81">
        <v>60</v>
      </c>
      <c r="J182" s="78"/>
    </row>
    <row r="183" spans="1:10">
      <c r="A183" s="115">
        <v>43734</v>
      </c>
      <c r="B183" s="78">
        <v>7</v>
      </c>
      <c r="C183" s="78">
        <v>8</v>
      </c>
      <c r="D183" s="82">
        <f t="shared" si="6"/>
        <v>1</v>
      </c>
      <c r="E183" s="30" t="str">
        <f t="shared" si="7"/>
        <v>Pass</v>
      </c>
      <c r="F183" s="85" t="s">
        <v>177</v>
      </c>
      <c r="G183" s="112" t="s">
        <v>47</v>
      </c>
      <c r="H183" s="81">
        <v>60</v>
      </c>
      <c r="I183" s="81">
        <v>60</v>
      </c>
      <c r="J183" s="78"/>
    </row>
    <row r="184" spans="1:10">
      <c r="A184" s="115">
        <v>43738</v>
      </c>
      <c r="B184" s="78">
        <v>9</v>
      </c>
      <c r="C184" s="78">
        <v>627</v>
      </c>
      <c r="D184" s="82">
        <f t="shared" si="6"/>
        <v>618</v>
      </c>
      <c r="E184" s="30" t="str">
        <f t="shared" si="7"/>
        <v>Fail</v>
      </c>
      <c r="F184" s="85">
        <v>121</v>
      </c>
      <c r="G184" s="112" t="s">
        <v>47</v>
      </c>
      <c r="H184" s="81">
        <v>60</v>
      </c>
      <c r="I184" s="81">
        <v>60</v>
      </c>
      <c r="J184" s="78" t="s">
        <v>215</v>
      </c>
    </row>
    <row r="185" spans="1:10">
      <c r="A185" s="115">
        <v>43738</v>
      </c>
      <c r="B185" s="78">
        <v>32</v>
      </c>
      <c r="C185" s="78">
        <v>65</v>
      </c>
      <c r="D185" s="82">
        <f t="shared" si="6"/>
        <v>33</v>
      </c>
      <c r="E185" s="30" t="str">
        <f t="shared" si="7"/>
        <v>Pass</v>
      </c>
      <c r="F185" s="85">
        <v>121</v>
      </c>
      <c r="G185" s="112" t="s">
        <v>47</v>
      </c>
      <c r="H185" s="81">
        <v>60</v>
      </c>
      <c r="I185" s="81">
        <v>60</v>
      </c>
      <c r="J185" s="78"/>
    </row>
    <row r="186" spans="1:10">
      <c r="A186" s="115">
        <v>43752</v>
      </c>
      <c r="B186" s="78">
        <v>25</v>
      </c>
      <c r="C186" s="78">
        <v>24</v>
      </c>
      <c r="D186" s="82">
        <f t="shared" si="6"/>
        <v>-1</v>
      </c>
      <c r="E186" s="30" t="str">
        <f t="shared" si="7"/>
        <v>Pass</v>
      </c>
      <c r="F186" s="85">
        <v>1428</v>
      </c>
      <c r="G186" s="112" t="s">
        <v>47</v>
      </c>
      <c r="H186" s="81">
        <v>60</v>
      </c>
      <c r="I186" s="81">
        <v>60</v>
      </c>
      <c r="J186" s="78"/>
    </row>
    <row r="187" spans="1:10">
      <c r="A187" s="115">
        <v>43756</v>
      </c>
      <c r="B187" s="78">
        <v>13</v>
      </c>
      <c r="C187" s="78">
        <v>365</v>
      </c>
      <c r="D187" s="82">
        <f t="shared" si="6"/>
        <v>352</v>
      </c>
      <c r="E187" s="30" t="str">
        <f t="shared" si="7"/>
        <v>Fail</v>
      </c>
      <c r="F187" s="85">
        <v>1428</v>
      </c>
      <c r="G187" s="112" t="s">
        <v>47</v>
      </c>
      <c r="H187" s="81">
        <v>60</v>
      </c>
      <c r="I187" s="81">
        <v>60</v>
      </c>
      <c r="J187" s="78" t="s">
        <v>242</v>
      </c>
    </row>
    <row r="188" spans="1:10">
      <c r="A188" s="115">
        <v>43756</v>
      </c>
      <c r="B188" s="78">
        <v>56</v>
      </c>
      <c r="C188" s="78">
        <v>42</v>
      </c>
      <c r="D188" s="82">
        <f t="shared" si="6"/>
        <v>-14</v>
      </c>
      <c r="E188" s="30" t="str">
        <f t="shared" si="7"/>
        <v>Pass</v>
      </c>
      <c r="F188" s="85">
        <v>1428</v>
      </c>
      <c r="G188" s="112" t="s">
        <v>47</v>
      </c>
      <c r="H188" s="81">
        <v>60</v>
      </c>
      <c r="I188" s="81">
        <v>60</v>
      </c>
      <c r="J188" s="78"/>
    </row>
    <row r="189" spans="1:10">
      <c r="A189" s="115">
        <v>43760</v>
      </c>
      <c r="B189" s="78">
        <v>46</v>
      </c>
      <c r="C189" s="78">
        <v>33</v>
      </c>
      <c r="D189" s="82">
        <f t="shared" si="6"/>
        <v>-13</v>
      </c>
      <c r="E189" s="30" t="str">
        <f t="shared" si="7"/>
        <v>Pass</v>
      </c>
      <c r="F189" s="85">
        <v>1335</v>
      </c>
      <c r="G189" s="112" t="s">
        <v>47</v>
      </c>
      <c r="H189" s="81">
        <v>60</v>
      </c>
      <c r="I189" s="81">
        <v>60</v>
      </c>
      <c r="J189" s="78"/>
    </row>
    <row r="190" spans="1:10">
      <c r="A190" s="115">
        <v>43766</v>
      </c>
      <c r="B190" s="78">
        <v>35</v>
      </c>
      <c r="C190" s="78">
        <v>128</v>
      </c>
      <c r="D190" s="82">
        <f t="shared" si="6"/>
        <v>93</v>
      </c>
      <c r="E190" s="30" t="str">
        <f t="shared" si="7"/>
        <v>Fail</v>
      </c>
      <c r="F190" s="85">
        <v>1428</v>
      </c>
      <c r="G190" s="112" t="s">
        <v>47</v>
      </c>
      <c r="H190" s="81">
        <v>60</v>
      </c>
      <c r="I190" s="81">
        <v>60</v>
      </c>
      <c r="J190" s="78" t="s">
        <v>243</v>
      </c>
    </row>
    <row r="191" spans="1:10">
      <c r="A191" s="115">
        <v>43766</v>
      </c>
      <c r="B191" s="78">
        <v>22</v>
      </c>
      <c r="C191" s="78">
        <v>26</v>
      </c>
      <c r="D191" s="82">
        <f t="shared" si="6"/>
        <v>4</v>
      </c>
      <c r="E191" s="30" t="str">
        <f t="shared" si="7"/>
        <v>Pass</v>
      </c>
      <c r="F191" s="85">
        <v>1428</v>
      </c>
      <c r="G191" s="112" t="s">
        <v>47</v>
      </c>
      <c r="H191" s="81">
        <v>60</v>
      </c>
      <c r="I191" s="81">
        <v>60</v>
      </c>
      <c r="J191" s="78"/>
    </row>
    <row r="192" spans="1:10">
      <c r="A192" s="115">
        <v>43769</v>
      </c>
      <c r="B192" s="78">
        <v>12</v>
      </c>
      <c r="C192" s="78">
        <v>21</v>
      </c>
      <c r="D192" s="82">
        <f t="shared" si="6"/>
        <v>9</v>
      </c>
      <c r="E192" s="30" t="str">
        <f t="shared" si="7"/>
        <v>Pass</v>
      </c>
      <c r="F192" s="85">
        <v>1428</v>
      </c>
      <c r="G192" s="112" t="s">
        <v>47</v>
      </c>
      <c r="H192" s="81">
        <v>60</v>
      </c>
      <c r="I192" s="81">
        <v>60</v>
      </c>
      <c r="J192" s="78"/>
    </row>
    <row r="193" spans="1:10">
      <c r="A193" s="115">
        <v>43773</v>
      </c>
      <c r="B193" s="78">
        <v>21</v>
      </c>
      <c r="C193" s="78">
        <v>23</v>
      </c>
      <c r="D193" s="82">
        <f t="shared" si="6"/>
        <v>2</v>
      </c>
      <c r="E193" s="30" t="str">
        <f t="shared" si="7"/>
        <v>Pass</v>
      </c>
      <c r="F193" s="85">
        <v>121</v>
      </c>
      <c r="G193" s="112" t="s">
        <v>47</v>
      </c>
      <c r="H193" s="81">
        <v>60</v>
      </c>
      <c r="I193" s="81">
        <v>60</v>
      </c>
      <c r="J193" s="78"/>
    </row>
    <row r="194" spans="1:10">
      <c r="A194" s="115">
        <v>43780</v>
      </c>
      <c r="B194" s="78">
        <v>33</v>
      </c>
      <c r="C194" s="78">
        <v>15</v>
      </c>
      <c r="D194" s="82">
        <f t="shared" si="6"/>
        <v>-18</v>
      </c>
      <c r="E194" s="30" t="str">
        <f t="shared" si="7"/>
        <v>Pass</v>
      </c>
      <c r="F194" s="85">
        <v>1159</v>
      </c>
      <c r="G194" s="112" t="s">
        <v>47</v>
      </c>
      <c r="H194" s="81">
        <v>60</v>
      </c>
      <c r="I194" s="81">
        <v>60</v>
      </c>
      <c r="J194" s="78"/>
    </row>
    <row r="195" spans="1:10">
      <c r="A195" s="115">
        <v>43786</v>
      </c>
      <c r="B195" s="78">
        <v>63</v>
      </c>
      <c r="C195" s="78">
        <v>84</v>
      </c>
      <c r="D195" s="82">
        <f t="shared" si="6"/>
        <v>21</v>
      </c>
      <c r="E195" s="30" t="str">
        <f t="shared" si="7"/>
        <v>Pass</v>
      </c>
      <c r="F195" s="85">
        <v>74</v>
      </c>
      <c r="G195" s="112" t="s">
        <v>47</v>
      </c>
      <c r="H195" s="81">
        <v>60</v>
      </c>
      <c r="I195" s="81">
        <v>60</v>
      </c>
      <c r="J195" s="78"/>
    </row>
    <row r="196" spans="1:10">
      <c r="A196" s="115">
        <v>43789</v>
      </c>
      <c r="B196" s="78">
        <v>0</v>
      </c>
      <c r="C196" s="78">
        <v>15</v>
      </c>
      <c r="D196" s="82">
        <f t="shared" ref="D196:D238" si="8">IF(((C196="")*AND(B196="")),"",(C196-B196))</f>
        <v>15</v>
      </c>
      <c r="E196" s="30" t="str">
        <f t="shared" si="7"/>
        <v>Pass</v>
      </c>
      <c r="F196" s="85">
        <v>74</v>
      </c>
      <c r="G196" s="112" t="s">
        <v>47</v>
      </c>
      <c r="H196" s="81">
        <v>60</v>
      </c>
      <c r="I196" s="81">
        <v>60</v>
      </c>
      <c r="J196" s="78" t="s">
        <v>255</v>
      </c>
    </row>
    <row r="197" spans="1:10">
      <c r="A197" s="115">
        <v>43792</v>
      </c>
      <c r="B197" s="78">
        <v>36</v>
      </c>
      <c r="C197" s="78">
        <v>88</v>
      </c>
      <c r="D197" s="82">
        <f t="shared" si="8"/>
        <v>52</v>
      </c>
      <c r="E197" s="30" t="str">
        <f t="shared" si="7"/>
        <v>Pass</v>
      </c>
      <c r="F197" s="85">
        <v>121</v>
      </c>
      <c r="G197" s="112" t="s">
        <v>47</v>
      </c>
      <c r="H197" s="81">
        <v>60</v>
      </c>
      <c r="I197" s="81">
        <v>60</v>
      </c>
      <c r="J197" s="78"/>
    </row>
    <row r="198" spans="1:10">
      <c r="A198" s="115">
        <v>43795</v>
      </c>
      <c r="B198" s="78">
        <v>21</v>
      </c>
      <c r="C198" s="78">
        <v>173</v>
      </c>
      <c r="D198" s="82">
        <f t="shared" si="8"/>
        <v>152</v>
      </c>
      <c r="E198" s="30" t="str">
        <f t="shared" si="7"/>
        <v>Fail</v>
      </c>
      <c r="F198" s="85">
        <v>1428</v>
      </c>
      <c r="G198" s="112" t="s">
        <v>47</v>
      </c>
      <c r="H198" s="81">
        <v>60</v>
      </c>
      <c r="I198" s="81">
        <v>60</v>
      </c>
      <c r="J198" s="78"/>
    </row>
    <row r="199" spans="1:10">
      <c r="A199" s="115">
        <v>43795</v>
      </c>
      <c r="B199" s="78">
        <v>1</v>
      </c>
      <c r="C199" s="78">
        <v>17</v>
      </c>
      <c r="D199" s="82">
        <f t="shared" si="8"/>
        <v>16</v>
      </c>
      <c r="E199" s="30" t="str">
        <f t="shared" si="7"/>
        <v>Pass</v>
      </c>
      <c r="F199" s="85">
        <v>1340</v>
      </c>
      <c r="G199" s="112" t="s">
        <v>47</v>
      </c>
      <c r="H199" s="81">
        <v>60</v>
      </c>
      <c r="I199" s="81">
        <v>60</v>
      </c>
      <c r="J199" s="78"/>
    </row>
    <row r="200" spans="1:10">
      <c r="A200" s="115">
        <v>43801</v>
      </c>
      <c r="B200" s="78">
        <v>0</v>
      </c>
      <c r="C200" s="78">
        <v>16</v>
      </c>
      <c r="D200" s="82">
        <f t="shared" si="8"/>
        <v>16</v>
      </c>
      <c r="E200" s="30" t="str">
        <f t="shared" si="7"/>
        <v>Pass</v>
      </c>
      <c r="F200" s="85">
        <v>1335</v>
      </c>
      <c r="G200" s="112" t="s">
        <v>47</v>
      </c>
      <c r="H200" s="81">
        <v>60</v>
      </c>
      <c r="I200" s="81">
        <v>60</v>
      </c>
      <c r="J200" s="78" t="s">
        <v>264</v>
      </c>
    </row>
    <row r="201" spans="1:10">
      <c r="A201" s="115"/>
      <c r="B201" s="78"/>
      <c r="C201" s="78"/>
      <c r="D201" s="82" t="str">
        <f t="shared" si="8"/>
        <v/>
      </c>
      <c r="E201" s="30" t="str">
        <f>IF(D201="","",IF(D201&lt;H201,"Pass","Fail"))</f>
        <v/>
      </c>
      <c r="F201" s="85"/>
      <c r="G201" s="112"/>
      <c r="H201" s="81">
        <v>50</v>
      </c>
      <c r="I201" s="81">
        <v>60</v>
      </c>
      <c r="J201" s="78" t="s">
        <v>265</v>
      </c>
    </row>
    <row r="202" spans="1:10">
      <c r="A202" s="115"/>
      <c r="B202" s="78"/>
      <c r="C202" s="78"/>
      <c r="D202" s="82" t="str">
        <f t="shared" si="8"/>
        <v/>
      </c>
      <c r="E202" s="30" t="str">
        <f t="shared" ref="E202:E238" si="9">IF(D202="","",IF(D202&lt;H202,"Pass","Fail"))</f>
        <v/>
      </c>
      <c r="F202" s="85"/>
      <c r="G202" s="112"/>
      <c r="H202" s="81">
        <v>50</v>
      </c>
      <c r="I202" s="81">
        <v>60</v>
      </c>
      <c r="J202" s="78"/>
    </row>
    <row r="203" spans="1:10">
      <c r="A203" s="115"/>
      <c r="B203" s="78"/>
      <c r="C203" s="78"/>
      <c r="D203" s="82" t="str">
        <f t="shared" si="8"/>
        <v/>
      </c>
      <c r="E203" s="30" t="str">
        <f t="shared" si="9"/>
        <v/>
      </c>
      <c r="F203" s="85"/>
      <c r="G203" s="112"/>
      <c r="H203" s="81">
        <v>50</v>
      </c>
      <c r="I203" s="81">
        <v>60</v>
      </c>
      <c r="J203" s="78"/>
    </row>
    <row r="204" spans="1:10">
      <c r="A204" s="115"/>
      <c r="B204" s="78"/>
      <c r="C204" s="78"/>
      <c r="D204" s="82" t="str">
        <f t="shared" si="8"/>
        <v/>
      </c>
      <c r="E204" s="30" t="str">
        <f t="shared" si="9"/>
        <v/>
      </c>
      <c r="F204" s="85"/>
      <c r="G204" s="112"/>
      <c r="H204" s="81">
        <v>50</v>
      </c>
      <c r="I204" s="81">
        <v>60</v>
      </c>
      <c r="J204" s="78"/>
    </row>
    <row r="205" spans="1:10">
      <c r="A205" s="115"/>
      <c r="B205" s="78"/>
      <c r="C205" s="78"/>
      <c r="D205" s="82" t="str">
        <f t="shared" si="8"/>
        <v/>
      </c>
      <c r="E205" s="30" t="str">
        <f t="shared" si="9"/>
        <v/>
      </c>
      <c r="F205" s="85"/>
      <c r="G205" s="112"/>
      <c r="H205" s="81">
        <v>50</v>
      </c>
      <c r="I205" s="81">
        <v>60</v>
      </c>
      <c r="J205" s="78"/>
    </row>
    <row r="206" spans="1:10">
      <c r="A206" s="115"/>
      <c r="B206" s="78"/>
      <c r="C206" s="78"/>
      <c r="D206" s="82" t="str">
        <f t="shared" si="8"/>
        <v/>
      </c>
      <c r="E206" s="30" t="str">
        <f t="shared" si="9"/>
        <v/>
      </c>
      <c r="F206" s="85"/>
      <c r="G206" s="112"/>
      <c r="H206" s="81">
        <v>50</v>
      </c>
      <c r="I206" s="81">
        <v>60</v>
      </c>
      <c r="J206" s="78"/>
    </row>
    <row r="207" spans="1:10">
      <c r="A207" s="115"/>
      <c r="B207" s="78"/>
      <c r="C207" s="78"/>
      <c r="D207" s="82" t="str">
        <f t="shared" si="8"/>
        <v/>
      </c>
      <c r="E207" s="30" t="str">
        <f t="shared" si="9"/>
        <v/>
      </c>
      <c r="F207" s="85"/>
      <c r="G207" s="112"/>
      <c r="H207" s="81">
        <v>50</v>
      </c>
      <c r="I207" s="81">
        <v>60</v>
      </c>
      <c r="J207" s="78"/>
    </row>
    <row r="208" spans="1:10">
      <c r="A208" s="115"/>
      <c r="B208" s="78"/>
      <c r="C208" s="78"/>
      <c r="D208" s="82" t="str">
        <f t="shared" si="8"/>
        <v/>
      </c>
      <c r="E208" s="30" t="str">
        <f t="shared" si="9"/>
        <v/>
      </c>
      <c r="F208" s="85"/>
      <c r="G208" s="112"/>
      <c r="H208" s="81">
        <v>50</v>
      </c>
      <c r="I208" s="81">
        <v>60</v>
      </c>
      <c r="J208" s="78"/>
    </row>
    <row r="209" spans="1:10">
      <c r="A209" s="115"/>
      <c r="B209" s="78"/>
      <c r="C209" s="78"/>
      <c r="D209" s="82" t="str">
        <f t="shared" si="8"/>
        <v/>
      </c>
      <c r="E209" s="30" t="str">
        <f t="shared" si="9"/>
        <v/>
      </c>
      <c r="F209" s="85"/>
      <c r="G209" s="112"/>
      <c r="H209" s="81">
        <v>50</v>
      </c>
      <c r="I209" s="81">
        <v>60</v>
      </c>
      <c r="J209" s="78"/>
    </row>
    <row r="210" spans="1:10">
      <c r="A210" s="115"/>
      <c r="B210" s="78"/>
      <c r="C210" s="78"/>
      <c r="D210" s="82" t="str">
        <f t="shared" si="8"/>
        <v/>
      </c>
      <c r="E210" s="30" t="str">
        <f t="shared" si="9"/>
        <v/>
      </c>
      <c r="F210" s="85"/>
      <c r="G210" s="112"/>
      <c r="H210" s="81">
        <v>50</v>
      </c>
      <c r="I210" s="81">
        <v>60</v>
      </c>
      <c r="J210" s="78"/>
    </row>
    <row r="211" spans="1:10">
      <c r="A211" s="115"/>
      <c r="B211" s="78"/>
      <c r="C211" s="78"/>
      <c r="D211" s="82" t="str">
        <f t="shared" si="8"/>
        <v/>
      </c>
      <c r="E211" s="30" t="str">
        <f t="shared" si="9"/>
        <v/>
      </c>
      <c r="F211" s="85"/>
      <c r="G211" s="112"/>
      <c r="H211" s="81">
        <v>50</v>
      </c>
      <c r="I211" s="81">
        <v>60</v>
      </c>
      <c r="J211" s="78"/>
    </row>
    <row r="212" spans="1:10">
      <c r="A212" s="115"/>
      <c r="B212" s="78"/>
      <c r="C212" s="78"/>
      <c r="D212" s="82" t="str">
        <f t="shared" si="8"/>
        <v/>
      </c>
      <c r="E212" s="30" t="str">
        <f t="shared" si="9"/>
        <v/>
      </c>
      <c r="F212" s="85"/>
      <c r="G212" s="112"/>
      <c r="H212" s="81">
        <v>50</v>
      </c>
      <c r="I212" s="81">
        <v>60</v>
      </c>
      <c r="J212" s="78"/>
    </row>
    <row r="213" spans="1:10">
      <c r="A213" s="115"/>
      <c r="B213" s="78"/>
      <c r="C213" s="78"/>
      <c r="D213" s="82" t="str">
        <f t="shared" si="8"/>
        <v/>
      </c>
      <c r="E213" s="30" t="str">
        <f t="shared" si="9"/>
        <v/>
      </c>
      <c r="F213" s="85"/>
      <c r="G213" s="112"/>
      <c r="H213" s="81">
        <v>50</v>
      </c>
      <c r="I213" s="81">
        <v>60</v>
      </c>
      <c r="J213" s="78"/>
    </row>
    <row r="214" spans="1:10">
      <c r="A214" s="115"/>
      <c r="B214" s="78"/>
      <c r="C214" s="78"/>
      <c r="D214" s="82" t="str">
        <f t="shared" si="8"/>
        <v/>
      </c>
      <c r="E214" s="30" t="str">
        <f t="shared" si="9"/>
        <v/>
      </c>
      <c r="F214" s="85"/>
      <c r="G214" s="112"/>
      <c r="H214" s="81">
        <v>50</v>
      </c>
      <c r="I214" s="81">
        <v>60</v>
      </c>
      <c r="J214" s="78"/>
    </row>
    <row r="215" spans="1:10">
      <c r="A215" s="115"/>
      <c r="B215" s="78"/>
      <c r="C215" s="78"/>
      <c r="D215" s="82" t="str">
        <f t="shared" si="8"/>
        <v/>
      </c>
      <c r="E215" s="30" t="str">
        <f t="shared" si="9"/>
        <v/>
      </c>
      <c r="F215" s="85"/>
      <c r="G215" s="112"/>
      <c r="H215" s="81">
        <v>50</v>
      </c>
      <c r="I215" s="81">
        <v>60</v>
      </c>
      <c r="J215" s="78"/>
    </row>
    <row r="216" spans="1:10">
      <c r="A216" s="115"/>
      <c r="B216" s="78"/>
      <c r="C216" s="78"/>
      <c r="D216" s="82" t="str">
        <f t="shared" si="8"/>
        <v/>
      </c>
      <c r="E216" s="30" t="str">
        <f t="shared" si="9"/>
        <v/>
      </c>
      <c r="F216" s="85"/>
      <c r="G216" s="112"/>
      <c r="H216" s="81">
        <v>50</v>
      </c>
      <c r="I216" s="81">
        <v>60</v>
      </c>
      <c r="J216" s="78"/>
    </row>
    <row r="217" spans="1:10">
      <c r="A217" s="115"/>
      <c r="B217" s="78"/>
      <c r="C217" s="78"/>
      <c r="D217" s="82" t="str">
        <f t="shared" si="8"/>
        <v/>
      </c>
      <c r="E217" s="30" t="str">
        <f t="shared" si="9"/>
        <v/>
      </c>
      <c r="F217" s="85"/>
      <c r="G217" s="112"/>
      <c r="H217" s="81">
        <v>50</v>
      </c>
      <c r="I217" s="81">
        <v>60</v>
      </c>
      <c r="J217" s="78"/>
    </row>
    <row r="218" spans="1:10">
      <c r="A218" s="115"/>
      <c r="B218" s="78"/>
      <c r="C218" s="78"/>
      <c r="D218" s="82" t="str">
        <f t="shared" si="8"/>
        <v/>
      </c>
      <c r="E218" s="30" t="str">
        <f t="shared" si="9"/>
        <v/>
      </c>
      <c r="F218" s="85"/>
      <c r="G218" s="112"/>
      <c r="H218" s="81">
        <v>50</v>
      </c>
      <c r="I218" s="81">
        <v>60</v>
      </c>
      <c r="J218" s="78"/>
    </row>
    <row r="219" spans="1:10">
      <c r="A219" s="115"/>
      <c r="B219" s="78"/>
      <c r="C219" s="78"/>
      <c r="D219" s="82" t="str">
        <f t="shared" si="8"/>
        <v/>
      </c>
      <c r="E219" s="30" t="str">
        <f t="shared" si="9"/>
        <v/>
      </c>
      <c r="F219" s="85"/>
      <c r="G219" s="112"/>
      <c r="H219" s="81">
        <v>50</v>
      </c>
      <c r="I219" s="81">
        <v>60</v>
      </c>
      <c r="J219" s="78"/>
    </row>
    <row r="220" spans="1:10">
      <c r="A220" s="115"/>
      <c r="B220" s="78"/>
      <c r="C220" s="78"/>
      <c r="D220" s="82" t="str">
        <f t="shared" si="8"/>
        <v/>
      </c>
      <c r="E220" s="30" t="str">
        <f t="shared" si="9"/>
        <v/>
      </c>
      <c r="F220" s="85"/>
      <c r="G220" s="112"/>
      <c r="H220" s="81">
        <v>50</v>
      </c>
      <c r="I220" s="81">
        <v>60</v>
      </c>
      <c r="J220" s="78"/>
    </row>
    <row r="221" spans="1:10">
      <c r="A221" s="115"/>
      <c r="B221" s="78"/>
      <c r="C221" s="78"/>
      <c r="D221" s="82" t="str">
        <f t="shared" si="8"/>
        <v/>
      </c>
      <c r="E221" s="30" t="str">
        <f t="shared" si="9"/>
        <v/>
      </c>
      <c r="F221" s="85"/>
      <c r="G221" s="112"/>
      <c r="H221" s="81">
        <v>50</v>
      </c>
      <c r="I221" s="81">
        <v>60</v>
      </c>
      <c r="J221" s="78"/>
    </row>
    <row r="222" spans="1:10">
      <c r="A222" s="115"/>
      <c r="B222" s="78"/>
      <c r="C222" s="78"/>
      <c r="D222" s="82" t="str">
        <f t="shared" si="8"/>
        <v/>
      </c>
      <c r="E222" s="30" t="str">
        <f t="shared" si="9"/>
        <v/>
      </c>
      <c r="F222" s="85"/>
      <c r="G222" s="112"/>
      <c r="H222" s="81">
        <v>50</v>
      </c>
      <c r="I222" s="81">
        <v>60</v>
      </c>
      <c r="J222" s="78"/>
    </row>
    <row r="223" spans="1:10">
      <c r="A223" s="115"/>
      <c r="B223" s="78"/>
      <c r="C223" s="78"/>
      <c r="D223" s="82" t="str">
        <f t="shared" si="8"/>
        <v/>
      </c>
      <c r="E223" s="30" t="str">
        <f t="shared" si="9"/>
        <v/>
      </c>
      <c r="F223" s="85"/>
      <c r="G223" s="112"/>
      <c r="H223" s="81">
        <v>50</v>
      </c>
      <c r="I223" s="81">
        <v>60</v>
      </c>
      <c r="J223" s="78"/>
    </row>
    <row r="224" spans="1:10">
      <c r="A224" s="115"/>
      <c r="B224" s="78"/>
      <c r="C224" s="78"/>
      <c r="D224" s="82" t="str">
        <f t="shared" si="8"/>
        <v/>
      </c>
      <c r="E224" s="30" t="str">
        <f t="shared" si="9"/>
        <v/>
      </c>
      <c r="F224" s="85"/>
      <c r="G224" s="112"/>
      <c r="H224" s="81">
        <v>50</v>
      </c>
      <c r="I224" s="81">
        <v>60</v>
      </c>
      <c r="J224" s="78"/>
    </row>
    <row r="225" spans="1:10">
      <c r="A225" s="115"/>
      <c r="B225" s="78"/>
      <c r="C225" s="78"/>
      <c r="D225" s="82" t="str">
        <f t="shared" si="8"/>
        <v/>
      </c>
      <c r="E225" s="30" t="str">
        <f t="shared" si="9"/>
        <v/>
      </c>
      <c r="F225" s="85"/>
      <c r="G225" s="112"/>
      <c r="H225" s="81">
        <v>50</v>
      </c>
      <c r="I225" s="81">
        <v>60</v>
      </c>
      <c r="J225" s="78"/>
    </row>
    <row r="226" spans="1:10">
      <c r="A226" s="115"/>
      <c r="B226" s="78"/>
      <c r="C226" s="78"/>
      <c r="D226" s="82" t="str">
        <f t="shared" si="8"/>
        <v/>
      </c>
      <c r="E226" s="30" t="str">
        <f t="shared" si="9"/>
        <v/>
      </c>
      <c r="F226" s="85"/>
      <c r="G226" s="112"/>
      <c r="H226" s="81">
        <v>50</v>
      </c>
      <c r="I226" s="81">
        <v>60</v>
      </c>
      <c r="J226" s="78"/>
    </row>
    <row r="227" spans="1:10">
      <c r="A227" s="115"/>
      <c r="B227" s="78"/>
      <c r="C227" s="78"/>
      <c r="D227" s="82" t="str">
        <f t="shared" si="8"/>
        <v/>
      </c>
      <c r="E227" s="30" t="str">
        <f t="shared" si="9"/>
        <v/>
      </c>
      <c r="F227" s="85"/>
      <c r="G227" s="112"/>
      <c r="H227" s="81">
        <v>50</v>
      </c>
      <c r="I227" s="81">
        <v>60</v>
      </c>
      <c r="J227" s="78"/>
    </row>
    <row r="228" spans="1:10">
      <c r="A228" s="115"/>
      <c r="B228" s="78"/>
      <c r="C228" s="78"/>
      <c r="D228" s="82" t="str">
        <f t="shared" si="8"/>
        <v/>
      </c>
      <c r="E228" s="30" t="str">
        <f t="shared" si="9"/>
        <v/>
      </c>
      <c r="F228" s="85"/>
      <c r="G228" s="112"/>
      <c r="H228" s="81">
        <v>50</v>
      </c>
      <c r="I228" s="81">
        <v>60</v>
      </c>
      <c r="J228" s="78"/>
    </row>
    <row r="229" spans="1:10">
      <c r="A229" s="115"/>
      <c r="B229" s="78"/>
      <c r="C229" s="78"/>
      <c r="D229" s="82" t="str">
        <f t="shared" si="8"/>
        <v/>
      </c>
      <c r="E229" s="30" t="str">
        <f t="shared" si="9"/>
        <v/>
      </c>
      <c r="F229" s="85"/>
      <c r="G229" s="112"/>
      <c r="H229" s="81">
        <v>50</v>
      </c>
      <c r="I229" s="81">
        <v>60</v>
      </c>
      <c r="J229" s="78"/>
    </row>
    <row r="230" spans="1:10">
      <c r="A230" s="115"/>
      <c r="B230" s="78"/>
      <c r="C230" s="78"/>
      <c r="D230" s="82" t="str">
        <f t="shared" si="8"/>
        <v/>
      </c>
      <c r="E230" s="30" t="str">
        <f t="shared" si="9"/>
        <v/>
      </c>
      <c r="F230" s="85"/>
      <c r="G230" s="112"/>
      <c r="H230" s="81">
        <v>50</v>
      </c>
      <c r="I230" s="81">
        <v>60</v>
      </c>
      <c r="J230" s="78"/>
    </row>
    <row r="231" spans="1:10">
      <c r="A231" s="115"/>
      <c r="B231" s="78"/>
      <c r="C231" s="78"/>
      <c r="D231" s="82" t="str">
        <f t="shared" si="8"/>
        <v/>
      </c>
      <c r="E231" s="30" t="str">
        <f t="shared" si="9"/>
        <v/>
      </c>
      <c r="F231" s="85"/>
      <c r="G231" s="112"/>
      <c r="H231" s="81">
        <v>50</v>
      </c>
      <c r="I231" s="81">
        <v>60</v>
      </c>
      <c r="J231" s="78"/>
    </row>
    <row r="232" spans="1:10">
      <c r="A232" s="115"/>
      <c r="B232" s="78"/>
      <c r="C232" s="78"/>
      <c r="D232" s="82" t="str">
        <f t="shared" si="8"/>
        <v/>
      </c>
      <c r="E232" s="30" t="str">
        <f t="shared" si="9"/>
        <v/>
      </c>
      <c r="F232" s="85"/>
      <c r="G232" s="112"/>
      <c r="H232" s="81">
        <v>50</v>
      </c>
      <c r="I232" s="81">
        <v>60</v>
      </c>
      <c r="J232" s="78"/>
    </row>
    <row r="233" spans="1:10">
      <c r="A233" s="115"/>
      <c r="B233" s="78"/>
      <c r="C233" s="78"/>
      <c r="D233" s="82" t="str">
        <f t="shared" si="8"/>
        <v/>
      </c>
      <c r="E233" s="30" t="str">
        <f t="shared" si="9"/>
        <v/>
      </c>
      <c r="F233" s="85"/>
      <c r="G233" s="112"/>
      <c r="H233" s="81">
        <v>50</v>
      </c>
      <c r="I233" s="81">
        <v>60</v>
      </c>
      <c r="J233" s="78"/>
    </row>
    <row r="234" spans="1:10">
      <c r="A234" s="115"/>
      <c r="B234" s="78"/>
      <c r="C234" s="78"/>
      <c r="D234" s="82" t="str">
        <f t="shared" si="8"/>
        <v/>
      </c>
      <c r="E234" s="30" t="str">
        <f t="shared" si="9"/>
        <v/>
      </c>
      <c r="F234" s="85"/>
      <c r="G234" s="112"/>
      <c r="H234" s="81">
        <v>50</v>
      </c>
      <c r="I234" s="81">
        <v>60</v>
      </c>
      <c r="J234" s="78"/>
    </row>
    <row r="235" spans="1:10">
      <c r="A235" s="115"/>
      <c r="B235" s="78"/>
      <c r="C235" s="78"/>
      <c r="D235" s="82" t="str">
        <f t="shared" si="8"/>
        <v/>
      </c>
      <c r="E235" s="30" t="str">
        <f t="shared" si="9"/>
        <v/>
      </c>
      <c r="F235" s="85"/>
      <c r="G235" s="112"/>
      <c r="H235" s="81">
        <v>50</v>
      </c>
      <c r="I235" s="81">
        <v>60</v>
      </c>
      <c r="J235" s="78"/>
    </row>
    <row r="236" spans="1:10">
      <c r="A236" s="115"/>
      <c r="B236" s="78"/>
      <c r="C236" s="78"/>
      <c r="D236" s="82" t="str">
        <f t="shared" si="8"/>
        <v/>
      </c>
      <c r="E236" s="30" t="str">
        <f t="shared" si="9"/>
        <v/>
      </c>
      <c r="F236" s="85"/>
      <c r="G236" s="112"/>
      <c r="H236" s="81">
        <v>50</v>
      </c>
      <c r="I236" s="81">
        <v>60</v>
      </c>
      <c r="J236" s="78"/>
    </row>
    <row r="237" spans="1:10">
      <c r="A237" s="115"/>
      <c r="B237" s="78"/>
      <c r="C237" s="78"/>
      <c r="D237" s="82" t="str">
        <f t="shared" si="8"/>
        <v/>
      </c>
      <c r="E237" s="30" t="str">
        <f t="shared" si="9"/>
        <v/>
      </c>
      <c r="F237" s="85"/>
      <c r="G237" s="112"/>
      <c r="H237" s="81">
        <v>50</v>
      </c>
      <c r="I237" s="81">
        <v>60</v>
      </c>
      <c r="J237" s="78"/>
    </row>
    <row r="238" spans="1:10">
      <c r="A238" s="115"/>
      <c r="B238" s="78"/>
      <c r="C238" s="78"/>
      <c r="D238" s="82" t="str">
        <f t="shared" si="8"/>
        <v/>
      </c>
      <c r="E238" s="30" t="str">
        <f t="shared" si="9"/>
        <v/>
      </c>
      <c r="F238" s="85"/>
      <c r="G238" s="112"/>
      <c r="H238" s="81">
        <v>50</v>
      </c>
      <c r="I238" s="81">
        <v>60</v>
      </c>
      <c r="J238" s="78"/>
    </row>
  </sheetData>
  <autoFilter ref="A9:J238">
    <filterColumn colId="8"/>
  </autoFilter>
  <mergeCells count="2">
    <mergeCell ref="A1:H1"/>
    <mergeCell ref="B8:C8"/>
  </mergeCells>
  <conditionalFormatting sqref="E10:E133">
    <cfRule type="cellIs" dxfId="1729" priority="409" stopIfTrue="1" operator="equal">
      <formula>"Pass"</formula>
    </cfRule>
    <cfRule type="cellIs" dxfId="1728" priority="410" stopIfTrue="1" operator="equal">
      <formula>"Fail"</formula>
    </cfRule>
  </conditionalFormatting>
  <conditionalFormatting sqref="E108:E136">
    <cfRule type="cellIs" dxfId="1727" priority="407" stopIfTrue="1" operator="equal">
      <formula>"Pass"</formula>
    </cfRule>
    <cfRule type="cellIs" dxfId="1726" priority="408" stopIfTrue="1" operator="equal">
      <formula>"Fail"</formula>
    </cfRule>
  </conditionalFormatting>
  <conditionalFormatting sqref="E137:E143">
    <cfRule type="cellIs" dxfId="1725" priority="405" stopIfTrue="1" operator="equal">
      <formula>"Pass"</formula>
    </cfRule>
    <cfRule type="cellIs" dxfId="1724" priority="406" stopIfTrue="1" operator="equal">
      <formula>"Fail"</formula>
    </cfRule>
  </conditionalFormatting>
  <conditionalFormatting sqref="E144:E151">
    <cfRule type="cellIs" dxfId="1723" priority="403" stopIfTrue="1" operator="equal">
      <formula>"Pass"</formula>
    </cfRule>
    <cfRule type="cellIs" dxfId="1722" priority="404" stopIfTrue="1" operator="equal">
      <formula>"Fail"</formula>
    </cfRule>
  </conditionalFormatting>
  <conditionalFormatting sqref="E145:E151">
    <cfRule type="cellIs" dxfId="1721" priority="401" stopIfTrue="1" operator="equal">
      <formula>"Pass"</formula>
    </cfRule>
    <cfRule type="cellIs" dxfId="1720" priority="402" stopIfTrue="1" operator="equal">
      <formula>"Fail"</formula>
    </cfRule>
  </conditionalFormatting>
  <conditionalFormatting sqref="E152">
    <cfRule type="cellIs" dxfId="1719" priority="399" stopIfTrue="1" operator="equal">
      <formula>"Pass"</formula>
    </cfRule>
    <cfRule type="cellIs" dxfId="1718" priority="400" stopIfTrue="1" operator="equal">
      <formula>"Fail"</formula>
    </cfRule>
  </conditionalFormatting>
  <conditionalFormatting sqref="E152">
    <cfRule type="cellIs" dxfId="1717" priority="397" stopIfTrue="1" operator="equal">
      <formula>"Pass"</formula>
    </cfRule>
    <cfRule type="cellIs" dxfId="1716" priority="398" stopIfTrue="1" operator="equal">
      <formula>"Fail"</formula>
    </cfRule>
  </conditionalFormatting>
  <conditionalFormatting sqref="E153">
    <cfRule type="cellIs" dxfId="1715" priority="395" stopIfTrue="1" operator="equal">
      <formula>"Pass"</formula>
    </cfRule>
    <cfRule type="cellIs" dxfId="1714" priority="396" stopIfTrue="1" operator="equal">
      <formula>"Fail"</formula>
    </cfRule>
  </conditionalFormatting>
  <conditionalFormatting sqref="E153">
    <cfRule type="cellIs" dxfId="1713" priority="393" stopIfTrue="1" operator="equal">
      <formula>"Pass"</formula>
    </cfRule>
    <cfRule type="cellIs" dxfId="1712" priority="394" stopIfTrue="1" operator="equal">
      <formula>"Fail"</formula>
    </cfRule>
  </conditionalFormatting>
  <conditionalFormatting sqref="E154">
    <cfRule type="cellIs" dxfId="1711" priority="391" stopIfTrue="1" operator="equal">
      <formula>"Pass"</formula>
    </cfRule>
    <cfRule type="cellIs" dxfId="1710" priority="392" stopIfTrue="1" operator="equal">
      <formula>"Fail"</formula>
    </cfRule>
  </conditionalFormatting>
  <conditionalFormatting sqref="E154">
    <cfRule type="cellIs" dxfId="1709" priority="389" stopIfTrue="1" operator="equal">
      <formula>"Pass"</formula>
    </cfRule>
    <cfRule type="cellIs" dxfId="1708" priority="390" stopIfTrue="1" operator="equal">
      <formula>"Fail"</formula>
    </cfRule>
  </conditionalFormatting>
  <conditionalFormatting sqref="E155">
    <cfRule type="cellIs" dxfId="1707" priority="387" stopIfTrue="1" operator="equal">
      <formula>"Pass"</formula>
    </cfRule>
    <cfRule type="cellIs" dxfId="1706" priority="388" stopIfTrue="1" operator="equal">
      <formula>"Fail"</formula>
    </cfRule>
  </conditionalFormatting>
  <conditionalFormatting sqref="E155">
    <cfRule type="cellIs" dxfId="1705" priority="385" stopIfTrue="1" operator="equal">
      <formula>"Pass"</formula>
    </cfRule>
    <cfRule type="cellIs" dxfId="1704" priority="386" stopIfTrue="1" operator="equal">
      <formula>"Fail"</formula>
    </cfRule>
  </conditionalFormatting>
  <conditionalFormatting sqref="E156">
    <cfRule type="cellIs" dxfId="1703" priority="383" stopIfTrue="1" operator="equal">
      <formula>"Pass"</formula>
    </cfRule>
    <cfRule type="cellIs" dxfId="1702" priority="384" stopIfTrue="1" operator="equal">
      <formula>"Fail"</formula>
    </cfRule>
  </conditionalFormatting>
  <conditionalFormatting sqref="E156">
    <cfRule type="cellIs" dxfId="1701" priority="381" stopIfTrue="1" operator="equal">
      <formula>"Pass"</formula>
    </cfRule>
    <cfRule type="cellIs" dxfId="1700" priority="382" stopIfTrue="1" operator="equal">
      <formula>"Fail"</formula>
    </cfRule>
  </conditionalFormatting>
  <conditionalFormatting sqref="E157">
    <cfRule type="cellIs" dxfId="1699" priority="379" stopIfTrue="1" operator="equal">
      <formula>"Pass"</formula>
    </cfRule>
    <cfRule type="cellIs" dxfId="1698" priority="380" stopIfTrue="1" operator="equal">
      <formula>"Fail"</formula>
    </cfRule>
  </conditionalFormatting>
  <conditionalFormatting sqref="E157">
    <cfRule type="cellIs" dxfId="1697" priority="377" stopIfTrue="1" operator="equal">
      <formula>"Pass"</formula>
    </cfRule>
    <cfRule type="cellIs" dxfId="1696" priority="378" stopIfTrue="1" operator="equal">
      <formula>"Fail"</formula>
    </cfRule>
  </conditionalFormatting>
  <conditionalFormatting sqref="E158">
    <cfRule type="cellIs" dxfId="1695" priority="375" stopIfTrue="1" operator="equal">
      <formula>"Pass"</formula>
    </cfRule>
    <cfRule type="cellIs" dxfId="1694" priority="376" stopIfTrue="1" operator="equal">
      <formula>"Fail"</formula>
    </cfRule>
  </conditionalFormatting>
  <conditionalFormatting sqref="E158">
    <cfRule type="cellIs" dxfId="1693" priority="373" stopIfTrue="1" operator="equal">
      <formula>"Pass"</formula>
    </cfRule>
    <cfRule type="cellIs" dxfId="1692" priority="374" stopIfTrue="1" operator="equal">
      <formula>"Fail"</formula>
    </cfRule>
  </conditionalFormatting>
  <conditionalFormatting sqref="E159">
    <cfRule type="cellIs" dxfId="1691" priority="371" stopIfTrue="1" operator="equal">
      <formula>"Pass"</formula>
    </cfRule>
    <cfRule type="cellIs" dxfId="1690" priority="372" stopIfTrue="1" operator="equal">
      <formula>"Fail"</formula>
    </cfRule>
  </conditionalFormatting>
  <conditionalFormatting sqref="E159">
    <cfRule type="cellIs" dxfId="1689" priority="369" stopIfTrue="1" operator="equal">
      <formula>"Pass"</formula>
    </cfRule>
    <cfRule type="cellIs" dxfId="1688" priority="370" stopIfTrue="1" operator="equal">
      <formula>"Fail"</formula>
    </cfRule>
  </conditionalFormatting>
  <conditionalFormatting sqref="E160">
    <cfRule type="cellIs" dxfId="1687" priority="367" stopIfTrue="1" operator="equal">
      <formula>"Pass"</formula>
    </cfRule>
    <cfRule type="cellIs" dxfId="1686" priority="368" stopIfTrue="1" operator="equal">
      <formula>"Fail"</formula>
    </cfRule>
  </conditionalFormatting>
  <conditionalFormatting sqref="E160">
    <cfRule type="cellIs" dxfId="1685" priority="365" stopIfTrue="1" operator="equal">
      <formula>"Pass"</formula>
    </cfRule>
    <cfRule type="cellIs" dxfId="1684" priority="366" stopIfTrue="1" operator="equal">
      <formula>"Fail"</formula>
    </cfRule>
  </conditionalFormatting>
  <conditionalFormatting sqref="E161">
    <cfRule type="cellIs" dxfId="1683" priority="363" stopIfTrue="1" operator="equal">
      <formula>"Pass"</formula>
    </cfRule>
    <cfRule type="cellIs" dxfId="1682" priority="364" stopIfTrue="1" operator="equal">
      <formula>"Fail"</formula>
    </cfRule>
  </conditionalFormatting>
  <conditionalFormatting sqref="E161">
    <cfRule type="cellIs" dxfId="1681" priority="361" stopIfTrue="1" operator="equal">
      <formula>"Pass"</formula>
    </cfRule>
    <cfRule type="cellIs" dxfId="1680" priority="362" stopIfTrue="1" operator="equal">
      <formula>"Fail"</formula>
    </cfRule>
  </conditionalFormatting>
  <conditionalFormatting sqref="E162">
    <cfRule type="cellIs" dxfId="1679" priority="359" stopIfTrue="1" operator="equal">
      <formula>"Pass"</formula>
    </cfRule>
    <cfRule type="cellIs" dxfId="1678" priority="360" stopIfTrue="1" operator="equal">
      <formula>"Fail"</formula>
    </cfRule>
  </conditionalFormatting>
  <conditionalFormatting sqref="E162">
    <cfRule type="cellIs" dxfId="1677" priority="357" stopIfTrue="1" operator="equal">
      <formula>"Pass"</formula>
    </cfRule>
    <cfRule type="cellIs" dxfId="1676" priority="358" stopIfTrue="1" operator="equal">
      <formula>"Fail"</formula>
    </cfRule>
  </conditionalFormatting>
  <conditionalFormatting sqref="E163">
    <cfRule type="cellIs" dxfId="1675" priority="355" stopIfTrue="1" operator="equal">
      <formula>"Pass"</formula>
    </cfRule>
    <cfRule type="cellIs" dxfId="1674" priority="356" stopIfTrue="1" operator="equal">
      <formula>"Fail"</formula>
    </cfRule>
  </conditionalFormatting>
  <conditionalFormatting sqref="E163">
    <cfRule type="cellIs" dxfId="1673" priority="353" stopIfTrue="1" operator="equal">
      <formula>"Pass"</formula>
    </cfRule>
    <cfRule type="cellIs" dxfId="1672" priority="354" stopIfTrue="1" operator="equal">
      <formula>"Fail"</formula>
    </cfRule>
  </conditionalFormatting>
  <conditionalFormatting sqref="E164">
    <cfRule type="cellIs" dxfId="1671" priority="351" stopIfTrue="1" operator="equal">
      <formula>"Pass"</formula>
    </cfRule>
    <cfRule type="cellIs" dxfId="1670" priority="352" stopIfTrue="1" operator="equal">
      <formula>"Fail"</formula>
    </cfRule>
  </conditionalFormatting>
  <conditionalFormatting sqref="E164">
    <cfRule type="cellIs" dxfId="1669" priority="349" stopIfTrue="1" operator="equal">
      <formula>"Pass"</formula>
    </cfRule>
    <cfRule type="cellIs" dxfId="1668" priority="350" stopIfTrue="1" operator="equal">
      <formula>"Fail"</formula>
    </cfRule>
  </conditionalFormatting>
  <conditionalFormatting sqref="E165">
    <cfRule type="cellIs" dxfId="1667" priority="347" stopIfTrue="1" operator="equal">
      <formula>"Pass"</formula>
    </cfRule>
    <cfRule type="cellIs" dxfId="1666" priority="348" stopIfTrue="1" operator="equal">
      <formula>"Fail"</formula>
    </cfRule>
  </conditionalFormatting>
  <conditionalFormatting sqref="E165">
    <cfRule type="cellIs" dxfId="1665" priority="345" stopIfTrue="1" operator="equal">
      <formula>"Pass"</formula>
    </cfRule>
    <cfRule type="cellIs" dxfId="1664" priority="346" stopIfTrue="1" operator="equal">
      <formula>"Fail"</formula>
    </cfRule>
  </conditionalFormatting>
  <conditionalFormatting sqref="E166">
    <cfRule type="cellIs" dxfId="1663" priority="343" stopIfTrue="1" operator="equal">
      <formula>"Pass"</formula>
    </cfRule>
    <cfRule type="cellIs" dxfId="1662" priority="344" stopIfTrue="1" operator="equal">
      <formula>"Fail"</formula>
    </cfRule>
  </conditionalFormatting>
  <conditionalFormatting sqref="E166">
    <cfRule type="cellIs" dxfId="1661" priority="341" stopIfTrue="1" operator="equal">
      <formula>"Pass"</formula>
    </cfRule>
    <cfRule type="cellIs" dxfId="1660" priority="342" stopIfTrue="1" operator="equal">
      <formula>"Fail"</formula>
    </cfRule>
  </conditionalFormatting>
  <conditionalFormatting sqref="E167">
    <cfRule type="cellIs" dxfId="1659" priority="339" stopIfTrue="1" operator="equal">
      <formula>"Pass"</formula>
    </cfRule>
    <cfRule type="cellIs" dxfId="1658" priority="340" stopIfTrue="1" operator="equal">
      <formula>"Fail"</formula>
    </cfRule>
  </conditionalFormatting>
  <conditionalFormatting sqref="E167">
    <cfRule type="cellIs" dxfId="1657" priority="337" stopIfTrue="1" operator="equal">
      <formula>"Pass"</formula>
    </cfRule>
    <cfRule type="cellIs" dxfId="1656" priority="338" stopIfTrue="1" operator="equal">
      <formula>"Fail"</formula>
    </cfRule>
  </conditionalFormatting>
  <conditionalFormatting sqref="E168">
    <cfRule type="cellIs" dxfId="1655" priority="335" stopIfTrue="1" operator="equal">
      <formula>"Pass"</formula>
    </cfRule>
    <cfRule type="cellIs" dxfId="1654" priority="336" stopIfTrue="1" operator="equal">
      <formula>"Fail"</formula>
    </cfRule>
  </conditionalFormatting>
  <conditionalFormatting sqref="E168">
    <cfRule type="cellIs" dxfId="1653" priority="333" stopIfTrue="1" operator="equal">
      <formula>"Pass"</formula>
    </cfRule>
    <cfRule type="cellIs" dxfId="1652" priority="334" stopIfTrue="1" operator="equal">
      <formula>"Fail"</formula>
    </cfRule>
  </conditionalFormatting>
  <conditionalFormatting sqref="E169">
    <cfRule type="cellIs" dxfId="1651" priority="331" stopIfTrue="1" operator="equal">
      <formula>"Pass"</formula>
    </cfRule>
    <cfRule type="cellIs" dxfId="1650" priority="332" stopIfTrue="1" operator="equal">
      <formula>"Fail"</formula>
    </cfRule>
  </conditionalFormatting>
  <conditionalFormatting sqref="E169">
    <cfRule type="cellIs" dxfId="1649" priority="329" stopIfTrue="1" operator="equal">
      <formula>"Pass"</formula>
    </cfRule>
    <cfRule type="cellIs" dxfId="1648" priority="330" stopIfTrue="1" operator="equal">
      <formula>"Fail"</formula>
    </cfRule>
  </conditionalFormatting>
  <conditionalFormatting sqref="E170">
    <cfRule type="cellIs" dxfId="1647" priority="327" stopIfTrue="1" operator="equal">
      <formula>"Pass"</formula>
    </cfRule>
    <cfRule type="cellIs" dxfId="1646" priority="328" stopIfTrue="1" operator="equal">
      <formula>"Fail"</formula>
    </cfRule>
  </conditionalFormatting>
  <conditionalFormatting sqref="E170">
    <cfRule type="cellIs" dxfId="1645" priority="325" stopIfTrue="1" operator="equal">
      <formula>"Pass"</formula>
    </cfRule>
    <cfRule type="cellIs" dxfId="1644" priority="326" stopIfTrue="1" operator="equal">
      <formula>"Fail"</formula>
    </cfRule>
  </conditionalFormatting>
  <conditionalFormatting sqref="E171">
    <cfRule type="cellIs" dxfId="1643" priority="323" stopIfTrue="1" operator="equal">
      <formula>"Pass"</formula>
    </cfRule>
    <cfRule type="cellIs" dxfId="1642" priority="324" stopIfTrue="1" operator="equal">
      <formula>"Fail"</formula>
    </cfRule>
  </conditionalFormatting>
  <conditionalFormatting sqref="E171">
    <cfRule type="cellIs" dxfId="1641" priority="321" stopIfTrue="1" operator="equal">
      <formula>"Pass"</formula>
    </cfRule>
    <cfRule type="cellIs" dxfId="1640" priority="322" stopIfTrue="1" operator="equal">
      <formula>"Fail"</formula>
    </cfRule>
  </conditionalFormatting>
  <conditionalFormatting sqref="E172">
    <cfRule type="cellIs" dxfId="1639" priority="319" stopIfTrue="1" operator="equal">
      <formula>"Pass"</formula>
    </cfRule>
    <cfRule type="cellIs" dxfId="1638" priority="320" stopIfTrue="1" operator="equal">
      <formula>"Fail"</formula>
    </cfRule>
  </conditionalFormatting>
  <conditionalFormatting sqref="E172">
    <cfRule type="cellIs" dxfId="1637" priority="317" stopIfTrue="1" operator="equal">
      <formula>"Pass"</formula>
    </cfRule>
    <cfRule type="cellIs" dxfId="1636" priority="318" stopIfTrue="1" operator="equal">
      <formula>"Fail"</formula>
    </cfRule>
  </conditionalFormatting>
  <conditionalFormatting sqref="E173">
    <cfRule type="cellIs" dxfId="1635" priority="315" stopIfTrue="1" operator="equal">
      <formula>"Pass"</formula>
    </cfRule>
    <cfRule type="cellIs" dxfId="1634" priority="316" stopIfTrue="1" operator="equal">
      <formula>"Fail"</formula>
    </cfRule>
  </conditionalFormatting>
  <conditionalFormatting sqref="E173">
    <cfRule type="cellIs" dxfId="1633" priority="313" stopIfTrue="1" operator="equal">
      <formula>"Pass"</formula>
    </cfRule>
    <cfRule type="cellIs" dxfId="1632" priority="314" stopIfTrue="1" operator="equal">
      <formula>"Fail"</formula>
    </cfRule>
  </conditionalFormatting>
  <conditionalFormatting sqref="E174">
    <cfRule type="cellIs" dxfId="1631" priority="311" stopIfTrue="1" operator="equal">
      <formula>"Pass"</formula>
    </cfRule>
    <cfRule type="cellIs" dxfId="1630" priority="312" stopIfTrue="1" operator="equal">
      <formula>"Fail"</formula>
    </cfRule>
  </conditionalFormatting>
  <conditionalFormatting sqref="E174">
    <cfRule type="cellIs" dxfId="1629" priority="309" stopIfTrue="1" operator="equal">
      <formula>"Pass"</formula>
    </cfRule>
    <cfRule type="cellIs" dxfId="1628" priority="310" stopIfTrue="1" operator="equal">
      <formula>"Fail"</formula>
    </cfRule>
  </conditionalFormatting>
  <conditionalFormatting sqref="E175">
    <cfRule type="cellIs" dxfId="1627" priority="307" stopIfTrue="1" operator="equal">
      <formula>"Pass"</formula>
    </cfRule>
    <cfRule type="cellIs" dxfId="1626" priority="308" stopIfTrue="1" operator="equal">
      <formula>"Fail"</formula>
    </cfRule>
  </conditionalFormatting>
  <conditionalFormatting sqref="E175">
    <cfRule type="cellIs" dxfId="1625" priority="305" stopIfTrue="1" operator="equal">
      <formula>"Pass"</formula>
    </cfRule>
    <cfRule type="cellIs" dxfId="1624" priority="306" stopIfTrue="1" operator="equal">
      <formula>"Fail"</formula>
    </cfRule>
  </conditionalFormatting>
  <conditionalFormatting sqref="E176">
    <cfRule type="cellIs" dxfId="1623" priority="303" stopIfTrue="1" operator="equal">
      <formula>"Pass"</formula>
    </cfRule>
    <cfRule type="cellIs" dxfId="1622" priority="304" stopIfTrue="1" operator="equal">
      <formula>"Fail"</formula>
    </cfRule>
  </conditionalFormatting>
  <conditionalFormatting sqref="E176">
    <cfRule type="cellIs" dxfId="1621" priority="301" stopIfTrue="1" operator="equal">
      <formula>"Pass"</formula>
    </cfRule>
    <cfRule type="cellIs" dxfId="1620" priority="302" stopIfTrue="1" operator="equal">
      <formula>"Fail"</formula>
    </cfRule>
  </conditionalFormatting>
  <conditionalFormatting sqref="E177">
    <cfRule type="cellIs" dxfId="1619" priority="299" stopIfTrue="1" operator="equal">
      <formula>"Pass"</formula>
    </cfRule>
    <cfRule type="cellIs" dxfId="1618" priority="300" stopIfTrue="1" operator="equal">
      <formula>"Fail"</formula>
    </cfRule>
  </conditionalFormatting>
  <conditionalFormatting sqref="E177">
    <cfRule type="cellIs" dxfId="1617" priority="297" stopIfTrue="1" operator="equal">
      <formula>"Pass"</formula>
    </cfRule>
    <cfRule type="cellIs" dxfId="1616" priority="298" stopIfTrue="1" operator="equal">
      <formula>"Fail"</formula>
    </cfRule>
  </conditionalFormatting>
  <conditionalFormatting sqref="E178:E179">
    <cfRule type="cellIs" dxfId="1615" priority="295" stopIfTrue="1" operator="equal">
      <formula>"Pass"</formula>
    </cfRule>
    <cfRule type="cellIs" dxfId="1614" priority="296" stopIfTrue="1" operator="equal">
      <formula>"Fail"</formula>
    </cfRule>
  </conditionalFormatting>
  <conditionalFormatting sqref="E178:E179">
    <cfRule type="cellIs" dxfId="1613" priority="293" stopIfTrue="1" operator="equal">
      <formula>"Pass"</formula>
    </cfRule>
    <cfRule type="cellIs" dxfId="1612" priority="294" stopIfTrue="1" operator="equal">
      <formula>"Fail"</formula>
    </cfRule>
  </conditionalFormatting>
  <conditionalFormatting sqref="E179">
    <cfRule type="cellIs" dxfId="1611" priority="291" stopIfTrue="1" operator="equal">
      <formula>"Pass"</formula>
    </cfRule>
    <cfRule type="cellIs" dxfId="1610" priority="292" stopIfTrue="1" operator="equal">
      <formula>"Fail"</formula>
    </cfRule>
  </conditionalFormatting>
  <conditionalFormatting sqref="E179">
    <cfRule type="cellIs" dxfId="1609" priority="289" stopIfTrue="1" operator="equal">
      <formula>"Pass"</formula>
    </cfRule>
    <cfRule type="cellIs" dxfId="1608" priority="290" stopIfTrue="1" operator="equal">
      <formula>"Fail"</formula>
    </cfRule>
  </conditionalFormatting>
  <conditionalFormatting sqref="E180">
    <cfRule type="cellIs" dxfId="1607" priority="287" stopIfTrue="1" operator="equal">
      <formula>"Pass"</formula>
    </cfRule>
    <cfRule type="cellIs" dxfId="1606" priority="288" stopIfTrue="1" operator="equal">
      <formula>"Fail"</formula>
    </cfRule>
  </conditionalFormatting>
  <conditionalFormatting sqref="E180">
    <cfRule type="cellIs" dxfId="1605" priority="285" stopIfTrue="1" operator="equal">
      <formula>"Pass"</formula>
    </cfRule>
    <cfRule type="cellIs" dxfId="1604" priority="286" stopIfTrue="1" operator="equal">
      <formula>"Fail"</formula>
    </cfRule>
  </conditionalFormatting>
  <conditionalFormatting sqref="E181">
    <cfRule type="cellIs" dxfId="1603" priority="283" stopIfTrue="1" operator="equal">
      <formula>"Pass"</formula>
    </cfRule>
    <cfRule type="cellIs" dxfId="1602" priority="284" stopIfTrue="1" operator="equal">
      <formula>"Fail"</formula>
    </cfRule>
  </conditionalFormatting>
  <conditionalFormatting sqref="E181">
    <cfRule type="cellIs" dxfId="1601" priority="281" stopIfTrue="1" operator="equal">
      <formula>"Pass"</formula>
    </cfRule>
    <cfRule type="cellIs" dxfId="1600" priority="282" stopIfTrue="1" operator="equal">
      <formula>"Fail"</formula>
    </cfRule>
  </conditionalFormatting>
  <conditionalFormatting sqref="E182">
    <cfRule type="cellIs" dxfId="1599" priority="279" stopIfTrue="1" operator="equal">
      <formula>"Pass"</formula>
    </cfRule>
    <cfRule type="cellIs" dxfId="1598" priority="280" stopIfTrue="1" operator="equal">
      <formula>"Fail"</formula>
    </cfRule>
  </conditionalFormatting>
  <conditionalFormatting sqref="E182">
    <cfRule type="cellIs" dxfId="1597" priority="277" stopIfTrue="1" operator="equal">
      <formula>"Pass"</formula>
    </cfRule>
    <cfRule type="cellIs" dxfId="1596" priority="278" stopIfTrue="1" operator="equal">
      <formula>"Fail"</formula>
    </cfRule>
  </conditionalFormatting>
  <conditionalFormatting sqref="E183">
    <cfRule type="cellIs" dxfId="1595" priority="275" stopIfTrue="1" operator="equal">
      <formula>"Pass"</formula>
    </cfRule>
    <cfRule type="cellIs" dxfId="1594" priority="276" stopIfTrue="1" operator="equal">
      <formula>"Fail"</formula>
    </cfRule>
  </conditionalFormatting>
  <conditionalFormatting sqref="E183">
    <cfRule type="cellIs" dxfId="1593" priority="273" stopIfTrue="1" operator="equal">
      <formula>"Pass"</formula>
    </cfRule>
    <cfRule type="cellIs" dxfId="1592" priority="274" stopIfTrue="1" operator="equal">
      <formula>"Fail"</formula>
    </cfRule>
  </conditionalFormatting>
  <conditionalFormatting sqref="E184">
    <cfRule type="cellIs" dxfId="1591" priority="271" stopIfTrue="1" operator="equal">
      <formula>"Pass"</formula>
    </cfRule>
    <cfRule type="cellIs" dxfId="1590" priority="272" stopIfTrue="1" operator="equal">
      <formula>"Fail"</formula>
    </cfRule>
  </conditionalFormatting>
  <conditionalFormatting sqref="E184">
    <cfRule type="cellIs" dxfId="1589" priority="269" stopIfTrue="1" operator="equal">
      <formula>"Pass"</formula>
    </cfRule>
    <cfRule type="cellIs" dxfId="1588" priority="270" stopIfTrue="1" operator="equal">
      <formula>"Fail"</formula>
    </cfRule>
  </conditionalFormatting>
  <conditionalFormatting sqref="E185">
    <cfRule type="cellIs" dxfId="1587" priority="267" stopIfTrue="1" operator="equal">
      <formula>"Pass"</formula>
    </cfRule>
    <cfRule type="cellIs" dxfId="1586" priority="268" stopIfTrue="1" operator="equal">
      <formula>"Fail"</formula>
    </cfRule>
  </conditionalFormatting>
  <conditionalFormatting sqref="E185">
    <cfRule type="cellIs" dxfId="1585" priority="265" stopIfTrue="1" operator="equal">
      <formula>"Pass"</formula>
    </cfRule>
    <cfRule type="cellIs" dxfId="1584" priority="266" stopIfTrue="1" operator="equal">
      <formula>"Fail"</formula>
    </cfRule>
  </conditionalFormatting>
  <conditionalFormatting sqref="E186">
    <cfRule type="cellIs" dxfId="1583" priority="263" stopIfTrue="1" operator="equal">
      <formula>"Pass"</formula>
    </cfRule>
    <cfRule type="cellIs" dxfId="1582" priority="264" stopIfTrue="1" operator="equal">
      <formula>"Fail"</formula>
    </cfRule>
  </conditionalFormatting>
  <conditionalFormatting sqref="E186">
    <cfRule type="cellIs" dxfId="1581" priority="261" stopIfTrue="1" operator="equal">
      <formula>"Pass"</formula>
    </cfRule>
    <cfRule type="cellIs" dxfId="1580" priority="262" stopIfTrue="1" operator="equal">
      <formula>"Fail"</formula>
    </cfRule>
  </conditionalFormatting>
  <conditionalFormatting sqref="E187">
    <cfRule type="cellIs" dxfId="1579" priority="259" stopIfTrue="1" operator="equal">
      <formula>"Pass"</formula>
    </cfRule>
    <cfRule type="cellIs" dxfId="1578" priority="260" stopIfTrue="1" operator="equal">
      <formula>"Fail"</formula>
    </cfRule>
  </conditionalFormatting>
  <conditionalFormatting sqref="E187">
    <cfRule type="cellIs" dxfId="1577" priority="257" stopIfTrue="1" operator="equal">
      <formula>"Pass"</formula>
    </cfRule>
    <cfRule type="cellIs" dxfId="1576" priority="258" stopIfTrue="1" operator="equal">
      <formula>"Fail"</formula>
    </cfRule>
  </conditionalFormatting>
  <conditionalFormatting sqref="E188">
    <cfRule type="cellIs" dxfId="1575" priority="255" stopIfTrue="1" operator="equal">
      <formula>"Pass"</formula>
    </cfRule>
    <cfRule type="cellIs" dxfId="1574" priority="256" stopIfTrue="1" operator="equal">
      <formula>"Fail"</formula>
    </cfRule>
  </conditionalFormatting>
  <conditionalFormatting sqref="E188">
    <cfRule type="cellIs" dxfId="1573" priority="253" stopIfTrue="1" operator="equal">
      <formula>"Pass"</formula>
    </cfRule>
    <cfRule type="cellIs" dxfId="1572" priority="254" stopIfTrue="1" operator="equal">
      <formula>"Fail"</formula>
    </cfRule>
  </conditionalFormatting>
  <conditionalFormatting sqref="E189">
    <cfRule type="cellIs" dxfId="1571" priority="251" stopIfTrue="1" operator="equal">
      <formula>"Pass"</formula>
    </cfRule>
    <cfRule type="cellIs" dxfId="1570" priority="252" stopIfTrue="1" operator="equal">
      <formula>"Fail"</formula>
    </cfRule>
  </conditionalFormatting>
  <conditionalFormatting sqref="E189">
    <cfRule type="cellIs" dxfId="1569" priority="249" stopIfTrue="1" operator="equal">
      <formula>"Pass"</formula>
    </cfRule>
    <cfRule type="cellIs" dxfId="1568" priority="250" stopIfTrue="1" operator="equal">
      <formula>"Fail"</formula>
    </cfRule>
  </conditionalFormatting>
  <conditionalFormatting sqref="E190">
    <cfRule type="cellIs" dxfId="1567" priority="247" stopIfTrue="1" operator="equal">
      <formula>"Pass"</formula>
    </cfRule>
    <cfRule type="cellIs" dxfId="1566" priority="248" stopIfTrue="1" operator="equal">
      <formula>"Fail"</formula>
    </cfRule>
  </conditionalFormatting>
  <conditionalFormatting sqref="E190">
    <cfRule type="cellIs" dxfId="1565" priority="245" stopIfTrue="1" operator="equal">
      <formula>"Pass"</formula>
    </cfRule>
    <cfRule type="cellIs" dxfId="1564" priority="246" stopIfTrue="1" operator="equal">
      <formula>"Fail"</formula>
    </cfRule>
  </conditionalFormatting>
  <conditionalFormatting sqref="E191">
    <cfRule type="cellIs" dxfId="1563" priority="243" stopIfTrue="1" operator="equal">
      <formula>"Pass"</formula>
    </cfRule>
    <cfRule type="cellIs" dxfId="1562" priority="244" stopIfTrue="1" operator="equal">
      <formula>"Fail"</formula>
    </cfRule>
  </conditionalFormatting>
  <conditionalFormatting sqref="E191">
    <cfRule type="cellIs" dxfId="1561" priority="241" stopIfTrue="1" operator="equal">
      <formula>"Pass"</formula>
    </cfRule>
    <cfRule type="cellIs" dxfId="1560" priority="242" stopIfTrue="1" operator="equal">
      <formula>"Fail"</formula>
    </cfRule>
  </conditionalFormatting>
  <conditionalFormatting sqref="E192">
    <cfRule type="cellIs" dxfId="1559" priority="239" stopIfTrue="1" operator="equal">
      <formula>"Pass"</formula>
    </cfRule>
    <cfRule type="cellIs" dxfId="1558" priority="240" stopIfTrue="1" operator="equal">
      <formula>"Fail"</formula>
    </cfRule>
  </conditionalFormatting>
  <conditionalFormatting sqref="E192">
    <cfRule type="cellIs" dxfId="1557" priority="237" stopIfTrue="1" operator="equal">
      <formula>"Pass"</formula>
    </cfRule>
    <cfRule type="cellIs" dxfId="1556" priority="238" stopIfTrue="1" operator="equal">
      <formula>"Fail"</formula>
    </cfRule>
  </conditionalFormatting>
  <conditionalFormatting sqref="E193">
    <cfRule type="cellIs" dxfId="1555" priority="235" stopIfTrue="1" operator="equal">
      <formula>"Pass"</formula>
    </cfRule>
    <cfRule type="cellIs" dxfId="1554" priority="236" stopIfTrue="1" operator="equal">
      <formula>"Fail"</formula>
    </cfRule>
  </conditionalFormatting>
  <conditionalFormatting sqref="E193">
    <cfRule type="cellIs" dxfId="1553" priority="233" stopIfTrue="1" operator="equal">
      <formula>"Pass"</formula>
    </cfRule>
    <cfRule type="cellIs" dxfId="1552" priority="234" stopIfTrue="1" operator="equal">
      <formula>"Fail"</formula>
    </cfRule>
  </conditionalFormatting>
  <conditionalFormatting sqref="E194:E195">
    <cfRule type="cellIs" dxfId="1551" priority="231" stopIfTrue="1" operator="equal">
      <formula>"Pass"</formula>
    </cfRule>
    <cfRule type="cellIs" dxfId="1550" priority="232" stopIfTrue="1" operator="equal">
      <formula>"Fail"</formula>
    </cfRule>
  </conditionalFormatting>
  <conditionalFormatting sqref="E194:E195">
    <cfRule type="cellIs" dxfId="1549" priority="229" stopIfTrue="1" operator="equal">
      <formula>"Pass"</formula>
    </cfRule>
    <cfRule type="cellIs" dxfId="1548" priority="230" stopIfTrue="1" operator="equal">
      <formula>"Fail"</formula>
    </cfRule>
  </conditionalFormatting>
  <conditionalFormatting sqref="E195">
    <cfRule type="cellIs" dxfId="1547" priority="227" stopIfTrue="1" operator="equal">
      <formula>"Pass"</formula>
    </cfRule>
    <cfRule type="cellIs" dxfId="1546" priority="228" stopIfTrue="1" operator="equal">
      <formula>"Fail"</formula>
    </cfRule>
  </conditionalFormatting>
  <conditionalFormatting sqref="E195">
    <cfRule type="cellIs" dxfId="1545" priority="225" stopIfTrue="1" operator="equal">
      <formula>"Pass"</formula>
    </cfRule>
    <cfRule type="cellIs" dxfId="1544" priority="226" stopIfTrue="1" operator="equal">
      <formula>"Fail"</formula>
    </cfRule>
  </conditionalFormatting>
  <conditionalFormatting sqref="E196">
    <cfRule type="cellIs" dxfId="1543" priority="223" stopIfTrue="1" operator="equal">
      <formula>"Pass"</formula>
    </cfRule>
    <cfRule type="cellIs" dxfId="1542" priority="224" stopIfTrue="1" operator="equal">
      <formula>"Fail"</formula>
    </cfRule>
  </conditionalFormatting>
  <conditionalFormatting sqref="E196">
    <cfRule type="cellIs" dxfId="1541" priority="221" stopIfTrue="1" operator="equal">
      <formula>"Pass"</formula>
    </cfRule>
    <cfRule type="cellIs" dxfId="1540" priority="222" stopIfTrue="1" operator="equal">
      <formula>"Fail"</formula>
    </cfRule>
  </conditionalFormatting>
  <conditionalFormatting sqref="E197">
    <cfRule type="cellIs" dxfId="1539" priority="219" stopIfTrue="1" operator="equal">
      <formula>"Pass"</formula>
    </cfRule>
    <cfRule type="cellIs" dxfId="1538" priority="220" stopIfTrue="1" operator="equal">
      <formula>"Fail"</formula>
    </cfRule>
  </conditionalFormatting>
  <conditionalFormatting sqref="E197">
    <cfRule type="cellIs" dxfId="1537" priority="217" stopIfTrue="1" operator="equal">
      <formula>"Pass"</formula>
    </cfRule>
    <cfRule type="cellIs" dxfId="1536" priority="218" stopIfTrue="1" operator="equal">
      <formula>"Fail"</formula>
    </cfRule>
  </conditionalFormatting>
  <conditionalFormatting sqref="E198:E199">
    <cfRule type="cellIs" dxfId="1535" priority="215" stopIfTrue="1" operator="equal">
      <formula>"Pass"</formula>
    </cfRule>
    <cfRule type="cellIs" dxfId="1534" priority="216" stopIfTrue="1" operator="equal">
      <formula>"Fail"</formula>
    </cfRule>
  </conditionalFormatting>
  <conditionalFormatting sqref="E198:E199">
    <cfRule type="cellIs" dxfId="1533" priority="213" stopIfTrue="1" operator="equal">
      <formula>"Pass"</formula>
    </cfRule>
    <cfRule type="cellIs" dxfId="1532" priority="214" stopIfTrue="1" operator="equal">
      <formula>"Fail"</formula>
    </cfRule>
  </conditionalFormatting>
  <conditionalFormatting sqref="E199">
    <cfRule type="cellIs" dxfId="1531" priority="211" stopIfTrue="1" operator="equal">
      <formula>"Pass"</formula>
    </cfRule>
    <cfRule type="cellIs" dxfId="1530" priority="212" stopIfTrue="1" operator="equal">
      <formula>"Fail"</formula>
    </cfRule>
  </conditionalFormatting>
  <conditionalFormatting sqref="E199">
    <cfRule type="cellIs" dxfId="1529" priority="209" stopIfTrue="1" operator="equal">
      <formula>"Pass"</formula>
    </cfRule>
    <cfRule type="cellIs" dxfId="1528" priority="210" stopIfTrue="1" operator="equal">
      <formula>"Fail"</formula>
    </cfRule>
  </conditionalFormatting>
  <conditionalFormatting sqref="E200">
    <cfRule type="cellIs" dxfId="1527" priority="207" stopIfTrue="1" operator="equal">
      <formula>"Pass"</formula>
    </cfRule>
    <cfRule type="cellIs" dxfId="1526" priority="208" stopIfTrue="1" operator="equal">
      <formula>"Fail"</formula>
    </cfRule>
  </conditionalFormatting>
  <conditionalFormatting sqref="E200">
    <cfRule type="cellIs" dxfId="1525" priority="205" stopIfTrue="1" operator="equal">
      <formula>"Pass"</formula>
    </cfRule>
    <cfRule type="cellIs" dxfId="1524" priority="206" stopIfTrue="1" operator="equal">
      <formula>"Fail"</formula>
    </cfRule>
  </conditionalFormatting>
  <conditionalFormatting sqref="E201:E238">
    <cfRule type="cellIs" dxfId="1523" priority="203" stopIfTrue="1" operator="equal">
      <formula>"Pass"</formula>
    </cfRule>
    <cfRule type="cellIs" dxfId="1522" priority="204" stopIfTrue="1" operator="equal">
      <formula>"Fail"</formula>
    </cfRule>
  </conditionalFormatting>
  <conditionalFormatting sqref="E201:E238">
    <cfRule type="cellIs" dxfId="1521" priority="201" stopIfTrue="1" operator="equal">
      <formula>"Pass"</formula>
    </cfRule>
    <cfRule type="cellIs" dxfId="1520" priority="202" stopIfTrue="1" operator="equal">
      <formula>"Fail"</formula>
    </cfRule>
  </conditionalFormatting>
  <conditionalFormatting sqref="E202">
    <cfRule type="cellIs" dxfId="1519" priority="199" stopIfTrue="1" operator="equal">
      <formula>"Pass"</formula>
    </cfRule>
    <cfRule type="cellIs" dxfId="1518" priority="200" stopIfTrue="1" operator="equal">
      <formula>"Fail"</formula>
    </cfRule>
  </conditionalFormatting>
  <conditionalFormatting sqref="E202">
    <cfRule type="cellIs" dxfId="1517" priority="197" stopIfTrue="1" operator="equal">
      <formula>"Pass"</formula>
    </cfRule>
    <cfRule type="cellIs" dxfId="1516" priority="198" stopIfTrue="1" operator="equal">
      <formula>"Fail"</formula>
    </cfRule>
  </conditionalFormatting>
  <conditionalFormatting sqref="E203">
    <cfRule type="cellIs" dxfId="1515" priority="195" stopIfTrue="1" operator="equal">
      <formula>"Pass"</formula>
    </cfRule>
    <cfRule type="cellIs" dxfId="1514" priority="196" stopIfTrue="1" operator="equal">
      <formula>"Fail"</formula>
    </cfRule>
  </conditionalFormatting>
  <conditionalFormatting sqref="E203">
    <cfRule type="cellIs" dxfId="1513" priority="193" stopIfTrue="1" operator="equal">
      <formula>"Pass"</formula>
    </cfRule>
    <cfRule type="cellIs" dxfId="1512" priority="194" stopIfTrue="1" operator="equal">
      <formula>"Fail"</formula>
    </cfRule>
  </conditionalFormatting>
  <conditionalFormatting sqref="E204">
    <cfRule type="cellIs" dxfId="1511" priority="191" stopIfTrue="1" operator="equal">
      <formula>"Pass"</formula>
    </cfRule>
    <cfRule type="cellIs" dxfId="1510" priority="192" stopIfTrue="1" operator="equal">
      <formula>"Fail"</formula>
    </cfRule>
  </conditionalFormatting>
  <conditionalFormatting sqref="E204">
    <cfRule type="cellIs" dxfId="1509" priority="189" stopIfTrue="1" operator="equal">
      <formula>"Pass"</formula>
    </cfRule>
    <cfRule type="cellIs" dxfId="1508" priority="190" stopIfTrue="1" operator="equal">
      <formula>"Fail"</formula>
    </cfRule>
  </conditionalFormatting>
  <conditionalFormatting sqref="E205">
    <cfRule type="cellIs" dxfId="1507" priority="187" stopIfTrue="1" operator="equal">
      <formula>"Pass"</formula>
    </cfRule>
    <cfRule type="cellIs" dxfId="1506" priority="188" stopIfTrue="1" operator="equal">
      <formula>"Fail"</formula>
    </cfRule>
  </conditionalFormatting>
  <conditionalFormatting sqref="E205">
    <cfRule type="cellIs" dxfId="1505" priority="185" stopIfTrue="1" operator="equal">
      <formula>"Pass"</formula>
    </cfRule>
    <cfRule type="cellIs" dxfId="1504" priority="186" stopIfTrue="1" operator="equal">
      <formula>"Fail"</formula>
    </cfRule>
  </conditionalFormatting>
  <conditionalFormatting sqref="E206">
    <cfRule type="cellIs" dxfId="1503" priority="183" stopIfTrue="1" operator="equal">
      <formula>"Pass"</formula>
    </cfRule>
    <cfRule type="cellIs" dxfId="1502" priority="184" stopIfTrue="1" operator="equal">
      <formula>"Fail"</formula>
    </cfRule>
  </conditionalFormatting>
  <conditionalFormatting sqref="E206">
    <cfRule type="cellIs" dxfId="1501" priority="181" stopIfTrue="1" operator="equal">
      <formula>"Pass"</formula>
    </cfRule>
    <cfRule type="cellIs" dxfId="1500" priority="182" stopIfTrue="1" operator="equal">
      <formula>"Fail"</formula>
    </cfRule>
  </conditionalFormatting>
  <conditionalFormatting sqref="E207">
    <cfRule type="cellIs" dxfId="1499" priority="179" stopIfTrue="1" operator="equal">
      <formula>"Pass"</formula>
    </cfRule>
    <cfRule type="cellIs" dxfId="1498" priority="180" stopIfTrue="1" operator="equal">
      <formula>"Fail"</formula>
    </cfRule>
  </conditionalFormatting>
  <conditionalFormatting sqref="E207">
    <cfRule type="cellIs" dxfId="1497" priority="177" stopIfTrue="1" operator="equal">
      <formula>"Pass"</formula>
    </cfRule>
    <cfRule type="cellIs" dxfId="1496" priority="178" stopIfTrue="1" operator="equal">
      <formula>"Fail"</formula>
    </cfRule>
  </conditionalFormatting>
  <conditionalFormatting sqref="E208">
    <cfRule type="cellIs" dxfId="1495" priority="175" stopIfTrue="1" operator="equal">
      <formula>"Pass"</formula>
    </cfRule>
    <cfRule type="cellIs" dxfId="1494" priority="176" stopIfTrue="1" operator="equal">
      <formula>"Fail"</formula>
    </cfRule>
  </conditionalFormatting>
  <conditionalFormatting sqref="E208">
    <cfRule type="cellIs" dxfId="1493" priority="173" stopIfTrue="1" operator="equal">
      <formula>"Pass"</formula>
    </cfRule>
    <cfRule type="cellIs" dxfId="1492" priority="174" stopIfTrue="1" operator="equal">
      <formula>"Fail"</formula>
    </cfRule>
  </conditionalFormatting>
  <conditionalFormatting sqref="E209">
    <cfRule type="cellIs" dxfId="1491" priority="171" stopIfTrue="1" operator="equal">
      <formula>"Pass"</formula>
    </cfRule>
    <cfRule type="cellIs" dxfId="1490" priority="172" stopIfTrue="1" operator="equal">
      <formula>"Fail"</formula>
    </cfRule>
  </conditionalFormatting>
  <conditionalFormatting sqref="E209">
    <cfRule type="cellIs" dxfId="1489" priority="169" stopIfTrue="1" operator="equal">
      <formula>"Pass"</formula>
    </cfRule>
    <cfRule type="cellIs" dxfId="1488" priority="170" stopIfTrue="1" operator="equal">
      <formula>"Fail"</formula>
    </cfRule>
  </conditionalFormatting>
  <conditionalFormatting sqref="E210">
    <cfRule type="cellIs" dxfId="1487" priority="167" stopIfTrue="1" operator="equal">
      <formula>"Pass"</formula>
    </cfRule>
    <cfRule type="cellIs" dxfId="1486" priority="168" stopIfTrue="1" operator="equal">
      <formula>"Fail"</formula>
    </cfRule>
  </conditionalFormatting>
  <conditionalFormatting sqref="E210">
    <cfRule type="cellIs" dxfId="1485" priority="165" stopIfTrue="1" operator="equal">
      <formula>"Pass"</formula>
    </cfRule>
    <cfRule type="cellIs" dxfId="1484" priority="166" stopIfTrue="1" operator="equal">
      <formula>"Fail"</formula>
    </cfRule>
  </conditionalFormatting>
  <conditionalFormatting sqref="E211">
    <cfRule type="cellIs" dxfId="1483" priority="163" stopIfTrue="1" operator="equal">
      <formula>"Pass"</formula>
    </cfRule>
    <cfRule type="cellIs" dxfId="1482" priority="164" stopIfTrue="1" operator="equal">
      <formula>"Fail"</formula>
    </cfRule>
  </conditionalFormatting>
  <conditionalFormatting sqref="E211">
    <cfRule type="cellIs" dxfId="1481" priority="161" stopIfTrue="1" operator="equal">
      <formula>"Pass"</formula>
    </cfRule>
    <cfRule type="cellIs" dxfId="1480" priority="162" stopIfTrue="1" operator="equal">
      <formula>"Fail"</formula>
    </cfRule>
  </conditionalFormatting>
  <conditionalFormatting sqref="E212">
    <cfRule type="cellIs" dxfId="1479" priority="159" stopIfTrue="1" operator="equal">
      <formula>"Pass"</formula>
    </cfRule>
    <cfRule type="cellIs" dxfId="1478" priority="160" stopIfTrue="1" operator="equal">
      <formula>"Fail"</formula>
    </cfRule>
  </conditionalFormatting>
  <conditionalFormatting sqref="E212">
    <cfRule type="cellIs" dxfId="1477" priority="157" stopIfTrue="1" operator="equal">
      <formula>"Pass"</formula>
    </cfRule>
    <cfRule type="cellIs" dxfId="1476" priority="158" stopIfTrue="1" operator="equal">
      <formula>"Fail"</formula>
    </cfRule>
  </conditionalFormatting>
  <conditionalFormatting sqref="E213">
    <cfRule type="cellIs" dxfId="1475" priority="155" stopIfTrue="1" operator="equal">
      <formula>"Pass"</formula>
    </cfRule>
    <cfRule type="cellIs" dxfId="1474" priority="156" stopIfTrue="1" operator="equal">
      <formula>"Fail"</formula>
    </cfRule>
  </conditionalFormatting>
  <conditionalFormatting sqref="E213">
    <cfRule type="cellIs" dxfId="1473" priority="153" stopIfTrue="1" operator="equal">
      <formula>"Pass"</formula>
    </cfRule>
    <cfRule type="cellIs" dxfId="1472" priority="154" stopIfTrue="1" operator="equal">
      <formula>"Fail"</formula>
    </cfRule>
  </conditionalFormatting>
  <conditionalFormatting sqref="E214">
    <cfRule type="cellIs" dxfId="1471" priority="151" stopIfTrue="1" operator="equal">
      <formula>"Pass"</formula>
    </cfRule>
    <cfRule type="cellIs" dxfId="1470" priority="152" stopIfTrue="1" operator="equal">
      <formula>"Fail"</formula>
    </cfRule>
  </conditionalFormatting>
  <conditionalFormatting sqref="E214">
    <cfRule type="cellIs" dxfId="1469" priority="149" stopIfTrue="1" operator="equal">
      <formula>"Pass"</formula>
    </cfRule>
    <cfRule type="cellIs" dxfId="1468" priority="150" stopIfTrue="1" operator="equal">
      <formula>"Fail"</formula>
    </cfRule>
  </conditionalFormatting>
  <conditionalFormatting sqref="E215">
    <cfRule type="cellIs" dxfId="1467" priority="147" stopIfTrue="1" operator="equal">
      <formula>"Pass"</formula>
    </cfRule>
    <cfRule type="cellIs" dxfId="1466" priority="148" stopIfTrue="1" operator="equal">
      <formula>"Fail"</formula>
    </cfRule>
  </conditionalFormatting>
  <conditionalFormatting sqref="E215">
    <cfRule type="cellIs" dxfId="1465" priority="145" stopIfTrue="1" operator="equal">
      <formula>"Pass"</formula>
    </cfRule>
    <cfRule type="cellIs" dxfId="1464" priority="146" stopIfTrue="1" operator="equal">
      <formula>"Fail"</formula>
    </cfRule>
  </conditionalFormatting>
  <conditionalFormatting sqref="E216">
    <cfRule type="cellIs" dxfId="1463" priority="143" stopIfTrue="1" operator="equal">
      <formula>"Pass"</formula>
    </cfRule>
    <cfRule type="cellIs" dxfId="1462" priority="144" stopIfTrue="1" operator="equal">
      <formula>"Fail"</formula>
    </cfRule>
  </conditionalFormatting>
  <conditionalFormatting sqref="E216">
    <cfRule type="cellIs" dxfId="1461" priority="141" stopIfTrue="1" operator="equal">
      <formula>"Pass"</formula>
    </cfRule>
    <cfRule type="cellIs" dxfId="1460" priority="142" stopIfTrue="1" operator="equal">
      <formula>"Fail"</formula>
    </cfRule>
  </conditionalFormatting>
  <conditionalFormatting sqref="E217">
    <cfRule type="cellIs" dxfId="1459" priority="139" stopIfTrue="1" operator="equal">
      <formula>"Pass"</formula>
    </cfRule>
    <cfRule type="cellIs" dxfId="1458" priority="140" stopIfTrue="1" operator="equal">
      <formula>"Fail"</formula>
    </cfRule>
  </conditionalFormatting>
  <conditionalFormatting sqref="E217">
    <cfRule type="cellIs" dxfId="1457" priority="137" stopIfTrue="1" operator="equal">
      <formula>"Pass"</formula>
    </cfRule>
    <cfRule type="cellIs" dxfId="1456" priority="138" stopIfTrue="1" operator="equal">
      <formula>"Fail"</formula>
    </cfRule>
  </conditionalFormatting>
  <conditionalFormatting sqref="E218">
    <cfRule type="cellIs" dxfId="1455" priority="135" stopIfTrue="1" operator="equal">
      <formula>"Pass"</formula>
    </cfRule>
    <cfRule type="cellIs" dxfId="1454" priority="136" stopIfTrue="1" operator="equal">
      <formula>"Fail"</formula>
    </cfRule>
  </conditionalFormatting>
  <conditionalFormatting sqref="E218">
    <cfRule type="cellIs" dxfId="1453" priority="133" stopIfTrue="1" operator="equal">
      <formula>"Pass"</formula>
    </cfRule>
    <cfRule type="cellIs" dxfId="1452" priority="134" stopIfTrue="1" operator="equal">
      <formula>"Fail"</formula>
    </cfRule>
  </conditionalFormatting>
  <conditionalFormatting sqref="E219">
    <cfRule type="cellIs" dxfId="1451" priority="131" stopIfTrue="1" operator="equal">
      <formula>"Pass"</formula>
    </cfRule>
    <cfRule type="cellIs" dxfId="1450" priority="132" stopIfTrue="1" operator="equal">
      <formula>"Fail"</formula>
    </cfRule>
  </conditionalFormatting>
  <conditionalFormatting sqref="E219">
    <cfRule type="cellIs" dxfId="1449" priority="129" stopIfTrue="1" operator="equal">
      <formula>"Pass"</formula>
    </cfRule>
    <cfRule type="cellIs" dxfId="1448" priority="130" stopIfTrue="1" operator="equal">
      <formula>"Fail"</formula>
    </cfRule>
  </conditionalFormatting>
  <conditionalFormatting sqref="E220">
    <cfRule type="cellIs" dxfId="1447" priority="127" stopIfTrue="1" operator="equal">
      <formula>"Pass"</formula>
    </cfRule>
    <cfRule type="cellIs" dxfId="1446" priority="128" stopIfTrue="1" operator="equal">
      <formula>"Fail"</formula>
    </cfRule>
  </conditionalFormatting>
  <conditionalFormatting sqref="E220">
    <cfRule type="cellIs" dxfId="1445" priority="125" stopIfTrue="1" operator="equal">
      <formula>"Pass"</formula>
    </cfRule>
    <cfRule type="cellIs" dxfId="1444" priority="126" stopIfTrue="1" operator="equal">
      <formula>"Fail"</formula>
    </cfRule>
  </conditionalFormatting>
  <conditionalFormatting sqref="E221">
    <cfRule type="cellIs" dxfId="1443" priority="123" stopIfTrue="1" operator="equal">
      <formula>"Pass"</formula>
    </cfRule>
    <cfRule type="cellIs" dxfId="1442" priority="124" stopIfTrue="1" operator="equal">
      <formula>"Fail"</formula>
    </cfRule>
  </conditionalFormatting>
  <conditionalFormatting sqref="E221">
    <cfRule type="cellIs" dxfId="1441" priority="121" stopIfTrue="1" operator="equal">
      <formula>"Pass"</formula>
    </cfRule>
    <cfRule type="cellIs" dxfId="1440" priority="122" stopIfTrue="1" operator="equal">
      <formula>"Fail"</formula>
    </cfRule>
  </conditionalFormatting>
  <conditionalFormatting sqref="E222">
    <cfRule type="cellIs" dxfId="1439" priority="119" stopIfTrue="1" operator="equal">
      <formula>"Pass"</formula>
    </cfRule>
    <cfRule type="cellIs" dxfId="1438" priority="120" stopIfTrue="1" operator="equal">
      <formula>"Fail"</formula>
    </cfRule>
  </conditionalFormatting>
  <conditionalFormatting sqref="E222">
    <cfRule type="cellIs" dxfId="1437" priority="117" stopIfTrue="1" operator="equal">
      <formula>"Pass"</formula>
    </cfRule>
    <cfRule type="cellIs" dxfId="1436" priority="118" stopIfTrue="1" operator="equal">
      <formula>"Fail"</formula>
    </cfRule>
  </conditionalFormatting>
  <conditionalFormatting sqref="E223">
    <cfRule type="cellIs" dxfId="1435" priority="115" stopIfTrue="1" operator="equal">
      <formula>"Pass"</formula>
    </cfRule>
    <cfRule type="cellIs" dxfId="1434" priority="116" stopIfTrue="1" operator="equal">
      <formula>"Fail"</formula>
    </cfRule>
  </conditionalFormatting>
  <conditionalFormatting sqref="E223">
    <cfRule type="cellIs" dxfId="1433" priority="113" stopIfTrue="1" operator="equal">
      <formula>"Pass"</formula>
    </cfRule>
    <cfRule type="cellIs" dxfId="1432" priority="114" stopIfTrue="1" operator="equal">
      <formula>"Fail"</formula>
    </cfRule>
  </conditionalFormatting>
  <conditionalFormatting sqref="E224">
    <cfRule type="cellIs" dxfId="1431" priority="111" stopIfTrue="1" operator="equal">
      <formula>"Pass"</formula>
    </cfRule>
    <cfRule type="cellIs" dxfId="1430" priority="112" stopIfTrue="1" operator="equal">
      <formula>"Fail"</formula>
    </cfRule>
  </conditionalFormatting>
  <conditionalFormatting sqref="E224">
    <cfRule type="cellIs" dxfId="1429" priority="109" stopIfTrue="1" operator="equal">
      <formula>"Pass"</formula>
    </cfRule>
    <cfRule type="cellIs" dxfId="1428" priority="110" stopIfTrue="1" operator="equal">
      <formula>"Fail"</formula>
    </cfRule>
  </conditionalFormatting>
  <conditionalFormatting sqref="E225">
    <cfRule type="cellIs" dxfId="1427" priority="107" stopIfTrue="1" operator="equal">
      <formula>"Pass"</formula>
    </cfRule>
    <cfRule type="cellIs" dxfId="1426" priority="108" stopIfTrue="1" operator="equal">
      <formula>"Fail"</formula>
    </cfRule>
  </conditionalFormatting>
  <conditionalFormatting sqref="E225">
    <cfRule type="cellIs" dxfId="1425" priority="105" stopIfTrue="1" operator="equal">
      <formula>"Pass"</formula>
    </cfRule>
    <cfRule type="cellIs" dxfId="1424" priority="106" stopIfTrue="1" operator="equal">
      <formula>"Fail"</formula>
    </cfRule>
  </conditionalFormatting>
  <conditionalFormatting sqref="E226">
    <cfRule type="cellIs" dxfId="1423" priority="103" stopIfTrue="1" operator="equal">
      <formula>"Pass"</formula>
    </cfRule>
    <cfRule type="cellIs" dxfId="1422" priority="104" stopIfTrue="1" operator="equal">
      <formula>"Fail"</formula>
    </cfRule>
  </conditionalFormatting>
  <conditionalFormatting sqref="E226">
    <cfRule type="cellIs" dxfId="1421" priority="101" stopIfTrue="1" operator="equal">
      <formula>"Pass"</formula>
    </cfRule>
    <cfRule type="cellIs" dxfId="1420" priority="102" stopIfTrue="1" operator="equal">
      <formula>"Fail"</formula>
    </cfRule>
  </conditionalFormatting>
  <conditionalFormatting sqref="E227">
    <cfRule type="cellIs" dxfId="1419" priority="99" stopIfTrue="1" operator="equal">
      <formula>"Pass"</formula>
    </cfRule>
    <cfRule type="cellIs" dxfId="1418" priority="100" stopIfTrue="1" operator="equal">
      <formula>"Fail"</formula>
    </cfRule>
  </conditionalFormatting>
  <conditionalFormatting sqref="E227">
    <cfRule type="cellIs" dxfId="1417" priority="97" stopIfTrue="1" operator="equal">
      <formula>"Pass"</formula>
    </cfRule>
    <cfRule type="cellIs" dxfId="1416" priority="98" stopIfTrue="1" operator="equal">
      <formula>"Fail"</formula>
    </cfRule>
  </conditionalFormatting>
  <conditionalFormatting sqref="E228">
    <cfRule type="cellIs" dxfId="1415" priority="95" stopIfTrue="1" operator="equal">
      <formula>"Pass"</formula>
    </cfRule>
    <cfRule type="cellIs" dxfId="1414" priority="96" stopIfTrue="1" operator="equal">
      <formula>"Fail"</formula>
    </cfRule>
  </conditionalFormatting>
  <conditionalFormatting sqref="E228">
    <cfRule type="cellIs" dxfId="1413" priority="93" stopIfTrue="1" operator="equal">
      <formula>"Pass"</formula>
    </cfRule>
    <cfRule type="cellIs" dxfId="1412" priority="94" stopIfTrue="1" operator="equal">
      <formula>"Fail"</formula>
    </cfRule>
  </conditionalFormatting>
  <conditionalFormatting sqref="E229">
    <cfRule type="cellIs" dxfId="1411" priority="91" stopIfTrue="1" operator="equal">
      <formula>"Pass"</formula>
    </cfRule>
    <cfRule type="cellIs" dxfId="1410" priority="92" stopIfTrue="1" operator="equal">
      <formula>"Fail"</formula>
    </cfRule>
  </conditionalFormatting>
  <conditionalFormatting sqref="E229">
    <cfRule type="cellIs" dxfId="1409" priority="89" stopIfTrue="1" operator="equal">
      <formula>"Pass"</formula>
    </cfRule>
    <cfRule type="cellIs" dxfId="1408" priority="90" stopIfTrue="1" operator="equal">
      <formula>"Fail"</formula>
    </cfRule>
  </conditionalFormatting>
  <conditionalFormatting sqref="E230">
    <cfRule type="cellIs" dxfId="1407" priority="87" stopIfTrue="1" operator="equal">
      <formula>"Pass"</formula>
    </cfRule>
    <cfRule type="cellIs" dxfId="1406" priority="88" stopIfTrue="1" operator="equal">
      <formula>"Fail"</formula>
    </cfRule>
  </conditionalFormatting>
  <conditionalFormatting sqref="E230">
    <cfRule type="cellIs" dxfId="1405" priority="85" stopIfTrue="1" operator="equal">
      <formula>"Pass"</formula>
    </cfRule>
    <cfRule type="cellIs" dxfId="1404" priority="86" stopIfTrue="1" operator="equal">
      <formula>"Fail"</formula>
    </cfRule>
  </conditionalFormatting>
  <conditionalFormatting sqref="E231">
    <cfRule type="cellIs" dxfId="1403" priority="83" stopIfTrue="1" operator="equal">
      <formula>"Pass"</formula>
    </cfRule>
    <cfRule type="cellIs" dxfId="1402" priority="84" stopIfTrue="1" operator="equal">
      <formula>"Fail"</formula>
    </cfRule>
  </conditionalFormatting>
  <conditionalFormatting sqref="E231">
    <cfRule type="cellIs" dxfId="1401" priority="81" stopIfTrue="1" operator="equal">
      <formula>"Pass"</formula>
    </cfRule>
    <cfRule type="cellIs" dxfId="1400" priority="82" stopIfTrue="1" operator="equal">
      <formula>"Fail"</formula>
    </cfRule>
  </conditionalFormatting>
  <conditionalFormatting sqref="E232">
    <cfRule type="cellIs" dxfId="1399" priority="79" stopIfTrue="1" operator="equal">
      <formula>"Pass"</formula>
    </cfRule>
    <cfRule type="cellIs" dxfId="1398" priority="80" stopIfTrue="1" operator="equal">
      <formula>"Fail"</formula>
    </cfRule>
  </conditionalFormatting>
  <conditionalFormatting sqref="E232">
    <cfRule type="cellIs" dxfId="1397" priority="77" stopIfTrue="1" operator="equal">
      <formula>"Pass"</formula>
    </cfRule>
    <cfRule type="cellIs" dxfId="1396" priority="78" stopIfTrue="1" operator="equal">
      <formula>"Fail"</formula>
    </cfRule>
  </conditionalFormatting>
  <conditionalFormatting sqref="E233">
    <cfRule type="cellIs" dxfId="1395" priority="75" stopIfTrue="1" operator="equal">
      <formula>"Pass"</formula>
    </cfRule>
    <cfRule type="cellIs" dxfId="1394" priority="76" stopIfTrue="1" operator="equal">
      <formula>"Fail"</formula>
    </cfRule>
  </conditionalFormatting>
  <conditionalFormatting sqref="E233">
    <cfRule type="cellIs" dxfId="1393" priority="73" stopIfTrue="1" operator="equal">
      <formula>"Pass"</formula>
    </cfRule>
    <cfRule type="cellIs" dxfId="1392" priority="74" stopIfTrue="1" operator="equal">
      <formula>"Fail"</formula>
    </cfRule>
  </conditionalFormatting>
  <conditionalFormatting sqref="E234">
    <cfRule type="cellIs" dxfId="1391" priority="71" stopIfTrue="1" operator="equal">
      <formula>"Pass"</formula>
    </cfRule>
    <cfRule type="cellIs" dxfId="1390" priority="72" stopIfTrue="1" operator="equal">
      <formula>"Fail"</formula>
    </cfRule>
  </conditionalFormatting>
  <conditionalFormatting sqref="E234">
    <cfRule type="cellIs" dxfId="1389" priority="69" stopIfTrue="1" operator="equal">
      <formula>"Pass"</formula>
    </cfRule>
    <cfRule type="cellIs" dxfId="1388" priority="70" stopIfTrue="1" operator="equal">
      <formula>"Fail"</formula>
    </cfRule>
  </conditionalFormatting>
  <conditionalFormatting sqref="E235">
    <cfRule type="cellIs" dxfId="1387" priority="67" stopIfTrue="1" operator="equal">
      <formula>"Pass"</formula>
    </cfRule>
    <cfRule type="cellIs" dxfId="1386" priority="68" stopIfTrue="1" operator="equal">
      <formula>"Fail"</formula>
    </cfRule>
  </conditionalFormatting>
  <conditionalFormatting sqref="E235">
    <cfRule type="cellIs" dxfId="1385" priority="65" stopIfTrue="1" operator="equal">
      <formula>"Pass"</formula>
    </cfRule>
    <cfRule type="cellIs" dxfId="1384" priority="66" stopIfTrue="1" operator="equal">
      <formula>"Fail"</formula>
    </cfRule>
  </conditionalFormatting>
  <conditionalFormatting sqref="E236">
    <cfRule type="cellIs" dxfId="1383" priority="63" stopIfTrue="1" operator="equal">
      <formula>"Pass"</formula>
    </cfRule>
    <cfRule type="cellIs" dxfId="1382" priority="64" stopIfTrue="1" operator="equal">
      <formula>"Fail"</formula>
    </cfRule>
  </conditionalFormatting>
  <conditionalFormatting sqref="E236">
    <cfRule type="cellIs" dxfId="1381" priority="61" stopIfTrue="1" operator="equal">
      <formula>"Pass"</formula>
    </cfRule>
    <cfRule type="cellIs" dxfId="1380" priority="62" stopIfTrue="1" operator="equal">
      <formula>"Fail"</formula>
    </cfRule>
  </conditionalFormatting>
  <conditionalFormatting sqref="E237">
    <cfRule type="cellIs" dxfId="1379" priority="59" stopIfTrue="1" operator="equal">
      <formula>"Pass"</formula>
    </cfRule>
    <cfRule type="cellIs" dxfId="1378" priority="60" stopIfTrue="1" operator="equal">
      <formula>"Fail"</formula>
    </cfRule>
  </conditionalFormatting>
  <conditionalFormatting sqref="E237">
    <cfRule type="cellIs" dxfId="1377" priority="57" stopIfTrue="1" operator="equal">
      <formula>"Pass"</formula>
    </cfRule>
    <cfRule type="cellIs" dxfId="1376" priority="58" stopIfTrue="1" operator="equal">
      <formula>"Fail"</formula>
    </cfRule>
  </conditionalFormatting>
  <conditionalFormatting sqref="E238">
    <cfRule type="cellIs" dxfId="1375" priority="55" stopIfTrue="1" operator="equal">
      <formula>"Pass"</formula>
    </cfRule>
    <cfRule type="cellIs" dxfId="1374" priority="56" stopIfTrue="1" operator="equal">
      <formula>"Fail"</formula>
    </cfRule>
  </conditionalFormatting>
  <conditionalFormatting sqref="E238">
    <cfRule type="cellIs" dxfId="1373" priority="53" stopIfTrue="1" operator="equal">
      <formula>"Pass"</formula>
    </cfRule>
    <cfRule type="cellIs" dxfId="1372" priority="54" stopIfTrue="1" operator="equal">
      <formula>"Fail"</formula>
    </cfRule>
  </conditionalFormatting>
  <conditionalFormatting sqref="E162">
    <cfRule type="cellIs" dxfId="1371" priority="51" stopIfTrue="1" operator="equal">
      <formula>"Pass"</formula>
    </cfRule>
    <cfRule type="cellIs" dxfId="1370" priority="52" stopIfTrue="1" operator="equal">
      <formula>"Fail"</formula>
    </cfRule>
  </conditionalFormatting>
  <conditionalFormatting sqref="E162">
    <cfRule type="cellIs" dxfId="1369" priority="49" stopIfTrue="1" operator="equal">
      <formula>"Pass"</formula>
    </cfRule>
    <cfRule type="cellIs" dxfId="1368" priority="50" stopIfTrue="1" operator="equal">
      <formula>"Fail"</formula>
    </cfRule>
  </conditionalFormatting>
  <conditionalFormatting sqref="E165">
    <cfRule type="cellIs" dxfId="1367" priority="47" stopIfTrue="1" operator="equal">
      <formula>"Pass"</formula>
    </cfRule>
    <cfRule type="cellIs" dxfId="1366" priority="48" stopIfTrue="1" operator="equal">
      <formula>"Fail"</formula>
    </cfRule>
  </conditionalFormatting>
  <conditionalFormatting sqref="E165">
    <cfRule type="cellIs" dxfId="1365" priority="45" stopIfTrue="1" operator="equal">
      <formula>"Pass"</formula>
    </cfRule>
    <cfRule type="cellIs" dxfId="1364" priority="46" stopIfTrue="1" operator="equal">
      <formula>"Fail"</formula>
    </cfRule>
  </conditionalFormatting>
  <conditionalFormatting sqref="E170">
    <cfRule type="cellIs" dxfId="1363" priority="43" stopIfTrue="1" operator="equal">
      <formula>"Pass"</formula>
    </cfRule>
    <cfRule type="cellIs" dxfId="1362" priority="44" stopIfTrue="1" operator="equal">
      <formula>"Fail"</formula>
    </cfRule>
  </conditionalFormatting>
  <conditionalFormatting sqref="E170">
    <cfRule type="cellIs" dxfId="1361" priority="41" stopIfTrue="1" operator="equal">
      <formula>"Pass"</formula>
    </cfRule>
    <cfRule type="cellIs" dxfId="1360" priority="42" stopIfTrue="1" operator="equal">
      <formula>"Fail"</formula>
    </cfRule>
  </conditionalFormatting>
  <conditionalFormatting sqref="E181">
    <cfRule type="cellIs" dxfId="1359" priority="39" stopIfTrue="1" operator="equal">
      <formula>"Pass"</formula>
    </cfRule>
    <cfRule type="cellIs" dxfId="1358" priority="40" stopIfTrue="1" operator="equal">
      <formula>"Fail"</formula>
    </cfRule>
  </conditionalFormatting>
  <conditionalFormatting sqref="E181">
    <cfRule type="cellIs" dxfId="1357" priority="37" stopIfTrue="1" operator="equal">
      <formula>"Pass"</formula>
    </cfRule>
    <cfRule type="cellIs" dxfId="1356" priority="38" stopIfTrue="1" operator="equal">
      <formula>"Fail"</formula>
    </cfRule>
  </conditionalFormatting>
  <conditionalFormatting sqref="E187">
    <cfRule type="cellIs" dxfId="1355" priority="35" stopIfTrue="1" operator="equal">
      <formula>"Pass"</formula>
    </cfRule>
    <cfRule type="cellIs" dxfId="1354" priority="36" stopIfTrue="1" operator="equal">
      <formula>"Fail"</formula>
    </cfRule>
  </conditionalFormatting>
  <conditionalFormatting sqref="E187">
    <cfRule type="cellIs" dxfId="1353" priority="33" stopIfTrue="1" operator="equal">
      <formula>"Pass"</formula>
    </cfRule>
    <cfRule type="cellIs" dxfId="1352" priority="34" stopIfTrue="1" operator="equal">
      <formula>"Fail"</formula>
    </cfRule>
  </conditionalFormatting>
  <conditionalFormatting sqref="E188">
    <cfRule type="cellIs" dxfId="1351" priority="31" stopIfTrue="1" operator="equal">
      <formula>"Pass"</formula>
    </cfRule>
    <cfRule type="cellIs" dxfId="1350" priority="32" stopIfTrue="1" operator="equal">
      <formula>"Fail"</formula>
    </cfRule>
  </conditionalFormatting>
  <conditionalFormatting sqref="E188">
    <cfRule type="cellIs" dxfId="1349" priority="29" stopIfTrue="1" operator="equal">
      <formula>"Pass"</formula>
    </cfRule>
    <cfRule type="cellIs" dxfId="1348" priority="30" stopIfTrue="1" operator="equal">
      <formula>"Fail"</formula>
    </cfRule>
  </conditionalFormatting>
  <conditionalFormatting sqref="E189">
    <cfRule type="cellIs" dxfId="1347" priority="27" stopIfTrue="1" operator="equal">
      <formula>"Pass"</formula>
    </cfRule>
    <cfRule type="cellIs" dxfId="1346" priority="28" stopIfTrue="1" operator="equal">
      <formula>"Fail"</formula>
    </cfRule>
  </conditionalFormatting>
  <conditionalFormatting sqref="E189">
    <cfRule type="cellIs" dxfId="1345" priority="25" stopIfTrue="1" operator="equal">
      <formula>"Pass"</formula>
    </cfRule>
    <cfRule type="cellIs" dxfId="1344" priority="26" stopIfTrue="1" operator="equal">
      <formula>"Fail"</formula>
    </cfRule>
  </conditionalFormatting>
  <conditionalFormatting sqref="E190">
    <cfRule type="cellIs" dxfId="1343" priority="23" stopIfTrue="1" operator="equal">
      <formula>"Pass"</formula>
    </cfRule>
    <cfRule type="cellIs" dxfId="1342" priority="24" stopIfTrue="1" operator="equal">
      <formula>"Fail"</formula>
    </cfRule>
  </conditionalFormatting>
  <conditionalFormatting sqref="E190">
    <cfRule type="cellIs" dxfId="1341" priority="21" stopIfTrue="1" operator="equal">
      <formula>"Pass"</formula>
    </cfRule>
    <cfRule type="cellIs" dxfId="1340" priority="22" stopIfTrue="1" operator="equal">
      <formula>"Fail"</formula>
    </cfRule>
  </conditionalFormatting>
  <conditionalFormatting sqref="E191">
    <cfRule type="cellIs" dxfId="1339" priority="19" stopIfTrue="1" operator="equal">
      <formula>"Pass"</formula>
    </cfRule>
    <cfRule type="cellIs" dxfId="1338" priority="20" stopIfTrue="1" operator="equal">
      <formula>"Fail"</formula>
    </cfRule>
  </conditionalFormatting>
  <conditionalFormatting sqref="E191">
    <cfRule type="cellIs" dxfId="1337" priority="17" stopIfTrue="1" operator="equal">
      <formula>"Pass"</formula>
    </cfRule>
    <cfRule type="cellIs" dxfId="1336" priority="18" stopIfTrue="1" operator="equal">
      <formula>"Fail"</formula>
    </cfRule>
  </conditionalFormatting>
  <conditionalFormatting sqref="E192">
    <cfRule type="cellIs" dxfId="1335" priority="15" stopIfTrue="1" operator="equal">
      <formula>"Pass"</formula>
    </cfRule>
    <cfRule type="cellIs" dxfId="1334" priority="16" stopIfTrue="1" operator="equal">
      <formula>"Fail"</formula>
    </cfRule>
  </conditionalFormatting>
  <conditionalFormatting sqref="E192">
    <cfRule type="cellIs" dxfId="1333" priority="13" stopIfTrue="1" operator="equal">
      <formula>"Pass"</formula>
    </cfRule>
    <cfRule type="cellIs" dxfId="1332" priority="14" stopIfTrue="1" operator="equal">
      <formula>"Fail"</formula>
    </cfRule>
  </conditionalFormatting>
  <conditionalFormatting sqref="E193">
    <cfRule type="cellIs" dxfId="1331" priority="11" stopIfTrue="1" operator="equal">
      <formula>"Pass"</formula>
    </cfRule>
    <cfRule type="cellIs" dxfId="1330" priority="12" stopIfTrue="1" operator="equal">
      <formula>"Fail"</formula>
    </cfRule>
  </conditionalFormatting>
  <conditionalFormatting sqref="E193">
    <cfRule type="cellIs" dxfId="1329" priority="9" stopIfTrue="1" operator="equal">
      <formula>"Pass"</formula>
    </cfRule>
    <cfRule type="cellIs" dxfId="1328" priority="10" stopIfTrue="1" operator="equal">
      <formula>"Fail"</formula>
    </cfRule>
  </conditionalFormatting>
  <conditionalFormatting sqref="E194:E195">
    <cfRule type="cellIs" dxfId="1327" priority="7" stopIfTrue="1" operator="equal">
      <formula>"Pass"</formula>
    </cfRule>
    <cfRule type="cellIs" dxfId="1326" priority="8" stopIfTrue="1" operator="equal">
      <formula>"Fail"</formula>
    </cfRule>
  </conditionalFormatting>
  <conditionalFormatting sqref="E194:E195">
    <cfRule type="cellIs" dxfId="1325" priority="5" stopIfTrue="1" operator="equal">
      <formula>"Pass"</formula>
    </cfRule>
    <cfRule type="cellIs" dxfId="1324" priority="6" stopIfTrue="1" operator="equal">
      <formula>"Fail"</formula>
    </cfRule>
  </conditionalFormatting>
  <conditionalFormatting sqref="E194:E195">
    <cfRule type="cellIs" dxfId="1323" priority="3" stopIfTrue="1" operator="equal">
      <formula>"Pass"</formula>
    </cfRule>
    <cfRule type="cellIs" dxfId="1322" priority="4" stopIfTrue="1" operator="equal">
      <formula>"Fail"</formula>
    </cfRule>
  </conditionalFormatting>
  <conditionalFormatting sqref="E194:E195">
    <cfRule type="cellIs" dxfId="1321" priority="1" stopIfTrue="1" operator="equal">
      <formula>"Pass"</formula>
    </cfRule>
    <cfRule type="cellIs" dxfId="1320" priority="2" stopIfTrue="1" operator="equal">
      <formula>"Fail"</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5"/>
  <dimension ref="A1:AF696"/>
  <sheetViews>
    <sheetView zoomScale="55" zoomScaleNormal="55" workbookViewId="0">
      <pane ySplit="11" topLeftCell="A439" activePane="bottomLeft" state="frozen"/>
      <selection pane="bottomLeft" activeCell="G456" sqref="G456"/>
    </sheetView>
  </sheetViews>
  <sheetFormatPr defaultColWidth="9" defaultRowHeight="15.75"/>
  <cols>
    <col min="1" max="1" width="13.375" style="295" customWidth="1"/>
    <col min="2" max="2" width="15.125" style="123" customWidth="1"/>
    <col min="3" max="15" width="9" style="123"/>
    <col min="16" max="16" width="10" style="123" customWidth="1"/>
    <col min="17" max="19" width="9" style="123"/>
    <col min="20" max="20" width="11.375" style="123" customWidth="1"/>
    <col min="21" max="21" width="11" style="209" customWidth="1"/>
    <col min="22" max="22" width="9" style="123"/>
    <col min="23" max="23" width="10.25" style="296" customWidth="1"/>
    <col min="24" max="24" width="18.875" style="122" customWidth="1"/>
    <col min="25" max="25" width="28.25" style="231" customWidth="1"/>
    <col min="26" max="29" width="9" style="266"/>
    <col min="30" max="31" width="9" style="267"/>
    <col min="32" max="16384" width="9" style="123"/>
  </cols>
  <sheetData>
    <row r="1" spans="1:31" s="182" customFormat="1">
      <c r="A1" s="172" t="s">
        <v>11</v>
      </c>
      <c r="B1" s="173"/>
      <c r="C1" s="173"/>
      <c r="D1" s="173"/>
      <c r="E1" s="173"/>
      <c r="F1" s="173"/>
      <c r="G1" s="173"/>
      <c r="H1" s="173"/>
      <c r="I1" s="173"/>
      <c r="J1" s="173"/>
      <c r="K1" s="173"/>
      <c r="L1" s="173"/>
      <c r="M1" s="173"/>
      <c r="N1" s="173"/>
      <c r="O1" s="173"/>
      <c r="P1" s="174"/>
      <c r="Q1" s="173"/>
      <c r="R1" s="173"/>
      <c r="S1" s="173" t="s">
        <v>64</v>
      </c>
      <c r="T1" s="173"/>
      <c r="U1" s="175"/>
      <c r="V1" s="173"/>
      <c r="W1" s="176"/>
      <c r="X1" s="177"/>
      <c r="Y1" s="178"/>
      <c r="Z1" s="179"/>
      <c r="AA1" s="179"/>
      <c r="AB1" s="179"/>
      <c r="AC1" s="179"/>
      <c r="AD1" s="180"/>
      <c r="AE1" s="181"/>
    </row>
    <row r="2" spans="1:31">
      <c r="A2" s="183" t="s">
        <v>193</v>
      </c>
      <c r="B2" s="184"/>
      <c r="C2" s="185"/>
      <c r="D2" s="186"/>
      <c r="E2" s="186"/>
      <c r="F2" s="184"/>
      <c r="G2" s="184"/>
      <c r="H2" s="184"/>
      <c r="I2" s="184"/>
      <c r="J2" s="187"/>
      <c r="K2" s="185"/>
      <c r="L2" s="185"/>
      <c r="M2" s="185"/>
      <c r="N2" s="185"/>
      <c r="O2" s="185"/>
      <c r="P2" s="188" t="s">
        <v>194</v>
      </c>
      <c r="Q2" s="186"/>
      <c r="R2" s="185"/>
      <c r="S2" s="184"/>
      <c r="T2" s="184"/>
      <c r="U2" s="189"/>
      <c r="V2" s="187"/>
      <c r="W2" s="190"/>
      <c r="X2" s="191"/>
      <c r="Y2" s="192"/>
      <c r="Z2" s="193"/>
      <c r="AA2" s="193"/>
      <c r="AB2" s="193"/>
      <c r="AC2" s="193"/>
      <c r="AD2" s="194"/>
      <c r="AE2" s="195"/>
    </row>
    <row r="3" spans="1:31">
      <c r="A3" s="183" t="s">
        <v>195</v>
      </c>
      <c r="B3" s="184"/>
      <c r="C3" s="187"/>
      <c r="D3" s="187"/>
      <c r="E3" s="187"/>
      <c r="F3" s="187"/>
      <c r="G3" s="187"/>
      <c r="H3" s="187" t="s">
        <v>196</v>
      </c>
      <c r="I3" s="187"/>
      <c r="J3" s="187"/>
      <c r="K3" s="187"/>
      <c r="L3" s="187"/>
      <c r="M3" s="187"/>
      <c r="N3" s="187"/>
      <c r="O3" s="187"/>
      <c r="P3" s="196"/>
      <c r="Q3" s="187"/>
      <c r="R3" s="187"/>
      <c r="S3" s="187"/>
      <c r="T3" s="187"/>
      <c r="U3" s="197"/>
      <c r="V3" s="187"/>
      <c r="W3" s="198"/>
      <c r="X3" s="199"/>
      <c r="Y3" s="200"/>
      <c r="Z3" s="193"/>
      <c r="AA3" s="193"/>
      <c r="AB3" s="193"/>
      <c r="AC3" s="193"/>
      <c r="AD3" s="194"/>
      <c r="AE3" s="195"/>
    </row>
    <row r="4" spans="1:31">
      <c r="A4" s="183" t="s">
        <v>197</v>
      </c>
      <c r="B4" s="184"/>
      <c r="C4" s="186"/>
      <c r="D4" s="186"/>
      <c r="E4" s="186"/>
      <c r="F4" s="187"/>
      <c r="G4" s="187"/>
      <c r="H4" s="187" t="s">
        <v>198</v>
      </c>
      <c r="I4" s="187"/>
      <c r="J4" s="187"/>
      <c r="K4" s="187"/>
      <c r="L4" s="187"/>
      <c r="M4" s="187"/>
      <c r="N4" s="187"/>
      <c r="O4" s="187"/>
      <c r="P4" s="196"/>
      <c r="Q4" s="186"/>
      <c r="R4" s="186"/>
      <c r="S4" s="187"/>
      <c r="T4" s="187"/>
      <c r="U4" s="197"/>
      <c r="V4" s="187"/>
      <c r="W4" s="198"/>
      <c r="X4" s="199"/>
      <c r="Y4" s="200"/>
      <c r="Z4" s="193"/>
      <c r="AA4" s="193"/>
      <c r="AB4" s="193"/>
      <c r="AC4" s="193"/>
      <c r="AD4" s="194"/>
      <c r="AE4" s="195"/>
    </row>
    <row r="5" spans="1:31">
      <c r="A5" s="183" t="s">
        <v>199</v>
      </c>
      <c r="B5" s="184"/>
      <c r="C5" s="186"/>
      <c r="D5" s="187"/>
      <c r="E5" s="186"/>
      <c r="F5" s="187"/>
      <c r="G5" s="187"/>
      <c r="H5" s="187"/>
      <c r="I5" s="187"/>
      <c r="J5" s="187"/>
      <c r="K5" s="187"/>
      <c r="L5" s="187"/>
      <c r="M5" s="187"/>
      <c r="N5" s="187"/>
      <c r="O5" s="187"/>
      <c r="P5" s="196"/>
      <c r="Q5" s="201"/>
      <c r="R5" s="186"/>
      <c r="S5" s="187"/>
      <c r="T5" s="187"/>
      <c r="U5" s="197"/>
      <c r="V5" s="187"/>
      <c r="W5" s="198"/>
      <c r="X5" s="199"/>
      <c r="Y5" s="200"/>
      <c r="Z5" s="193"/>
      <c r="AA5" s="193"/>
      <c r="AB5" s="193"/>
      <c r="AC5" s="193"/>
      <c r="AD5" s="194"/>
      <c r="AE5" s="195"/>
    </row>
    <row r="6" spans="1:31">
      <c r="A6" s="183" t="s">
        <v>200</v>
      </c>
      <c r="B6" s="184"/>
      <c r="C6" s="186"/>
      <c r="D6" s="186"/>
      <c r="E6" s="186"/>
      <c r="F6" s="187"/>
      <c r="G6" s="187"/>
      <c r="H6" s="187"/>
      <c r="I6" s="187"/>
      <c r="J6" s="187"/>
      <c r="K6" s="187"/>
      <c r="L6" s="187"/>
      <c r="M6" s="187"/>
      <c r="N6" s="187"/>
      <c r="O6" s="187"/>
      <c r="P6" s="196"/>
      <c r="Q6" s="186"/>
      <c r="R6" s="186"/>
      <c r="S6" s="187"/>
      <c r="T6" s="202"/>
      <c r="U6" s="203"/>
      <c r="V6" s="202"/>
      <c r="W6" s="204"/>
      <c r="X6" s="205"/>
      <c r="Y6" s="206"/>
      <c r="Z6" s="193"/>
      <c r="AA6" s="193"/>
      <c r="AB6" s="193"/>
      <c r="AC6" s="193"/>
      <c r="AD6" s="194"/>
      <c r="AE6" s="195"/>
    </row>
    <row r="7" spans="1:31">
      <c r="A7" s="207" t="s">
        <v>65</v>
      </c>
      <c r="B7" s="187"/>
      <c r="C7" s="186"/>
      <c r="D7" s="186"/>
      <c r="E7" s="186"/>
      <c r="F7" s="187"/>
      <c r="G7" s="187"/>
      <c r="H7" s="187"/>
      <c r="I7" s="187"/>
      <c r="J7" s="187"/>
      <c r="K7" s="187"/>
      <c r="L7" s="187"/>
      <c r="M7" s="187"/>
      <c r="N7" s="187"/>
      <c r="O7" s="187"/>
      <c r="P7" s="196"/>
      <c r="Q7" s="186"/>
      <c r="R7" s="186"/>
      <c r="S7" s="187"/>
      <c r="T7" s="187"/>
      <c r="U7" s="197"/>
      <c r="V7" s="187"/>
      <c r="W7" s="198"/>
      <c r="X7" s="199"/>
      <c r="Y7" s="200"/>
      <c r="Z7" s="193"/>
      <c r="AA7" s="193"/>
      <c r="AB7" s="193"/>
      <c r="AC7" s="193"/>
      <c r="AD7" s="194"/>
      <c r="AE7" s="195"/>
    </row>
    <row r="8" spans="1:31" ht="16.5" thickBot="1">
      <c r="A8" s="208"/>
      <c r="B8" s="408"/>
      <c r="C8" s="408"/>
      <c r="D8" s="427" t="s">
        <v>145</v>
      </c>
      <c r="E8" s="428"/>
      <c r="F8" s="428"/>
      <c r="G8" s="428"/>
      <c r="H8" s="428"/>
      <c r="I8" s="428"/>
      <c r="J8" s="428"/>
      <c r="K8" s="428"/>
      <c r="L8" s="428"/>
      <c r="M8" s="428"/>
      <c r="N8" s="428"/>
      <c r="O8" s="428"/>
      <c r="P8" s="428"/>
      <c r="W8" s="210"/>
      <c r="X8" s="211"/>
      <c r="Y8" s="212"/>
      <c r="Z8" s="213"/>
      <c r="AA8" s="213"/>
      <c r="AB8" s="213"/>
      <c r="AC8" s="213"/>
      <c r="AD8" s="214"/>
      <c r="AE8" s="214"/>
    </row>
    <row r="9" spans="1:31">
      <c r="A9" s="401"/>
      <c r="B9" s="399"/>
      <c r="C9" s="399" t="s">
        <v>258</v>
      </c>
      <c r="D9" s="410">
        <v>0</v>
      </c>
      <c r="E9" s="410">
        <v>0</v>
      </c>
      <c r="F9" s="410">
        <v>0</v>
      </c>
      <c r="G9" s="410">
        <v>0</v>
      </c>
      <c r="H9" s="410">
        <v>0</v>
      </c>
      <c r="I9" s="410">
        <v>-90</v>
      </c>
      <c r="J9" s="410">
        <v>-30.06</v>
      </c>
      <c r="K9" s="410">
        <v>30.06</v>
      </c>
      <c r="L9" s="410">
        <v>90</v>
      </c>
      <c r="M9" s="410">
        <v>-30.06</v>
      </c>
      <c r="N9" s="410">
        <v>30.06</v>
      </c>
      <c r="O9" s="410">
        <v>-30.06</v>
      </c>
      <c r="P9" s="410">
        <v>30.06</v>
      </c>
      <c r="W9" s="402"/>
      <c r="X9" s="403"/>
      <c r="Y9" s="404"/>
      <c r="Z9" s="405"/>
      <c r="AA9" s="405"/>
      <c r="AB9" s="405"/>
      <c r="AC9" s="405"/>
      <c r="AD9" s="406"/>
      <c r="AE9" s="407"/>
    </row>
    <row r="10" spans="1:31" ht="16.5" thickBot="1">
      <c r="A10" s="401"/>
      <c r="B10" s="399"/>
      <c r="C10" s="399" t="s">
        <v>259</v>
      </c>
      <c r="D10" s="410">
        <v>90</v>
      </c>
      <c r="E10" s="410">
        <v>30.06</v>
      </c>
      <c r="F10" s="410">
        <v>0</v>
      </c>
      <c r="G10" s="410">
        <v>-30.06</v>
      </c>
      <c r="H10" s="410">
        <v>-90</v>
      </c>
      <c r="I10" s="410">
        <v>0</v>
      </c>
      <c r="J10" s="410">
        <v>0</v>
      </c>
      <c r="K10" s="410">
        <v>0</v>
      </c>
      <c r="L10" s="410">
        <v>0</v>
      </c>
      <c r="M10" s="410">
        <v>30.06</v>
      </c>
      <c r="N10" s="410">
        <v>-30.06</v>
      </c>
      <c r="O10" s="410">
        <v>-30.06</v>
      </c>
      <c r="P10" s="410">
        <v>30.06</v>
      </c>
      <c r="W10" s="402"/>
      <c r="X10" s="403"/>
      <c r="Y10" s="404"/>
      <c r="Z10" s="405"/>
      <c r="AA10" s="405"/>
      <c r="AB10" s="405"/>
      <c r="AC10" s="405"/>
      <c r="AD10" s="406"/>
      <c r="AE10" s="407"/>
    </row>
    <row r="11" spans="1:31" s="223" customFormat="1" ht="57.75" customHeight="1" thickBot="1">
      <c r="A11" s="215" t="s">
        <v>135</v>
      </c>
      <c r="B11" s="216" t="s">
        <v>74</v>
      </c>
      <c r="C11" s="216" t="s">
        <v>75</v>
      </c>
      <c r="D11" s="216" t="s">
        <v>223</v>
      </c>
      <c r="E11" s="216" t="s">
        <v>224</v>
      </c>
      <c r="F11" s="216" t="s">
        <v>225</v>
      </c>
      <c r="G11" s="216" t="s">
        <v>226</v>
      </c>
      <c r="H11" s="216" t="s">
        <v>227</v>
      </c>
      <c r="I11" s="216" t="s">
        <v>228</v>
      </c>
      <c r="J11" s="216" t="s">
        <v>229</v>
      </c>
      <c r="K11" s="216" t="s">
        <v>230</v>
      </c>
      <c r="L11" s="216" t="s">
        <v>231</v>
      </c>
      <c r="M11" s="216" t="s">
        <v>232</v>
      </c>
      <c r="N11" s="216" t="s">
        <v>233</v>
      </c>
      <c r="O11" s="216" t="s">
        <v>234</v>
      </c>
      <c r="P11" s="216" t="s">
        <v>235</v>
      </c>
      <c r="Q11" s="217" t="s">
        <v>66</v>
      </c>
      <c r="R11" s="217" t="s">
        <v>67</v>
      </c>
      <c r="S11" s="216" t="s">
        <v>134</v>
      </c>
      <c r="T11" s="216" t="s">
        <v>69</v>
      </c>
      <c r="U11" s="218" t="s">
        <v>141</v>
      </c>
      <c r="V11" s="219" t="s">
        <v>29</v>
      </c>
      <c r="W11" s="216" t="s">
        <v>41</v>
      </c>
      <c r="X11" s="220" t="s">
        <v>142</v>
      </c>
      <c r="Y11" s="220" t="s">
        <v>31</v>
      </c>
      <c r="Z11" s="221" t="s">
        <v>73</v>
      </c>
      <c r="AA11" s="221" t="s">
        <v>43</v>
      </c>
      <c r="AB11" s="221" t="s">
        <v>71</v>
      </c>
      <c r="AC11" s="221" t="s">
        <v>72</v>
      </c>
      <c r="AD11" s="221" t="s">
        <v>102</v>
      </c>
      <c r="AE11" s="222" t="s">
        <v>103</v>
      </c>
    </row>
    <row r="12" spans="1:31">
      <c r="A12" s="224">
        <v>43101</v>
      </c>
      <c r="B12" s="225" t="s">
        <v>76</v>
      </c>
      <c r="C12" s="226" t="s">
        <v>77</v>
      </c>
      <c r="D12" s="123">
        <v>2822.84</v>
      </c>
      <c r="E12" s="123">
        <v>2780.5</v>
      </c>
      <c r="F12" s="123">
        <v>2761.36</v>
      </c>
      <c r="G12" s="123">
        <v>2758.42</v>
      </c>
      <c r="H12" s="123">
        <v>2776.34</v>
      </c>
      <c r="I12" s="123">
        <v>2813.45</v>
      </c>
      <c r="J12" s="123">
        <v>2872.74</v>
      </c>
      <c r="K12" s="123">
        <v>2860.82</v>
      </c>
      <c r="L12" s="123">
        <v>2801.99</v>
      </c>
      <c r="M12" s="123">
        <v>2770.95</v>
      </c>
      <c r="N12" s="123">
        <v>2764.03</v>
      </c>
      <c r="O12" s="123">
        <v>2782.8</v>
      </c>
      <c r="P12" s="123">
        <v>2826.68</v>
      </c>
      <c r="Q12" s="226">
        <f>IF((P13=""),"",MAX(D14:P14))</f>
        <v>1895.2999999999997</v>
      </c>
      <c r="R12" s="226">
        <f>IF(P13="","",MIN(D14:P14))</f>
        <v>1802.4</v>
      </c>
      <c r="S12" s="226">
        <f>IF((P14=""),"",AVERAGE(D14:P14))</f>
        <v>1860.4461538461537</v>
      </c>
      <c r="T12" s="226">
        <f>IF((P13=""),"",STDEV(D14:P14))</f>
        <v>26.213469037392969</v>
      </c>
      <c r="U12" s="227">
        <f>IF((P13=""),"",((Q12-R12)/(Q12+R12))*100)</f>
        <v>2.5123725559131254</v>
      </c>
      <c r="V12" s="228" t="str">
        <f>IF(P13="","",IF(U12&lt;7.2,IF(S12&gt;AB12,IF(S12&lt;AC12,"Pass","Fail"),"Fail"),"Fail"))</f>
        <v>Pass</v>
      </c>
      <c r="W12" s="229">
        <v>1428</v>
      </c>
      <c r="X12" s="230"/>
      <c r="Z12" s="232">
        <v>1600</v>
      </c>
      <c r="AA12" s="232">
        <v>2600</v>
      </c>
      <c r="AB12" s="233">
        <v>1700</v>
      </c>
      <c r="AC12" s="233">
        <v>1950</v>
      </c>
      <c r="AD12" s="234">
        <v>10</v>
      </c>
      <c r="AE12" s="234">
        <v>7.2</v>
      </c>
    </row>
    <row r="13" spans="1:31">
      <c r="A13" s="123"/>
      <c r="B13" s="235"/>
      <c r="C13" s="235" t="s">
        <v>78</v>
      </c>
      <c r="D13" s="123">
        <v>1921.64</v>
      </c>
      <c r="E13" s="123">
        <v>1859.68</v>
      </c>
      <c r="F13" s="123">
        <v>1828.84</v>
      </c>
      <c r="G13" s="123">
        <v>1823.59</v>
      </c>
      <c r="H13" s="123">
        <v>1832.17</v>
      </c>
      <c r="I13" s="123">
        <v>1865.8</v>
      </c>
      <c r="J13" s="123">
        <v>1931.49</v>
      </c>
      <c r="K13" s="123">
        <v>1939.64</v>
      </c>
      <c r="L13" s="123">
        <v>1868.3</v>
      </c>
      <c r="M13" s="123">
        <v>1837.07</v>
      </c>
      <c r="N13" s="123">
        <v>1824.84</v>
      </c>
      <c r="O13" s="123">
        <v>1853.29</v>
      </c>
      <c r="P13" s="123">
        <v>1913.67</v>
      </c>
      <c r="Q13" s="235"/>
      <c r="R13" s="235"/>
      <c r="S13" s="235"/>
      <c r="T13" s="235"/>
      <c r="U13" s="236"/>
      <c r="V13" s="237"/>
      <c r="W13" s="238"/>
      <c r="X13" s="239"/>
      <c r="Z13" s="240"/>
      <c r="AA13" s="240"/>
      <c r="AB13" s="241"/>
      <c r="AC13" s="241"/>
      <c r="AD13" s="242"/>
      <c r="AE13" s="242"/>
    </row>
    <row r="14" spans="1:31" ht="32.25" thickBot="1">
      <c r="A14" s="123"/>
      <c r="B14" s="243"/>
      <c r="C14" s="243" t="s">
        <v>221</v>
      </c>
      <c r="D14" s="244">
        <f t="shared" ref="D14:P14" si="0">IF(((D12="")*AND(D13="")),"",(D12-D13)*2)</f>
        <v>1802.4</v>
      </c>
      <c r="E14" s="244">
        <f t="shared" si="0"/>
        <v>1841.6399999999999</v>
      </c>
      <c r="F14" s="244">
        <f t="shared" si="0"/>
        <v>1865.0400000000004</v>
      </c>
      <c r="G14" s="244">
        <f t="shared" si="0"/>
        <v>1869.6600000000003</v>
      </c>
      <c r="H14" s="244">
        <f t="shared" si="0"/>
        <v>1888.3400000000001</v>
      </c>
      <c r="I14" s="244">
        <f t="shared" si="0"/>
        <v>1895.2999999999997</v>
      </c>
      <c r="J14" s="244">
        <f t="shared" si="0"/>
        <v>1882.4999999999995</v>
      </c>
      <c r="K14" s="244">
        <f t="shared" si="0"/>
        <v>1842.3600000000001</v>
      </c>
      <c r="L14" s="244">
        <f t="shared" si="0"/>
        <v>1867.3799999999997</v>
      </c>
      <c r="M14" s="244">
        <f t="shared" si="0"/>
        <v>1867.7599999999998</v>
      </c>
      <c r="N14" s="244">
        <f t="shared" si="0"/>
        <v>1878.3800000000006</v>
      </c>
      <c r="O14" s="244">
        <f t="shared" si="0"/>
        <v>1859.0200000000004</v>
      </c>
      <c r="P14" s="244">
        <f t="shared" si="0"/>
        <v>1826.0199999999995</v>
      </c>
      <c r="Q14" s="243"/>
      <c r="R14" s="243"/>
      <c r="S14" s="243"/>
      <c r="T14" s="243"/>
      <c r="U14" s="245"/>
      <c r="V14" s="246"/>
      <c r="W14" s="247"/>
      <c r="X14" s="239"/>
      <c r="Z14" s="240"/>
      <c r="AA14" s="240"/>
      <c r="AB14" s="241"/>
      <c r="AC14" s="241"/>
      <c r="AD14" s="242"/>
      <c r="AE14" s="242"/>
    </row>
    <row r="15" spans="1:31">
      <c r="A15" s="248">
        <v>43104</v>
      </c>
      <c r="B15" s="249" t="s">
        <v>76</v>
      </c>
      <c r="C15" s="250" t="s">
        <v>77</v>
      </c>
      <c r="D15" s="123">
        <v>2833</v>
      </c>
      <c r="E15" s="123">
        <v>2784.78</v>
      </c>
      <c r="F15" s="123">
        <v>2762.7</v>
      </c>
      <c r="G15" s="123">
        <v>2761.56</v>
      </c>
      <c r="H15" s="123">
        <v>2778.61</v>
      </c>
      <c r="I15" s="123">
        <v>2818.1</v>
      </c>
      <c r="J15" s="123">
        <v>2881.89</v>
      </c>
      <c r="K15" s="123">
        <v>2856.42</v>
      </c>
      <c r="L15" s="123">
        <v>2805.39</v>
      </c>
      <c r="M15" s="123">
        <v>2773.16</v>
      </c>
      <c r="N15" s="123">
        <v>2767.18</v>
      </c>
      <c r="O15" s="123">
        <v>2789.59</v>
      </c>
      <c r="P15" s="123">
        <v>2836.14</v>
      </c>
      <c r="Q15" s="250">
        <f>IF((P16=""),"",MAX(D17:P17))</f>
        <v>1829.7199999999998</v>
      </c>
      <c r="R15" s="250">
        <f>IF(P16="","",MIN(D17:P17))</f>
        <v>1706.56</v>
      </c>
      <c r="S15" s="250">
        <f>IF((P17=""),"",AVERAGE(D17:P17))</f>
        <v>1778.783076923077</v>
      </c>
      <c r="T15" s="250">
        <f>IF((P16=""),"",STDEV(D17:P17))</f>
        <v>34.429273248360197</v>
      </c>
      <c r="U15" s="251">
        <f>IF((P16=""),"",((Q15-R15)/(Q15+R15))*100)</f>
        <v>3.4827558903706679</v>
      </c>
      <c r="V15" s="228" t="str">
        <f>IF(P16="","",IF(U15&lt;7.2,IF(S15&gt;AB15,IF(S15&lt;AC15,"Pass","Fail"),"Fail"),"Fail"))</f>
        <v>Pass</v>
      </c>
      <c r="W15" s="253">
        <v>1335</v>
      </c>
      <c r="X15" s="254" t="s">
        <v>80</v>
      </c>
      <c r="Z15" s="240">
        <v>1600</v>
      </c>
      <c r="AA15" s="240">
        <v>2600</v>
      </c>
      <c r="AB15" s="241">
        <v>1700</v>
      </c>
      <c r="AC15" s="241">
        <v>1950</v>
      </c>
      <c r="AD15" s="242">
        <v>10</v>
      </c>
      <c r="AE15" s="242">
        <v>7.2</v>
      </c>
    </row>
    <row r="16" spans="1:31">
      <c r="A16" s="123"/>
      <c r="B16" s="235"/>
      <c r="C16" s="235" t="s">
        <v>78</v>
      </c>
      <c r="D16" s="123">
        <v>1979.72</v>
      </c>
      <c r="E16" s="123">
        <v>1912.19</v>
      </c>
      <c r="F16" s="123">
        <v>1880.58</v>
      </c>
      <c r="G16" s="123">
        <v>1868.89</v>
      </c>
      <c r="H16" s="123">
        <v>1874.39</v>
      </c>
      <c r="I16" s="123">
        <v>1904.14</v>
      </c>
      <c r="J16" s="123">
        <v>1967.03</v>
      </c>
      <c r="K16" s="123">
        <v>1972.98</v>
      </c>
      <c r="L16" s="123">
        <v>1910.47</v>
      </c>
      <c r="M16" s="123">
        <v>1880.91</v>
      </c>
      <c r="N16" s="123">
        <v>1872.3</v>
      </c>
      <c r="O16" s="123">
        <v>1898.05</v>
      </c>
      <c r="P16" s="123">
        <v>1964.78</v>
      </c>
      <c r="Q16" s="235"/>
      <c r="R16" s="235"/>
      <c r="S16" s="235"/>
      <c r="T16" s="235"/>
      <c r="U16" s="236"/>
      <c r="V16" s="237"/>
      <c r="W16" s="238"/>
      <c r="X16" s="239"/>
      <c r="Z16" s="240"/>
      <c r="AA16" s="240"/>
      <c r="AB16" s="241"/>
      <c r="AC16" s="241"/>
      <c r="AD16" s="242"/>
      <c r="AE16" s="242"/>
    </row>
    <row r="17" spans="1:31" ht="32.25" thickBot="1">
      <c r="A17" s="123"/>
      <c r="B17" s="243"/>
      <c r="C17" s="243" t="s">
        <v>221</v>
      </c>
      <c r="D17" s="244">
        <f t="shared" ref="D17:P17" si="1">IF(((D15="")*AND(D16="")),"",(D15-D16)*2)</f>
        <v>1706.56</v>
      </c>
      <c r="E17" s="244">
        <f t="shared" si="1"/>
        <v>1745.1800000000003</v>
      </c>
      <c r="F17" s="244">
        <f t="shared" si="1"/>
        <v>1764.2399999999998</v>
      </c>
      <c r="G17" s="244">
        <f t="shared" si="1"/>
        <v>1785.3399999999997</v>
      </c>
      <c r="H17" s="244">
        <f t="shared" si="1"/>
        <v>1808.44</v>
      </c>
      <c r="I17" s="244">
        <f t="shared" si="1"/>
        <v>1827.9199999999996</v>
      </c>
      <c r="J17" s="244">
        <f t="shared" si="1"/>
        <v>1829.7199999999998</v>
      </c>
      <c r="K17" s="244">
        <f t="shared" si="1"/>
        <v>1766.88</v>
      </c>
      <c r="L17" s="244">
        <f t="shared" si="1"/>
        <v>1789.8399999999997</v>
      </c>
      <c r="M17" s="244">
        <f t="shared" si="1"/>
        <v>1784.4999999999995</v>
      </c>
      <c r="N17" s="244">
        <f t="shared" si="1"/>
        <v>1789.7599999999998</v>
      </c>
      <c r="O17" s="244">
        <f t="shared" si="1"/>
        <v>1783.0800000000004</v>
      </c>
      <c r="P17" s="244">
        <f t="shared" si="1"/>
        <v>1742.7199999999998</v>
      </c>
      <c r="Q17" s="243"/>
      <c r="R17" s="243"/>
      <c r="S17" s="243"/>
      <c r="T17" s="243"/>
      <c r="U17" s="245"/>
      <c r="V17" s="246"/>
      <c r="W17" s="247"/>
      <c r="X17" s="239"/>
      <c r="Z17" s="240"/>
      <c r="AA17" s="240"/>
      <c r="AB17" s="241"/>
      <c r="AC17" s="241"/>
      <c r="AD17" s="242"/>
      <c r="AE17" s="242"/>
    </row>
    <row r="18" spans="1:31">
      <c r="A18" s="248">
        <v>43112</v>
      </c>
      <c r="B18" s="249" t="s">
        <v>76</v>
      </c>
      <c r="C18" s="250" t="s">
        <v>77</v>
      </c>
      <c r="D18" s="123">
        <v>2799.32</v>
      </c>
      <c r="E18" s="123">
        <v>2747.9</v>
      </c>
      <c r="F18" s="123">
        <v>2725.06</v>
      </c>
      <c r="G18" s="123">
        <v>2716.83</v>
      </c>
      <c r="H18" s="123">
        <v>2727.11</v>
      </c>
      <c r="I18" s="123">
        <v>2758.94</v>
      </c>
      <c r="J18" s="123">
        <v>2816.53</v>
      </c>
      <c r="K18" s="123">
        <v>2800.2</v>
      </c>
      <c r="L18" s="123">
        <v>2742.48</v>
      </c>
      <c r="M18" s="123">
        <v>2721.14</v>
      </c>
      <c r="N18" s="123">
        <v>2735.88</v>
      </c>
      <c r="O18" s="123">
        <v>2779.74</v>
      </c>
      <c r="P18" s="123">
        <v>2848.34</v>
      </c>
      <c r="Q18" s="250">
        <f>IF((P19=""),"",MAX(D20:P20))</f>
        <v>1893.7000000000003</v>
      </c>
      <c r="R18" s="250">
        <f>IF(P19="","",MIN(D20:P20))</f>
        <v>1749.1000000000004</v>
      </c>
      <c r="S18" s="250">
        <f>IF((P20=""),"",AVERAGE(D20:P20))</f>
        <v>1837.4769230769232</v>
      </c>
      <c r="T18" s="250">
        <f>IF((P19=""),"",STDEV(D20:P20))</f>
        <v>39.828109710064325</v>
      </c>
      <c r="U18" s="251">
        <f>IF((P19=""),"",((Q18-R18)/(Q18+R18))*100)</f>
        <v>3.9694740309651886</v>
      </c>
      <c r="V18" s="228" t="str">
        <f>IF(P19="","",IF(U18&lt;7.2,IF(S18&gt;AB18,IF(S18&lt;AC18,"Pass","Fail"),"Fail"),"Fail"))</f>
        <v>Pass</v>
      </c>
      <c r="W18" s="253" t="s">
        <v>48</v>
      </c>
      <c r="X18" s="255" t="s">
        <v>81</v>
      </c>
      <c r="Z18" s="240">
        <v>1600</v>
      </c>
      <c r="AA18" s="240">
        <v>2600</v>
      </c>
      <c r="AB18" s="241">
        <v>1700</v>
      </c>
      <c r="AC18" s="241">
        <v>1950</v>
      </c>
      <c r="AD18" s="242">
        <v>10</v>
      </c>
      <c r="AE18" s="242">
        <v>7.2</v>
      </c>
    </row>
    <row r="19" spans="1:31">
      <c r="A19" s="123"/>
      <c r="B19" s="235"/>
      <c r="C19" s="235" t="s">
        <v>78</v>
      </c>
      <c r="D19" s="123">
        <v>1924.77</v>
      </c>
      <c r="E19" s="123">
        <v>1849.15</v>
      </c>
      <c r="F19" s="123">
        <v>1810.35</v>
      </c>
      <c r="G19" s="123">
        <v>1793.22</v>
      </c>
      <c r="H19" s="123">
        <v>1791.17</v>
      </c>
      <c r="I19" s="123">
        <v>1812.68</v>
      </c>
      <c r="J19" s="123">
        <v>1869.68</v>
      </c>
      <c r="K19" s="123">
        <v>1892.45</v>
      </c>
      <c r="L19" s="123">
        <v>1820.87</v>
      </c>
      <c r="M19" s="123">
        <v>1796.85</v>
      </c>
      <c r="N19" s="123">
        <v>1809.32</v>
      </c>
      <c r="O19" s="123">
        <v>1858.55</v>
      </c>
      <c r="P19" s="123">
        <v>1946.81</v>
      </c>
      <c r="Q19" s="235"/>
      <c r="R19" s="235"/>
      <c r="S19" s="235"/>
      <c r="T19" s="235"/>
      <c r="U19" s="236"/>
      <c r="V19" s="237"/>
      <c r="W19" s="238"/>
      <c r="X19" s="239"/>
      <c r="Z19" s="240"/>
      <c r="AA19" s="240"/>
      <c r="AB19" s="241"/>
      <c r="AC19" s="241"/>
      <c r="AD19" s="242"/>
      <c r="AE19" s="242"/>
    </row>
    <row r="20" spans="1:31" ht="32.25" thickBot="1">
      <c r="A20" s="123"/>
      <c r="B20" s="243"/>
      <c r="C20" s="243" t="s">
        <v>221</v>
      </c>
      <c r="D20" s="244">
        <f t="shared" ref="D20:P20" si="2">IF(((D18="")*AND(D19="")),"",(D18-D19)*2)</f>
        <v>1749.1000000000004</v>
      </c>
      <c r="E20" s="244">
        <f t="shared" si="2"/>
        <v>1797.5</v>
      </c>
      <c r="F20" s="244">
        <f t="shared" si="2"/>
        <v>1829.42</v>
      </c>
      <c r="G20" s="244">
        <f t="shared" si="2"/>
        <v>1847.2199999999998</v>
      </c>
      <c r="H20" s="244">
        <f t="shared" si="2"/>
        <v>1871.88</v>
      </c>
      <c r="I20" s="244">
        <f t="shared" si="2"/>
        <v>1892.52</v>
      </c>
      <c r="J20" s="244">
        <f t="shared" si="2"/>
        <v>1893.7000000000003</v>
      </c>
      <c r="K20" s="244">
        <f t="shared" si="2"/>
        <v>1815.4999999999995</v>
      </c>
      <c r="L20" s="244">
        <f t="shared" si="2"/>
        <v>1843.2200000000003</v>
      </c>
      <c r="M20" s="244">
        <f t="shared" si="2"/>
        <v>1848.58</v>
      </c>
      <c r="N20" s="244">
        <f t="shared" si="2"/>
        <v>1853.1200000000003</v>
      </c>
      <c r="O20" s="244">
        <f t="shared" si="2"/>
        <v>1842.3799999999997</v>
      </c>
      <c r="P20" s="244">
        <f t="shared" si="2"/>
        <v>1803.0600000000004</v>
      </c>
      <c r="Q20" s="243"/>
      <c r="R20" s="243"/>
      <c r="S20" s="243"/>
      <c r="T20" s="243"/>
      <c r="U20" s="245"/>
      <c r="V20" s="246"/>
      <c r="W20" s="247"/>
      <c r="X20" s="239"/>
      <c r="Z20" s="240"/>
      <c r="AA20" s="240"/>
      <c r="AB20" s="241"/>
      <c r="AC20" s="241"/>
      <c r="AD20" s="242"/>
      <c r="AE20" s="242"/>
    </row>
    <row r="21" spans="1:31">
      <c r="A21" s="248">
        <v>43116</v>
      </c>
      <c r="B21" s="249" t="s">
        <v>76</v>
      </c>
      <c r="C21" s="250" t="s">
        <v>77</v>
      </c>
      <c r="D21" s="123">
        <v>2806.57</v>
      </c>
      <c r="E21" s="123">
        <v>2757</v>
      </c>
      <c r="F21" s="123">
        <v>2730.12</v>
      </c>
      <c r="G21" s="123">
        <v>2724.79</v>
      </c>
      <c r="H21" s="123">
        <v>2735.66</v>
      </c>
      <c r="I21" s="123">
        <v>2765.71</v>
      </c>
      <c r="J21" s="123">
        <v>2823.06</v>
      </c>
      <c r="K21" s="123">
        <v>2810.31</v>
      </c>
      <c r="L21" s="123">
        <v>2754.83</v>
      </c>
      <c r="M21" s="123">
        <v>2729.4</v>
      </c>
      <c r="N21" s="123">
        <v>2746.03</v>
      </c>
      <c r="O21" s="123">
        <v>2786.98</v>
      </c>
      <c r="P21" s="123">
        <v>2860.13</v>
      </c>
      <c r="Q21" s="250">
        <f>IF((P22=""),"",MAX(D23:P23))</f>
        <v>1889.2199999999998</v>
      </c>
      <c r="R21" s="250">
        <f>IF(P22="","",MIN(D23:P23))</f>
        <v>1756.9000000000005</v>
      </c>
      <c r="S21" s="250">
        <f>IF((P23=""),"",AVERAGE(D23:P23))</f>
        <v>1833.9692307692308</v>
      </c>
      <c r="T21" s="250">
        <f>IF((P22=""),"",STDEV(D23:P23))</f>
        <v>35.394710165394727</v>
      </c>
      <c r="U21" s="251">
        <f>IF((P22=""),"",((Q21-R21)/(Q21+R21))*100)</f>
        <v>3.6290632233716731</v>
      </c>
      <c r="V21" s="228" t="str">
        <f>IF(P22="","",IF(U21&lt;7.2,IF(S21&gt;AB21,IF(S21&lt;AC21,"Pass","Fail"),"Fail"),"Fail"))</f>
        <v>Pass</v>
      </c>
      <c r="W21" s="253">
        <v>102</v>
      </c>
      <c r="X21" s="230"/>
      <c r="Z21" s="240">
        <v>1600</v>
      </c>
      <c r="AA21" s="240">
        <v>2600</v>
      </c>
      <c r="AB21" s="241">
        <v>1700</v>
      </c>
      <c r="AC21" s="241">
        <v>1950</v>
      </c>
      <c r="AD21" s="242">
        <v>10</v>
      </c>
      <c r="AE21" s="242">
        <v>7.2</v>
      </c>
    </row>
    <row r="22" spans="1:31">
      <c r="A22" s="123"/>
      <c r="B22" s="235"/>
      <c r="C22" s="235" t="s">
        <v>78</v>
      </c>
      <c r="D22" s="123">
        <v>1928.12</v>
      </c>
      <c r="E22" s="123">
        <v>1857</v>
      </c>
      <c r="F22" s="123">
        <v>1821.31</v>
      </c>
      <c r="G22" s="123">
        <v>1805.39</v>
      </c>
      <c r="H22" s="123">
        <v>1804.27</v>
      </c>
      <c r="I22" s="123">
        <v>1824.42</v>
      </c>
      <c r="J22" s="123">
        <v>1878.45</v>
      </c>
      <c r="K22" s="123">
        <v>1902.87</v>
      </c>
      <c r="L22" s="123">
        <v>1833.36</v>
      </c>
      <c r="M22" s="123">
        <v>1808.71</v>
      </c>
      <c r="N22" s="123">
        <v>1821.45</v>
      </c>
      <c r="O22" s="123">
        <v>1868.42</v>
      </c>
      <c r="P22" s="123">
        <v>1956.02</v>
      </c>
      <c r="Q22" s="235"/>
      <c r="R22" s="235"/>
      <c r="S22" s="235"/>
      <c r="T22" s="235"/>
      <c r="U22" s="236"/>
      <c r="V22" s="237"/>
      <c r="W22" s="238"/>
      <c r="X22" s="239"/>
      <c r="Z22" s="240"/>
      <c r="AA22" s="240"/>
      <c r="AB22" s="241"/>
      <c r="AC22" s="241"/>
      <c r="AD22" s="242"/>
      <c r="AE22" s="242"/>
    </row>
    <row r="23" spans="1:31" ht="32.25" thickBot="1">
      <c r="A23" s="123"/>
      <c r="B23" s="243"/>
      <c r="C23" s="243" t="s">
        <v>221</v>
      </c>
      <c r="D23" s="244">
        <f t="shared" ref="D23:P23" si="3">IF(((D21="")*AND(D22="")),"",(D21-D22)*2)</f>
        <v>1756.9000000000005</v>
      </c>
      <c r="E23" s="244">
        <f t="shared" si="3"/>
        <v>1800</v>
      </c>
      <c r="F23" s="244">
        <f t="shared" si="3"/>
        <v>1817.62</v>
      </c>
      <c r="G23" s="244">
        <f t="shared" si="3"/>
        <v>1838.7999999999997</v>
      </c>
      <c r="H23" s="244">
        <f t="shared" si="3"/>
        <v>1862.7799999999997</v>
      </c>
      <c r="I23" s="244">
        <f t="shared" si="3"/>
        <v>1882.58</v>
      </c>
      <c r="J23" s="244">
        <f t="shared" si="3"/>
        <v>1889.2199999999998</v>
      </c>
      <c r="K23" s="244">
        <f t="shared" si="3"/>
        <v>1814.88</v>
      </c>
      <c r="L23" s="244">
        <f t="shared" si="3"/>
        <v>1842.94</v>
      </c>
      <c r="M23" s="244">
        <f t="shared" si="3"/>
        <v>1841.38</v>
      </c>
      <c r="N23" s="244">
        <f t="shared" si="3"/>
        <v>1849.1600000000003</v>
      </c>
      <c r="O23" s="244">
        <f t="shared" si="3"/>
        <v>1837.12</v>
      </c>
      <c r="P23" s="244">
        <f t="shared" si="3"/>
        <v>1808.2200000000003</v>
      </c>
      <c r="Q23" s="243"/>
      <c r="R23" s="243"/>
      <c r="S23" s="243"/>
      <c r="T23" s="243"/>
      <c r="U23" s="245"/>
      <c r="V23" s="246"/>
      <c r="W23" s="247"/>
      <c r="X23" s="239"/>
      <c r="Z23" s="240"/>
      <c r="AA23" s="240"/>
      <c r="AB23" s="241"/>
      <c r="AC23" s="241"/>
      <c r="AD23" s="242"/>
      <c r="AE23" s="242"/>
    </row>
    <row r="24" spans="1:31">
      <c r="A24" s="248">
        <v>43119</v>
      </c>
      <c r="B24" s="249" t="s">
        <v>76</v>
      </c>
      <c r="C24" s="250" t="s">
        <v>77</v>
      </c>
      <c r="D24" s="123">
        <v>2811.06</v>
      </c>
      <c r="E24" s="123">
        <v>2758.62</v>
      </c>
      <c r="F24" s="123">
        <v>2735</v>
      </c>
      <c r="G24" s="123">
        <v>2727.74</v>
      </c>
      <c r="H24" s="123">
        <v>2738.93</v>
      </c>
      <c r="I24" s="123">
        <v>2770.48</v>
      </c>
      <c r="J24" s="123">
        <v>2822.95</v>
      </c>
      <c r="K24" s="123">
        <v>2812.48</v>
      </c>
      <c r="L24" s="123">
        <v>2757.39</v>
      </c>
      <c r="M24" s="123">
        <v>2729.64</v>
      </c>
      <c r="N24" s="123">
        <v>2747.14</v>
      </c>
      <c r="O24" s="123">
        <v>2791.39</v>
      </c>
      <c r="P24" s="123">
        <v>2860.7</v>
      </c>
      <c r="Q24" s="250">
        <f>IF((P25=""),"",MAX(D26:P26))</f>
        <v>1912.1599999999999</v>
      </c>
      <c r="R24" s="250">
        <f>IF(P25="","",MIN(D26:P26))</f>
        <v>1789.7799999999997</v>
      </c>
      <c r="S24" s="250">
        <f>IF((P26=""),"",AVERAGE(D26:P26))</f>
        <v>1859.7015384615381</v>
      </c>
      <c r="T24" s="250">
        <f>IF((P25=""),"",STDEV(D26:P26))</f>
        <v>34.825270002818819</v>
      </c>
      <c r="U24" s="251">
        <f>IF((P25=""),"",((Q24-R24)/(Q24+R24))*100)</f>
        <v>3.3058342382642643</v>
      </c>
      <c r="V24" s="228" t="str">
        <f>IF(P25="","",IF(U24&lt;7.2,IF(S24&gt;AB24,IF(S24&lt;AC24,"Pass","Fail"),"Fail"),"Fail"))</f>
        <v>Pass</v>
      </c>
      <c r="W24" s="253">
        <v>1428</v>
      </c>
      <c r="X24" s="230"/>
      <c r="Z24" s="240">
        <v>1600</v>
      </c>
      <c r="AA24" s="240">
        <v>2600</v>
      </c>
      <c r="AB24" s="241">
        <v>1700</v>
      </c>
      <c r="AC24" s="241">
        <v>1950</v>
      </c>
      <c r="AD24" s="242">
        <v>10</v>
      </c>
      <c r="AE24" s="242">
        <v>7.2</v>
      </c>
    </row>
    <row r="25" spans="1:31">
      <c r="A25" s="123"/>
      <c r="B25" s="235"/>
      <c r="C25" s="235" t="s">
        <v>78</v>
      </c>
      <c r="D25" s="123">
        <v>1916.17</v>
      </c>
      <c r="E25" s="123">
        <v>1845.7</v>
      </c>
      <c r="F25" s="123">
        <v>1809.01</v>
      </c>
      <c r="G25" s="123">
        <v>1795.34</v>
      </c>
      <c r="H25" s="123">
        <v>1793.58</v>
      </c>
      <c r="I25" s="123">
        <v>1814.4</v>
      </c>
      <c r="J25" s="123">
        <v>1867.28</v>
      </c>
      <c r="K25" s="123">
        <v>1893.73</v>
      </c>
      <c r="L25" s="123">
        <v>1823.02</v>
      </c>
      <c r="M25" s="123">
        <v>1798.24</v>
      </c>
      <c r="N25" s="123">
        <v>1810.56</v>
      </c>
      <c r="O25" s="123">
        <v>1859.73</v>
      </c>
      <c r="P25" s="123">
        <v>1948.7</v>
      </c>
      <c r="Q25" s="235"/>
      <c r="R25" s="235"/>
      <c r="S25" s="235"/>
      <c r="T25" s="235"/>
      <c r="U25" s="236"/>
      <c r="V25" s="237"/>
      <c r="W25" s="238"/>
      <c r="X25" s="239"/>
      <c r="Z25" s="240"/>
      <c r="AA25" s="240"/>
      <c r="AB25" s="241"/>
      <c r="AC25" s="241"/>
      <c r="AD25" s="242"/>
      <c r="AE25" s="242"/>
    </row>
    <row r="26" spans="1:31" ht="32.25" thickBot="1">
      <c r="A26" s="123"/>
      <c r="B26" s="243"/>
      <c r="C26" s="243" t="s">
        <v>221</v>
      </c>
      <c r="D26" s="244">
        <f t="shared" ref="D26:P26" si="4">IF(((D24="")*AND(D25="")),"",(D24-D25)*2)</f>
        <v>1789.7799999999997</v>
      </c>
      <c r="E26" s="244">
        <f t="shared" si="4"/>
        <v>1825.8399999999997</v>
      </c>
      <c r="F26" s="244">
        <f t="shared" si="4"/>
        <v>1851.98</v>
      </c>
      <c r="G26" s="244">
        <f t="shared" si="4"/>
        <v>1864.7999999999997</v>
      </c>
      <c r="H26" s="244">
        <f t="shared" si="4"/>
        <v>1890.6999999999998</v>
      </c>
      <c r="I26" s="244">
        <f t="shared" si="4"/>
        <v>1912.1599999999999</v>
      </c>
      <c r="J26" s="244">
        <f t="shared" si="4"/>
        <v>1911.3399999999997</v>
      </c>
      <c r="K26" s="244">
        <f t="shared" si="4"/>
        <v>1837.5</v>
      </c>
      <c r="L26" s="244">
        <f t="shared" si="4"/>
        <v>1868.7399999999998</v>
      </c>
      <c r="M26" s="244">
        <f t="shared" si="4"/>
        <v>1862.7999999999997</v>
      </c>
      <c r="N26" s="244">
        <f t="shared" si="4"/>
        <v>1873.1599999999999</v>
      </c>
      <c r="O26" s="244">
        <f t="shared" si="4"/>
        <v>1863.3199999999997</v>
      </c>
      <c r="P26" s="244">
        <f t="shared" si="4"/>
        <v>1823.9999999999995</v>
      </c>
      <c r="Q26" s="243"/>
      <c r="R26" s="243"/>
      <c r="S26" s="243"/>
      <c r="T26" s="243"/>
      <c r="U26" s="245"/>
      <c r="V26" s="246"/>
      <c r="W26" s="247"/>
      <c r="X26" s="239"/>
      <c r="Z26" s="240"/>
      <c r="AA26" s="240"/>
      <c r="AB26" s="241"/>
      <c r="AC26" s="241"/>
      <c r="AD26" s="242"/>
      <c r="AE26" s="242"/>
    </row>
    <row r="27" spans="1:31">
      <c r="A27" s="248">
        <v>43122</v>
      </c>
      <c r="B27" s="249" t="s">
        <v>76</v>
      </c>
      <c r="C27" s="250" t="s">
        <v>77</v>
      </c>
      <c r="D27" s="123">
        <v>2802.69</v>
      </c>
      <c r="E27" s="123">
        <v>2750.43</v>
      </c>
      <c r="F27" s="123">
        <v>2726.14</v>
      </c>
      <c r="G27" s="123">
        <v>2717.73</v>
      </c>
      <c r="H27" s="123">
        <v>2729.63</v>
      </c>
      <c r="I27" s="123">
        <v>2755.48</v>
      </c>
      <c r="J27" s="123">
        <v>2809.98</v>
      </c>
      <c r="K27" s="123">
        <v>2806.89</v>
      </c>
      <c r="L27" s="123">
        <v>2747.41</v>
      </c>
      <c r="M27" s="123">
        <v>2721.58</v>
      </c>
      <c r="N27" s="123">
        <v>2737.03</v>
      </c>
      <c r="O27" s="123">
        <v>2781.71</v>
      </c>
      <c r="P27" s="123">
        <v>2855.24</v>
      </c>
      <c r="Q27" s="250">
        <f>IF((P28=""),"",MAX(D29:P29))</f>
        <v>1639.04</v>
      </c>
      <c r="R27" s="250">
        <f>IF(P28="","",MIN(D29:P29))</f>
        <v>1600.8799999999997</v>
      </c>
      <c r="S27" s="250">
        <f>IF((P29=""),"",AVERAGE(D29:P29))</f>
        <v>1615.0246153846156</v>
      </c>
      <c r="T27" s="250">
        <f>IF((P28=""),"",STDEV(D29:P29))</f>
        <v>12.728574557129736</v>
      </c>
      <c r="U27" s="251">
        <f>IF((P28=""),"",((Q27-R27)/(Q27+R27))*100)</f>
        <v>1.1778068594286377</v>
      </c>
      <c r="V27" s="228" t="str">
        <f>IF(P28="","",IF(U27&lt;7.2,IF(S27&gt;AB27,IF(S27&lt;AC27,"Pass","Fail"),"Fail"),"Fail"))</f>
        <v>Fail</v>
      </c>
      <c r="W27" s="253">
        <v>1428</v>
      </c>
      <c r="X27" s="255" t="s">
        <v>82</v>
      </c>
      <c r="Z27" s="240">
        <v>1600</v>
      </c>
      <c r="AA27" s="240">
        <v>2600</v>
      </c>
      <c r="AB27" s="241">
        <v>1700</v>
      </c>
      <c r="AC27" s="241">
        <v>1950</v>
      </c>
      <c r="AD27" s="242">
        <v>10</v>
      </c>
      <c r="AE27" s="242">
        <v>7.2</v>
      </c>
    </row>
    <row r="28" spans="1:31">
      <c r="A28" s="123"/>
      <c r="B28" s="235"/>
      <c r="C28" s="235" t="s">
        <v>78</v>
      </c>
      <c r="D28" s="123">
        <v>1996.45</v>
      </c>
      <c r="E28" s="123">
        <v>1949.99</v>
      </c>
      <c r="F28" s="123">
        <v>1925.6</v>
      </c>
      <c r="G28" s="123">
        <v>1914.98</v>
      </c>
      <c r="H28" s="123">
        <v>1919.65</v>
      </c>
      <c r="I28" s="123">
        <v>1943.83</v>
      </c>
      <c r="J28" s="123">
        <v>1990.46</v>
      </c>
      <c r="K28" s="123">
        <v>1991.01</v>
      </c>
      <c r="L28" s="123">
        <v>1933.46</v>
      </c>
      <c r="M28" s="123">
        <v>1913.45</v>
      </c>
      <c r="N28" s="123">
        <v>1936.41</v>
      </c>
      <c r="O28" s="123">
        <v>1975.34</v>
      </c>
      <c r="P28" s="123">
        <v>2053.65</v>
      </c>
      <c r="Q28" s="235"/>
      <c r="R28" s="235"/>
      <c r="S28" s="235"/>
      <c r="T28" s="235"/>
      <c r="U28" s="236"/>
      <c r="V28" s="237"/>
      <c r="W28" s="238"/>
      <c r="X28" s="239"/>
      <c r="Z28" s="240"/>
      <c r="AA28" s="240"/>
      <c r="AB28" s="241"/>
      <c r="AC28" s="241"/>
      <c r="AD28" s="242"/>
      <c r="AE28" s="242"/>
    </row>
    <row r="29" spans="1:31" ht="32.25" thickBot="1">
      <c r="A29" s="123"/>
      <c r="B29" s="243"/>
      <c r="C29" s="243" t="s">
        <v>221</v>
      </c>
      <c r="D29" s="244">
        <f t="shared" ref="D29:P29" si="5">IF(((D27="")*AND(D28="")),"",(D27-D28)*2)</f>
        <v>1612.48</v>
      </c>
      <c r="E29" s="244">
        <f t="shared" si="5"/>
        <v>1600.8799999999997</v>
      </c>
      <c r="F29" s="244">
        <f t="shared" si="5"/>
        <v>1601.08</v>
      </c>
      <c r="G29" s="244">
        <f t="shared" si="5"/>
        <v>1605.5</v>
      </c>
      <c r="H29" s="244">
        <f t="shared" si="5"/>
        <v>1619.96</v>
      </c>
      <c r="I29" s="244">
        <f t="shared" si="5"/>
        <v>1623.3000000000002</v>
      </c>
      <c r="J29" s="244">
        <f t="shared" si="5"/>
        <v>1639.04</v>
      </c>
      <c r="K29" s="244">
        <f t="shared" si="5"/>
        <v>1631.7599999999998</v>
      </c>
      <c r="L29" s="244">
        <f t="shared" si="5"/>
        <v>1627.8999999999996</v>
      </c>
      <c r="M29" s="244">
        <f t="shared" si="5"/>
        <v>1616.2599999999998</v>
      </c>
      <c r="N29" s="244">
        <f t="shared" si="5"/>
        <v>1601.2400000000002</v>
      </c>
      <c r="O29" s="244">
        <f t="shared" si="5"/>
        <v>1612.7400000000002</v>
      </c>
      <c r="P29" s="244">
        <f t="shared" si="5"/>
        <v>1603.1799999999994</v>
      </c>
      <c r="Q29" s="243"/>
      <c r="R29" s="243"/>
      <c r="S29" s="243"/>
      <c r="T29" s="243"/>
      <c r="U29" s="245"/>
      <c r="V29" s="246"/>
      <c r="W29" s="247"/>
      <c r="X29" s="239"/>
      <c r="Z29" s="240"/>
      <c r="AA29" s="240"/>
      <c r="AB29" s="241"/>
      <c r="AC29" s="241"/>
      <c r="AD29" s="242"/>
      <c r="AE29" s="242"/>
    </row>
    <row r="30" spans="1:31">
      <c r="A30" s="248">
        <v>43125</v>
      </c>
      <c r="B30" s="249" t="s">
        <v>76</v>
      </c>
      <c r="C30" s="250" t="s">
        <v>77</v>
      </c>
      <c r="D30" s="123">
        <v>2793.52</v>
      </c>
      <c r="E30" s="123">
        <v>2743.21</v>
      </c>
      <c r="F30" s="123">
        <v>2715.21</v>
      </c>
      <c r="G30" s="123">
        <v>2703.8</v>
      </c>
      <c r="H30" s="123">
        <v>2709.83</v>
      </c>
      <c r="I30" s="123">
        <v>2737.59</v>
      </c>
      <c r="J30" s="123">
        <v>2791.91</v>
      </c>
      <c r="K30" s="123">
        <v>2801.56</v>
      </c>
      <c r="L30" s="123">
        <v>2740.25</v>
      </c>
      <c r="M30" s="123">
        <v>2706.11</v>
      </c>
      <c r="N30" s="123">
        <v>2722.96</v>
      </c>
      <c r="O30" s="123">
        <v>2767.42</v>
      </c>
      <c r="P30" s="123">
        <v>2847.29</v>
      </c>
      <c r="Q30" s="250">
        <f>IF((P31=""),"",MAX(D32:P32))</f>
        <v>1893.1799999999998</v>
      </c>
      <c r="R30" s="250">
        <f>IF(P31="","",MIN(D32:P32))</f>
        <v>1732.56</v>
      </c>
      <c r="S30" s="250">
        <f>IF((P32=""),"",AVERAGE(D32:P32))</f>
        <v>1827.4276923076925</v>
      </c>
      <c r="T30" s="250">
        <f>IF((P31=""),"",STDEV(D32:P32))</f>
        <v>44.857801654013045</v>
      </c>
      <c r="U30" s="251">
        <f>IF((P31=""),"",((Q30-R30)/(Q30+R30))*100)</f>
        <v>4.4299922222773809</v>
      </c>
      <c r="V30" s="228" t="str">
        <f>IF(P31="","",IF(U30&lt;7.2,IF(S30&gt;AB30,IF(S30&lt;AC30,"Pass","Fail"),"Fail"),"Fail"))</f>
        <v>Pass</v>
      </c>
      <c r="W30" s="253">
        <v>1428</v>
      </c>
      <c r="X30" s="230"/>
      <c r="Z30" s="240">
        <v>1600</v>
      </c>
      <c r="AA30" s="240">
        <v>2600</v>
      </c>
      <c r="AB30" s="241">
        <v>1700</v>
      </c>
      <c r="AC30" s="241">
        <v>1950</v>
      </c>
      <c r="AD30" s="242">
        <v>10</v>
      </c>
      <c r="AE30" s="242">
        <v>7.2</v>
      </c>
    </row>
    <row r="31" spans="1:31">
      <c r="A31" s="123"/>
      <c r="B31" s="235"/>
      <c r="C31" s="235" t="s">
        <v>78</v>
      </c>
      <c r="D31" s="123">
        <v>1927.24</v>
      </c>
      <c r="E31" s="123">
        <v>1853.75</v>
      </c>
      <c r="F31" s="123">
        <v>1808.2</v>
      </c>
      <c r="G31" s="123">
        <v>1783.91</v>
      </c>
      <c r="H31" s="123">
        <v>1775.61</v>
      </c>
      <c r="I31" s="123">
        <v>1792.36</v>
      </c>
      <c r="J31" s="123">
        <v>1845.32</v>
      </c>
      <c r="K31" s="123">
        <v>1900.27</v>
      </c>
      <c r="L31" s="123">
        <v>1820.2</v>
      </c>
      <c r="M31" s="123">
        <v>1789.88</v>
      </c>
      <c r="N31" s="123">
        <v>1800.84</v>
      </c>
      <c r="O31" s="123">
        <v>1852.57</v>
      </c>
      <c r="P31" s="123">
        <v>1952.23</v>
      </c>
      <c r="Q31" s="235"/>
      <c r="R31" s="235"/>
      <c r="S31" s="235"/>
      <c r="T31" s="235"/>
      <c r="U31" s="236"/>
      <c r="V31" s="237"/>
      <c r="W31" s="238"/>
      <c r="X31" s="239"/>
      <c r="Z31" s="240"/>
      <c r="AA31" s="240"/>
      <c r="AB31" s="241"/>
      <c r="AC31" s="241"/>
      <c r="AD31" s="242"/>
      <c r="AE31" s="242"/>
    </row>
    <row r="32" spans="1:31" ht="32.25" thickBot="1">
      <c r="A32" s="123"/>
      <c r="B32" s="243"/>
      <c r="C32" s="243" t="s">
        <v>221</v>
      </c>
      <c r="D32" s="244">
        <f t="shared" ref="D32:P32" si="6">IF(((D30="")*AND(D31="")),"",(D30-D31)*2)</f>
        <v>1732.56</v>
      </c>
      <c r="E32" s="244">
        <f t="shared" si="6"/>
        <v>1778.92</v>
      </c>
      <c r="F32" s="244">
        <f t="shared" si="6"/>
        <v>1814.02</v>
      </c>
      <c r="G32" s="244">
        <f t="shared" si="6"/>
        <v>1839.7800000000002</v>
      </c>
      <c r="H32" s="244">
        <f t="shared" si="6"/>
        <v>1868.44</v>
      </c>
      <c r="I32" s="244">
        <f t="shared" si="6"/>
        <v>1890.4600000000005</v>
      </c>
      <c r="J32" s="244">
        <f t="shared" si="6"/>
        <v>1893.1799999999998</v>
      </c>
      <c r="K32" s="244">
        <f t="shared" si="6"/>
        <v>1802.58</v>
      </c>
      <c r="L32" s="244">
        <f t="shared" si="6"/>
        <v>1840.1</v>
      </c>
      <c r="M32" s="244">
        <f t="shared" si="6"/>
        <v>1832.46</v>
      </c>
      <c r="N32" s="244">
        <f t="shared" si="6"/>
        <v>1844.2400000000002</v>
      </c>
      <c r="O32" s="244">
        <f t="shared" si="6"/>
        <v>1829.7000000000003</v>
      </c>
      <c r="P32" s="244">
        <f t="shared" si="6"/>
        <v>1790.12</v>
      </c>
      <c r="Q32" s="243"/>
      <c r="R32" s="243"/>
      <c r="S32" s="243"/>
      <c r="T32" s="243"/>
      <c r="U32" s="245"/>
      <c r="V32" s="246"/>
      <c r="W32" s="247"/>
      <c r="X32" s="239"/>
      <c r="Z32" s="240"/>
      <c r="AA32" s="240"/>
      <c r="AB32" s="241"/>
      <c r="AC32" s="241"/>
      <c r="AD32" s="242"/>
      <c r="AE32" s="242"/>
    </row>
    <row r="33" spans="1:31">
      <c r="A33" s="248">
        <v>43129</v>
      </c>
      <c r="B33" s="249" t="s">
        <v>76</v>
      </c>
      <c r="C33" s="250" t="s">
        <v>77</v>
      </c>
      <c r="D33" s="123">
        <v>2800.06</v>
      </c>
      <c r="E33" s="123">
        <v>2763.44</v>
      </c>
      <c r="F33" s="123">
        <v>2743.37</v>
      </c>
      <c r="G33" s="123">
        <v>2740.53</v>
      </c>
      <c r="H33" s="123">
        <v>2755.46</v>
      </c>
      <c r="I33" s="123">
        <v>2792.96</v>
      </c>
      <c r="J33" s="123">
        <v>2857.82</v>
      </c>
      <c r="K33" s="123">
        <v>2849.31</v>
      </c>
      <c r="L33" s="123">
        <v>2788.47</v>
      </c>
      <c r="M33" s="123">
        <v>2754.96</v>
      </c>
      <c r="N33" s="123">
        <v>2744.99</v>
      </c>
      <c r="O33" s="123">
        <v>2769.76</v>
      </c>
      <c r="P33" s="123">
        <v>2806.74</v>
      </c>
      <c r="Q33" s="250">
        <f>IF((P34=""),"",MAX(D35:P35))</f>
        <v>1760.7600000000002</v>
      </c>
      <c r="R33" s="250">
        <f>IF(P34="","",MIN(D35:P35))</f>
        <v>1672.02</v>
      </c>
      <c r="S33" s="250">
        <f>IF((P35=""),"",AVERAGE(D35:P35))</f>
        <v>1718.6830769230769</v>
      </c>
      <c r="T33" s="250">
        <f>IF((P34=""),"",STDEV(D35:P35))</f>
        <v>24.237407515593087</v>
      </c>
      <c r="U33" s="251">
        <f>IF((P34=""),"",((Q33-R33)/(Q33+R33))*100)</f>
        <v>2.5850768182056592</v>
      </c>
      <c r="V33" s="228" t="str">
        <f>IF(P34="","",IF(U33&lt;7.2,IF(S33&gt;AB33,IF(S33&lt;AC33,"Pass","Fail"),"Fail"),"Fail"))</f>
        <v>Pass</v>
      </c>
      <c r="W33" s="253" t="s">
        <v>83</v>
      </c>
      <c r="X33" s="230"/>
      <c r="Z33" s="240">
        <v>1600</v>
      </c>
      <c r="AA33" s="240">
        <v>2600</v>
      </c>
      <c r="AB33" s="241">
        <v>1700</v>
      </c>
      <c r="AC33" s="241">
        <v>1950</v>
      </c>
      <c r="AD33" s="242">
        <v>10</v>
      </c>
      <c r="AE33" s="242">
        <v>7.2</v>
      </c>
    </row>
    <row r="34" spans="1:31">
      <c r="A34" s="123"/>
      <c r="B34" s="235"/>
      <c r="C34" s="235" t="s">
        <v>78</v>
      </c>
      <c r="D34" s="123">
        <v>1964.05</v>
      </c>
      <c r="E34" s="123">
        <v>1917.33</v>
      </c>
      <c r="F34" s="123">
        <v>1891.16</v>
      </c>
      <c r="G34" s="123">
        <v>1880.57</v>
      </c>
      <c r="H34" s="123">
        <v>1886.59</v>
      </c>
      <c r="I34" s="123">
        <v>1916.36</v>
      </c>
      <c r="J34" s="123">
        <v>1977.44</v>
      </c>
      <c r="K34" s="123">
        <v>1992.5</v>
      </c>
      <c r="L34" s="123">
        <v>1924.97</v>
      </c>
      <c r="M34" s="123">
        <v>1894</v>
      </c>
      <c r="N34" s="123">
        <v>1884.23</v>
      </c>
      <c r="O34" s="123">
        <v>1908.5</v>
      </c>
      <c r="P34" s="123">
        <v>1958.73</v>
      </c>
      <c r="Q34" s="235"/>
      <c r="R34" s="235"/>
      <c r="S34" s="235"/>
      <c r="T34" s="235"/>
      <c r="U34" s="236"/>
      <c r="V34" s="237"/>
      <c r="W34" s="256"/>
      <c r="X34" s="239"/>
      <c r="Z34" s="240"/>
      <c r="AA34" s="240"/>
      <c r="AB34" s="241"/>
      <c r="AC34" s="241"/>
      <c r="AD34" s="242"/>
      <c r="AE34" s="242"/>
    </row>
    <row r="35" spans="1:31" ht="32.25" thickBot="1">
      <c r="A35" s="123"/>
      <c r="B35" s="257"/>
      <c r="C35" s="243" t="s">
        <v>221</v>
      </c>
      <c r="D35" s="244">
        <f t="shared" ref="D35:P35" si="7">IF(((D33="")*AND(D34="")),"",(D33-D34)*2)</f>
        <v>1672.02</v>
      </c>
      <c r="E35" s="244">
        <f t="shared" si="7"/>
        <v>1692.2200000000003</v>
      </c>
      <c r="F35" s="244">
        <f t="shared" si="7"/>
        <v>1704.4199999999996</v>
      </c>
      <c r="G35" s="244">
        <f t="shared" si="7"/>
        <v>1719.9200000000005</v>
      </c>
      <c r="H35" s="244">
        <f t="shared" si="7"/>
        <v>1737.7400000000002</v>
      </c>
      <c r="I35" s="244">
        <f t="shared" si="7"/>
        <v>1753.2000000000003</v>
      </c>
      <c r="J35" s="244">
        <f t="shared" si="7"/>
        <v>1760.7600000000002</v>
      </c>
      <c r="K35" s="244">
        <f t="shared" si="7"/>
        <v>1713.62</v>
      </c>
      <c r="L35" s="244">
        <f t="shared" si="7"/>
        <v>1726.9999999999995</v>
      </c>
      <c r="M35" s="244">
        <f t="shared" si="7"/>
        <v>1721.92</v>
      </c>
      <c r="N35" s="244">
        <f t="shared" si="7"/>
        <v>1721.5199999999995</v>
      </c>
      <c r="O35" s="244">
        <f t="shared" si="7"/>
        <v>1722.5200000000004</v>
      </c>
      <c r="P35" s="244">
        <f t="shared" si="7"/>
        <v>1696.0199999999995</v>
      </c>
      <c r="Q35" s="243"/>
      <c r="R35" s="243"/>
      <c r="S35" s="243"/>
      <c r="T35" s="243"/>
      <c r="U35" s="245"/>
      <c r="V35" s="246"/>
      <c r="W35" s="258"/>
      <c r="X35" s="239"/>
      <c r="Z35" s="240"/>
      <c r="AA35" s="240"/>
      <c r="AB35" s="241"/>
      <c r="AC35" s="241"/>
      <c r="AD35" s="242"/>
      <c r="AE35" s="242"/>
    </row>
    <row r="36" spans="1:31">
      <c r="A36" s="248">
        <v>43102</v>
      </c>
      <c r="B36" s="249" t="s">
        <v>76</v>
      </c>
      <c r="C36" s="250" t="s">
        <v>77</v>
      </c>
      <c r="D36" s="123">
        <v>2797.81</v>
      </c>
      <c r="E36" s="123">
        <v>2761.78</v>
      </c>
      <c r="F36" s="123">
        <v>2742</v>
      </c>
      <c r="G36" s="123">
        <v>2736.93</v>
      </c>
      <c r="H36" s="123">
        <v>2753.26</v>
      </c>
      <c r="I36" s="123">
        <v>2791.12</v>
      </c>
      <c r="J36" s="123">
        <v>2854.59</v>
      </c>
      <c r="K36" s="123">
        <v>2848.01</v>
      </c>
      <c r="L36" s="123">
        <v>2790.57</v>
      </c>
      <c r="M36" s="123">
        <v>2753.17</v>
      </c>
      <c r="N36" s="123">
        <v>2742.98</v>
      </c>
      <c r="O36" s="123">
        <v>2766.58</v>
      </c>
      <c r="P36" s="123">
        <v>2808.02</v>
      </c>
      <c r="Q36" s="250">
        <f>IF((P37=""),"",MAX(D38:P38))</f>
        <v>1912.2599999999998</v>
      </c>
      <c r="R36" s="250">
        <f>IF(P37="","",MIN(D38:P38))</f>
        <v>1761.38</v>
      </c>
      <c r="S36" s="250">
        <f>IF((P38=""),"",AVERAGE(D38:P38))</f>
        <v>1854.2046153846156</v>
      </c>
      <c r="T36" s="250">
        <f>IF((P37=""),"",STDEV(D38:P38))</f>
        <v>41.494186865026549</v>
      </c>
      <c r="U36" s="251">
        <f>IF((P37=""),"",((Q36-R36)/(Q36+R36))*100)</f>
        <v>4.107098136997628</v>
      </c>
      <c r="V36" s="228" t="str">
        <f>IF(P37="","",IF(U36&lt;7.2,IF(S36&gt;AB36,IF(S36&lt;AC36,"Pass","Fail"),"Fail"),"Fail"))</f>
        <v>Pass</v>
      </c>
      <c r="W36" s="253">
        <v>1335</v>
      </c>
      <c r="X36" s="230"/>
      <c r="Z36" s="240">
        <v>1600</v>
      </c>
      <c r="AA36" s="240">
        <v>2600</v>
      </c>
      <c r="AB36" s="241">
        <v>1700</v>
      </c>
      <c r="AC36" s="241">
        <v>1950</v>
      </c>
      <c r="AD36" s="242">
        <v>10</v>
      </c>
      <c r="AE36" s="242">
        <v>7.2</v>
      </c>
    </row>
    <row r="37" spans="1:31">
      <c r="A37" s="123"/>
      <c r="B37" s="235"/>
      <c r="C37" s="235" t="s">
        <v>78</v>
      </c>
      <c r="D37" s="123">
        <v>1917.12</v>
      </c>
      <c r="E37" s="123">
        <v>1856.94</v>
      </c>
      <c r="F37" s="123">
        <v>1821.5</v>
      </c>
      <c r="G37" s="123">
        <v>1807.17</v>
      </c>
      <c r="H37" s="123">
        <v>1807.97</v>
      </c>
      <c r="I37" s="123">
        <v>1834.99</v>
      </c>
      <c r="J37" s="123">
        <v>1899.66</v>
      </c>
      <c r="K37" s="123">
        <v>1931.41</v>
      </c>
      <c r="L37" s="123">
        <v>1855.85</v>
      </c>
      <c r="M37" s="123">
        <v>1822.9</v>
      </c>
      <c r="N37" s="123">
        <v>1806.47</v>
      </c>
      <c r="O37" s="123">
        <v>1836.13</v>
      </c>
      <c r="P37" s="123">
        <v>1896.38</v>
      </c>
      <c r="Q37" s="235"/>
      <c r="R37" s="235"/>
      <c r="S37" s="235"/>
      <c r="T37" s="235"/>
      <c r="U37" s="236"/>
      <c r="V37" s="237"/>
      <c r="W37" s="238"/>
      <c r="X37" s="239"/>
      <c r="Z37" s="240"/>
      <c r="AA37" s="240"/>
      <c r="AB37" s="241"/>
      <c r="AC37" s="241"/>
      <c r="AD37" s="242"/>
      <c r="AE37" s="242"/>
    </row>
    <row r="38" spans="1:31" ht="32.25" thickBot="1">
      <c r="A38" s="123"/>
      <c r="B38" s="243"/>
      <c r="C38" s="243" t="s">
        <v>221</v>
      </c>
      <c r="D38" s="244">
        <f t="shared" ref="D38:P38" si="8">IF(((D36="")*AND(D37="")),"",(D36-D37)*2)</f>
        <v>1761.38</v>
      </c>
      <c r="E38" s="244">
        <f t="shared" si="8"/>
        <v>1809.6800000000003</v>
      </c>
      <c r="F38" s="244">
        <f t="shared" si="8"/>
        <v>1841</v>
      </c>
      <c r="G38" s="244">
        <f t="shared" si="8"/>
        <v>1859.5199999999995</v>
      </c>
      <c r="H38" s="244">
        <f t="shared" si="8"/>
        <v>1890.5800000000004</v>
      </c>
      <c r="I38" s="244">
        <f t="shared" si="8"/>
        <v>1912.2599999999998</v>
      </c>
      <c r="J38" s="244">
        <f t="shared" si="8"/>
        <v>1909.8600000000001</v>
      </c>
      <c r="K38" s="244">
        <f t="shared" si="8"/>
        <v>1833.2000000000003</v>
      </c>
      <c r="L38" s="244">
        <f t="shared" si="8"/>
        <v>1869.4400000000005</v>
      </c>
      <c r="M38" s="244">
        <f t="shared" si="8"/>
        <v>1860.54</v>
      </c>
      <c r="N38" s="244">
        <f t="shared" si="8"/>
        <v>1873.02</v>
      </c>
      <c r="O38" s="244">
        <f t="shared" si="8"/>
        <v>1860.8999999999996</v>
      </c>
      <c r="P38" s="244">
        <f t="shared" si="8"/>
        <v>1823.2799999999997</v>
      </c>
      <c r="Q38" s="243"/>
      <c r="R38" s="243"/>
      <c r="S38" s="243"/>
      <c r="T38" s="243"/>
      <c r="U38" s="245"/>
      <c r="V38" s="246"/>
      <c r="W38" s="247"/>
      <c r="X38" s="239"/>
      <c r="Z38" s="240"/>
      <c r="AA38" s="240"/>
      <c r="AB38" s="241"/>
      <c r="AC38" s="241"/>
      <c r="AD38" s="242"/>
      <c r="AE38" s="242"/>
    </row>
    <row r="39" spans="1:31">
      <c r="A39" s="248">
        <v>43137</v>
      </c>
      <c r="B39" s="249" t="s">
        <v>76</v>
      </c>
      <c r="C39" s="250" t="s">
        <v>77</v>
      </c>
      <c r="D39" s="123">
        <v>2801.4</v>
      </c>
      <c r="E39" s="123">
        <v>2763.07</v>
      </c>
      <c r="F39" s="123">
        <v>2746.7</v>
      </c>
      <c r="G39" s="123">
        <v>2745.26</v>
      </c>
      <c r="H39" s="123">
        <v>2757.36</v>
      </c>
      <c r="I39" s="123">
        <v>2795.17</v>
      </c>
      <c r="J39" s="123">
        <v>2860.04</v>
      </c>
      <c r="K39" s="123">
        <v>2851.3</v>
      </c>
      <c r="L39" s="123">
        <v>2791.4</v>
      </c>
      <c r="M39" s="123">
        <v>2754.99</v>
      </c>
      <c r="N39" s="123">
        <v>2748.24</v>
      </c>
      <c r="O39" s="123">
        <v>2772.19</v>
      </c>
      <c r="P39" s="123">
        <v>2808.04</v>
      </c>
      <c r="Q39" s="250">
        <f>IF((P40=""),"",MAX(D41:P41))</f>
        <v>1922.3199999999997</v>
      </c>
      <c r="R39" s="250">
        <f>IF(P40="","",MIN(D41:P41))</f>
        <v>1769.92</v>
      </c>
      <c r="S39" s="250">
        <f>IF((P41=""),"",AVERAGE(D41:P41))</f>
        <v>1861.3215384615387</v>
      </c>
      <c r="T39" s="250">
        <f>IF((P40=""),"",STDEV(D41:P41))</f>
        <v>42.533047905159108</v>
      </c>
      <c r="U39" s="251">
        <f>IF((P40=""),"",((Q39-R39)/(Q39+R39))*100)</f>
        <v>4.1275756722206483</v>
      </c>
      <c r="V39" s="228" t="str">
        <f>IF(P40="","",IF(U39&lt;7.2,IF(S39&gt;AB39,IF(S39&lt;AC39,"Pass","Fail"),"Fail"),"Fail"))</f>
        <v>Pass</v>
      </c>
      <c r="W39" s="253">
        <v>1519</v>
      </c>
      <c r="X39" s="230"/>
      <c r="Z39" s="240">
        <v>1600</v>
      </c>
      <c r="AA39" s="240">
        <v>2600</v>
      </c>
      <c r="AB39" s="241">
        <v>1700</v>
      </c>
      <c r="AC39" s="241">
        <v>1950</v>
      </c>
      <c r="AD39" s="242">
        <v>10</v>
      </c>
      <c r="AE39" s="242">
        <v>7.2</v>
      </c>
    </row>
    <row r="40" spans="1:31">
      <c r="A40" s="123"/>
      <c r="B40" s="235"/>
      <c r="C40" s="235" t="s">
        <v>78</v>
      </c>
      <c r="D40" s="123">
        <v>1916.44</v>
      </c>
      <c r="E40" s="123">
        <v>1857.45</v>
      </c>
      <c r="F40" s="123">
        <v>1821.23</v>
      </c>
      <c r="G40" s="123">
        <v>1807.39</v>
      </c>
      <c r="H40" s="123">
        <v>1809.35</v>
      </c>
      <c r="I40" s="123">
        <v>1835.41</v>
      </c>
      <c r="J40" s="123">
        <v>1898.88</v>
      </c>
      <c r="K40" s="123">
        <v>1928.84</v>
      </c>
      <c r="L40" s="123">
        <v>1855.02</v>
      </c>
      <c r="M40" s="123">
        <v>1822.33</v>
      </c>
      <c r="N40" s="123">
        <v>1808.8</v>
      </c>
      <c r="O40" s="123">
        <v>1838.9</v>
      </c>
      <c r="P40" s="123">
        <v>1896.53</v>
      </c>
      <c r="U40" s="236"/>
      <c r="V40" s="237"/>
      <c r="W40" s="238"/>
      <c r="X40" s="239"/>
      <c r="Z40" s="240"/>
      <c r="AA40" s="240"/>
      <c r="AB40" s="241"/>
      <c r="AC40" s="241"/>
      <c r="AD40" s="242"/>
      <c r="AE40" s="242"/>
    </row>
    <row r="41" spans="1:31" ht="32.25" thickBot="1">
      <c r="A41" s="123"/>
      <c r="B41" s="243"/>
      <c r="C41" s="243" t="s">
        <v>221</v>
      </c>
      <c r="D41" s="244">
        <f t="shared" ref="D41:P41" si="9">IF(((D39="")*AND(D40="")),"",(D39-D40)*2)</f>
        <v>1769.92</v>
      </c>
      <c r="E41" s="244">
        <f t="shared" si="9"/>
        <v>1811.2400000000002</v>
      </c>
      <c r="F41" s="244">
        <f t="shared" si="9"/>
        <v>1850.9399999999996</v>
      </c>
      <c r="G41" s="244">
        <f t="shared" si="9"/>
        <v>1875.7400000000002</v>
      </c>
      <c r="H41" s="244">
        <f t="shared" si="9"/>
        <v>1896.0200000000004</v>
      </c>
      <c r="I41" s="244">
        <f t="shared" si="9"/>
        <v>1919.52</v>
      </c>
      <c r="J41" s="244">
        <f t="shared" si="9"/>
        <v>1922.3199999999997</v>
      </c>
      <c r="K41" s="244">
        <f t="shared" si="9"/>
        <v>1844.9200000000005</v>
      </c>
      <c r="L41" s="244">
        <f t="shared" si="9"/>
        <v>1872.7600000000002</v>
      </c>
      <c r="M41" s="244">
        <f t="shared" si="9"/>
        <v>1865.3199999999997</v>
      </c>
      <c r="N41" s="244">
        <f t="shared" si="9"/>
        <v>1878.8799999999997</v>
      </c>
      <c r="O41" s="244">
        <f t="shared" si="9"/>
        <v>1866.58</v>
      </c>
      <c r="P41" s="244">
        <f t="shared" si="9"/>
        <v>1823.02</v>
      </c>
      <c r="Q41" s="243"/>
      <c r="R41" s="243"/>
      <c r="S41" s="243"/>
      <c r="T41" s="243"/>
      <c r="U41" s="245"/>
      <c r="V41" s="246"/>
      <c r="W41" s="247"/>
      <c r="X41" s="239"/>
      <c r="Z41" s="240"/>
      <c r="AA41" s="240"/>
      <c r="AB41" s="241"/>
      <c r="AC41" s="241"/>
      <c r="AD41" s="242"/>
      <c r="AE41" s="242"/>
    </row>
    <row r="42" spans="1:31">
      <c r="A42" s="248">
        <v>43141</v>
      </c>
      <c r="B42" s="249" t="s">
        <v>76</v>
      </c>
      <c r="C42" s="250" t="s">
        <v>77</v>
      </c>
      <c r="D42" s="123">
        <v>2805.51</v>
      </c>
      <c r="E42" s="123">
        <v>2765.43</v>
      </c>
      <c r="F42" s="123">
        <v>2744.77</v>
      </c>
      <c r="G42" s="123">
        <v>2742.02</v>
      </c>
      <c r="H42" s="123">
        <v>2758.38</v>
      </c>
      <c r="I42" s="123">
        <v>2794.31</v>
      </c>
      <c r="J42" s="123">
        <v>2862.07</v>
      </c>
      <c r="K42" s="123">
        <v>2847.27</v>
      </c>
      <c r="L42" s="123">
        <v>2789.21</v>
      </c>
      <c r="M42" s="123">
        <v>2756.15</v>
      </c>
      <c r="N42" s="123">
        <v>2750.08</v>
      </c>
      <c r="O42" s="123">
        <v>2771.34</v>
      </c>
      <c r="P42" s="123">
        <v>2810.67</v>
      </c>
      <c r="Q42" s="250">
        <f>IF((P43=""),"",MAX(D44:P44))</f>
        <v>1630.7400000000002</v>
      </c>
      <c r="R42" s="250">
        <f>IF(P43="","",MIN(D44:P44))</f>
        <v>1596.1000000000004</v>
      </c>
      <c r="S42" s="250">
        <f>IF((P44=""),"",AVERAGE(D44:P44))</f>
        <v>1613.9353846153842</v>
      </c>
      <c r="T42" s="250">
        <f>IF((P43=""),"",STDEV(D44:P44))</f>
        <v>10.713496640052282</v>
      </c>
      <c r="U42" s="251">
        <f>IF((P43=""),"",((Q42-R42)/(Q42+R42))*100)</f>
        <v>1.0734960518649783</v>
      </c>
      <c r="V42" s="228" t="str">
        <f>IF(P43="","",IF(U42&lt;7.2,IF(S42&gt;AB42,IF(S42&lt;AC42,"Pass","Fail"),"Fail"),"Fail"))</f>
        <v>Fail</v>
      </c>
      <c r="W42" s="253">
        <v>102</v>
      </c>
      <c r="X42" s="230"/>
      <c r="Z42" s="240">
        <v>1600</v>
      </c>
      <c r="AA42" s="240">
        <v>2600</v>
      </c>
      <c r="AB42" s="241">
        <v>1700</v>
      </c>
      <c r="AC42" s="241">
        <v>1950</v>
      </c>
      <c r="AD42" s="242">
        <v>10</v>
      </c>
      <c r="AE42" s="242">
        <v>7.2</v>
      </c>
    </row>
    <row r="43" spans="1:31">
      <c r="A43" s="123"/>
      <c r="B43" s="235"/>
      <c r="C43" s="235" t="s">
        <v>78</v>
      </c>
      <c r="D43" s="123">
        <v>1996.11</v>
      </c>
      <c r="E43" s="123">
        <v>1964.53</v>
      </c>
      <c r="F43" s="123">
        <v>1945.44</v>
      </c>
      <c r="G43" s="123">
        <v>1937.84</v>
      </c>
      <c r="H43" s="123">
        <v>1948.6</v>
      </c>
      <c r="I43" s="123">
        <v>1979.97</v>
      </c>
      <c r="J43" s="123">
        <v>2051.48</v>
      </c>
      <c r="K43" s="123">
        <v>2037.79</v>
      </c>
      <c r="L43" s="123">
        <v>1973.84</v>
      </c>
      <c r="M43" s="123">
        <v>1948.62</v>
      </c>
      <c r="N43" s="123">
        <v>1944.86</v>
      </c>
      <c r="O43" s="123">
        <v>1964.93</v>
      </c>
      <c r="P43" s="123">
        <v>2012.62</v>
      </c>
      <c r="Q43" s="235"/>
      <c r="R43" s="235"/>
      <c r="S43" s="235"/>
      <c r="T43" s="235"/>
      <c r="U43" s="236"/>
      <c r="V43" s="237"/>
      <c r="W43" s="238"/>
      <c r="X43" s="239"/>
      <c r="Z43" s="240"/>
      <c r="AA43" s="240"/>
      <c r="AB43" s="241"/>
      <c r="AC43" s="241"/>
      <c r="AD43" s="242"/>
      <c r="AE43" s="242"/>
    </row>
    <row r="44" spans="1:31" ht="32.25" thickBot="1">
      <c r="A44" s="123"/>
      <c r="B44" s="243"/>
      <c r="C44" s="243" t="s">
        <v>221</v>
      </c>
      <c r="D44" s="244">
        <f t="shared" ref="D44:P44" si="10">IF(((D42="")*AND(D43="")),"",(D42-D43)*2)</f>
        <v>1618.8000000000006</v>
      </c>
      <c r="E44" s="244">
        <f t="shared" si="10"/>
        <v>1601.7999999999997</v>
      </c>
      <c r="F44" s="244">
        <f t="shared" si="10"/>
        <v>1598.6599999999999</v>
      </c>
      <c r="G44" s="244">
        <f t="shared" si="10"/>
        <v>1608.3600000000001</v>
      </c>
      <c r="H44" s="244">
        <f t="shared" si="10"/>
        <v>1619.5600000000004</v>
      </c>
      <c r="I44" s="244">
        <f t="shared" si="10"/>
        <v>1628.6799999999998</v>
      </c>
      <c r="J44" s="244">
        <f t="shared" si="10"/>
        <v>1621.1800000000003</v>
      </c>
      <c r="K44" s="244">
        <f t="shared" si="10"/>
        <v>1618.96</v>
      </c>
      <c r="L44" s="244">
        <f t="shared" si="10"/>
        <v>1630.7400000000002</v>
      </c>
      <c r="M44" s="244">
        <f t="shared" si="10"/>
        <v>1615.0600000000004</v>
      </c>
      <c r="N44" s="244">
        <f t="shared" si="10"/>
        <v>1610.44</v>
      </c>
      <c r="O44" s="244">
        <f t="shared" si="10"/>
        <v>1612.8200000000002</v>
      </c>
      <c r="P44" s="244">
        <f t="shared" si="10"/>
        <v>1596.1000000000004</v>
      </c>
      <c r="Q44" s="243"/>
      <c r="R44" s="243"/>
      <c r="S44" s="243"/>
      <c r="T44" s="243"/>
      <c r="U44" s="245"/>
      <c r="V44" s="246"/>
      <c r="W44" s="247"/>
      <c r="X44" s="239"/>
      <c r="Z44" s="240"/>
      <c r="AA44" s="240"/>
      <c r="AB44" s="241"/>
      <c r="AC44" s="241"/>
      <c r="AD44" s="242"/>
      <c r="AE44" s="242"/>
    </row>
    <row r="45" spans="1:31">
      <c r="A45" s="248">
        <v>43146</v>
      </c>
      <c r="B45" s="249" t="s">
        <v>76</v>
      </c>
      <c r="C45" s="250" t="s">
        <v>77</v>
      </c>
      <c r="D45" s="123">
        <v>2804.03</v>
      </c>
      <c r="E45" s="123">
        <v>2766.94</v>
      </c>
      <c r="F45" s="123">
        <v>2748.11</v>
      </c>
      <c r="G45" s="123">
        <v>2744.28</v>
      </c>
      <c r="H45" s="123">
        <v>2758.15</v>
      </c>
      <c r="I45" s="123">
        <v>2789.9</v>
      </c>
      <c r="J45" s="123">
        <v>2850.56</v>
      </c>
      <c r="K45" s="123">
        <v>2852.76</v>
      </c>
      <c r="L45" s="123">
        <v>2792.22</v>
      </c>
      <c r="M45" s="123">
        <v>2759.22</v>
      </c>
      <c r="N45" s="123">
        <v>2748.08</v>
      </c>
      <c r="O45" s="123">
        <v>2772</v>
      </c>
      <c r="P45" s="123">
        <v>2819.61</v>
      </c>
      <c r="Q45" s="250">
        <f>IF((P46=""),"",MAX(D47:P47))</f>
        <v>1870.7000000000003</v>
      </c>
      <c r="R45" s="250">
        <f>IF(P46="","",MIN(D47:P47))</f>
        <v>1702.9800000000005</v>
      </c>
      <c r="S45" s="250">
        <f>IF((P47=""),"",AVERAGE(D47:P47))</f>
        <v>1812.7446153846156</v>
      </c>
      <c r="T45" s="250">
        <f>IF((P46=""),"",STDEV(D47:P47))</f>
        <v>53.322760089756535</v>
      </c>
      <c r="U45" s="251">
        <f>IF((P46=""),"",((Q45-R45)/(Q45+R45))*100)</f>
        <v>4.6932014058337561</v>
      </c>
      <c r="V45" s="228" t="str">
        <f>IF(P46="","",IF(U45&lt;7.2,IF(S45&gt;AB45,IF(S45&lt;AC45,"Pass","Fail"),"Fail"),"Fail"))</f>
        <v>Pass</v>
      </c>
      <c r="W45" s="253">
        <v>1335</v>
      </c>
      <c r="X45" s="230"/>
      <c r="Z45" s="240">
        <v>1600</v>
      </c>
      <c r="AA45" s="240">
        <v>2600</v>
      </c>
      <c r="AB45" s="241">
        <v>1700</v>
      </c>
      <c r="AC45" s="241">
        <v>1950</v>
      </c>
      <c r="AD45" s="242">
        <v>10</v>
      </c>
      <c r="AE45" s="242">
        <v>7.2</v>
      </c>
    </row>
    <row r="46" spans="1:31">
      <c r="A46" s="123"/>
      <c r="B46" s="235"/>
      <c r="C46" s="235" t="s">
        <v>78</v>
      </c>
      <c r="D46" s="123">
        <v>1946.21</v>
      </c>
      <c r="E46" s="123">
        <v>1858.58</v>
      </c>
      <c r="F46" s="123">
        <v>1832.27</v>
      </c>
      <c r="G46" s="123">
        <v>1822.63</v>
      </c>
      <c r="H46" s="123">
        <v>1828.05</v>
      </c>
      <c r="I46" s="123">
        <v>1854.55</v>
      </c>
      <c r="J46" s="123">
        <v>1960.45</v>
      </c>
      <c r="K46" s="123">
        <v>1963.7</v>
      </c>
      <c r="L46" s="123">
        <v>1868.35</v>
      </c>
      <c r="M46" s="123">
        <v>1836.24</v>
      </c>
      <c r="N46" s="123">
        <v>1827.81</v>
      </c>
      <c r="O46" s="123">
        <v>1856.06</v>
      </c>
      <c r="P46" s="123">
        <v>1968.12</v>
      </c>
      <c r="Q46" s="235"/>
      <c r="R46" s="235"/>
      <c r="S46" s="235"/>
      <c r="T46" s="235"/>
      <c r="U46" s="236"/>
      <c r="V46" s="237"/>
      <c r="W46" s="238"/>
      <c r="X46" s="239"/>
      <c r="Z46" s="240"/>
      <c r="AA46" s="240"/>
      <c r="AB46" s="241"/>
      <c r="AC46" s="241"/>
      <c r="AD46" s="242"/>
      <c r="AE46" s="242"/>
    </row>
    <row r="47" spans="1:31" ht="32.25" thickBot="1">
      <c r="A47" s="123"/>
      <c r="B47" s="243"/>
      <c r="C47" s="243" t="s">
        <v>221</v>
      </c>
      <c r="D47" s="244">
        <f t="shared" ref="D47:P47" si="11">IF(((D45="")*AND(D46="")),"",(D45-D46)*2)</f>
        <v>1715.6400000000003</v>
      </c>
      <c r="E47" s="244">
        <f t="shared" si="11"/>
        <v>1816.7200000000003</v>
      </c>
      <c r="F47" s="244">
        <f t="shared" si="11"/>
        <v>1831.6800000000003</v>
      </c>
      <c r="G47" s="244">
        <f t="shared" si="11"/>
        <v>1843.3000000000002</v>
      </c>
      <c r="H47" s="244">
        <f t="shared" si="11"/>
        <v>1860.2000000000003</v>
      </c>
      <c r="I47" s="244">
        <f t="shared" si="11"/>
        <v>1870.7000000000003</v>
      </c>
      <c r="J47" s="244">
        <f t="shared" si="11"/>
        <v>1780.2199999999998</v>
      </c>
      <c r="K47" s="244">
        <f t="shared" si="11"/>
        <v>1778.1200000000003</v>
      </c>
      <c r="L47" s="244">
        <f t="shared" si="11"/>
        <v>1847.7399999999998</v>
      </c>
      <c r="M47" s="244">
        <f t="shared" si="11"/>
        <v>1845.9599999999996</v>
      </c>
      <c r="N47" s="244">
        <f t="shared" si="11"/>
        <v>1840.54</v>
      </c>
      <c r="O47" s="244">
        <f t="shared" si="11"/>
        <v>1831.88</v>
      </c>
      <c r="P47" s="244">
        <f t="shared" si="11"/>
        <v>1702.9800000000005</v>
      </c>
      <c r="Q47" s="243"/>
      <c r="R47" s="243"/>
      <c r="S47" s="243"/>
      <c r="T47" s="243"/>
      <c r="U47" s="245"/>
      <c r="V47" s="246"/>
      <c r="W47" s="247"/>
      <c r="X47" s="239"/>
      <c r="Z47" s="240"/>
      <c r="AA47" s="240"/>
      <c r="AB47" s="241"/>
      <c r="AC47" s="241"/>
      <c r="AD47" s="242"/>
      <c r="AE47" s="242"/>
    </row>
    <row r="48" spans="1:31">
      <c r="A48" s="248">
        <v>43151</v>
      </c>
      <c r="B48" s="249" t="s">
        <v>76</v>
      </c>
      <c r="C48" s="250" t="s">
        <v>77</v>
      </c>
      <c r="D48" s="123">
        <v>2810.79</v>
      </c>
      <c r="E48" s="123">
        <v>2765.9</v>
      </c>
      <c r="F48" s="123">
        <v>2742.16</v>
      </c>
      <c r="G48" s="123">
        <v>2744.85</v>
      </c>
      <c r="H48" s="123">
        <v>2758.8</v>
      </c>
      <c r="I48" s="123">
        <v>2795.28</v>
      </c>
      <c r="J48" s="123">
        <v>2857.08</v>
      </c>
      <c r="K48" s="123">
        <v>2831.79</v>
      </c>
      <c r="L48" s="123">
        <v>2780.56</v>
      </c>
      <c r="M48" s="123">
        <v>2752.63</v>
      </c>
      <c r="N48" s="123">
        <v>2746.9</v>
      </c>
      <c r="O48" s="123">
        <v>2768.82</v>
      </c>
      <c r="P48" s="123">
        <v>2817.39</v>
      </c>
      <c r="Q48" s="250">
        <f>IF((P49=""),"",MAX(D50:P50))</f>
        <v>1806.4400000000005</v>
      </c>
      <c r="R48" s="250">
        <f>IF(P49="","",MIN(D50:P50))</f>
        <v>1646.9199999999996</v>
      </c>
      <c r="S48" s="250">
        <f>IF((P50=""),"",AVERAGE(D50:P50))</f>
        <v>1755.7753846153848</v>
      </c>
      <c r="T48" s="250">
        <f>IF((P49=""),"",STDEV(D50:P50))</f>
        <v>53.737053730082337</v>
      </c>
      <c r="U48" s="251">
        <f>IF((P49=""),"",((Q48-R48)/(Q48+R48))*100)</f>
        <v>4.6192693492714598</v>
      </c>
      <c r="V48" s="228" t="str">
        <f>IF(P49="","",IF(U48&lt;7.2,IF(S48&gt;AB48,IF(S48&lt;AC48,"Pass","Fail"),"Fail"),"Fail"))</f>
        <v>Pass</v>
      </c>
      <c r="W48" s="253">
        <v>102</v>
      </c>
      <c r="X48" s="230"/>
      <c r="Z48" s="240">
        <v>1600</v>
      </c>
      <c r="AA48" s="240">
        <v>2600</v>
      </c>
      <c r="AB48" s="241">
        <v>1700</v>
      </c>
      <c r="AC48" s="241">
        <v>1950</v>
      </c>
      <c r="AD48" s="242">
        <v>10</v>
      </c>
      <c r="AE48" s="242">
        <v>7.2</v>
      </c>
    </row>
    <row r="49" spans="1:31">
      <c r="A49" s="123"/>
      <c r="B49" s="235"/>
      <c r="C49" s="235" t="s">
        <v>78</v>
      </c>
      <c r="D49" s="123">
        <v>1976.29</v>
      </c>
      <c r="E49" s="123">
        <v>1881.73</v>
      </c>
      <c r="F49" s="123">
        <v>1854.23</v>
      </c>
      <c r="G49" s="123">
        <v>1848.7</v>
      </c>
      <c r="H49" s="123">
        <v>1857.16</v>
      </c>
      <c r="I49" s="123">
        <v>1892.06</v>
      </c>
      <c r="J49" s="123">
        <v>2006.78</v>
      </c>
      <c r="K49" s="123">
        <v>1973.57</v>
      </c>
      <c r="L49" s="123">
        <v>1884.61</v>
      </c>
      <c r="M49" s="123">
        <v>1857.43</v>
      </c>
      <c r="N49" s="123">
        <v>1852.4</v>
      </c>
      <c r="O49" s="123">
        <v>1881.52</v>
      </c>
      <c r="P49" s="123">
        <v>1993.93</v>
      </c>
      <c r="Q49" s="235"/>
      <c r="R49" s="235"/>
      <c r="S49" s="235"/>
      <c r="T49" s="235"/>
      <c r="U49" s="236"/>
      <c r="V49" s="237"/>
      <c r="W49" s="238"/>
      <c r="X49" s="239"/>
      <c r="Z49" s="240"/>
      <c r="AA49" s="240"/>
      <c r="AB49" s="241"/>
      <c r="AC49" s="241"/>
      <c r="AD49" s="242"/>
      <c r="AE49" s="242"/>
    </row>
    <row r="50" spans="1:31" ht="32.25" thickBot="1">
      <c r="A50" s="123"/>
      <c r="B50" s="243"/>
      <c r="C50" s="243" t="s">
        <v>221</v>
      </c>
      <c r="D50" s="244">
        <f t="shared" ref="D50:P50" si="12">IF(((D48="")*AND(D49="")),"",(D48-D49)*2)</f>
        <v>1669</v>
      </c>
      <c r="E50" s="244">
        <f t="shared" si="12"/>
        <v>1768.3400000000001</v>
      </c>
      <c r="F50" s="244">
        <f t="shared" si="12"/>
        <v>1775.8599999999997</v>
      </c>
      <c r="G50" s="244">
        <f t="shared" si="12"/>
        <v>1792.2999999999997</v>
      </c>
      <c r="H50" s="244">
        <f t="shared" si="12"/>
        <v>1803.2800000000002</v>
      </c>
      <c r="I50" s="244">
        <f t="shared" si="12"/>
        <v>1806.4400000000005</v>
      </c>
      <c r="J50" s="244">
        <f t="shared" si="12"/>
        <v>1700.6</v>
      </c>
      <c r="K50" s="244">
        <f t="shared" si="12"/>
        <v>1716.44</v>
      </c>
      <c r="L50" s="244">
        <f t="shared" si="12"/>
        <v>1791.9</v>
      </c>
      <c r="M50" s="244">
        <f t="shared" si="12"/>
        <v>1790.4</v>
      </c>
      <c r="N50" s="244">
        <f t="shared" si="12"/>
        <v>1789</v>
      </c>
      <c r="O50" s="244">
        <f t="shared" si="12"/>
        <v>1774.6000000000004</v>
      </c>
      <c r="P50" s="244">
        <f t="shared" si="12"/>
        <v>1646.9199999999996</v>
      </c>
      <c r="Q50" s="243"/>
      <c r="R50" s="243"/>
      <c r="S50" s="243"/>
      <c r="T50" s="243"/>
      <c r="U50" s="245"/>
      <c r="V50" s="246"/>
      <c r="W50" s="247"/>
      <c r="X50" s="239"/>
      <c r="Z50" s="240"/>
      <c r="AA50" s="240"/>
      <c r="AB50" s="241"/>
      <c r="AC50" s="241"/>
      <c r="AD50" s="242"/>
      <c r="AE50" s="242"/>
    </row>
    <row r="51" spans="1:31">
      <c r="A51" s="248">
        <v>43156</v>
      </c>
      <c r="B51" s="249" t="s">
        <v>76</v>
      </c>
      <c r="C51" s="250" t="s">
        <v>77</v>
      </c>
      <c r="D51" s="123">
        <v>1977.8</v>
      </c>
      <c r="E51" s="123">
        <v>1881.78</v>
      </c>
      <c r="F51" s="123">
        <v>1854.91</v>
      </c>
      <c r="G51" s="123">
        <v>1849.29</v>
      </c>
      <c r="H51" s="123">
        <v>1858.42</v>
      </c>
      <c r="I51" s="123">
        <v>1892.24</v>
      </c>
      <c r="J51" s="123">
        <v>2006.77</v>
      </c>
      <c r="K51" s="123">
        <v>1974.03</v>
      </c>
      <c r="L51" s="123">
        <v>1885.09</v>
      </c>
      <c r="M51" s="123">
        <v>1858.36</v>
      </c>
      <c r="N51" s="123">
        <v>1854.04</v>
      </c>
      <c r="O51" s="123">
        <v>1883.25</v>
      </c>
      <c r="P51" s="123">
        <v>1996.55</v>
      </c>
      <c r="Q51" s="250">
        <f>IF((P52=""),"",MAX(D53:P53))</f>
        <v>1915.22</v>
      </c>
      <c r="R51" s="250">
        <f>IF(P52="","",MIN(D53:P53))</f>
        <v>1730.42</v>
      </c>
      <c r="S51" s="250">
        <f>IF((P53=""),"",AVERAGE(D53:P53))</f>
        <v>1852.9107692307696</v>
      </c>
      <c r="T51" s="250">
        <f>IF((P52=""),"",STDEV(D53:P53))</f>
        <v>57.553774631721339</v>
      </c>
      <c r="U51" s="251">
        <f>IF((P52=""),"",((Q51-R51)/(Q51+R51))*100)</f>
        <v>5.0690688054772259</v>
      </c>
      <c r="V51" s="228" t="str">
        <f>IF(P52="","",IF(U51&lt;7.2,IF(S51&gt;AB51,IF(S51&lt;AC51,"Pass","Fail"),"Fail"),"Fail"))</f>
        <v>Pass</v>
      </c>
      <c r="W51" s="253"/>
      <c r="X51" s="230"/>
      <c r="Z51" s="240">
        <v>1600</v>
      </c>
      <c r="AA51" s="240">
        <v>2600</v>
      </c>
      <c r="AB51" s="241">
        <v>1700</v>
      </c>
      <c r="AC51" s="241">
        <v>1950</v>
      </c>
      <c r="AD51" s="242">
        <v>10</v>
      </c>
      <c r="AE51" s="242">
        <v>7.2</v>
      </c>
    </row>
    <row r="52" spans="1:31">
      <c r="A52" s="123"/>
      <c r="B52" s="235"/>
      <c r="C52" s="235" t="s">
        <v>78</v>
      </c>
      <c r="D52" s="123">
        <v>1098.3</v>
      </c>
      <c r="E52" s="123">
        <v>951.57</v>
      </c>
      <c r="F52" s="123">
        <v>918.22</v>
      </c>
      <c r="G52" s="123">
        <v>908.47</v>
      </c>
      <c r="H52" s="123">
        <v>910.38</v>
      </c>
      <c r="I52" s="123">
        <v>934.63</v>
      </c>
      <c r="J52" s="123">
        <v>1102.67</v>
      </c>
      <c r="K52" s="123">
        <v>1068.56</v>
      </c>
      <c r="L52" s="123">
        <v>936.36</v>
      </c>
      <c r="M52" s="123">
        <v>915.99</v>
      </c>
      <c r="N52" s="123">
        <v>909.23</v>
      </c>
      <c r="O52" s="123">
        <v>942.89</v>
      </c>
      <c r="P52" s="123">
        <v>1131.3399999999999</v>
      </c>
      <c r="Q52" s="235"/>
      <c r="R52" s="235"/>
      <c r="S52" s="235"/>
      <c r="T52" s="235"/>
      <c r="U52" s="236"/>
      <c r="V52" s="237"/>
      <c r="W52" s="238"/>
      <c r="X52" s="239"/>
      <c r="Z52" s="240"/>
      <c r="AA52" s="240"/>
      <c r="AB52" s="241"/>
      <c r="AC52" s="241"/>
      <c r="AD52" s="242"/>
      <c r="AE52" s="242"/>
    </row>
    <row r="53" spans="1:31" ht="32.25" thickBot="1">
      <c r="A53" s="123"/>
      <c r="B53" s="243"/>
      <c r="C53" s="243" t="s">
        <v>221</v>
      </c>
      <c r="D53" s="244">
        <f t="shared" ref="D53:P53" si="13">IF(((D51="")*AND(D52="")),"",(D51-D52)*2)</f>
        <v>1759</v>
      </c>
      <c r="E53" s="244">
        <f t="shared" si="13"/>
        <v>1860.4199999999998</v>
      </c>
      <c r="F53" s="244">
        <f t="shared" si="13"/>
        <v>1873.38</v>
      </c>
      <c r="G53" s="244">
        <f t="shared" si="13"/>
        <v>1881.6399999999999</v>
      </c>
      <c r="H53" s="244">
        <f t="shared" si="13"/>
        <v>1896.0800000000002</v>
      </c>
      <c r="I53" s="244">
        <f t="shared" si="13"/>
        <v>1915.22</v>
      </c>
      <c r="J53" s="244">
        <f t="shared" si="13"/>
        <v>1808.1999999999998</v>
      </c>
      <c r="K53" s="244">
        <f t="shared" si="13"/>
        <v>1810.94</v>
      </c>
      <c r="L53" s="244">
        <f t="shared" si="13"/>
        <v>1897.4599999999998</v>
      </c>
      <c r="M53" s="244">
        <f t="shared" si="13"/>
        <v>1884.7399999999998</v>
      </c>
      <c r="N53" s="244">
        <f t="shared" si="13"/>
        <v>1889.62</v>
      </c>
      <c r="O53" s="244">
        <f t="shared" si="13"/>
        <v>1880.72</v>
      </c>
      <c r="P53" s="244">
        <f t="shared" si="13"/>
        <v>1730.42</v>
      </c>
      <c r="Q53" s="243"/>
      <c r="R53" s="243"/>
      <c r="S53" s="243"/>
      <c r="T53" s="243"/>
      <c r="U53" s="245"/>
      <c r="V53" s="246"/>
      <c r="W53" s="247"/>
      <c r="X53" s="239"/>
      <c r="Z53" s="240"/>
      <c r="AA53" s="240"/>
      <c r="AB53" s="241"/>
      <c r="AC53" s="241"/>
      <c r="AD53" s="242"/>
      <c r="AE53" s="242"/>
    </row>
    <row r="54" spans="1:31" ht="21" customHeight="1">
      <c r="A54" s="248">
        <v>43178</v>
      </c>
      <c r="B54" s="249" t="s">
        <v>76</v>
      </c>
      <c r="C54" s="250" t="s">
        <v>77</v>
      </c>
      <c r="D54" s="123">
        <v>2086</v>
      </c>
      <c r="E54" s="123">
        <v>2071</v>
      </c>
      <c r="F54" s="123">
        <v>2079</v>
      </c>
      <c r="G54" s="123">
        <v>2082</v>
      </c>
      <c r="H54" s="123">
        <v>2081</v>
      </c>
      <c r="I54" s="123">
        <v>2073</v>
      </c>
      <c r="J54" s="123">
        <v>2083</v>
      </c>
      <c r="K54" s="123">
        <v>2092</v>
      </c>
      <c r="L54" s="123">
        <v>2068</v>
      </c>
      <c r="M54" s="123">
        <v>2075</v>
      </c>
      <c r="N54" s="123">
        <v>2090</v>
      </c>
      <c r="O54" s="123">
        <v>2096</v>
      </c>
      <c r="P54" s="123">
        <v>2127</v>
      </c>
      <c r="Q54" s="250">
        <f>IF((P55=""),"",MAX(D56:P56))</f>
        <v>1958</v>
      </c>
      <c r="R54" s="250">
        <f>IF(P55="","",MIN(D56:P56))</f>
        <v>1786</v>
      </c>
      <c r="S54" s="250">
        <f>IF((P56=""),"",AVERAGE(D56:P56))</f>
        <v>1895.6923076923076</v>
      </c>
      <c r="T54" s="250">
        <f>IF((P55=""),"",STDEV(D56:P56))</f>
        <v>57.375059354195322</v>
      </c>
      <c r="U54" s="251">
        <f>IF((P55=""),"",((Q54-R54)/(Q54+R54))*100)</f>
        <v>4.5940170940170946</v>
      </c>
      <c r="V54" s="228" t="str">
        <f>IF(P55="","",IF(U54&lt;7.2,IF(S54&gt;AB54,IF(S54&lt;AC54,"Pass","Fail"),"Fail"),"Fail"))</f>
        <v>Pass</v>
      </c>
      <c r="W54" s="253">
        <v>121</v>
      </c>
      <c r="X54" s="230"/>
      <c r="Y54" s="231" t="s">
        <v>84</v>
      </c>
      <c r="Z54" s="240">
        <v>1600</v>
      </c>
      <c r="AA54" s="240">
        <v>2600</v>
      </c>
      <c r="AB54" s="241">
        <v>1700</v>
      </c>
      <c r="AC54" s="241">
        <v>2100</v>
      </c>
      <c r="AD54" s="242">
        <v>10</v>
      </c>
      <c r="AE54" s="242">
        <v>7.2</v>
      </c>
    </row>
    <row r="55" spans="1:31">
      <c r="A55" s="123"/>
      <c r="B55" s="235"/>
      <c r="C55" s="235" t="s">
        <v>78</v>
      </c>
      <c r="D55" s="123">
        <v>1193</v>
      </c>
      <c r="E55" s="123">
        <v>1119</v>
      </c>
      <c r="F55" s="123">
        <v>1120</v>
      </c>
      <c r="G55" s="123">
        <v>1118</v>
      </c>
      <c r="H55" s="123">
        <v>1107</v>
      </c>
      <c r="I55" s="123">
        <v>1094</v>
      </c>
      <c r="J55" s="123">
        <v>1150</v>
      </c>
      <c r="K55" s="123">
        <v>1174</v>
      </c>
      <c r="L55" s="123">
        <v>1097</v>
      </c>
      <c r="M55" s="123">
        <v>1108</v>
      </c>
      <c r="N55" s="123">
        <v>1129</v>
      </c>
      <c r="O55" s="123">
        <v>1142</v>
      </c>
      <c r="P55" s="123">
        <v>1230</v>
      </c>
      <c r="Q55" s="235"/>
      <c r="R55" s="235"/>
      <c r="S55" s="235"/>
      <c r="T55" s="235"/>
      <c r="U55" s="236"/>
      <c r="V55" s="237"/>
      <c r="W55" s="256"/>
      <c r="X55" s="239"/>
      <c r="Z55" s="240"/>
      <c r="AA55" s="240"/>
      <c r="AB55" s="241"/>
      <c r="AC55" s="241"/>
      <c r="AD55" s="242"/>
      <c r="AE55" s="242"/>
    </row>
    <row r="56" spans="1:31" ht="32.25" thickBot="1">
      <c r="A56" s="123"/>
      <c r="B56" s="243"/>
      <c r="C56" s="243" t="s">
        <v>221</v>
      </c>
      <c r="D56" s="244">
        <f t="shared" ref="D56:P56" si="14">IF(((D54="")*AND(D55="")),"",(D54-D55)*2)</f>
        <v>1786</v>
      </c>
      <c r="E56" s="244">
        <f t="shared" si="14"/>
        <v>1904</v>
      </c>
      <c r="F56" s="244">
        <f t="shared" si="14"/>
        <v>1918</v>
      </c>
      <c r="G56" s="244">
        <f t="shared" si="14"/>
        <v>1928</v>
      </c>
      <c r="H56" s="244">
        <f t="shared" si="14"/>
        <v>1948</v>
      </c>
      <c r="I56" s="244">
        <f t="shared" si="14"/>
        <v>1958</v>
      </c>
      <c r="J56" s="244">
        <f t="shared" si="14"/>
        <v>1866</v>
      </c>
      <c r="K56" s="244">
        <f t="shared" si="14"/>
        <v>1836</v>
      </c>
      <c r="L56" s="244">
        <f t="shared" si="14"/>
        <v>1942</v>
      </c>
      <c r="M56" s="244">
        <f t="shared" si="14"/>
        <v>1934</v>
      </c>
      <c r="N56" s="244">
        <f t="shared" si="14"/>
        <v>1922</v>
      </c>
      <c r="O56" s="244">
        <f t="shared" si="14"/>
        <v>1908</v>
      </c>
      <c r="P56" s="244">
        <f t="shared" si="14"/>
        <v>1794</v>
      </c>
      <c r="Q56" s="243"/>
      <c r="R56" s="243"/>
      <c r="S56" s="243"/>
      <c r="T56" s="243"/>
      <c r="U56" s="245"/>
      <c r="V56" s="246"/>
      <c r="W56" s="258"/>
      <c r="X56" s="239"/>
      <c r="Z56" s="240"/>
      <c r="AA56" s="240"/>
      <c r="AB56" s="241"/>
      <c r="AC56" s="241"/>
      <c r="AD56" s="242"/>
      <c r="AE56" s="242"/>
    </row>
    <row r="57" spans="1:31" ht="19.5" customHeight="1" thickBot="1">
      <c r="A57" s="248">
        <v>43182</v>
      </c>
      <c r="B57" s="249" t="s">
        <v>76</v>
      </c>
      <c r="C57" s="250" t="s">
        <v>77</v>
      </c>
      <c r="D57" s="123">
        <v>1694.27</v>
      </c>
      <c r="E57" s="123">
        <v>1663.64</v>
      </c>
      <c r="F57" s="123">
        <v>1657.77</v>
      </c>
      <c r="G57" s="123">
        <v>1666.09</v>
      </c>
      <c r="H57" s="123">
        <v>1683.18</v>
      </c>
      <c r="I57" s="123">
        <v>1719.33</v>
      </c>
      <c r="J57" s="123">
        <v>1785.09</v>
      </c>
      <c r="K57" s="123">
        <v>1795.09</v>
      </c>
      <c r="L57" s="123">
        <v>1717.49</v>
      </c>
      <c r="M57" s="123">
        <v>1681.09</v>
      </c>
      <c r="N57" s="123">
        <v>1661.66</v>
      </c>
      <c r="O57" s="123">
        <v>1682.56</v>
      </c>
      <c r="P57" s="123">
        <v>1736.6</v>
      </c>
      <c r="Q57" s="250">
        <f>IF((P58=""),"",MAX(D59:P59))</f>
        <v>2100.7799999999997</v>
      </c>
      <c r="R57" s="250">
        <f>IF(P58="","",MIN(D59:P59))</f>
        <v>1889.8799999999999</v>
      </c>
      <c r="S57" s="250">
        <f>IF((P59=""),"",AVERAGE(D59:P59))</f>
        <v>2028.0369230769227</v>
      </c>
      <c r="T57" s="250">
        <f>IF((P58=""),"",STDEV(D59:P59))</f>
        <v>69.199323622009473</v>
      </c>
      <c r="U57" s="251">
        <f>IF((P58=""),"",((Q57-R57)/(Q57+R57))*100)</f>
        <v>5.2848401016373199</v>
      </c>
      <c r="V57" s="228" t="str">
        <f>IF(P58="","",IF(U57&lt;7.2,IF(S57&gt;AB57,IF(S57&lt;AC57,"Pass","Fail"),"Fail"),"Fail"))</f>
        <v>Pass</v>
      </c>
      <c r="W57" s="253">
        <v>1159</v>
      </c>
      <c r="X57" s="230" t="s">
        <v>107</v>
      </c>
      <c r="Y57" s="259" t="s">
        <v>143</v>
      </c>
      <c r="Z57" s="240">
        <v>1600</v>
      </c>
      <c r="AA57" s="240">
        <v>2600</v>
      </c>
      <c r="AB57" s="241">
        <v>1700</v>
      </c>
      <c r="AC57" s="241">
        <v>2100</v>
      </c>
      <c r="AD57" s="242">
        <v>10</v>
      </c>
      <c r="AE57" s="242">
        <v>7.2</v>
      </c>
    </row>
    <row r="58" spans="1:31" ht="16.5" thickBot="1">
      <c r="A58" s="123"/>
      <c r="B58" s="235"/>
      <c r="C58" s="235" t="s">
        <v>78</v>
      </c>
      <c r="D58" s="123">
        <v>722.2</v>
      </c>
      <c r="E58" s="123">
        <v>645.24</v>
      </c>
      <c r="F58" s="123">
        <v>629.16</v>
      </c>
      <c r="G58" s="123">
        <v>633.46</v>
      </c>
      <c r="H58" s="123">
        <v>639.61</v>
      </c>
      <c r="I58" s="123">
        <v>668.94</v>
      </c>
      <c r="J58" s="123">
        <v>823.32</v>
      </c>
      <c r="K58" s="123">
        <v>804.15</v>
      </c>
      <c r="L58" s="123">
        <v>677.19</v>
      </c>
      <c r="M58" s="123">
        <v>644.78</v>
      </c>
      <c r="N58" s="123">
        <v>627.19000000000005</v>
      </c>
      <c r="O58" s="123">
        <v>654.72</v>
      </c>
      <c r="P58" s="123">
        <v>791.66</v>
      </c>
      <c r="Q58" s="235"/>
      <c r="R58" s="235"/>
      <c r="S58" s="235"/>
      <c r="T58" s="235"/>
      <c r="U58" s="236"/>
      <c r="V58" s="252"/>
      <c r="W58" s="238"/>
      <c r="X58" s="239"/>
      <c r="Z58" s="240"/>
      <c r="AA58" s="240"/>
      <c r="AB58" s="241"/>
      <c r="AC58" s="241"/>
      <c r="AD58" s="242"/>
      <c r="AE58" s="242"/>
    </row>
    <row r="59" spans="1:31" ht="32.25" thickBot="1">
      <c r="A59" s="123"/>
      <c r="B59" s="243"/>
      <c r="C59" s="243" t="s">
        <v>221</v>
      </c>
      <c r="D59" s="244">
        <f t="shared" ref="D59:P59" si="15">IF(((D57="")*AND(D58="")),"",(D57-D58)*2)</f>
        <v>1944.1399999999999</v>
      </c>
      <c r="E59" s="244">
        <f t="shared" si="15"/>
        <v>2036.8000000000002</v>
      </c>
      <c r="F59" s="244">
        <f t="shared" si="15"/>
        <v>2057.2200000000003</v>
      </c>
      <c r="G59" s="244">
        <f t="shared" si="15"/>
        <v>2065.2599999999998</v>
      </c>
      <c r="H59" s="244">
        <f t="shared" si="15"/>
        <v>2087.1400000000003</v>
      </c>
      <c r="I59" s="244">
        <f t="shared" si="15"/>
        <v>2100.7799999999997</v>
      </c>
      <c r="J59" s="244">
        <f t="shared" si="15"/>
        <v>1923.5399999999997</v>
      </c>
      <c r="K59" s="244">
        <f t="shared" si="15"/>
        <v>1981.8799999999999</v>
      </c>
      <c r="L59" s="244">
        <f t="shared" si="15"/>
        <v>2080.6</v>
      </c>
      <c r="M59" s="244">
        <f t="shared" si="15"/>
        <v>2072.62</v>
      </c>
      <c r="N59" s="244">
        <f t="shared" si="15"/>
        <v>2068.94</v>
      </c>
      <c r="O59" s="244">
        <f t="shared" si="15"/>
        <v>2055.6799999999998</v>
      </c>
      <c r="P59" s="244">
        <f t="shared" si="15"/>
        <v>1889.8799999999999</v>
      </c>
      <c r="Q59" s="243"/>
      <c r="R59" s="243"/>
      <c r="S59" s="243"/>
      <c r="T59" s="243"/>
      <c r="U59" s="245"/>
      <c r="V59" s="252"/>
      <c r="W59" s="247"/>
      <c r="X59" s="239"/>
      <c r="Z59" s="240"/>
      <c r="AA59" s="240"/>
      <c r="AB59" s="241"/>
      <c r="AC59" s="241"/>
      <c r="AD59" s="242"/>
      <c r="AE59" s="242"/>
    </row>
    <row r="60" spans="1:31" ht="16.5" thickBot="1">
      <c r="A60" s="248">
        <v>43199</v>
      </c>
      <c r="B60" s="249" t="s">
        <v>76</v>
      </c>
      <c r="C60" s="250" t="s">
        <v>77</v>
      </c>
      <c r="D60" s="123">
        <v>2848.83</v>
      </c>
      <c r="E60" s="123">
        <v>2795.94</v>
      </c>
      <c r="F60" s="123">
        <v>2770.6</v>
      </c>
      <c r="G60" s="123">
        <v>2768</v>
      </c>
      <c r="H60" s="123">
        <v>2786.83</v>
      </c>
      <c r="I60" s="123">
        <v>2829.43</v>
      </c>
      <c r="J60" s="123">
        <v>2898.66</v>
      </c>
      <c r="K60" s="123">
        <v>2853.14</v>
      </c>
      <c r="L60" s="123">
        <v>2803.42</v>
      </c>
      <c r="M60" s="123">
        <v>2777.19</v>
      </c>
      <c r="N60" s="123">
        <v>2775.68</v>
      </c>
      <c r="O60" s="123">
        <v>2801.03</v>
      </c>
      <c r="P60" s="123">
        <v>2857</v>
      </c>
      <c r="Q60" s="250">
        <f>IF((P61=""),"",MAX(D62:P62))</f>
        <v>1921.9199999999996</v>
      </c>
      <c r="R60" s="250">
        <f>IF(P61="","",MIN(D62:P62))</f>
        <v>1750.04</v>
      </c>
      <c r="S60" s="250">
        <f>IF((P62=""),"",AVERAGE(D62:P62))</f>
        <v>1868.4461538461535</v>
      </c>
      <c r="T60" s="250">
        <f>IF((P61=""),"",STDEV(D62:P62))</f>
        <v>57.095189163720562</v>
      </c>
      <c r="U60" s="251">
        <f>IF((P61=""),"",((Q60-R60)/(Q60+R60))*100)</f>
        <v>4.6808788766762071</v>
      </c>
      <c r="V60" s="228" t="str">
        <f>IF(P61="","",IF(U60&lt;7.2,IF(S60&gt;AB60,IF(S60&lt;AC60,"Pass","Fail"),"Fail"),"Fail"))</f>
        <v>Pass</v>
      </c>
      <c r="W60" s="253">
        <v>1159</v>
      </c>
      <c r="X60" s="230"/>
      <c r="Z60" s="240">
        <v>1600</v>
      </c>
      <c r="AA60" s="240">
        <v>2600</v>
      </c>
      <c r="AB60" s="241">
        <v>1700</v>
      </c>
      <c r="AC60" s="241">
        <v>2100</v>
      </c>
      <c r="AD60" s="242">
        <v>10</v>
      </c>
      <c r="AE60" s="242">
        <v>7.2</v>
      </c>
    </row>
    <row r="61" spans="1:31" ht="16.5" thickBot="1">
      <c r="A61" s="123"/>
      <c r="B61" s="235"/>
      <c r="C61" s="235" t="s">
        <v>78</v>
      </c>
      <c r="D61" s="123">
        <v>1960.15</v>
      </c>
      <c r="E61" s="123">
        <v>1853.09</v>
      </c>
      <c r="F61" s="123">
        <v>1823.07</v>
      </c>
      <c r="G61" s="123">
        <v>1816.36</v>
      </c>
      <c r="H61" s="123">
        <v>1827.88</v>
      </c>
      <c r="I61" s="123">
        <v>1868.47</v>
      </c>
      <c r="J61" s="123">
        <v>1993.5</v>
      </c>
      <c r="K61" s="123">
        <v>1939.2</v>
      </c>
      <c r="L61" s="123">
        <v>1850.84</v>
      </c>
      <c r="M61" s="123">
        <v>1823.47</v>
      </c>
      <c r="N61" s="123">
        <v>1825.36</v>
      </c>
      <c r="O61" s="123">
        <v>1857.48</v>
      </c>
      <c r="P61" s="123">
        <v>1981.98</v>
      </c>
      <c r="Q61" s="235"/>
      <c r="R61" s="235"/>
      <c r="S61" s="235"/>
      <c r="T61" s="235"/>
      <c r="U61" s="236"/>
      <c r="V61" s="252"/>
      <c r="W61" s="238"/>
      <c r="X61" s="239"/>
      <c r="Z61" s="240"/>
      <c r="AA61" s="240"/>
      <c r="AB61" s="241"/>
      <c r="AC61" s="241"/>
      <c r="AD61" s="242"/>
      <c r="AE61" s="242"/>
    </row>
    <row r="62" spans="1:31" ht="32.25" thickBot="1">
      <c r="A62" s="123"/>
      <c r="B62" s="243"/>
      <c r="C62" s="243" t="s">
        <v>221</v>
      </c>
      <c r="D62" s="244">
        <f t="shared" ref="D62:P62" si="16">IF(((D60="")*AND(D61="")),"",(D60-D61)*2)</f>
        <v>1777.3599999999997</v>
      </c>
      <c r="E62" s="244">
        <f t="shared" si="16"/>
        <v>1885.7000000000003</v>
      </c>
      <c r="F62" s="244">
        <f t="shared" si="16"/>
        <v>1895.06</v>
      </c>
      <c r="G62" s="244">
        <f t="shared" si="16"/>
        <v>1903.2800000000002</v>
      </c>
      <c r="H62" s="244">
        <f t="shared" si="16"/>
        <v>1917.8999999999996</v>
      </c>
      <c r="I62" s="244">
        <f t="shared" si="16"/>
        <v>1921.9199999999996</v>
      </c>
      <c r="J62" s="244">
        <f t="shared" si="16"/>
        <v>1810.3199999999997</v>
      </c>
      <c r="K62" s="244">
        <f t="shared" si="16"/>
        <v>1827.8799999999997</v>
      </c>
      <c r="L62" s="244">
        <f t="shared" si="16"/>
        <v>1905.1600000000003</v>
      </c>
      <c r="M62" s="244">
        <f t="shared" si="16"/>
        <v>1907.44</v>
      </c>
      <c r="N62" s="244">
        <f t="shared" si="16"/>
        <v>1900.6399999999999</v>
      </c>
      <c r="O62" s="244">
        <f t="shared" si="16"/>
        <v>1887.1000000000004</v>
      </c>
      <c r="P62" s="244">
        <f t="shared" si="16"/>
        <v>1750.04</v>
      </c>
      <c r="Q62" s="243"/>
      <c r="R62" s="243"/>
      <c r="S62" s="243"/>
      <c r="T62" s="243"/>
      <c r="U62" s="245"/>
      <c r="V62" s="252"/>
      <c r="W62" s="247"/>
      <c r="X62" s="239"/>
      <c r="Z62" s="240"/>
      <c r="AA62" s="240"/>
      <c r="AB62" s="241"/>
      <c r="AC62" s="241"/>
      <c r="AD62" s="242"/>
      <c r="AE62" s="242"/>
    </row>
    <row r="63" spans="1:31" ht="16.5" thickBot="1">
      <c r="A63" s="248">
        <v>43203</v>
      </c>
      <c r="B63" s="249" t="s">
        <v>76</v>
      </c>
      <c r="C63" s="250" t="s">
        <v>77</v>
      </c>
      <c r="D63" s="123">
        <v>2850.67</v>
      </c>
      <c r="E63" s="123">
        <v>2795.39</v>
      </c>
      <c r="F63" s="123">
        <v>2771.85</v>
      </c>
      <c r="G63" s="123">
        <v>2769.19</v>
      </c>
      <c r="H63" s="123">
        <v>2788.03</v>
      </c>
      <c r="I63" s="123">
        <v>2829.75</v>
      </c>
      <c r="J63" s="123">
        <v>2901</v>
      </c>
      <c r="K63" s="123">
        <v>2860.82</v>
      </c>
      <c r="L63" s="123">
        <v>2806.84</v>
      </c>
      <c r="M63" s="123">
        <v>2781.85</v>
      </c>
      <c r="N63" s="123">
        <v>2776.5</v>
      </c>
      <c r="O63" s="123">
        <v>2804.22</v>
      </c>
      <c r="P63" s="123">
        <v>2856.48</v>
      </c>
      <c r="Q63" s="250">
        <f>IF((P64=""),"",MAX(D65:P65))</f>
        <v>1996.7800000000002</v>
      </c>
      <c r="R63" s="250">
        <f>IF(P64="","",MIN(D65:P65))</f>
        <v>1806.9</v>
      </c>
      <c r="S63" s="250">
        <f>IF((P65=""),"",AVERAGE(D65:P65))</f>
        <v>1934.6107692307692</v>
      </c>
      <c r="T63" s="250">
        <f>IF((P64=""),"",STDEV(D65:P65))</f>
        <v>59.856565006346393</v>
      </c>
      <c r="U63" s="251">
        <f>IF((P64=""),"",((Q63-R63)/(Q63+R63))*100)</f>
        <v>4.9920077398729674</v>
      </c>
      <c r="V63" s="228" t="str">
        <f>IF(P64="","",IF(U63&lt;7.2,IF(S63&gt;AB63,IF(S63&lt;AC63,"Pass","Fail"),"Fail"),"Fail"))</f>
        <v>Pass</v>
      </c>
      <c r="W63" s="253">
        <v>1159</v>
      </c>
      <c r="X63" s="230"/>
      <c r="Z63" s="240">
        <v>1600</v>
      </c>
      <c r="AA63" s="240">
        <v>2600</v>
      </c>
      <c r="AB63" s="241">
        <v>1700</v>
      </c>
      <c r="AC63" s="241">
        <v>2100</v>
      </c>
      <c r="AD63" s="242">
        <v>10</v>
      </c>
      <c r="AE63" s="242">
        <v>7.2</v>
      </c>
    </row>
    <row r="64" spans="1:31" ht="16.5" thickBot="1">
      <c r="A64" s="123"/>
      <c r="B64" s="235"/>
      <c r="C64" s="235" t="s">
        <v>78</v>
      </c>
      <c r="D64" s="123">
        <v>1934.28</v>
      </c>
      <c r="E64" s="123">
        <v>1825.29</v>
      </c>
      <c r="F64" s="123">
        <v>1792.56</v>
      </c>
      <c r="G64" s="123">
        <v>1785.44</v>
      </c>
      <c r="H64" s="123">
        <v>1795.65</v>
      </c>
      <c r="I64" s="123">
        <v>1831.36</v>
      </c>
      <c r="J64" s="123">
        <v>1955.73</v>
      </c>
      <c r="K64" s="123">
        <v>1912.08</v>
      </c>
      <c r="L64" s="123">
        <v>1819.6</v>
      </c>
      <c r="M64" s="123">
        <v>1792.59</v>
      </c>
      <c r="N64" s="123">
        <v>1793.75</v>
      </c>
      <c r="O64" s="123">
        <v>1826.26</v>
      </c>
      <c r="P64" s="123">
        <v>1953.03</v>
      </c>
      <c r="Q64" s="235"/>
      <c r="R64" s="235"/>
      <c r="S64" s="235"/>
      <c r="T64" s="235"/>
      <c r="U64" s="236"/>
      <c r="V64" s="252"/>
      <c r="W64" s="256"/>
      <c r="X64" s="239"/>
      <c r="Z64" s="240"/>
      <c r="AA64" s="240"/>
      <c r="AB64" s="241"/>
      <c r="AC64" s="241"/>
      <c r="AD64" s="242"/>
      <c r="AE64" s="242"/>
    </row>
    <row r="65" spans="1:31" ht="32.25" thickBot="1">
      <c r="A65" s="123"/>
      <c r="B65" s="243"/>
      <c r="C65" s="243" t="s">
        <v>221</v>
      </c>
      <c r="D65" s="244">
        <f t="shared" ref="D65:P65" si="17">IF(((D63="")*AND(D64="")),"",(D63-D64)*2)</f>
        <v>1832.7800000000002</v>
      </c>
      <c r="E65" s="244">
        <f t="shared" si="17"/>
        <v>1940.1999999999998</v>
      </c>
      <c r="F65" s="244">
        <f t="shared" si="17"/>
        <v>1958.58</v>
      </c>
      <c r="G65" s="244">
        <f t="shared" si="17"/>
        <v>1967.5</v>
      </c>
      <c r="H65" s="244">
        <f t="shared" si="17"/>
        <v>1984.7600000000002</v>
      </c>
      <c r="I65" s="244">
        <f t="shared" si="17"/>
        <v>1996.7800000000002</v>
      </c>
      <c r="J65" s="244">
        <f t="shared" si="17"/>
        <v>1890.54</v>
      </c>
      <c r="K65" s="244">
        <f t="shared" si="17"/>
        <v>1897.4800000000005</v>
      </c>
      <c r="L65" s="244">
        <f t="shared" si="17"/>
        <v>1974.4800000000005</v>
      </c>
      <c r="M65" s="244">
        <f t="shared" si="17"/>
        <v>1978.52</v>
      </c>
      <c r="N65" s="244">
        <f t="shared" si="17"/>
        <v>1965.5</v>
      </c>
      <c r="O65" s="244">
        <f t="shared" si="17"/>
        <v>1955.9199999999996</v>
      </c>
      <c r="P65" s="244">
        <f t="shared" si="17"/>
        <v>1806.9</v>
      </c>
      <c r="Q65" s="243"/>
      <c r="R65" s="243"/>
      <c r="S65" s="243"/>
      <c r="T65" s="243"/>
      <c r="U65" s="245"/>
      <c r="V65" s="252"/>
      <c r="W65" s="258"/>
      <c r="X65" s="239"/>
      <c r="Z65" s="240"/>
      <c r="AA65" s="240"/>
      <c r="AB65" s="241"/>
      <c r="AC65" s="241"/>
      <c r="AD65" s="242"/>
      <c r="AE65" s="242"/>
    </row>
    <row r="66" spans="1:31" ht="15.75" customHeight="1" thickBot="1">
      <c r="A66" s="248">
        <v>43206</v>
      </c>
      <c r="B66" s="249" t="s">
        <v>76</v>
      </c>
      <c r="C66" s="250" t="s">
        <v>77</v>
      </c>
      <c r="D66" s="123">
        <v>1822.56</v>
      </c>
      <c r="E66" s="123">
        <v>1902.75</v>
      </c>
      <c r="F66" s="123">
        <v>1927.24</v>
      </c>
      <c r="G66" s="123">
        <v>1945.8</v>
      </c>
      <c r="H66" s="123">
        <v>1936.23</v>
      </c>
      <c r="I66" s="123">
        <v>1919.78</v>
      </c>
      <c r="J66" s="123">
        <v>1852.97</v>
      </c>
      <c r="K66" s="123">
        <v>1875.21</v>
      </c>
      <c r="L66" s="123">
        <v>1922.29</v>
      </c>
      <c r="M66" s="123">
        <v>1937.33</v>
      </c>
      <c r="N66" s="123">
        <v>1929.16</v>
      </c>
      <c r="O66" s="123">
        <v>1898.57</v>
      </c>
      <c r="P66" s="123">
        <v>1803.03</v>
      </c>
      <c r="Q66" s="250">
        <f>IF((P67=""),"",MAX(D68:P68))</f>
        <v>2311</v>
      </c>
      <c r="R66" s="250">
        <f>IF(P67="","",MIN(D68:P68))</f>
        <v>1373.1599999999999</v>
      </c>
      <c r="S66" s="250">
        <f>IF((P68=""),"",AVERAGE(D68:P68))</f>
        <v>2024.4861538461539</v>
      </c>
      <c r="T66" s="250">
        <f>IF((P67=""),"",STDEV(D68:P68))</f>
        <v>335.93839766487241</v>
      </c>
      <c r="U66" s="251">
        <f>IF((P67=""),"",((Q66-R66)/(Q66+R66))*100)</f>
        <v>25.456006253800055</v>
      </c>
      <c r="V66" s="228" t="str">
        <f>IF(P67="","",IF(U66&lt;7.2,IF(S66&gt;AB66,IF(S66&lt;AC66,"Pass","Fail"),"Fail"),"Fail"))</f>
        <v>Fail</v>
      </c>
      <c r="W66" s="253">
        <v>1335</v>
      </c>
      <c r="X66" s="230"/>
      <c r="Y66" s="231" t="s">
        <v>144</v>
      </c>
      <c r="Z66" s="240">
        <v>1600</v>
      </c>
      <c r="AA66" s="240">
        <v>2600</v>
      </c>
      <c r="AB66" s="241">
        <v>1700</v>
      </c>
      <c r="AC66" s="241">
        <v>2100</v>
      </c>
      <c r="AD66" s="242">
        <v>10</v>
      </c>
      <c r="AE66" s="242">
        <v>7.2</v>
      </c>
    </row>
    <row r="67" spans="1:31" ht="16.5" thickBot="1">
      <c r="A67" s="123"/>
      <c r="B67" s="235"/>
      <c r="C67" s="235" t="s">
        <v>78</v>
      </c>
      <c r="D67" s="123">
        <v>1053.49</v>
      </c>
      <c r="E67" s="123">
        <v>835.18</v>
      </c>
      <c r="F67" s="123">
        <v>799.04</v>
      </c>
      <c r="G67" s="123">
        <v>790.3</v>
      </c>
      <c r="H67" s="123">
        <v>789.25</v>
      </c>
      <c r="I67" s="123">
        <v>822.04</v>
      </c>
      <c r="J67" s="123">
        <v>1065.76</v>
      </c>
      <c r="K67" s="123">
        <v>996.09</v>
      </c>
      <c r="L67" s="123">
        <v>820.53</v>
      </c>
      <c r="M67" s="123">
        <v>792.66</v>
      </c>
      <c r="N67" s="123">
        <v>796.62</v>
      </c>
      <c r="O67" s="123">
        <v>836.35</v>
      </c>
      <c r="P67" s="123">
        <v>1116.45</v>
      </c>
      <c r="Q67" s="235"/>
      <c r="R67" s="235"/>
      <c r="S67" s="235"/>
      <c r="T67" s="235"/>
      <c r="U67" s="236"/>
      <c r="V67" s="252"/>
      <c r="W67" s="256"/>
      <c r="X67" s="239"/>
      <c r="Z67" s="240"/>
      <c r="AA67" s="240"/>
      <c r="AB67" s="241"/>
      <c r="AC67" s="241"/>
      <c r="AD67" s="242"/>
      <c r="AE67" s="242"/>
    </row>
    <row r="68" spans="1:31" ht="32.25" thickBot="1">
      <c r="A68" s="123"/>
      <c r="B68" s="243"/>
      <c r="C68" s="243" t="s">
        <v>221</v>
      </c>
      <c r="D68" s="244">
        <f t="shared" ref="D68:P68" si="18">IF(((D66="")*AND(D67="")),"",(D66-D67)*2)</f>
        <v>1538.1399999999999</v>
      </c>
      <c r="E68" s="244">
        <f t="shared" si="18"/>
        <v>2135.1400000000003</v>
      </c>
      <c r="F68" s="244">
        <f t="shared" si="18"/>
        <v>2256.4</v>
      </c>
      <c r="G68" s="244">
        <f t="shared" si="18"/>
        <v>2311</v>
      </c>
      <c r="H68" s="244">
        <f t="shared" si="18"/>
        <v>2293.96</v>
      </c>
      <c r="I68" s="244">
        <f t="shared" si="18"/>
        <v>2195.48</v>
      </c>
      <c r="J68" s="244">
        <f t="shared" si="18"/>
        <v>1574.42</v>
      </c>
      <c r="K68" s="244">
        <f t="shared" si="18"/>
        <v>1758.24</v>
      </c>
      <c r="L68" s="244">
        <f t="shared" si="18"/>
        <v>2203.52</v>
      </c>
      <c r="M68" s="244">
        <f t="shared" si="18"/>
        <v>2289.34</v>
      </c>
      <c r="N68" s="244">
        <f t="shared" si="18"/>
        <v>2265.08</v>
      </c>
      <c r="O68" s="244">
        <f t="shared" si="18"/>
        <v>2124.4399999999996</v>
      </c>
      <c r="P68" s="244">
        <f t="shared" si="18"/>
        <v>1373.1599999999999</v>
      </c>
      <c r="Q68" s="250"/>
      <c r="R68" s="243"/>
      <c r="S68" s="243"/>
      <c r="T68" s="243"/>
      <c r="U68" s="245"/>
      <c r="V68" s="252"/>
      <c r="W68" s="258"/>
      <c r="X68" s="239"/>
      <c r="Z68" s="240"/>
      <c r="AA68" s="240"/>
      <c r="AB68" s="241"/>
      <c r="AC68" s="241"/>
      <c r="AD68" s="242"/>
      <c r="AE68" s="242"/>
    </row>
    <row r="69" spans="1:31" ht="16.5" thickBot="1">
      <c r="A69" s="248">
        <v>43206</v>
      </c>
      <c r="B69" s="249" t="s">
        <v>76</v>
      </c>
      <c r="C69" s="250" t="s">
        <v>77</v>
      </c>
      <c r="D69" s="123">
        <v>2827.49</v>
      </c>
      <c r="E69" s="123">
        <v>2793.11</v>
      </c>
      <c r="F69" s="123">
        <v>2772.53</v>
      </c>
      <c r="G69" s="123">
        <v>2768.29</v>
      </c>
      <c r="H69" s="123">
        <v>2785.89</v>
      </c>
      <c r="I69" s="123">
        <v>2825.25</v>
      </c>
      <c r="J69" s="123">
        <v>2891.3</v>
      </c>
      <c r="K69" s="123">
        <v>2885.79</v>
      </c>
      <c r="L69" s="123">
        <v>2820.17</v>
      </c>
      <c r="M69" s="123">
        <v>2783.56</v>
      </c>
      <c r="N69" s="123">
        <v>2774.21</v>
      </c>
      <c r="O69" s="123">
        <v>2800.37</v>
      </c>
      <c r="P69" s="123">
        <v>2841.25</v>
      </c>
      <c r="Q69" s="250">
        <f>IF((P70=""),"",MAX(D71:P71))</f>
        <v>1968.2399999999998</v>
      </c>
      <c r="R69" s="250">
        <f>IF(P70="","",MIN(D71:P71))</f>
        <v>1787.3200000000002</v>
      </c>
      <c r="S69" s="250">
        <f>IF((P71=""),"",AVERAGE(D71:P71))</f>
        <v>1905.2538461538461</v>
      </c>
      <c r="T69" s="250">
        <f>IF((P70=""),"",STDEV(D71:P71))</f>
        <v>57.469295213250106</v>
      </c>
      <c r="U69" s="251">
        <f>IF((P70=""),"",((Q69-R69)/(Q69+R69))*100)</f>
        <v>4.8173907486499914</v>
      </c>
      <c r="V69" s="228" t="str">
        <f>IF(P70="","",IF(U69&lt;7.2,IF(S69&gt;AB69,IF(S69&lt;AC69,"Pass","Fail"),"Fail"),"Fail"))</f>
        <v>Pass</v>
      </c>
      <c r="W69" s="253">
        <v>121</v>
      </c>
      <c r="X69" s="230"/>
      <c r="Z69" s="240">
        <v>1600</v>
      </c>
      <c r="AA69" s="240">
        <v>2600</v>
      </c>
      <c r="AB69" s="241">
        <v>1700</v>
      </c>
      <c r="AC69" s="241">
        <v>2100</v>
      </c>
      <c r="AD69" s="242">
        <v>10</v>
      </c>
      <c r="AE69" s="242">
        <v>7.2</v>
      </c>
    </row>
    <row r="70" spans="1:31" ht="16.5" thickBot="1">
      <c r="A70" s="123"/>
      <c r="B70" s="235"/>
      <c r="C70" s="235" t="s">
        <v>78</v>
      </c>
      <c r="D70" s="123">
        <v>1922.97</v>
      </c>
      <c r="E70" s="123">
        <v>1835.44</v>
      </c>
      <c r="F70" s="123">
        <v>1807.48</v>
      </c>
      <c r="G70" s="123">
        <v>1800.98</v>
      </c>
      <c r="H70" s="123">
        <v>1807.58</v>
      </c>
      <c r="I70" s="123">
        <v>1841.13</v>
      </c>
      <c r="J70" s="123">
        <v>1964.71</v>
      </c>
      <c r="K70" s="123">
        <v>1952.01</v>
      </c>
      <c r="L70" s="123">
        <v>1847.66</v>
      </c>
      <c r="M70" s="123">
        <v>1812.96</v>
      </c>
      <c r="N70" s="123">
        <v>1806.79</v>
      </c>
      <c r="O70" s="123">
        <v>1837.76</v>
      </c>
      <c r="P70" s="123">
        <v>1947.59</v>
      </c>
      <c r="Q70" s="235"/>
      <c r="R70" s="235"/>
      <c r="S70" s="235"/>
      <c r="T70" s="235"/>
      <c r="U70" s="236"/>
      <c r="V70" s="252"/>
      <c r="W70" s="238"/>
      <c r="X70" s="239"/>
      <c r="Z70" s="240"/>
      <c r="AA70" s="240"/>
      <c r="AB70" s="241"/>
      <c r="AC70" s="241"/>
      <c r="AD70" s="242"/>
      <c r="AE70" s="242"/>
    </row>
    <row r="71" spans="1:31" ht="32.25" thickBot="1">
      <c r="A71" s="123"/>
      <c r="B71" s="243"/>
      <c r="C71" s="243" t="s">
        <v>221</v>
      </c>
      <c r="D71" s="244">
        <f t="shared" ref="D71:P71" si="19">IF(((D69="")*AND(D70="")),"",(D69-D70)*2)</f>
        <v>1809.0399999999995</v>
      </c>
      <c r="E71" s="244">
        <f t="shared" si="19"/>
        <v>1915.3400000000001</v>
      </c>
      <c r="F71" s="244">
        <f t="shared" si="19"/>
        <v>1930.1000000000004</v>
      </c>
      <c r="G71" s="244">
        <f t="shared" si="19"/>
        <v>1934.62</v>
      </c>
      <c r="H71" s="244">
        <f t="shared" si="19"/>
        <v>1956.62</v>
      </c>
      <c r="I71" s="244">
        <f t="shared" si="19"/>
        <v>1968.2399999999998</v>
      </c>
      <c r="J71" s="244">
        <f t="shared" si="19"/>
        <v>1853.1800000000003</v>
      </c>
      <c r="K71" s="244">
        <f t="shared" si="19"/>
        <v>1867.56</v>
      </c>
      <c r="L71" s="244">
        <f t="shared" si="19"/>
        <v>1945.02</v>
      </c>
      <c r="M71" s="244">
        <f t="shared" si="19"/>
        <v>1941.1999999999998</v>
      </c>
      <c r="N71" s="244">
        <f t="shared" si="19"/>
        <v>1934.8400000000001</v>
      </c>
      <c r="O71" s="244">
        <f t="shared" si="19"/>
        <v>1925.2199999999998</v>
      </c>
      <c r="P71" s="244">
        <f t="shared" si="19"/>
        <v>1787.3200000000002</v>
      </c>
      <c r="Q71" s="243"/>
      <c r="R71" s="243"/>
      <c r="S71" s="243"/>
      <c r="T71" s="243"/>
      <c r="U71" s="245"/>
      <c r="V71" s="252"/>
      <c r="W71" s="247"/>
      <c r="X71" s="239"/>
      <c r="Z71" s="240"/>
      <c r="AA71" s="240"/>
      <c r="AB71" s="241"/>
      <c r="AC71" s="241"/>
      <c r="AD71" s="242"/>
      <c r="AE71" s="242"/>
    </row>
    <row r="72" spans="1:31" ht="16.5" thickBot="1">
      <c r="A72" s="248">
        <v>43214</v>
      </c>
      <c r="B72" s="249" t="s">
        <v>76</v>
      </c>
      <c r="C72" s="250" t="s">
        <v>77</v>
      </c>
      <c r="D72" s="123">
        <v>2831.07</v>
      </c>
      <c r="E72" s="123">
        <v>2791.85</v>
      </c>
      <c r="F72" s="123">
        <v>2770.33</v>
      </c>
      <c r="G72" s="123">
        <v>2767.81</v>
      </c>
      <c r="H72" s="123">
        <v>2787.38</v>
      </c>
      <c r="I72" s="123">
        <v>2826.33</v>
      </c>
      <c r="J72" s="123">
        <v>2892.93</v>
      </c>
      <c r="K72" s="123">
        <v>2879.14</v>
      </c>
      <c r="L72" s="123">
        <v>2816.68</v>
      </c>
      <c r="M72" s="123">
        <v>2780.65</v>
      </c>
      <c r="N72" s="123">
        <v>2773.8</v>
      </c>
      <c r="O72" s="123">
        <v>2799.22</v>
      </c>
      <c r="P72" s="123">
        <v>2844.14</v>
      </c>
      <c r="Q72" s="250">
        <f>IF((P73=""),"",MAX(D74:P74))</f>
        <v>1992.0199999999995</v>
      </c>
      <c r="R72" s="250">
        <f>IF(P73="","",MIN(D74:P74))</f>
        <v>1810.7400000000002</v>
      </c>
      <c r="S72" s="250">
        <f>IF((P74=""),"",AVERAGE(D74:P74))</f>
        <v>1924.1892307692308</v>
      </c>
      <c r="T72" s="250">
        <f>IF((P73=""),"",STDEV(D74:P74))</f>
        <v>67.60740374415839</v>
      </c>
      <c r="U72" s="251">
        <f>IF((P73=""),"",((Q72-R72)/(Q72+R72))*100)</f>
        <v>4.7670639219934818</v>
      </c>
      <c r="V72" s="228" t="str">
        <f>IF(P73="","",IF(U72&lt;7.2,IF(S72&gt;AB72,IF(S72&lt;AC72,"Pass","Fail"),"Fail"),"Fail"))</f>
        <v>Pass</v>
      </c>
      <c r="W72" s="253">
        <v>74</v>
      </c>
      <c r="X72" s="230"/>
      <c r="Z72" s="240">
        <v>1600</v>
      </c>
      <c r="AA72" s="240">
        <v>2600</v>
      </c>
      <c r="AB72" s="241">
        <v>1700</v>
      </c>
      <c r="AC72" s="241">
        <v>2100</v>
      </c>
      <c r="AD72" s="242">
        <v>10</v>
      </c>
      <c r="AE72" s="242">
        <v>7.2</v>
      </c>
    </row>
    <row r="73" spans="1:31" ht="16.5" thickBot="1">
      <c r="A73" s="123"/>
      <c r="B73" s="235"/>
      <c r="C73" s="235" t="s">
        <v>78</v>
      </c>
      <c r="D73" s="123">
        <v>1902.91</v>
      </c>
      <c r="E73" s="123">
        <v>1811.64</v>
      </c>
      <c r="F73" s="123">
        <v>1780.8</v>
      </c>
      <c r="G73" s="123">
        <v>1775.33</v>
      </c>
      <c r="H73" s="123">
        <v>1882.01</v>
      </c>
      <c r="I73" s="123">
        <v>1890.16</v>
      </c>
      <c r="J73" s="123">
        <v>1942.15</v>
      </c>
      <c r="K73" s="123">
        <v>1928.64</v>
      </c>
      <c r="L73" s="123">
        <v>1820.67</v>
      </c>
      <c r="M73" s="123">
        <v>1785.96</v>
      </c>
      <c r="N73" s="123">
        <v>1782.26</v>
      </c>
      <c r="O73" s="123">
        <v>1815.91</v>
      </c>
      <c r="P73" s="123">
        <v>1935.66</v>
      </c>
      <c r="Q73" s="235"/>
      <c r="R73" s="235"/>
      <c r="S73" s="235"/>
      <c r="T73" s="235"/>
      <c r="U73" s="236"/>
      <c r="V73" s="252"/>
      <c r="W73" s="238"/>
      <c r="X73" s="239"/>
      <c r="Z73" s="240"/>
      <c r="AA73" s="240"/>
      <c r="AB73" s="241"/>
      <c r="AC73" s="241"/>
      <c r="AD73" s="242"/>
      <c r="AE73" s="242"/>
    </row>
    <row r="74" spans="1:31" ht="32.25" thickBot="1">
      <c r="A74" s="123"/>
      <c r="B74" s="243"/>
      <c r="C74" s="243" t="s">
        <v>221</v>
      </c>
      <c r="D74" s="244">
        <f t="shared" ref="D74:P74" si="20">IF(((D72="")*AND(D73="")),"",(D72-D73)*2)</f>
        <v>1856.3200000000002</v>
      </c>
      <c r="E74" s="244">
        <f t="shared" si="20"/>
        <v>1960.4199999999996</v>
      </c>
      <c r="F74" s="244">
        <f t="shared" si="20"/>
        <v>1979.06</v>
      </c>
      <c r="G74" s="244">
        <f t="shared" si="20"/>
        <v>1984.96</v>
      </c>
      <c r="H74" s="244">
        <f t="shared" si="20"/>
        <v>1810.7400000000002</v>
      </c>
      <c r="I74" s="244">
        <f t="shared" si="20"/>
        <v>1872.3399999999997</v>
      </c>
      <c r="J74" s="244">
        <f t="shared" si="20"/>
        <v>1901.5599999999995</v>
      </c>
      <c r="K74" s="244">
        <f t="shared" si="20"/>
        <v>1900.9999999999995</v>
      </c>
      <c r="L74" s="244">
        <f t="shared" si="20"/>
        <v>1992.0199999999995</v>
      </c>
      <c r="M74" s="244">
        <f t="shared" si="20"/>
        <v>1989.38</v>
      </c>
      <c r="N74" s="244">
        <f t="shared" si="20"/>
        <v>1983.0800000000004</v>
      </c>
      <c r="O74" s="244">
        <f t="shared" si="20"/>
        <v>1966.6199999999994</v>
      </c>
      <c r="P74" s="244">
        <f t="shared" si="20"/>
        <v>1816.9599999999996</v>
      </c>
      <c r="Q74" s="243"/>
      <c r="R74" s="243"/>
      <c r="S74" s="243"/>
      <c r="T74" s="243"/>
      <c r="U74" s="245"/>
      <c r="V74" s="252"/>
      <c r="W74" s="247"/>
      <c r="X74" s="239"/>
      <c r="Z74" s="240"/>
      <c r="AA74" s="240"/>
      <c r="AB74" s="241"/>
      <c r="AC74" s="241"/>
      <c r="AD74" s="242"/>
      <c r="AE74" s="242"/>
    </row>
    <row r="75" spans="1:31" ht="16.5" thickBot="1">
      <c r="A75" s="248">
        <v>43221</v>
      </c>
      <c r="B75" s="249" t="s">
        <v>76</v>
      </c>
      <c r="C75" s="250" t="s">
        <v>77</v>
      </c>
      <c r="D75" s="123">
        <v>2894.61</v>
      </c>
      <c r="E75" s="123">
        <v>2828.62</v>
      </c>
      <c r="F75" s="123">
        <v>2791.79</v>
      </c>
      <c r="G75" s="123">
        <v>2771.88</v>
      </c>
      <c r="H75" s="123">
        <v>2777.05</v>
      </c>
      <c r="I75" s="123">
        <v>2805.66</v>
      </c>
      <c r="J75" s="123">
        <v>2860.28</v>
      </c>
      <c r="K75" s="123">
        <v>2851.57</v>
      </c>
      <c r="L75" s="123">
        <v>2804.65</v>
      </c>
      <c r="M75" s="123">
        <v>2777.56</v>
      </c>
      <c r="N75" s="123">
        <v>2779.48</v>
      </c>
      <c r="O75" s="123">
        <v>2810.13</v>
      </c>
      <c r="P75" s="123">
        <v>2851.81</v>
      </c>
      <c r="Q75" s="250">
        <f>IF((P76=""),"",MAX(D77:P77))</f>
        <v>2011.3599999999997</v>
      </c>
      <c r="R75" s="250">
        <f>IF(P76="","",MIN(D77:P77))</f>
        <v>1818.98</v>
      </c>
      <c r="S75" s="250">
        <f>IF((P77=""),"",AVERAGE(D77:P77))</f>
        <v>1940.7707692307695</v>
      </c>
      <c r="T75" s="250">
        <f>IF((P76=""),"",STDEV(D77:P77))</f>
        <v>62.572369629299104</v>
      </c>
      <c r="U75" s="251">
        <f>IF((P76=""),"",((Q75-R75)/(Q75+R75))*100)</f>
        <v>5.0225306369669447</v>
      </c>
      <c r="V75" s="228" t="str">
        <f>IF(P76="","",IF(U75&lt;7.2,IF(S75&gt;AB75,IF(S75&lt;AC75,"Pass","Fail"),"Fail"),"Fail"))</f>
        <v>Pass</v>
      </c>
      <c r="W75" s="253">
        <v>74</v>
      </c>
      <c r="X75" s="230"/>
      <c r="Z75" s="240">
        <v>1600</v>
      </c>
      <c r="AA75" s="240">
        <v>2600</v>
      </c>
      <c r="AB75" s="241">
        <v>1700</v>
      </c>
      <c r="AC75" s="241">
        <v>2100</v>
      </c>
      <c r="AD75" s="242">
        <v>10</v>
      </c>
      <c r="AE75" s="242">
        <v>7.2</v>
      </c>
    </row>
    <row r="76" spans="1:31" ht="16.5" thickBot="1">
      <c r="A76" s="123"/>
      <c r="B76" s="235"/>
      <c r="C76" s="235" t="s">
        <v>78</v>
      </c>
      <c r="D76" s="123">
        <v>1977.74</v>
      </c>
      <c r="E76" s="123">
        <v>1854.95</v>
      </c>
      <c r="F76" s="123">
        <v>1806.37</v>
      </c>
      <c r="G76" s="123">
        <v>1785.16</v>
      </c>
      <c r="H76" s="123">
        <v>1777.7</v>
      </c>
      <c r="I76" s="123">
        <v>1799.98</v>
      </c>
      <c r="J76" s="123">
        <v>1917.69</v>
      </c>
      <c r="K76" s="123">
        <v>1905.7</v>
      </c>
      <c r="L76" s="123">
        <v>1811.67</v>
      </c>
      <c r="M76" s="123">
        <v>1788.99</v>
      </c>
      <c r="N76" s="123">
        <v>1793.94</v>
      </c>
      <c r="O76" s="123">
        <v>1827.87</v>
      </c>
      <c r="P76" s="123">
        <v>1942.32</v>
      </c>
      <c r="Q76" s="235"/>
      <c r="R76" s="235"/>
      <c r="S76" s="235"/>
      <c r="T76" s="235"/>
      <c r="U76" s="236"/>
      <c r="V76" s="252"/>
      <c r="W76" s="238"/>
      <c r="X76" s="239"/>
      <c r="Z76" s="240"/>
      <c r="AA76" s="240"/>
      <c r="AB76" s="241"/>
      <c r="AC76" s="241"/>
      <c r="AD76" s="242"/>
      <c r="AE76" s="242"/>
    </row>
    <row r="77" spans="1:31" ht="32.25" thickBot="1">
      <c r="A77" s="123"/>
      <c r="B77" s="243"/>
      <c r="C77" s="243" t="s">
        <v>221</v>
      </c>
      <c r="D77" s="244">
        <f t="shared" ref="D77:P77" si="21">IF(((D75="")*AND(D76="")),"",(D75-D76)*2)</f>
        <v>1833.7400000000002</v>
      </c>
      <c r="E77" s="244">
        <f t="shared" si="21"/>
        <v>1947.3399999999997</v>
      </c>
      <c r="F77" s="244">
        <f t="shared" si="21"/>
        <v>1970.8400000000001</v>
      </c>
      <c r="G77" s="244">
        <f t="shared" si="21"/>
        <v>1973.44</v>
      </c>
      <c r="H77" s="244">
        <f t="shared" si="21"/>
        <v>1998.7000000000003</v>
      </c>
      <c r="I77" s="244">
        <f t="shared" si="21"/>
        <v>2011.3599999999997</v>
      </c>
      <c r="J77" s="244">
        <f t="shared" si="21"/>
        <v>1885.1800000000003</v>
      </c>
      <c r="K77" s="244">
        <f t="shared" si="21"/>
        <v>1891.7400000000002</v>
      </c>
      <c r="L77" s="244">
        <f t="shared" si="21"/>
        <v>1985.96</v>
      </c>
      <c r="M77" s="244">
        <f t="shared" si="21"/>
        <v>1977.1399999999999</v>
      </c>
      <c r="N77" s="244">
        <f t="shared" si="21"/>
        <v>1971.08</v>
      </c>
      <c r="O77" s="244">
        <f t="shared" si="21"/>
        <v>1964.5200000000004</v>
      </c>
      <c r="P77" s="244">
        <f t="shared" si="21"/>
        <v>1818.98</v>
      </c>
      <c r="Q77" s="243"/>
      <c r="R77" s="243"/>
      <c r="S77" s="243"/>
      <c r="T77" s="243"/>
      <c r="U77" s="245"/>
      <c r="V77" s="252"/>
      <c r="W77" s="247"/>
      <c r="X77" s="239"/>
      <c r="Z77" s="240"/>
      <c r="AA77" s="240"/>
      <c r="AB77" s="241"/>
      <c r="AC77" s="241"/>
      <c r="AD77" s="242"/>
      <c r="AE77" s="242"/>
    </row>
    <row r="78" spans="1:31" ht="16.5" thickBot="1">
      <c r="A78" s="248">
        <v>43234</v>
      </c>
      <c r="B78" s="249" t="s">
        <v>76</v>
      </c>
      <c r="C78" s="250" t="s">
        <v>77</v>
      </c>
      <c r="D78" s="123">
        <v>2851.37</v>
      </c>
      <c r="E78" s="123">
        <v>2801.2</v>
      </c>
      <c r="F78" s="123">
        <v>2777.81</v>
      </c>
      <c r="G78" s="123">
        <v>2774.83</v>
      </c>
      <c r="H78" s="123">
        <v>2794.63</v>
      </c>
      <c r="I78" s="123">
        <v>2835.56</v>
      </c>
      <c r="J78" s="123">
        <v>2902.38</v>
      </c>
      <c r="K78" s="123">
        <v>2855.2</v>
      </c>
      <c r="L78" s="123">
        <v>2809.89</v>
      </c>
      <c r="M78" s="123">
        <v>2781.68</v>
      </c>
      <c r="N78" s="123">
        <v>2781.46</v>
      </c>
      <c r="O78" s="123">
        <v>2808.46</v>
      </c>
      <c r="P78" s="123">
        <v>2861.82</v>
      </c>
      <c r="Q78" s="250">
        <f>IF((P79=""),"",MAX(D80:P80))</f>
        <v>2043.08</v>
      </c>
      <c r="R78" s="250">
        <f>IF(P79="","",MIN(D80:P80))</f>
        <v>1854.4400000000005</v>
      </c>
      <c r="S78" s="250">
        <f>IF((P80=""),"",AVERAGE(D80:P80))</f>
        <v>1977.1692307692306</v>
      </c>
      <c r="T78" s="250">
        <f>IF((P79=""),"",STDEV(D80:P80))</f>
        <v>61.697980850475453</v>
      </c>
      <c r="U78" s="251">
        <f>IF((P79=""),"",((Q78-R78)/(Q78+R78))*100)</f>
        <v>4.8400008210348986</v>
      </c>
      <c r="V78" s="228" t="str">
        <f>IF(P79="","",IF(U78&lt;7.2,IF(S78&gt;AB78,IF(S78&lt;AC78,"Pass","Fail"),"Fail"),"Fail"))</f>
        <v>Pass</v>
      </c>
      <c r="W78" s="253" t="s">
        <v>85</v>
      </c>
      <c r="X78" s="260" t="s">
        <v>86</v>
      </c>
      <c r="Z78" s="240">
        <v>1600</v>
      </c>
      <c r="AA78" s="240">
        <v>2600</v>
      </c>
      <c r="AB78" s="241">
        <v>1700</v>
      </c>
      <c r="AC78" s="241">
        <v>2100</v>
      </c>
      <c r="AD78" s="242">
        <v>10</v>
      </c>
      <c r="AE78" s="242">
        <v>7.2</v>
      </c>
    </row>
    <row r="79" spans="1:31" ht="16.5" thickBot="1">
      <c r="A79" s="123"/>
      <c r="B79" s="235"/>
      <c r="C79" s="235" t="s">
        <v>78</v>
      </c>
      <c r="D79" s="123">
        <v>1915.41</v>
      </c>
      <c r="E79" s="123">
        <v>1808.65</v>
      </c>
      <c r="F79" s="123">
        <v>1774.62</v>
      </c>
      <c r="G79" s="123">
        <v>1767.94</v>
      </c>
      <c r="H79" s="123">
        <v>1777.77</v>
      </c>
      <c r="I79" s="123">
        <v>1814.02</v>
      </c>
      <c r="J79" s="123">
        <v>1939.91</v>
      </c>
      <c r="K79" s="123">
        <v>1890.91</v>
      </c>
      <c r="L79" s="123">
        <v>1800.18</v>
      </c>
      <c r="M79" s="123">
        <v>1775.42</v>
      </c>
      <c r="N79" s="123">
        <v>1775.49</v>
      </c>
      <c r="O79" s="123">
        <v>1809.77</v>
      </c>
      <c r="P79" s="123">
        <v>1934.6</v>
      </c>
      <c r="Q79" s="243"/>
      <c r="R79" s="235"/>
      <c r="S79" s="235"/>
      <c r="T79" s="235"/>
      <c r="U79" s="236"/>
      <c r="V79" s="252"/>
      <c r="W79" s="256"/>
      <c r="X79" s="239"/>
      <c r="Z79" s="240"/>
      <c r="AA79" s="240"/>
      <c r="AB79" s="241"/>
      <c r="AC79" s="241"/>
      <c r="AD79" s="242"/>
      <c r="AE79" s="242"/>
    </row>
    <row r="80" spans="1:31" ht="32.25" thickBot="1">
      <c r="A80" s="123"/>
      <c r="B80" s="243"/>
      <c r="C80" s="243" t="s">
        <v>221</v>
      </c>
      <c r="D80" s="244">
        <f t="shared" ref="D80:P80" si="22">IF(((D78="")*AND(D79="")),"",(D78-D79)*2)</f>
        <v>1871.9199999999996</v>
      </c>
      <c r="E80" s="244">
        <f t="shared" si="22"/>
        <v>1985.0999999999995</v>
      </c>
      <c r="F80" s="244">
        <f t="shared" si="22"/>
        <v>2006.38</v>
      </c>
      <c r="G80" s="244">
        <f t="shared" si="22"/>
        <v>2013.7799999999997</v>
      </c>
      <c r="H80" s="244">
        <f t="shared" si="22"/>
        <v>2033.7200000000003</v>
      </c>
      <c r="I80" s="244">
        <f t="shared" si="22"/>
        <v>2043.08</v>
      </c>
      <c r="J80" s="244">
        <f t="shared" si="22"/>
        <v>1924.94</v>
      </c>
      <c r="K80" s="244">
        <f t="shared" si="22"/>
        <v>1928.5799999999995</v>
      </c>
      <c r="L80" s="244">
        <f t="shared" si="22"/>
        <v>2019.4199999999996</v>
      </c>
      <c r="M80" s="244">
        <f t="shared" si="22"/>
        <v>2012.5199999999995</v>
      </c>
      <c r="N80" s="244">
        <f t="shared" si="22"/>
        <v>2011.94</v>
      </c>
      <c r="O80" s="244">
        <f t="shared" si="22"/>
        <v>1997.38</v>
      </c>
      <c r="P80" s="244">
        <f t="shared" si="22"/>
        <v>1854.4400000000005</v>
      </c>
      <c r="Q80" s="250"/>
      <c r="R80" s="243"/>
      <c r="S80" s="243"/>
      <c r="T80" s="243"/>
      <c r="U80" s="245"/>
      <c r="V80" s="252"/>
      <c r="W80" s="258"/>
      <c r="X80" s="239"/>
      <c r="Z80" s="240"/>
      <c r="AA80" s="240"/>
      <c r="AB80" s="241"/>
      <c r="AC80" s="241"/>
      <c r="AD80" s="242"/>
      <c r="AE80" s="242"/>
    </row>
    <row r="81" spans="1:31" ht="16.5" thickBot="1">
      <c r="A81" s="248">
        <v>43238</v>
      </c>
      <c r="B81" s="249" t="s">
        <v>76</v>
      </c>
      <c r="C81" s="250" t="s">
        <v>77</v>
      </c>
      <c r="D81" s="123">
        <v>2855.91</v>
      </c>
      <c r="E81" s="123">
        <v>2798.55</v>
      </c>
      <c r="F81" s="123">
        <v>2777.59</v>
      </c>
      <c r="G81" s="123">
        <v>2774.69</v>
      </c>
      <c r="H81" s="123">
        <v>2794.53</v>
      </c>
      <c r="I81" s="123">
        <v>2835.38</v>
      </c>
      <c r="J81" s="123">
        <v>2906.43</v>
      </c>
      <c r="K81" s="123">
        <v>2852.14</v>
      </c>
      <c r="L81" s="123">
        <v>2806.58</v>
      </c>
      <c r="M81" s="123">
        <v>2782.73</v>
      </c>
      <c r="N81" s="123">
        <v>2781.72</v>
      </c>
      <c r="O81" s="123">
        <v>2808.52</v>
      </c>
      <c r="P81" s="123">
        <v>2863.06</v>
      </c>
      <c r="Q81" s="250">
        <f>IF((P82=""),"",MAX(D83:P83))</f>
        <v>2034.6800000000003</v>
      </c>
      <c r="R81" s="250">
        <f>IF(P82="","",MIN(D83:P83))</f>
        <v>1859.1599999999999</v>
      </c>
      <c r="S81" s="250">
        <f>IF((P83=""),"",AVERAGE(D83:P83))</f>
        <v>1976.7246153846152</v>
      </c>
      <c r="T81" s="250">
        <f>IF((P82=""),"",STDEV(D83:P83))</f>
        <v>57.481531616016397</v>
      </c>
      <c r="U81" s="251">
        <f>IF((P82=""),"",((Q81-R81)/(Q81+R81))*100)</f>
        <v>4.5076325683644018</v>
      </c>
      <c r="V81" s="228" t="str">
        <f>IF(P82="","",IF(U81&lt;7.2,IF(S81&gt;AB81,IF(S81&lt;AC81,"Pass","Fail"),"Fail"),"Fail"))</f>
        <v>Pass</v>
      </c>
      <c r="W81" s="253">
        <v>64</v>
      </c>
      <c r="X81" s="230"/>
      <c r="Z81" s="240">
        <v>1600</v>
      </c>
      <c r="AA81" s="240">
        <v>2600</v>
      </c>
      <c r="AB81" s="241">
        <v>1700</v>
      </c>
      <c r="AC81" s="241">
        <v>2100</v>
      </c>
      <c r="AD81" s="242">
        <v>10</v>
      </c>
      <c r="AE81" s="242">
        <v>7.2</v>
      </c>
    </row>
    <row r="82" spans="1:31" ht="16.5" thickBot="1">
      <c r="A82" s="123"/>
      <c r="B82" s="235"/>
      <c r="C82" s="235" t="s">
        <v>78</v>
      </c>
      <c r="D82" s="123">
        <v>1907.48</v>
      </c>
      <c r="E82" s="123">
        <v>1806.74</v>
      </c>
      <c r="F82" s="123">
        <v>1774.24</v>
      </c>
      <c r="G82" s="123">
        <v>1770.38</v>
      </c>
      <c r="H82" s="123">
        <v>1780.28</v>
      </c>
      <c r="I82" s="123">
        <v>1818.04</v>
      </c>
      <c r="J82" s="123">
        <v>1952.93</v>
      </c>
      <c r="K82" s="123">
        <v>1885.94</v>
      </c>
      <c r="L82" s="123">
        <v>1798.39</v>
      </c>
      <c r="M82" s="123">
        <v>1775.43</v>
      </c>
      <c r="N82" s="123">
        <v>1776.41</v>
      </c>
      <c r="O82" s="123">
        <v>1809.38</v>
      </c>
      <c r="P82" s="123">
        <v>1933.48</v>
      </c>
      <c r="Q82" s="243"/>
      <c r="R82" s="235"/>
      <c r="S82" s="235"/>
      <c r="T82" s="235"/>
      <c r="U82" s="236"/>
      <c r="V82" s="252"/>
      <c r="W82" s="238"/>
      <c r="X82" s="239"/>
      <c r="Z82" s="240"/>
      <c r="AA82" s="240"/>
      <c r="AB82" s="241"/>
      <c r="AC82" s="241"/>
      <c r="AD82" s="242"/>
      <c r="AE82" s="242"/>
    </row>
    <row r="83" spans="1:31" ht="32.25" thickBot="1">
      <c r="A83" s="123"/>
      <c r="B83" s="243"/>
      <c r="C83" s="243" t="s">
        <v>221</v>
      </c>
      <c r="D83" s="244">
        <f t="shared" ref="D83:P83" si="23">IF(((D81="")*AND(D82="")),"",(D81-D82)*2)</f>
        <v>1896.8599999999997</v>
      </c>
      <c r="E83" s="244">
        <f t="shared" si="23"/>
        <v>1983.6200000000003</v>
      </c>
      <c r="F83" s="244">
        <f t="shared" si="23"/>
        <v>2006.7000000000003</v>
      </c>
      <c r="G83" s="244">
        <f t="shared" si="23"/>
        <v>2008.62</v>
      </c>
      <c r="H83" s="244">
        <f t="shared" si="23"/>
        <v>2028.5000000000005</v>
      </c>
      <c r="I83" s="244">
        <f t="shared" si="23"/>
        <v>2034.6800000000003</v>
      </c>
      <c r="J83" s="244">
        <f t="shared" si="23"/>
        <v>1906.9999999999995</v>
      </c>
      <c r="K83" s="244">
        <f t="shared" si="23"/>
        <v>1932.3999999999996</v>
      </c>
      <c r="L83" s="244">
        <f t="shared" si="23"/>
        <v>2016.3799999999997</v>
      </c>
      <c r="M83" s="244">
        <f t="shared" si="23"/>
        <v>2014.6</v>
      </c>
      <c r="N83" s="244">
        <f t="shared" si="23"/>
        <v>2010.6199999999994</v>
      </c>
      <c r="O83" s="244">
        <f t="shared" si="23"/>
        <v>1998.2799999999997</v>
      </c>
      <c r="P83" s="244">
        <f t="shared" si="23"/>
        <v>1859.1599999999999</v>
      </c>
      <c r="Q83" s="250"/>
      <c r="R83" s="243"/>
      <c r="S83" s="243"/>
      <c r="T83" s="243"/>
      <c r="U83" s="245"/>
      <c r="V83" s="252"/>
      <c r="W83" s="247"/>
      <c r="X83" s="239"/>
      <c r="Z83" s="240"/>
      <c r="AA83" s="240"/>
      <c r="AB83" s="241"/>
      <c r="AC83" s="241"/>
      <c r="AD83" s="242"/>
      <c r="AE83" s="242"/>
    </row>
    <row r="84" spans="1:31" ht="16.5" thickBot="1">
      <c r="A84" s="248">
        <v>43242</v>
      </c>
      <c r="B84" s="249" t="s">
        <v>76</v>
      </c>
      <c r="C84" s="250" t="s">
        <v>77</v>
      </c>
      <c r="D84" s="123">
        <v>2841</v>
      </c>
      <c r="E84" s="123">
        <v>2800.72</v>
      </c>
      <c r="F84" s="123">
        <v>2775.89</v>
      </c>
      <c r="G84" s="123">
        <v>2773.69</v>
      </c>
      <c r="H84" s="123">
        <v>2792.68</v>
      </c>
      <c r="I84" s="123">
        <v>2832.59</v>
      </c>
      <c r="J84" s="123">
        <v>2900.12</v>
      </c>
      <c r="K84" s="123">
        <v>2881.32</v>
      </c>
      <c r="L84" s="123">
        <v>2819.25</v>
      </c>
      <c r="M84" s="123">
        <v>2785.71</v>
      </c>
      <c r="N84" s="123">
        <v>2779.83</v>
      </c>
      <c r="O84" s="123">
        <v>2804.39</v>
      </c>
      <c r="P84" s="123">
        <v>2857.55</v>
      </c>
      <c r="Q84" s="250">
        <f>IF((P85=""),"",MAX(D86:P86))</f>
        <v>2035.4</v>
      </c>
      <c r="R84" s="250">
        <f>IF(P85="","",MIN(D86:P86))</f>
        <v>1861.7400000000002</v>
      </c>
      <c r="S84" s="250">
        <f>IF((P86=""),"",AVERAGE(D86:P86))</f>
        <v>1973.590769230769</v>
      </c>
      <c r="T84" s="250">
        <f>IF((P85=""),"",STDEV(D86:P86))</f>
        <v>56.305023230841755</v>
      </c>
      <c r="U84" s="251">
        <f>IF((P85=""),"",((Q84-R84)/(Q84+R84))*100)</f>
        <v>4.4560883109151801</v>
      </c>
      <c r="V84" s="228" t="str">
        <f>IF(P85="","",IF(U84&lt;7.2,IF(S84&gt;AB84,IF(S84&lt;AC84,"Pass","Fail"),"Fail"),"Fail"))</f>
        <v>Pass</v>
      </c>
      <c r="W84" s="253">
        <v>102</v>
      </c>
      <c r="X84" s="230"/>
      <c r="Z84" s="240">
        <v>1600</v>
      </c>
      <c r="AA84" s="240">
        <v>2600</v>
      </c>
      <c r="AB84" s="241">
        <v>1700</v>
      </c>
      <c r="AC84" s="241">
        <v>2100</v>
      </c>
      <c r="AD84" s="242">
        <v>10</v>
      </c>
      <c r="AE84" s="242">
        <v>7.2</v>
      </c>
    </row>
    <row r="85" spans="1:31" ht="16.5" thickBot="1">
      <c r="A85" s="123"/>
      <c r="B85" s="235"/>
      <c r="C85" s="235" t="s">
        <v>78</v>
      </c>
      <c r="D85" s="123">
        <v>1894.26</v>
      </c>
      <c r="E85" s="123">
        <v>1805.61</v>
      </c>
      <c r="F85" s="123">
        <v>1778.94</v>
      </c>
      <c r="G85" s="123">
        <v>1774.18</v>
      </c>
      <c r="H85" s="123">
        <v>1780.44</v>
      </c>
      <c r="I85" s="123">
        <v>1814.89</v>
      </c>
      <c r="J85" s="123">
        <v>1950.25</v>
      </c>
      <c r="K85" s="123">
        <v>1914.27</v>
      </c>
      <c r="L85" s="123">
        <v>1812.95</v>
      </c>
      <c r="M85" s="123">
        <v>1782.66</v>
      </c>
      <c r="N85" s="123">
        <v>1775.78</v>
      </c>
      <c r="O85" s="123">
        <v>1805.49</v>
      </c>
      <c r="P85" s="123">
        <v>1926.68</v>
      </c>
      <c r="Q85" s="243"/>
      <c r="R85" s="235"/>
      <c r="S85" s="235"/>
      <c r="T85" s="235"/>
      <c r="U85" s="236"/>
      <c r="V85" s="252"/>
      <c r="W85" s="238"/>
      <c r="X85" s="239"/>
      <c r="Z85" s="240"/>
      <c r="AA85" s="240"/>
      <c r="AB85" s="241"/>
      <c r="AC85" s="241"/>
      <c r="AD85" s="242"/>
      <c r="AE85" s="242"/>
    </row>
    <row r="86" spans="1:31" ht="32.25" thickBot="1">
      <c r="A86" s="123"/>
      <c r="B86" s="243"/>
      <c r="C86" s="243" t="s">
        <v>221</v>
      </c>
      <c r="D86" s="244">
        <f t="shared" ref="D86:P86" si="24">IF(((D84="")*AND(D85="")),"",(D84-D85)*2)</f>
        <v>1893.48</v>
      </c>
      <c r="E86" s="244">
        <f t="shared" si="24"/>
        <v>1990.2199999999998</v>
      </c>
      <c r="F86" s="244">
        <f t="shared" si="24"/>
        <v>1993.8999999999996</v>
      </c>
      <c r="G86" s="244">
        <f t="shared" si="24"/>
        <v>1999.02</v>
      </c>
      <c r="H86" s="244">
        <f t="shared" si="24"/>
        <v>2024.4799999999996</v>
      </c>
      <c r="I86" s="244">
        <f t="shared" si="24"/>
        <v>2035.4</v>
      </c>
      <c r="J86" s="244">
        <f t="shared" si="24"/>
        <v>1899.7399999999998</v>
      </c>
      <c r="K86" s="244">
        <f t="shared" si="24"/>
        <v>1934.1000000000004</v>
      </c>
      <c r="L86" s="244">
        <f t="shared" si="24"/>
        <v>2012.6</v>
      </c>
      <c r="M86" s="244">
        <f t="shared" si="24"/>
        <v>2006.1</v>
      </c>
      <c r="N86" s="244">
        <f t="shared" si="24"/>
        <v>2008.1</v>
      </c>
      <c r="O86" s="244">
        <f t="shared" si="24"/>
        <v>1997.7999999999997</v>
      </c>
      <c r="P86" s="244">
        <f t="shared" si="24"/>
        <v>1861.7400000000002</v>
      </c>
      <c r="R86" s="243"/>
      <c r="S86" s="243"/>
      <c r="T86" s="243"/>
      <c r="U86" s="245"/>
      <c r="V86" s="252"/>
      <c r="W86" s="247"/>
      <c r="X86" s="239"/>
      <c r="Z86" s="240"/>
      <c r="AA86" s="240"/>
      <c r="AB86" s="241"/>
      <c r="AC86" s="241"/>
      <c r="AD86" s="242"/>
      <c r="AE86" s="242"/>
    </row>
    <row r="87" spans="1:31" ht="16.5" thickBot="1">
      <c r="A87" s="248">
        <v>43243</v>
      </c>
      <c r="B87" s="249" t="s">
        <v>76</v>
      </c>
      <c r="C87" s="250" t="s">
        <v>77</v>
      </c>
      <c r="D87" s="123">
        <v>2859.43</v>
      </c>
      <c r="E87" s="123">
        <v>2805.48</v>
      </c>
      <c r="F87" s="123">
        <v>2781.02</v>
      </c>
      <c r="G87" s="123">
        <v>2778.58</v>
      </c>
      <c r="H87" s="123">
        <v>2798.16</v>
      </c>
      <c r="I87" s="123">
        <v>2840.8</v>
      </c>
      <c r="J87" s="123">
        <v>2910.98</v>
      </c>
      <c r="K87" s="123">
        <v>2879.24</v>
      </c>
      <c r="L87" s="123">
        <v>2821.14</v>
      </c>
      <c r="M87" s="123">
        <v>2788.78</v>
      </c>
      <c r="N87" s="123">
        <v>2784.55</v>
      </c>
      <c r="O87" s="123">
        <v>2813.1</v>
      </c>
      <c r="P87" s="123">
        <v>2872.83</v>
      </c>
      <c r="Q87" s="250">
        <f>IF((P88=""),"",MAX(D89:P89))</f>
        <v>2102.0800000000004</v>
      </c>
      <c r="R87" s="250">
        <f>IF(P88="","",MIN(D89:P89))</f>
        <v>1941.1599999999999</v>
      </c>
      <c r="S87" s="250">
        <f>IF((P89=""),"",AVERAGE(D89:P89))</f>
        <v>2051.7784615384617</v>
      </c>
      <c r="T87" s="250">
        <f>IF((P88=""),"",STDEV(D89:P89))</f>
        <v>52.286188400340549</v>
      </c>
      <c r="U87" s="251">
        <f>IF((P88=""),"",((Q87-R87)/(Q87+R87))*100)</f>
        <v>3.9799764545265806</v>
      </c>
      <c r="V87" s="228" t="str">
        <f>IF(P88="","",IF(U87&lt;7.2,IF(S87&gt;AB87,IF(S87&lt;AC87,"Pass","Fail"),"Fail"),"Fail"))</f>
        <v>Pass</v>
      </c>
      <c r="W87" s="253">
        <v>1159</v>
      </c>
      <c r="X87" s="230"/>
      <c r="Z87" s="240">
        <v>1600</v>
      </c>
      <c r="AA87" s="240">
        <v>2600</v>
      </c>
      <c r="AB87" s="241">
        <v>1700</v>
      </c>
      <c r="AC87" s="241">
        <v>2100</v>
      </c>
      <c r="AD87" s="242">
        <v>10</v>
      </c>
      <c r="AE87" s="242">
        <v>7.2</v>
      </c>
    </row>
    <row r="88" spans="1:31" ht="16.5" thickBot="1">
      <c r="A88" s="123"/>
      <c r="B88" s="235"/>
      <c r="C88" s="235" t="s">
        <v>78</v>
      </c>
      <c r="D88" s="123">
        <v>1882.82</v>
      </c>
      <c r="E88" s="123">
        <v>1775.1</v>
      </c>
      <c r="F88" s="123">
        <v>1744.36</v>
      </c>
      <c r="G88" s="123">
        <v>1741.51</v>
      </c>
      <c r="H88" s="123">
        <v>1749.38</v>
      </c>
      <c r="I88" s="123">
        <v>1789.76</v>
      </c>
      <c r="J88" s="123">
        <v>1896.89</v>
      </c>
      <c r="K88" s="123">
        <v>1868.5</v>
      </c>
      <c r="L88" s="123">
        <v>1774.88</v>
      </c>
      <c r="M88" s="123">
        <v>1747.81</v>
      </c>
      <c r="N88" s="123">
        <v>1742.77</v>
      </c>
      <c r="O88" s="123">
        <v>1781.5</v>
      </c>
      <c r="P88" s="123">
        <v>1902.25</v>
      </c>
      <c r="Q88" s="243"/>
      <c r="R88" s="235"/>
      <c r="S88" s="235"/>
      <c r="T88" s="235"/>
      <c r="U88" s="236"/>
      <c r="V88" s="252"/>
      <c r="W88" s="238"/>
      <c r="X88" s="239"/>
      <c r="Z88" s="240"/>
      <c r="AA88" s="240"/>
      <c r="AB88" s="241"/>
      <c r="AC88" s="241"/>
      <c r="AD88" s="242"/>
      <c r="AE88" s="242"/>
    </row>
    <row r="89" spans="1:31" ht="32.25" thickBot="1">
      <c r="A89" s="123"/>
      <c r="B89" s="243"/>
      <c r="C89" s="243" t="s">
        <v>221</v>
      </c>
      <c r="D89" s="244">
        <f t="shared" ref="D89:P89" si="25">IF(((D87="")*AND(D88="")),"",(D87-D88)*2)</f>
        <v>1953.2199999999998</v>
      </c>
      <c r="E89" s="244">
        <f t="shared" si="25"/>
        <v>2060.7600000000002</v>
      </c>
      <c r="F89" s="244">
        <f t="shared" si="25"/>
        <v>2073.3200000000002</v>
      </c>
      <c r="G89" s="244">
        <f t="shared" si="25"/>
        <v>2074.14</v>
      </c>
      <c r="H89" s="244">
        <f t="shared" si="25"/>
        <v>2097.5599999999995</v>
      </c>
      <c r="I89" s="244">
        <f t="shared" si="25"/>
        <v>2102.0800000000004</v>
      </c>
      <c r="J89" s="244">
        <f t="shared" si="25"/>
        <v>2028.1799999999998</v>
      </c>
      <c r="K89" s="244">
        <f t="shared" si="25"/>
        <v>2021.4799999999996</v>
      </c>
      <c r="L89" s="244">
        <f t="shared" si="25"/>
        <v>2092.5199999999995</v>
      </c>
      <c r="M89" s="244">
        <f t="shared" si="25"/>
        <v>2081.9400000000005</v>
      </c>
      <c r="N89" s="244">
        <f t="shared" si="25"/>
        <v>2083.5600000000004</v>
      </c>
      <c r="O89" s="244">
        <f t="shared" si="25"/>
        <v>2063.1999999999998</v>
      </c>
      <c r="P89" s="244">
        <f t="shared" si="25"/>
        <v>1941.1599999999999</v>
      </c>
      <c r="Q89" s="250"/>
      <c r="R89" s="243"/>
      <c r="S89" s="243"/>
      <c r="T89" s="243"/>
      <c r="U89" s="245"/>
      <c r="V89" s="252"/>
      <c r="W89" s="247"/>
      <c r="X89" s="239"/>
      <c r="Z89" s="240"/>
      <c r="AA89" s="240"/>
      <c r="AB89" s="241"/>
      <c r="AC89" s="241"/>
      <c r="AD89" s="242"/>
      <c r="AE89" s="242"/>
    </row>
    <row r="90" spans="1:31" ht="16.5" thickBot="1">
      <c r="A90" s="248">
        <v>43248</v>
      </c>
      <c r="B90" s="249" t="s">
        <v>76</v>
      </c>
      <c r="C90" s="250" t="s">
        <v>77</v>
      </c>
      <c r="D90" s="123">
        <v>2835.96</v>
      </c>
      <c r="E90" s="123">
        <v>2779.57</v>
      </c>
      <c r="F90" s="123">
        <v>2751.51</v>
      </c>
      <c r="G90" s="123">
        <v>2748.35</v>
      </c>
      <c r="H90" s="123">
        <v>2762.42</v>
      </c>
      <c r="I90" s="123">
        <v>2793.27</v>
      </c>
      <c r="J90" s="123">
        <v>2855.41</v>
      </c>
      <c r="K90" s="123">
        <v>2833.13</v>
      </c>
      <c r="L90" s="123">
        <v>2776.1</v>
      </c>
      <c r="M90" s="123">
        <v>2752.12</v>
      </c>
      <c r="N90" s="123">
        <v>2770.46</v>
      </c>
      <c r="O90" s="123">
        <v>2815.28</v>
      </c>
      <c r="P90" s="123">
        <v>2891.11</v>
      </c>
      <c r="Q90" s="250">
        <f>IF((P91=""),"",MAX(D92:P92))</f>
        <v>2079</v>
      </c>
      <c r="R90" s="250">
        <f>IF(P91="","",MIN(D92:P92))</f>
        <v>1918.6000000000004</v>
      </c>
      <c r="S90" s="250">
        <f>IF((P92=""),"",AVERAGE(D92:P92))</f>
        <v>2019.8015384615383</v>
      </c>
      <c r="T90" s="250">
        <f>IF((P91=""),"",STDEV(D92:P92))</f>
        <v>53.735423115817106</v>
      </c>
      <c r="U90" s="251">
        <f>IF((P91=""),"",((Q90-R90)/(Q90+R90))*100)</f>
        <v>4.0124074444666711</v>
      </c>
      <c r="V90" s="228" t="str">
        <f>IF(P91="","",IF(U90&lt;7.2,IF(S90&gt;AB90,IF(S90&lt;AC90,"Pass","Fail"),"Fail"),"Fail"))</f>
        <v>Pass</v>
      </c>
      <c r="W90" s="253">
        <v>102</v>
      </c>
      <c r="X90" s="230"/>
      <c r="Z90" s="240">
        <v>1600</v>
      </c>
      <c r="AA90" s="240">
        <v>2600</v>
      </c>
      <c r="AB90" s="241">
        <v>1700</v>
      </c>
      <c r="AC90" s="241">
        <v>2100</v>
      </c>
      <c r="AD90" s="242">
        <v>10</v>
      </c>
      <c r="AE90" s="242">
        <v>7.2</v>
      </c>
    </row>
    <row r="91" spans="1:31" ht="16.5" thickBot="1">
      <c r="A91" s="123"/>
      <c r="B91" s="235"/>
      <c r="C91" s="235" t="s">
        <v>78</v>
      </c>
      <c r="D91" s="123">
        <v>1863.84</v>
      </c>
      <c r="E91" s="123">
        <v>1766.94</v>
      </c>
      <c r="F91" s="123">
        <v>1731.31</v>
      </c>
      <c r="G91" s="123">
        <v>1727.24</v>
      </c>
      <c r="H91" s="123">
        <v>1726.87</v>
      </c>
      <c r="I91" s="123">
        <v>1753.77</v>
      </c>
      <c r="J91" s="123">
        <v>1875.62</v>
      </c>
      <c r="K91" s="123">
        <v>1852.04</v>
      </c>
      <c r="L91" s="123">
        <v>1751.52</v>
      </c>
      <c r="M91" s="123">
        <v>1722.66</v>
      </c>
      <c r="N91" s="123">
        <v>1742.55</v>
      </c>
      <c r="O91" s="123">
        <v>1789.81</v>
      </c>
      <c r="P91" s="123">
        <v>1931.81</v>
      </c>
      <c r="Q91" s="243"/>
      <c r="R91" s="235"/>
      <c r="S91" s="235"/>
      <c r="T91" s="235"/>
      <c r="U91" s="236"/>
      <c r="V91" s="252"/>
      <c r="W91" s="238"/>
      <c r="X91" s="239"/>
      <c r="Z91" s="240"/>
      <c r="AA91" s="240"/>
      <c r="AB91" s="241"/>
      <c r="AC91" s="241"/>
      <c r="AD91" s="242"/>
      <c r="AE91" s="242"/>
    </row>
    <row r="92" spans="1:31" ht="32.25" thickBot="1">
      <c r="A92" s="123"/>
      <c r="B92" s="243"/>
      <c r="C92" s="243" t="s">
        <v>221</v>
      </c>
      <c r="D92" s="244">
        <f t="shared" ref="D92:P92" si="26">IF(((D90="")*AND(D91="")),"",(D90-D91)*2)</f>
        <v>1944.2400000000002</v>
      </c>
      <c r="E92" s="244">
        <f t="shared" si="26"/>
        <v>2025.2600000000002</v>
      </c>
      <c r="F92" s="244">
        <f t="shared" si="26"/>
        <v>2040.4000000000005</v>
      </c>
      <c r="G92" s="244">
        <f t="shared" si="26"/>
        <v>2042.2199999999998</v>
      </c>
      <c r="H92" s="244">
        <f t="shared" si="26"/>
        <v>2071.1000000000004</v>
      </c>
      <c r="I92" s="244">
        <f t="shared" si="26"/>
        <v>2079</v>
      </c>
      <c r="J92" s="244">
        <f t="shared" si="26"/>
        <v>1959.58</v>
      </c>
      <c r="K92" s="244">
        <f t="shared" si="26"/>
        <v>1962.1800000000003</v>
      </c>
      <c r="L92" s="244">
        <f t="shared" si="26"/>
        <v>2049.16</v>
      </c>
      <c r="M92" s="244">
        <f t="shared" si="26"/>
        <v>2058.9199999999996</v>
      </c>
      <c r="N92" s="244">
        <f t="shared" si="26"/>
        <v>2055.8200000000002</v>
      </c>
      <c r="O92" s="244">
        <f t="shared" si="26"/>
        <v>2050.9400000000005</v>
      </c>
      <c r="P92" s="244">
        <f t="shared" si="26"/>
        <v>1918.6000000000004</v>
      </c>
      <c r="R92" s="243"/>
      <c r="S92" s="243"/>
      <c r="T92" s="243"/>
      <c r="U92" s="245"/>
      <c r="V92" s="252"/>
      <c r="W92" s="247"/>
      <c r="X92" s="239"/>
      <c r="Z92" s="240"/>
      <c r="AA92" s="240"/>
      <c r="AB92" s="241"/>
      <c r="AC92" s="241"/>
      <c r="AD92" s="242"/>
      <c r="AE92" s="242"/>
    </row>
    <row r="93" spans="1:31" ht="16.5" thickBot="1">
      <c r="A93" s="248">
        <v>43251</v>
      </c>
      <c r="B93" s="249" t="s">
        <v>76</v>
      </c>
      <c r="C93" s="250" t="s">
        <v>77</v>
      </c>
      <c r="D93" s="123">
        <v>2827.97</v>
      </c>
      <c r="E93" s="123">
        <v>2775.93</v>
      </c>
      <c r="F93" s="123">
        <v>2751.82</v>
      </c>
      <c r="G93" s="123">
        <v>2742.93</v>
      </c>
      <c r="H93" s="123">
        <v>2754.51</v>
      </c>
      <c r="I93" s="123">
        <v>2789.71</v>
      </c>
      <c r="J93" s="123">
        <v>2852.9</v>
      </c>
      <c r="K93" s="123">
        <v>2827.49</v>
      </c>
      <c r="L93" s="123">
        <v>2771.21</v>
      </c>
      <c r="M93" s="123">
        <v>2743.07</v>
      </c>
      <c r="N93" s="123">
        <v>2765.45</v>
      </c>
      <c r="O93" s="123">
        <v>2809.58</v>
      </c>
      <c r="P93" s="123">
        <v>2888.62</v>
      </c>
      <c r="Q93" s="250">
        <f>IF((P94=""),"",MAX(D95:P95))</f>
        <v>2076.42</v>
      </c>
      <c r="R93" s="250">
        <f>IF(P94="","",MIN(D95:P95))</f>
        <v>1911.1799999999998</v>
      </c>
      <c r="S93" s="250">
        <f>IF((P95=""),"",AVERAGE(D95:P95))</f>
        <v>2013.2861538461539</v>
      </c>
      <c r="T93" s="250">
        <f>IF((P94=""),"",STDEV(D95:P95))</f>
        <v>56.520848297842313</v>
      </c>
      <c r="U93" s="251">
        <f>IF((P94=""),"",((Q93-R93)/(Q93+R93))*100)</f>
        <v>4.1438459223593194</v>
      </c>
      <c r="V93" s="228" t="str">
        <f>IF(P94="","",IF(U93&lt;7.2,IF(S93&gt;AB93,IF(S93&lt;AC93,"Pass","Fail"),"Fail"),"Fail"))</f>
        <v>Pass</v>
      </c>
      <c r="W93" s="253">
        <v>102</v>
      </c>
      <c r="X93" s="230"/>
      <c r="Z93" s="240">
        <v>1600</v>
      </c>
      <c r="AA93" s="240">
        <v>2600</v>
      </c>
      <c r="AB93" s="241">
        <v>1700</v>
      </c>
      <c r="AC93" s="241">
        <v>2100</v>
      </c>
      <c r="AD93" s="242">
        <v>10</v>
      </c>
      <c r="AE93" s="242">
        <v>7.2</v>
      </c>
    </row>
    <row r="94" spans="1:31" ht="16.5" thickBot="1">
      <c r="A94" s="123"/>
      <c r="B94" s="235"/>
      <c r="C94" s="235" t="s">
        <v>78</v>
      </c>
      <c r="D94" s="123">
        <v>1869.46</v>
      </c>
      <c r="E94" s="123">
        <v>1766.13</v>
      </c>
      <c r="F94" s="123">
        <v>1731.15</v>
      </c>
      <c r="G94" s="123">
        <v>1718.43</v>
      </c>
      <c r="H94" s="123">
        <v>1725</v>
      </c>
      <c r="I94" s="123">
        <v>1751.5</v>
      </c>
      <c r="J94" s="123">
        <v>1871.12</v>
      </c>
      <c r="K94" s="123">
        <v>1850.33</v>
      </c>
      <c r="L94" s="123">
        <v>1744.61</v>
      </c>
      <c r="M94" s="123">
        <v>1720.64</v>
      </c>
      <c r="N94" s="123">
        <v>1738.33</v>
      </c>
      <c r="O94" s="123">
        <v>1795.1</v>
      </c>
      <c r="P94" s="123">
        <v>1933.03</v>
      </c>
      <c r="Q94" s="243"/>
      <c r="R94" s="235"/>
      <c r="S94" s="235"/>
      <c r="T94" s="235"/>
      <c r="U94" s="236"/>
      <c r="V94" s="252"/>
      <c r="W94" s="238"/>
      <c r="X94" s="239"/>
      <c r="Z94" s="240"/>
      <c r="AA94" s="240"/>
      <c r="AB94" s="241"/>
      <c r="AC94" s="241"/>
      <c r="AD94" s="242"/>
      <c r="AE94" s="242"/>
    </row>
    <row r="95" spans="1:31" ht="32.25" thickBot="1">
      <c r="A95" s="123"/>
      <c r="B95" s="243"/>
      <c r="C95" s="243" t="s">
        <v>221</v>
      </c>
      <c r="D95" s="244">
        <f t="shared" ref="D95:P95" si="27">IF(((D93="")*AND(D94="")),"",(D93-D94)*2)</f>
        <v>1917.0199999999995</v>
      </c>
      <c r="E95" s="244">
        <f t="shared" si="27"/>
        <v>2019.5999999999995</v>
      </c>
      <c r="F95" s="244">
        <f t="shared" si="27"/>
        <v>2041.3400000000001</v>
      </c>
      <c r="G95" s="244">
        <f t="shared" si="27"/>
        <v>2048.9999999999995</v>
      </c>
      <c r="H95" s="244">
        <f t="shared" si="27"/>
        <v>2059.0200000000004</v>
      </c>
      <c r="I95" s="244">
        <f t="shared" si="27"/>
        <v>2076.42</v>
      </c>
      <c r="J95" s="244">
        <f t="shared" si="27"/>
        <v>1963.5600000000004</v>
      </c>
      <c r="K95" s="244">
        <f t="shared" si="27"/>
        <v>1954.3199999999997</v>
      </c>
      <c r="L95" s="244">
        <f t="shared" si="27"/>
        <v>2053.2000000000003</v>
      </c>
      <c r="M95" s="244">
        <f t="shared" si="27"/>
        <v>2044.8600000000001</v>
      </c>
      <c r="N95" s="244">
        <f t="shared" si="27"/>
        <v>2054.2399999999998</v>
      </c>
      <c r="O95" s="244">
        <f t="shared" si="27"/>
        <v>2028.96</v>
      </c>
      <c r="P95" s="244">
        <f t="shared" si="27"/>
        <v>1911.1799999999998</v>
      </c>
      <c r="R95" s="243"/>
      <c r="S95" s="243"/>
      <c r="T95" s="243"/>
      <c r="U95" s="245"/>
      <c r="V95" s="252"/>
      <c r="W95" s="247"/>
      <c r="X95" s="239"/>
      <c r="Z95" s="240"/>
      <c r="AA95" s="240"/>
      <c r="AB95" s="241"/>
      <c r="AC95" s="241"/>
      <c r="AD95" s="242"/>
      <c r="AE95" s="242"/>
    </row>
    <row r="96" spans="1:31" ht="16.5" thickBot="1">
      <c r="A96" s="248">
        <v>43255</v>
      </c>
      <c r="B96" s="249" t="s">
        <v>76</v>
      </c>
      <c r="C96" s="250" t="s">
        <v>77</v>
      </c>
      <c r="D96" s="123">
        <v>2838.69</v>
      </c>
      <c r="E96" s="123">
        <v>2785.48</v>
      </c>
      <c r="F96" s="123">
        <v>2758.61</v>
      </c>
      <c r="G96" s="123">
        <v>2755.47</v>
      </c>
      <c r="H96" s="123">
        <v>2769.04</v>
      </c>
      <c r="I96" s="123">
        <v>2803.19</v>
      </c>
      <c r="J96" s="123">
        <v>2868</v>
      </c>
      <c r="K96" s="123">
        <v>2835.89</v>
      </c>
      <c r="L96" s="123">
        <v>2784.08</v>
      </c>
      <c r="M96" s="123">
        <v>2754.42</v>
      </c>
      <c r="N96" s="123">
        <v>2776.44</v>
      </c>
      <c r="O96" s="123">
        <v>2821.04</v>
      </c>
      <c r="P96" s="123">
        <v>2899.01</v>
      </c>
      <c r="Q96" s="250">
        <f>IF((P97=""),"",MAX(D98:P98))</f>
        <v>2091</v>
      </c>
      <c r="R96" s="250">
        <f>IF(P97="","",MIN(D98:P98))</f>
        <v>1932.2400000000002</v>
      </c>
      <c r="S96" s="250">
        <f>IF((P98=""),"",AVERAGE(D98:P98))</f>
        <v>2025.9861538461535</v>
      </c>
      <c r="T96" s="250">
        <f>IF((P97=""),"",STDEV(D98:P98))</f>
        <v>54.205675216171052</v>
      </c>
      <c r="U96" s="251">
        <f>IF((P97=""),"",((Q96-R96)/(Q96+R96))*100)</f>
        <v>3.9460733140453903</v>
      </c>
      <c r="V96" s="228" t="str">
        <f>IF(P97="","",IF(U96&lt;7.2,IF(S96&gt;AB96,IF(S96&lt;AC96,"Pass","Fail"),"Fail"),"Fail"))</f>
        <v>Pass</v>
      </c>
      <c r="W96" s="253">
        <v>1335</v>
      </c>
      <c r="X96" s="230"/>
      <c r="Z96" s="240">
        <v>1600</v>
      </c>
      <c r="AA96" s="240">
        <v>2600</v>
      </c>
      <c r="AB96" s="241">
        <v>1700</v>
      </c>
      <c r="AC96" s="241">
        <v>2100</v>
      </c>
      <c r="AD96" s="242">
        <v>10</v>
      </c>
      <c r="AE96" s="242">
        <v>7.2</v>
      </c>
    </row>
    <row r="97" spans="1:31" ht="16.5" thickBot="1">
      <c r="A97" s="123"/>
      <c r="B97" s="235"/>
      <c r="C97" s="235" t="s">
        <v>78</v>
      </c>
      <c r="D97" s="123">
        <v>1866.73</v>
      </c>
      <c r="E97" s="123">
        <v>1770.97</v>
      </c>
      <c r="F97" s="123">
        <v>1736.44</v>
      </c>
      <c r="G97" s="123">
        <v>1727.45</v>
      </c>
      <c r="H97" s="123">
        <v>1723.54</v>
      </c>
      <c r="I97" s="123">
        <v>1760.38</v>
      </c>
      <c r="J97" s="123">
        <v>1885.43</v>
      </c>
      <c r="K97" s="123">
        <v>1851.83</v>
      </c>
      <c r="L97" s="123">
        <v>1751.1</v>
      </c>
      <c r="M97" s="123">
        <v>1727.69</v>
      </c>
      <c r="N97" s="123">
        <v>1750.53</v>
      </c>
      <c r="O97" s="123">
        <v>1795.47</v>
      </c>
      <c r="P97" s="123">
        <v>1932.89</v>
      </c>
      <c r="Q97" s="243"/>
      <c r="R97" s="235"/>
      <c r="S97" s="235"/>
      <c r="T97" s="235"/>
      <c r="U97" s="236"/>
      <c r="V97" s="252"/>
      <c r="W97" s="238"/>
      <c r="X97" s="239"/>
      <c r="Z97" s="240"/>
      <c r="AA97" s="240"/>
      <c r="AB97" s="241"/>
      <c r="AC97" s="241"/>
      <c r="AD97" s="242"/>
      <c r="AE97" s="242"/>
    </row>
    <row r="98" spans="1:31" ht="32.25" thickBot="1">
      <c r="A98" s="123"/>
      <c r="B98" s="243"/>
      <c r="C98" s="243" t="s">
        <v>221</v>
      </c>
      <c r="D98" s="244">
        <f t="shared" ref="D98:P98" si="28">IF(((D96="")*AND(D97="")),"",(D96-D97)*2)</f>
        <v>1943.92</v>
      </c>
      <c r="E98" s="244">
        <f t="shared" si="28"/>
        <v>2029.02</v>
      </c>
      <c r="F98" s="244">
        <f t="shared" si="28"/>
        <v>2044.3400000000001</v>
      </c>
      <c r="G98" s="244">
        <f t="shared" si="28"/>
        <v>2056.0399999999995</v>
      </c>
      <c r="H98" s="244">
        <f t="shared" si="28"/>
        <v>2091</v>
      </c>
      <c r="I98" s="244">
        <f t="shared" si="28"/>
        <v>2085.62</v>
      </c>
      <c r="J98" s="244">
        <f t="shared" si="28"/>
        <v>1965.1399999999999</v>
      </c>
      <c r="K98" s="244">
        <f t="shared" si="28"/>
        <v>1968.12</v>
      </c>
      <c r="L98" s="244">
        <f t="shared" si="28"/>
        <v>2065.96</v>
      </c>
      <c r="M98" s="244">
        <f t="shared" si="28"/>
        <v>2053.46</v>
      </c>
      <c r="N98" s="244">
        <f t="shared" si="28"/>
        <v>2051.8200000000002</v>
      </c>
      <c r="O98" s="244">
        <f t="shared" si="28"/>
        <v>2051.14</v>
      </c>
      <c r="P98" s="244">
        <f t="shared" si="28"/>
        <v>1932.2400000000002</v>
      </c>
      <c r="R98" s="243"/>
      <c r="S98" s="243"/>
      <c r="T98" s="243"/>
      <c r="U98" s="245"/>
      <c r="V98" s="252"/>
      <c r="W98" s="247"/>
      <c r="X98" s="239"/>
      <c r="Z98" s="240"/>
      <c r="AA98" s="240"/>
      <c r="AB98" s="241"/>
      <c r="AC98" s="241"/>
      <c r="AD98" s="242"/>
      <c r="AE98" s="242"/>
    </row>
    <row r="99" spans="1:31" ht="16.5" thickBot="1">
      <c r="A99" s="248">
        <v>43258</v>
      </c>
      <c r="B99" s="249" t="s">
        <v>76</v>
      </c>
      <c r="C99" s="250" t="s">
        <v>77</v>
      </c>
      <c r="D99" s="123">
        <v>2837.68</v>
      </c>
      <c r="E99" s="123">
        <v>2783.49</v>
      </c>
      <c r="F99" s="123">
        <v>2756.92</v>
      </c>
      <c r="G99" s="123">
        <v>2750.51</v>
      </c>
      <c r="H99" s="123">
        <v>2765.96</v>
      </c>
      <c r="I99" s="123">
        <v>2797.96</v>
      </c>
      <c r="J99" s="123">
        <v>2865.5</v>
      </c>
      <c r="K99" s="123">
        <v>2837.46</v>
      </c>
      <c r="L99" s="123">
        <v>2778.93</v>
      </c>
      <c r="M99" s="123">
        <v>2752.68</v>
      </c>
      <c r="N99" s="123">
        <v>2774.41</v>
      </c>
      <c r="O99" s="123">
        <v>2818.7</v>
      </c>
      <c r="P99" s="123">
        <v>2896.55</v>
      </c>
      <c r="Q99" s="250">
        <f>IF((P100=""),"",MAX(D101:P101))</f>
        <v>1990.42</v>
      </c>
      <c r="R99" s="250">
        <f>IF(P100="","",MIN(D101:P101))</f>
        <v>1870.0999999999995</v>
      </c>
      <c r="S99" s="250">
        <f>IF((P101=""),"",AVERAGE(D101:P101))</f>
        <v>1944.6923076923074</v>
      </c>
      <c r="T99" s="250">
        <f>IF((P100=""),"",STDEV(D101:P101))</f>
        <v>37.473298527939846</v>
      </c>
      <c r="U99" s="251">
        <f>IF((P100=""),"",((Q99-R99)/(Q99+R99))*100)</f>
        <v>3.1166785821599325</v>
      </c>
      <c r="V99" s="228" t="str">
        <f>IF(P100="","",IF(U99&lt;7.2,IF(S99&gt;AB99,IF(S99&lt;AC99,"Pass","Fail"),"Fail"),"Fail"))</f>
        <v>Pass</v>
      </c>
      <c r="W99" s="253">
        <v>1335</v>
      </c>
      <c r="X99" s="230"/>
      <c r="Z99" s="240">
        <v>1600</v>
      </c>
      <c r="AA99" s="240">
        <v>2600</v>
      </c>
      <c r="AB99" s="241">
        <v>1700</v>
      </c>
      <c r="AC99" s="241">
        <v>2100</v>
      </c>
      <c r="AD99" s="242">
        <v>10</v>
      </c>
      <c r="AE99" s="242">
        <v>7.2</v>
      </c>
    </row>
    <row r="100" spans="1:31" ht="16.5" thickBot="1">
      <c r="A100" s="123"/>
      <c r="B100" s="235"/>
      <c r="C100" s="235" t="s">
        <v>78</v>
      </c>
      <c r="D100" s="123">
        <v>1902.63</v>
      </c>
      <c r="E100" s="123">
        <v>1806.76</v>
      </c>
      <c r="F100" s="123">
        <v>1777.94</v>
      </c>
      <c r="G100" s="123">
        <v>1772.46</v>
      </c>
      <c r="H100" s="123">
        <v>1770.75</v>
      </c>
      <c r="I100" s="123">
        <v>1806.24</v>
      </c>
      <c r="J100" s="123">
        <v>1912.02</v>
      </c>
      <c r="K100" s="123">
        <v>1876.33</v>
      </c>
      <c r="L100" s="123">
        <v>1794.4</v>
      </c>
      <c r="M100" s="123">
        <v>1768.13</v>
      </c>
      <c r="N100" s="123">
        <v>1793.18</v>
      </c>
      <c r="O100" s="123">
        <v>1840.6</v>
      </c>
      <c r="P100" s="123">
        <v>1954.81</v>
      </c>
      <c r="Q100" s="243"/>
      <c r="R100" s="235"/>
      <c r="S100" s="235"/>
      <c r="T100" s="235"/>
      <c r="U100" s="236"/>
      <c r="V100" s="252"/>
      <c r="W100" s="238"/>
      <c r="X100" s="239"/>
      <c r="Z100" s="240"/>
      <c r="AA100" s="240"/>
      <c r="AB100" s="241"/>
      <c r="AC100" s="241"/>
      <c r="AD100" s="242"/>
      <c r="AE100" s="242"/>
    </row>
    <row r="101" spans="1:31" ht="32.25" thickBot="1">
      <c r="A101" s="123"/>
      <c r="B101" s="243"/>
      <c r="C101" s="243" t="s">
        <v>221</v>
      </c>
      <c r="D101" s="244">
        <f t="shared" ref="D101:P101" si="29">IF(((D99="")*AND(D100="")),"",(D99-D100)*2)</f>
        <v>1870.0999999999995</v>
      </c>
      <c r="E101" s="244">
        <f t="shared" si="29"/>
        <v>1953.4599999999996</v>
      </c>
      <c r="F101" s="244">
        <f t="shared" si="29"/>
        <v>1957.96</v>
      </c>
      <c r="G101" s="244">
        <f t="shared" si="29"/>
        <v>1956.1000000000004</v>
      </c>
      <c r="H101" s="244">
        <f t="shared" si="29"/>
        <v>1990.42</v>
      </c>
      <c r="I101" s="244">
        <f t="shared" si="29"/>
        <v>1983.44</v>
      </c>
      <c r="J101" s="244">
        <f t="shared" si="29"/>
        <v>1906.96</v>
      </c>
      <c r="K101" s="244">
        <f t="shared" si="29"/>
        <v>1922.2600000000002</v>
      </c>
      <c r="L101" s="244">
        <f t="shared" si="29"/>
        <v>1969.0599999999995</v>
      </c>
      <c r="M101" s="244">
        <f t="shared" si="29"/>
        <v>1969.0999999999995</v>
      </c>
      <c r="N101" s="244">
        <f t="shared" si="29"/>
        <v>1962.4599999999996</v>
      </c>
      <c r="O101" s="244">
        <f t="shared" si="29"/>
        <v>1956.1999999999998</v>
      </c>
      <c r="P101" s="244">
        <f t="shared" si="29"/>
        <v>1883.4800000000005</v>
      </c>
      <c r="R101" s="243"/>
      <c r="S101" s="243"/>
      <c r="T101" s="243"/>
      <c r="U101" s="245"/>
      <c r="V101" s="252"/>
      <c r="W101" s="247"/>
      <c r="X101" s="239"/>
      <c r="Z101" s="240"/>
      <c r="AA101" s="240"/>
      <c r="AB101" s="241"/>
      <c r="AC101" s="241"/>
      <c r="AD101" s="242"/>
      <c r="AE101" s="242"/>
    </row>
    <row r="102" spans="1:31" ht="16.5" thickBot="1">
      <c r="A102" s="248">
        <v>43262</v>
      </c>
      <c r="B102" s="249" t="s">
        <v>76</v>
      </c>
      <c r="C102" s="250" t="s">
        <v>77</v>
      </c>
      <c r="D102" s="123">
        <v>2837.78</v>
      </c>
      <c r="E102" s="123">
        <v>2782.63</v>
      </c>
      <c r="F102" s="123">
        <v>2758.42</v>
      </c>
      <c r="G102" s="123">
        <v>2751.33</v>
      </c>
      <c r="H102" s="123">
        <v>2765.05</v>
      </c>
      <c r="I102" s="123">
        <v>2799.38</v>
      </c>
      <c r="J102" s="123">
        <v>2860.25</v>
      </c>
      <c r="K102" s="123">
        <v>2836.14</v>
      </c>
      <c r="L102" s="123">
        <v>2779.3</v>
      </c>
      <c r="M102" s="123">
        <v>2752.47</v>
      </c>
      <c r="N102" s="123">
        <v>2773.57</v>
      </c>
      <c r="O102" s="123">
        <v>2818.75</v>
      </c>
      <c r="P102" s="123">
        <v>2898.29</v>
      </c>
      <c r="Q102" s="250">
        <f>IF((P103=""),"",MAX(D104:P104))</f>
        <v>2099.92</v>
      </c>
      <c r="R102" s="250">
        <f>IF(P103="","",MIN(D104:P104))</f>
        <v>1936.8200000000006</v>
      </c>
      <c r="S102" s="250">
        <f>IF((P104=""),"",AVERAGE(D104:P104))</f>
        <v>2033.6353846153847</v>
      </c>
      <c r="T102" s="250">
        <f>IF((P103=""),"",STDEV(D104:P104))</f>
        <v>49.782467565630711</v>
      </c>
      <c r="U102" s="251">
        <f>IF((P103=""),"",((Q102-R102)/(Q102+R102))*100)</f>
        <v>4.0403890267889295</v>
      </c>
      <c r="V102" s="228" t="str">
        <f>IF(P103="","",IF(U102&lt;7.2,IF(S102&gt;AB102,IF(S102&lt;AC102,"Pass","Fail"),"Fail"),"Fail"))</f>
        <v>Pass</v>
      </c>
      <c r="W102" s="253">
        <v>1159</v>
      </c>
      <c r="X102" s="260" t="s">
        <v>87</v>
      </c>
      <c r="Z102" s="240">
        <v>1600</v>
      </c>
      <c r="AA102" s="240">
        <v>2600</v>
      </c>
      <c r="AB102" s="241">
        <v>1700</v>
      </c>
      <c r="AC102" s="241">
        <v>2100</v>
      </c>
      <c r="AD102" s="242">
        <v>10</v>
      </c>
      <c r="AE102" s="242">
        <v>7.2</v>
      </c>
    </row>
    <row r="103" spans="1:31" ht="16.5" thickBot="1">
      <c r="A103" s="123"/>
      <c r="B103" s="235"/>
      <c r="C103" s="235" t="s">
        <v>78</v>
      </c>
      <c r="D103" s="123">
        <v>1869.37</v>
      </c>
      <c r="E103" s="123">
        <v>1766.33</v>
      </c>
      <c r="F103" s="123">
        <v>1735.83</v>
      </c>
      <c r="G103" s="123">
        <v>1720.89</v>
      </c>
      <c r="H103" s="123">
        <v>1722.49</v>
      </c>
      <c r="I103" s="123">
        <v>1749.42</v>
      </c>
      <c r="J103" s="123">
        <v>1860.11</v>
      </c>
      <c r="K103" s="123">
        <v>1839.03</v>
      </c>
      <c r="L103" s="123">
        <v>1744.3</v>
      </c>
      <c r="M103" s="123">
        <v>1721.76</v>
      </c>
      <c r="N103" s="123">
        <v>1745.4</v>
      </c>
      <c r="O103" s="123">
        <v>1796.36</v>
      </c>
      <c r="P103" s="123">
        <v>1923.44</v>
      </c>
      <c r="Q103" s="243"/>
      <c r="R103" s="235"/>
      <c r="S103" s="235"/>
      <c r="T103" s="235"/>
      <c r="U103" s="236"/>
      <c r="V103" s="252"/>
      <c r="W103" s="238"/>
      <c r="X103" s="239"/>
      <c r="Z103" s="240"/>
      <c r="AA103" s="240"/>
      <c r="AB103" s="241"/>
      <c r="AC103" s="241"/>
      <c r="AD103" s="242"/>
      <c r="AE103" s="242"/>
    </row>
    <row r="104" spans="1:31" ht="32.25" thickBot="1">
      <c r="A104" s="123"/>
      <c r="B104" s="243"/>
      <c r="C104" s="243" t="s">
        <v>221</v>
      </c>
      <c r="D104" s="244">
        <f t="shared" ref="D104:P104" si="30">IF(((D102="")*AND(D103="")),"",(D102-D103)*2)</f>
        <v>1936.8200000000006</v>
      </c>
      <c r="E104" s="244">
        <f t="shared" si="30"/>
        <v>2032.6000000000004</v>
      </c>
      <c r="F104" s="244">
        <f t="shared" si="30"/>
        <v>2045.1800000000003</v>
      </c>
      <c r="G104" s="244">
        <f t="shared" si="30"/>
        <v>2060.8799999999997</v>
      </c>
      <c r="H104" s="244">
        <f t="shared" si="30"/>
        <v>2085.1200000000003</v>
      </c>
      <c r="I104" s="244">
        <f t="shared" si="30"/>
        <v>2099.92</v>
      </c>
      <c r="J104" s="244">
        <f t="shared" si="30"/>
        <v>2000.2800000000002</v>
      </c>
      <c r="K104" s="244">
        <f t="shared" si="30"/>
        <v>1994.2199999999998</v>
      </c>
      <c r="L104" s="244">
        <f t="shared" si="30"/>
        <v>2070.0000000000005</v>
      </c>
      <c r="M104" s="244">
        <f t="shared" si="30"/>
        <v>2061.4199999999996</v>
      </c>
      <c r="N104" s="244">
        <f t="shared" si="30"/>
        <v>2056.34</v>
      </c>
      <c r="O104" s="244">
        <f t="shared" si="30"/>
        <v>2044.7800000000002</v>
      </c>
      <c r="P104" s="244">
        <f t="shared" si="30"/>
        <v>1949.6999999999998</v>
      </c>
      <c r="R104" s="243"/>
      <c r="S104" s="243"/>
      <c r="T104" s="243"/>
      <c r="U104" s="245"/>
      <c r="V104" s="252"/>
      <c r="W104" s="247"/>
      <c r="X104" s="239"/>
      <c r="Z104" s="240"/>
      <c r="AA104" s="240"/>
      <c r="AB104" s="241"/>
      <c r="AC104" s="241"/>
      <c r="AD104" s="242"/>
      <c r="AE104" s="242"/>
    </row>
    <row r="105" spans="1:31" ht="16.5" thickBot="1">
      <c r="A105" s="248">
        <v>43272</v>
      </c>
      <c r="B105" s="249" t="s">
        <v>76</v>
      </c>
      <c r="C105" s="250" t="s">
        <v>77</v>
      </c>
      <c r="D105" s="123">
        <v>2850.58</v>
      </c>
      <c r="E105" s="123">
        <v>2798.67</v>
      </c>
      <c r="F105" s="123">
        <v>2770.12</v>
      </c>
      <c r="G105" s="123">
        <v>2763.32</v>
      </c>
      <c r="H105" s="123">
        <v>2774.3</v>
      </c>
      <c r="I105" s="123">
        <v>2803.54</v>
      </c>
      <c r="J105" s="123">
        <v>2857.04</v>
      </c>
      <c r="K105" s="123">
        <v>2853.5</v>
      </c>
      <c r="L105" s="123">
        <v>2791.26</v>
      </c>
      <c r="M105" s="123">
        <v>2765.58</v>
      </c>
      <c r="N105" s="123">
        <v>2783.64</v>
      </c>
      <c r="O105" s="123">
        <v>2828.68</v>
      </c>
      <c r="P105" s="123">
        <v>2907.68</v>
      </c>
      <c r="Q105" s="250">
        <f>IF((P106=""),"",MAX(D107:P107))</f>
        <v>2060.7599999999998</v>
      </c>
      <c r="R105" s="250">
        <f>IF(P106="","",MIN(D107:P107))</f>
        <v>1928.8599999999997</v>
      </c>
      <c r="S105" s="250">
        <f>IF((P107=""),"",AVERAGE(D107:P107))</f>
        <v>2012.436923076923</v>
      </c>
      <c r="T105" s="250">
        <f>IF((P106=""),"",STDEV(D107:P107))</f>
        <v>44.992550380519575</v>
      </c>
      <c r="U105" s="251">
        <f>IF((P106=""),"",((Q105-R105)/(Q105+R105))*100)</f>
        <v>3.3060792757204971</v>
      </c>
      <c r="V105" s="228" t="str">
        <f>IF(P106="","",IF(U105&lt;7.2,IF(S105&gt;AB105,IF(S105&lt;AC105,"Pass","Fail"),"Fail"),"Fail"))</f>
        <v>Pass</v>
      </c>
      <c r="W105" s="253">
        <v>1159</v>
      </c>
      <c r="X105" s="260" t="s">
        <v>88</v>
      </c>
      <c r="Z105" s="240">
        <v>1600</v>
      </c>
      <c r="AA105" s="240">
        <v>2600</v>
      </c>
      <c r="AB105" s="241">
        <v>1700</v>
      </c>
      <c r="AC105" s="241">
        <v>2100</v>
      </c>
      <c r="AD105" s="242">
        <v>10</v>
      </c>
      <c r="AE105" s="242">
        <v>7.2</v>
      </c>
    </row>
    <row r="106" spans="1:31" ht="16.5" thickBot="1">
      <c r="A106" s="123"/>
      <c r="B106" s="235"/>
      <c r="C106" s="235" t="s">
        <v>78</v>
      </c>
      <c r="D106" s="123">
        <v>1881.54</v>
      </c>
      <c r="E106" s="123">
        <v>1785.47</v>
      </c>
      <c r="F106" s="123">
        <v>1755.71</v>
      </c>
      <c r="G106" s="123">
        <v>1747.13</v>
      </c>
      <c r="H106" s="123">
        <v>1746.39</v>
      </c>
      <c r="I106" s="123">
        <v>1773.16</v>
      </c>
      <c r="J106" s="123">
        <v>1878.05</v>
      </c>
      <c r="K106" s="123">
        <v>1862.56</v>
      </c>
      <c r="L106" s="123">
        <v>1767.49</v>
      </c>
      <c r="M106" s="123">
        <v>1746.99</v>
      </c>
      <c r="N106" s="123">
        <v>1763.42</v>
      </c>
      <c r="O106" s="123">
        <v>1815.91</v>
      </c>
      <c r="P106" s="123">
        <v>1943.25</v>
      </c>
      <c r="Q106" s="243"/>
      <c r="R106" s="235"/>
      <c r="S106" s="235"/>
      <c r="T106" s="235"/>
      <c r="U106" s="236"/>
      <c r="V106" s="252"/>
      <c r="W106" s="238"/>
      <c r="X106" s="239"/>
      <c r="Z106" s="240"/>
      <c r="AA106" s="240"/>
      <c r="AB106" s="241"/>
      <c r="AC106" s="241"/>
      <c r="AD106" s="242"/>
      <c r="AE106" s="242"/>
    </row>
    <row r="107" spans="1:31" ht="32.25" thickBot="1">
      <c r="A107" s="123"/>
      <c r="B107" s="243"/>
      <c r="C107" s="243" t="s">
        <v>221</v>
      </c>
      <c r="D107" s="244">
        <f t="shared" ref="D107:P107" si="31">IF(((D105="")*AND(D106="")),"",(D105-D106)*2)</f>
        <v>1938.08</v>
      </c>
      <c r="E107" s="244">
        <f t="shared" si="31"/>
        <v>2026.4</v>
      </c>
      <c r="F107" s="244">
        <f t="shared" si="31"/>
        <v>2028.8199999999997</v>
      </c>
      <c r="G107" s="244">
        <f t="shared" si="31"/>
        <v>2032.38</v>
      </c>
      <c r="H107" s="244">
        <f t="shared" si="31"/>
        <v>2055.8200000000002</v>
      </c>
      <c r="I107" s="244">
        <f t="shared" si="31"/>
        <v>2060.7599999999998</v>
      </c>
      <c r="J107" s="244">
        <f t="shared" si="31"/>
        <v>1957.98</v>
      </c>
      <c r="K107" s="244">
        <f t="shared" si="31"/>
        <v>1981.88</v>
      </c>
      <c r="L107" s="244">
        <f t="shared" si="31"/>
        <v>2047.5400000000004</v>
      </c>
      <c r="M107" s="244">
        <f t="shared" si="31"/>
        <v>2037.1799999999998</v>
      </c>
      <c r="N107" s="244">
        <f t="shared" si="31"/>
        <v>2040.4399999999996</v>
      </c>
      <c r="O107" s="244">
        <f t="shared" si="31"/>
        <v>2025.5399999999995</v>
      </c>
      <c r="P107" s="244">
        <f t="shared" si="31"/>
        <v>1928.8599999999997</v>
      </c>
      <c r="R107" s="243"/>
      <c r="S107" s="243"/>
      <c r="T107" s="243"/>
      <c r="U107" s="245"/>
      <c r="V107" s="252"/>
      <c r="W107" s="247"/>
      <c r="X107" s="239"/>
      <c r="Z107" s="240"/>
      <c r="AA107" s="240"/>
      <c r="AB107" s="241"/>
      <c r="AC107" s="241"/>
      <c r="AD107" s="242"/>
      <c r="AE107" s="242"/>
    </row>
    <row r="108" spans="1:31" ht="16.5" thickBot="1">
      <c r="A108" s="248">
        <v>43283</v>
      </c>
      <c r="B108" s="249" t="s">
        <v>76</v>
      </c>
      <c r="C108" s="250" t="s">
        <v>77</v>
      </c>
      <c r="D108" s="123">
        <v>2894.05</v>
      </c>
      <c r="E108" s="123">
        <v>2800.34</v>
      </c>
      <c r="F108" s="123">
        <v>2765.08</v>
      </c>
      <c r="G108" s="123">
        <v>2765.08</v>
      </c>
      <c r="H108" s="123">
        <v>2765.08</v>
      </c>
      <c r="I108" s="123">
        <v>2778.91</v>
      </c>
      <c r="J108" s="123">
        <v>2844.98</v>
      </c>
      <c r="K108" s="123">
        <v>2841.96</v>
      </c>
      <c r="L108" s="123">
        <v>2779.7</v>
      </c>
      <c r="M108" s="123">
        <v>2765.08</v>
      </c>
      <c r="N108" s="123">
        <v>2765.08</v>
      </c>
      <c r="O108" s="123">
        <v>2795.62</v>
      </c>
      <c r="P108" s="123">
        <v>2884.21</v>
      </c>
      <c r="Q108" s="250">
        <f>IF((P109=""),"",MAX(D110:P110))</f>
        <v>1910.08</v>
      </c>
      <c r="R108" s="250">
        <f>IF(P109="","",MIN(D110:P110))</f>
        <v>1759.7000000000003</v>
      </c>
      <c r="S108" s="250">
        <f>IF((P110=""),"",AVERAGE(D110:P110))</f>
        <v>1866.6276923076925</v>
      </c>
      <c r="T108" s="250">
        <f>IF((P109=""),"",STDEV(D110:P110))</f>
        <v>47.539288690837161</v>
      </c>
      <c r="U108" s="251">
        <f>IF((P109=""),"",((Q108-R108)/(Q108+R108))*100)</f>
        <v>4.0977933282104004</v>
      </c>
      <c r="V108" s="228" t="str">
        <f>IF(P109="","",IF(U108&lt;7.2,IF(S108&gt;AB108,IF(S108&lt;AC108,"Pass","Fail"),"Fail"),"Fail"))</f>
        <v>Pass</v>
      </c>
      <c r="W108" s="253">
        <v>1340</v>
      </c>
      <c r="X108" s="230"/>
      <c r="Z108" s="240">
        <v>1600</v>
      </c>
      <c r="AA108" s="240">
        <v>2600</v>
      </c>
      <c r="AB108" s="241">
        <v>1700</v>
      </c>
      <c r="AC108" s="241">
        <v>2100</v>
      </c>
      <c r="AD108" s="242">
        <v>10</v>
      </c>
      <c r="AE108" s="242">
        <v>7.2</v>
      </c>
    </row>
    <row r="109" spans="1:31" ht="16.5" thickBot="1">
      <c r="A109" s="123"/>
      <c r="B109" s="235"/>
      <c r="C109" s="235" t="s">
        <v>78</v>
      </c>
      <c r="D109" s="123">
        <v>1981.93</v>
      </c>
      <c r="E109" s="123">
        <v>1854.05</v>
      </c>
      <c r="F109" s="123">
        <v>1819.98</v>
      </c>
      <c r="G109" s="123">
        <v>1819.98</v>
      </c>
      <c r="H109" s="123">
        <v>1819.98</v>
      </c>
      <c r="I109" s="123">
        <v>1823.87</v>
      </c>
      <c r="J109" s="123">
        <v>1950.2</v>
      </c>
      <c r="K109" s="123">
        <v>1920.28</v>
      </c>
      <c r="L109" s="123">
        <v>1826.87</v>
      </c>
      <c r="M109" s="123">
        <v>1819.98</v>
      </c>
      <c r="N109" s="123">
        <v>1819.98</v>
      </c>
      <c r="O109" s="123">
        <v>1850.63</v>
      </c>
      <c r="P109" s="123">
        <v>2004.36</v>
      </c>
      <c r="Q109" s="243"/>
      <c r="R109" s="235"/>
      <c r="S109" s="235"/>
      <c r="T109" s="235"/>
      <c r="U109" s="236"/>
      <c r="V109" s="252"/>
      <c r="W109" s="238"/>
      <c r="X109" s="239"/>
      <c r="Z109" s="240"/>
      <c r="AA109" s="240"/>
      <c r="AB109" s="241"/>
      <c r="AC109" s="241"/>
      <c r="AD109" s="242"/>
      <c r="AE109" s="242"/>
    </row>
    <row r="110" spans="1:31" ht="32.25" thickBot="1">
      <c r="A110" s="123"/>
      <c r="B110" s="243"/>
      <c r="C110" s="243" t="s">
        <v>221</v>
      </c>
      <c r="D110" s="244">
        <f t="shared" ref="D110:P110" si="32">IF(((D108="")*AND(D109="")),"",(D108-D109)*2)</f>
        <v>1824.2400000000002</v>
      </c>
      <c r="E110" s="244">
        <f t="shared" si="32"/>
        <v>1892.5800000000004</v>
      </c>
      <c r="F110" s="244">
        <f t="shared" si="32"/>
        <v>1890.1999999999998</v>
      </c>
      <c r="G110" s="244">
        <f t="shared" si="32"/>
        <v>1890.1999999999998</v>
      </c>
      <c r="H110" s="244">
        <f t="shared" si="32"/>
        <v>1890.1999999999998</v>
      </c>
      <c r="I110" s="244">
        <f t="shared" si="32"/>
        <v>1910.08</v>
      </c>
      <c r="J110" s="244">
        <f t="shared" si="32"/>
        <v>1789.56</v>
      </c>
      <c r="K110" s="244">
        <f t="shared" si="32"/>
        <v>1843.3600000000001</v>
      </c>
      <c r="L110" s="244">
        <f t="shared" si="32"/>
        <v>1905.6599999999999</v>
      </c>
      <c r="M110" s="244">
        <f t="shared" si="32"/>
        <v>1890.1999999999998</v>
      </c>
      <c r="N110" s="244">
        <f t="shared" si="32"/>
        <v>1890.1999999999998</v>
      </c>
      <c r="O110" s="244">
        <f t="shared" si="32"/>
        <v>1889.9799999999996</v>
      </c>
      <c r="P110" s="244">
        <f t="shared" si="32"/>
        <v>1759.7000000000003</v>
      </c>
      <c r="R110" s="243"/>
      <c r="S110" s="243"/>
      <c r="T110" s="243"/>
      <c r="U110" s="245"/>
      <c r="V110" s="252"/>
      <c r="W110" s="247"/>
      <c r="X110" s="239"/>
      <c r="Z110" s="240"/>
      <c r="AA110" s="240"/>
      <c r="AB110" s="241"/>
      <c r="AC110" s="241"/>
      <c r="AD110" s="242"/>
      <c r="AE110" s="242"/>
    </row>
    <row r="111" spans="1:31" ht="16.5" thickBot="1">
      <c r="A111" s="248">
        <v>43287</v>
      </c>
      <c r="B111" s="249" t="s">
        <v>76</v>
      </c>
      <c r="C111" s="250" t="s">
        <v>77</v>
      </c>
      <c r="D111" s="123">
        <v>1703.27</v>
      </c>
      <c r="E111" s="123">
        <v>1654.74</v>
      </c>
      <c r="F111" s="123">
        <v>1646.98</v>
      </c>
      <c r="G111" s="123">
        <v>1650.84</v>
      </c>
      <c r="H111" s="123">
        <v>1660.32</v>
      </c>
      <c r="I111" s="123">
        <v>1691.77</v>
      </c>
      <c r="J111" s="123">
        <v>1755.09</v>
      </c>
      <c r="K111" s="123">
        <v>1749.01</v>
      </c>
      <c r="L111" s="123">
        <v>1679.99</v>
      </c>
      <c r="M111" s="123">
        <v>1648.8</v>
      </c>
      <c r="N111" s="123">
        <v>1661.82</v>
      </c>
      <c r="O111" s="123">
        <v>1702.31</v>
      </c>
      <c r="P111" s="123">
        <v>1791.62</v>
      </c>
      <c r="Q111" s="250">
        <f>IF((P112=""),"",MAX(D113:P113))</f>
        <v>2102.34</v>
      </c>
      <c r="R111" s="250">
        <f>IF(P112="","",MIN(D113:P113))</f>
        <v>1963.4999999999998</v>
      </c>
      <c r="S111" s="250">
        <f>IF((P113=""),"",AVERAGE(D113:P113))</f>
        <v>2004.6092307692306</v>
      </c>
      <c r="T111" s="250">
        <f>IF((P112=""),"",STDEV(D113:P113))</f>
        <v>38.745414021433753</v>
      </c>
      <c r="U111" s="251">
        <f>IF((P112=""),"",((Q111-R111)/(Q111+R111))*100)</f>
        <v>3.41479251519982</v>
      </c>
      <c r="V111" s="228" t="str">
        <f>IF(P112="","",IF(U111&lt;7.2,IF(S111&gt;AB111,IF(S111&lt;AC111,"Pass","Fail"),"Fail"),"Fail"))</f>
        <v>Pass</v>
      </c>
      <c r="W111" s="253">
        <v>1428</v>
      </c>
      <c r="X111" s="230"/>
      <c r="Z111" s="240">
        <v>1600</v>
      </c>
      <c r="AA111" s="240">
        <v>2600</v>
      </c>
      <c r="AB111" s="241">
        <v>1700</v>
      </c>
      <c r="AC111" s="241">
        <v>2100</v>
      </c>
      <c r="AD111" s="242">
        <v>10</v>
      </c>
      <c r="AE111" s="242">
        <v>7.2</v>
      </c>
    </row>
    <row r="112" spans="1:31" ht="16.5" thickBot="1">
      <c r="A112" s="123"/>
      <c r="B112" s="235"/>
      <c r="C112" s="235" t="s">
        <v>78</v>
      </c>
      <c r="D112" s="123">
        <v>652.1</v>
      </c>
      <c r="E112" s="123">
        <v>625.86</v>
      </c>
      <c r="F112" s="123">
        <v>635.79999999999995</v>
      </c>
      <c r="G112" s="123">
        <v>652.21</v>
      </c>
      <c r="H112" s="123">
        <v>671.01</v>
      </c>
      <c r="I112" s="123">
        <v>704.52</v>
      </c>
      <c r="J112" s="123">
        <v>773.34</v>
      </c>
      <c r="K112" s="123">
        <v>764.73</v>
      </c>
      <c r="L112" s="123">
        <v>680.06</v>
      </c>
      <c r="M112" s="123">
        <v>657.5</v>
      </c>
      <c r="N112" s="123">
        <v>663.04</v>
      </c>
      <c r="O112" s="123">
        <v>694.62</v>
      </c>
      <c r="P112" s="123">
        <v>791.81</v>
      </c>
      <c r="Q112" s="243"/>
      <c r="R112" s="235"/>
      <c r="S112" s="235"/>
      <c r="T112" s="235"/>
      <c r="U112" s="236"/>
      <c r="V112" s="252"/>
      <c r="W112" s="238"/>
      <c r="X112" s="239"/>
      <c r="Z112" s="240"/>
      <c r="AA112" s="240"/>
      <c r="AB112" s="241"/>
      <c r="AC112" s="241"/>
      <c r="AD112" s="242"/>
      <c r="AE112" s="242"/>
    </row>
    <row r="113" spans="1:31" ht="32.25" thickBot="1">
      <c r="A113" s="123"/>
      <c r="B113" s="243"/>
      <c r="C113" s="243" t="s">
        <v>221</v>
      </c>
      <c r="D113" s="244">
        <f t="shared" ref="D113:P113" si="33">IF(((D111="")*AND(D112="")),"",(D111-D112)*2)</f>
        <v>2102.34</v>
      </c>
      <c r="E113" s="244">
        <f t="shared" si="33"/>
        <v>2057.7600000000002</v>
      </c>
      <c r="F113" s="244">
        <f t="shared" si="33"/>
        <v>2022.3600000000001</v>
      </c>
      <c r="G113" s="244">
        <f t="shared" si="33"/>
        <v>1997.2599999999998</v>
      </c>
      <c r="H113" s="244">
        <f t="shared" si="33"/>
        <v>1978.62</v>
      </c>
      <c r="I113" s="244">
        <f t="shared" si="33"/>
        <v>1974.5</v>
      </c>
      <c r="J113" s="244">
        <f t="shared" si="33"/>
        <v>1963.4999999999998</v>
      </c>
      <c r="K113" s="244">
        <f t="shared" si="33"/>
        <v>1968.56</v>
      </c>
      <c r="L113" s="244">
        <f t="shared" si="33"/>
        <v>1999.8600000000001</v>
      </c>
      <c r="M113" s="244">
        <f t="shared" si="33"/>
        <v>1982.6</v>
      </c>
      <c r="N113" s="244">
        <f t="shared" si="33"/>
        <v>1997.56</v>
      </c>
      <c r="O113" s="244">
        <f t="shared" si="33"/>
        <v>2015.3799999999999</v>
      </c>
      <c r="P113" s="244">
        <f t="shared" si="33"/>
        <v>1999.62</v>
      </c>
      <c r="R113" s="243"/>
      <c r="S113" s="243"/>
      <c r="T113" s="243"/>
      <c r="U113" s="245"/>
      <c r="V113" s="252"/>
      <c r="W113" s="247"/>
      <c r="X113" s="239"/>
      <c r="Z113" s="240"/>
      <c r="AA113" s="240"/>
      <c r="AB113" s="241"/>
      <c r="AC113" s="241"/>
      <c r="AD113" s="242"/>
      <c r="AE113" s="242"/>
    </row>
    <row r="114" spans="1:31">
      <c r="A114" s="261">
        <v>43294</v>
      </c>
      <c r="B114" s="249" t="s">
        <v>76</v>
      </c>
      <c r="C114" s="250" t="s">
        <v>77</v>
      </c>
      <c r="D114" s="262">
        <v>2924.56</v>
      </c>
      <c r="E114" s="262">
        <v>2852.36</v>
      </c>
      <c r="F114" s="262">
        <v>2808.66</v>
      </c>
      <c r="G114" s="262">
        <v>2789.4</v>
      </c>
      <c r="H114" s="262">
        <v>2796.73</v>
      </c>
      <c r="I114" s="262">
        <v>2826.06</v>
      </c>
      <c r="J114" s="262">
        <v>2889.07</v>
      </c>
      <c r="K114" s="262">
        <v>2879.54</v>
      </c>
      <c r="L114" s="262">
        <v>2829.46</v>
      </c>
      <c r="M114" s="262">
        <v>2799.47</v>
      </c>
      <c r="N114" s="262">
        <v>2799.29</v>
      </c>
      <c r="O114" s="262">
        <v>2824.95</v>
      </c>
      <c r="P114" s="262">
        <v>2865.03</v>
      </c>
      <c r="Q114" s="250">
        <f>IF((P115=""),"",MAX(D116:P116))</f>
        <v>2027.7199999999998</v>
      </c>
      <c r="R114" s="250">
        <f>IF(P115="","",MIN(D116:P116))</f>
        <v>1876.0600000000004</v>
      </c>
      <c r="S114" s="250">
        <f>IF((P116=""),"",AVERAGE(D116:P116))</f>
        <v>1980.8184615384614</v>
      </c>
      <c r="T114" s="250">
        <f>IF((P115=""),"",STDEV(D116:P116))</f>
        <v>40.822926941885875</v>
      </c>
      <c r="U114" s="251">
        <f>IF((P115=""),"",((Q114-R114)/(Q114+R114))*100)</f>
        <v>3.8849525331857682</v>
      </c>
      <c r="V114" s="228" t="str">
        <f>IF(P115="","",IF(U114&lt;7.2,IF(S114&gt;AB114,IF(S114&lt;AC114,"Pass","Fail"),"Fail"),"Fail"))</f>
        <v>Pass</v>
      </c>
      <c r="W114" s="253">
        <v>1335</v>
      </c>
      <c r="X114" s="230"/>
      <c r="Z114" s="240">
        <v>1600</v>
      </c>
      <c r="AA114" s="240">
        <v>2600</v>
      </c>
      <c r="AB114" s="241">
        <v>1700</v>
      </c>
      <c r="AC114" s="241">
        <v>2100</v>
      </c>
      <c r="AD114" s="242">
        <v>10</v>
      </c>
      <c r="AE114" s="242">
        <v>7.2</v>
      </c>
    </row>
    <row r="115" spans="1:31">
      <c r="A115" s="123"/>
      <c r="B115" s="235"/>
      <c r="C115" s="235" t="s">
        <v>78</v>
      </c>
      <c r="D115" s="263">
        <v>1948.58</v>
      </c>
      <c r="E115" s="263">
        <v>1859.03</v>
      </c>
      <c r="F115" s="263">
        <v>1811.4</v>
      </c>
      <c r="G115" s="263">
        <v>1791.38</v>
      </c>
      <c r="H115" s="263">
        <v>1784.07</v>
      </c>
      <c r="I115" s="263">
        <v>1812.2</v>
      </c>
      <c r="J115" s="263">
        <v>1919.56</v>
      </c>
      <c r="K115" s="263">
        <v>1896.5</v>
      </c>
      <c r="L115" s="263">
        <v>1822.78</v>
      </c>
      <c r="M115" s="263">
        <v>1798.76</v>
      </c>
      <c r="N115" s="263">
        <v>1803.65</v>
      </c>
      <c r="O115" s="263">
        <v>1834.35</v>
      </c>
      <c r="P115" s="263">
        <v>1927</v>
      </c>
      <c r="Q115" s="235"/>
      <c r="R115" s="235"/>
      <c r="S115" s="235"/>
      <c r="T115" s="235"/>
      <c r="U115" s="236"/>
      <c r="V115" s="237"/>
      <c r="W115" s="238"/>
      <c r="X115" s="239"/>
      <c r="Z115" s="240"/>
      <c r="AA115" s="240"/>
      <c r="AB115" s="241"/>
      <c r="AC115" s="241"/>
      <c r="AD115" s="242"/>
      <c r="AE115" s="242"/>
    </row>
    <row r="116" spans="1:31" ht="32.25" thickBot="1">
      <c r="A116" s="123"/>
      <c r="B116" s="243"/>
      <c r="C116" s="243" t="s">
        <v>221</v>
      </c>
      <c r="D116" s="244">
        <f t="shared" ref="D116:P116" si="34">IF(((D114="")*AND(D115="")),"",(D114-D115)*2)</f>
        <v>1951.96</v>
      </c>
      <c r="E116" s="244">
        <f t="shared" si="34"/>
        <v>1986.6600000000003</v>
      </c>
      <c r="F116" s="244">
        <f t="shared" si="34"/>
        <v>1994.5199999999995</v>
      </c>
      <c r="G116" s="244">
        <f t="shared" si="34"/>
        <v>1996.04</v>
      </c>
      <c r="H116" s="244">
        <f t="shared" si="34"/>
        <v>2025.3200000000002</v>
      </c>
      <c r="I116" s="244">
        <f t="shared" si="34"/>
        <v>2027.7199999999998</v>
      </c>
      <c r="J116" s="244">
        <f t="shared" si="34"/>
        <v>1939.0200000000004</v>
      </c>
      <c r="K116" s="244">
        <f t="shared" si="34"/>
        <v>1966.08</v>
      </c>
      <c r="L116" s="244">
        <f t="shared" si="34"/>
        <v>2013.3600000000001</v>
      </c>
      <c r="M116" s="244">
        <f t="shared" si="34"/>
        <v>2001.4199999999996</v>
      </c>
      <c r="N116" s="244">
        <f t="shared" si="34"/>
        <v>1991.2799999999997</v>
      </c>
      <c r="O116" s="244">
        <f t="shared" si="34"/>
        <v>1981.1999999999998</v>
      </c>
      <c r="P116" s="244">
        <f t="shared" si="34"/>
        <v>1876.0600000000004</v>
      </c>
      <c r="Q116" s="264"/>
      <c r="R116" s="243"/>
      <c r="S116" s="243"/>
      <c r="T116" s="243"/>
      <c r="U116" s="245"/>
      <c r="V116" s="246"/>
      <c r="W116" s="247"/>
      <c r="X116" s="239"/>
      <c r="Z116" s="240"/>
      <c r="AA116" s="240"/>
      <c r="AB116" s="241"/>
      <c r="AC116" s="241"/>
      <c r="AD116" s="242"/>
      <c r="AE116" s="242"/>
    </row>
    <row r="117" spans="1:31">
      <c r="A117" s="248">
        <v>43305</v>
      </c>
      <c r="B117" s="249" t="s">
        <v>76</v>
      </c>
      <c r="C117" s="250" t="s">
        <v>77</v>
      </c>
      <c r="D117" s="123">
        <v>2919.79</v>
      </c>
      <c r="E117" s="123">
        <v>2855.61</v>
      </c>
      <c r="F117" s="123">
        <v>2813.74</v>
      </c>
      <c r="G117" s="123">
        <v>2796.96</v>
      </c>
      <c r="H117" s="123">
        <v>2797.14</v>
      </c>
      <c r="I117" s="123">
        <v>2819.39</v>
      </c>
      <c r="J117" s="123">
        <v>2857.04</v>
      </c>
      <c r="K117" s="123">
        <v>2863.42</v>
      </c>
      <c r="L117" s="123">
        <v>2822.29</v>
      </c>
      <c r="M117" s="123">
        <v>2799.04</v>
      </c>
      <c r="N117" s="123">
        <v>2810.05</v>
      </c>
      <c r="O117" s="123">
        <v>2843.77</v>
      </c>
      <c r="P117" s="123">
        <v>2908.41</v>
      </c>
      <c r="Q117" s="250">
        <f>IF((P118=""),"",MAX(D119:P119))</f>
        <v>2081.66</v>
      </c>
      <c r="R117" s="250">
        <f>IF(P118="","",MIN(D119:P119))</f>
        <v>1917.0199999999995</v>
      </c>
      <c r="S117" s="250">
        <f>IF((P119=""),"",AVERAGE(D119:P119))</f>
        <v>2018.063076923077</v>
      </c>
      <c r="T117" s="250">
        <f>IF((P118=""),"",STDEV(D119:P119))</f>
        <v>50.064037556016778</v>
      </c>
      <c r="U117" s="251">
        <f>IF((P118=""),"",((Q117-R117)/(Q117+R117))*100)</f>
        <v>4.1173587283803741</v>
      </c>
      <c r="V117" s="228" t="str">
        <f>IF(P118="","",IF(U117&lt;7.2,IF(S117&gt;AB117,IF(S117&lt;AC117,"Pass","Fail"),"Fail"),"Fail"))</f>
        <v>Pass</v>
      </c>
      <c r="W117" s="253">
        <v>1340</v>
      </c>
      <c r="X117" s="230"/>
      <c r="Z117" s="240">
        <v>1600</v>
      </c>
      <c r="AA117" s="240">
        <v>2600</v>
      </c>
      <c r="AB117" s="241">
        <v>1700</v>
      </c>
      <c r="AC117" s="241">
        <v>2100</v>
      </c>
      <c r="AD117" s="242">
        <v>10</v>
      </c>
      <c r="AE117" s="242">
        <v>7.2</v>
      </c>
    </row>
    <row r="118" spans="1:31">
      <c r="A118" s="123"/>
      <c r="B118" s="235"/>
      <c r="C118" s="235" t="s">
        <v>78</v>
      </c>
      <c r="D118" s="123">
        <v>1939.24</v>
      </c>
      <c r="E118" s="123">
        <v>1841.88</v>
      </c>
      <c r="F118" s="123">
        <v>1797.65</v>
      </c>
      <c r="G118" s="123">
        <v>1777.39</v>
      </c>
      <c r="H118" s="123">
        <v>1765.73</v>
      </c>
      <c r="I118" s="123">
        <v>1778.56</v>
      </c>
      <c r="J118" s="123">
        <v>1879.87</v>
      </c>
      <c r="K118" s="123">
        <v>1877.44</v>
      </c>
      <c r="L118" s="123">
        <v>1794.61</v>
      </c>
      <c r="M118" s="123">
        <v>1770.9</v>
      </c>
      <c r="N118" s="123">
        <v>1789.24</v>
      </c>
      <c r="O118" s="123">
        <v>1826.83</v>
      </c>
      <c r="P118" s="123">
        <v>1949.9</v>
      </c>
      <c r="Q118" s="235"/>
      <c r="R118" s="235"/>
      <c r="S118" s="235"/>
      <c r="T118" s="235"/>
      <c r="U118" s="236"/>
      <c r="V118" s="237"/>
      <c r="W118" s="238"/>
      <c r="X118" s="239"/>
      <c r="Z118" s="240"/>
      <c r="AA118" s="240"/>
      <c r="AB118" s="241"/>
      <c r="AC118" s="241"/>
      <c r="AD118" s="242"/>
      <c r="AE118" s="242"/>
    </row>
    <row r="119" spans="1:31" ht="32.25" thickBot="1">
      <c r="A119" s="123"/>
      <c r="B119" s="243"/>
      <c r="C119" s="243" t="s">
        <v>221</v>
      </c>
      <c r="D119" s="244">
        <f t="shared" ref="D119:P119" si="35">IF(((D117="")*AND(D118="")),"",(D117-D118)*2)</f>
        <v>1961.1</v>
      </c>
      <c r="E119" s="244">
        <f t="shared" si="35"/>
        <v>2027.46</v>
      </c>
      <c r="F119" s="244">
        <f t="shared" si="35"/>
        <v>2032.1799999999994</v>
      </c>
      <c r="G119" s="244">
        <f t="shared" si="35"/>
        <v>2039.1399999999999</v>
      </c>
      <c r="H119" s="244">
        <f t="shared" si="35"/>
        <v>2062.8199999999997</v>
      </c>
      <c r="I119" s="244">
        <f t="shared" si="35"/>
        <v>2081.66</v>
      </c>
      <c r="J119" s="244">
        <f t="shared" si="35"/>
        <v>1954.3400000000001</v>
      </c>
      <c r="K119" s="244">
        <f t="shared" si="35"/>
        <v>1971.96</v>
      </c>
      <c r="L119" s="244">
        <f t="shared" si="35"/>
        <v>2055.36</v>
      </c>
      <c r="M119" s="244">
        <f t="shared" si="35"/>
        <v>2056.2799999999997</v>
      </c>
      <c r="N119" s="244">
        <f t="shared" si="35"/>
        <v>2041.6200000000003</v>
      </c>
      <c r="O119" s="244">
        <f t="shared" si="35"/>
        <v>2033.88</v>
      </c>
      <c r="P119" s="244">
        <f t="shared" si="35"/>
        <v>1917.0199999999995</v>
      </c>
      <c r="Q119" s="264"/>
      <c r="R119" s="243"/>
      <c r="S119" s="243"/>
      <c r="T119" s="243"/>
      <c r="U119" s="245"/>
      <c r="V119" s="246"/>
      <c r="W119" s="247"/>
      <c r="X119" s="239"/>
      <c r="Z119" s="240"/>
      <c r="AA119" s="240"/>
      <c r="AB119" s="241"/>
      <c r="AC119" s="241"/>
      <c r="AD119" s="242"/>
      <c r="AE119" s="242"/>
    </row>
    <row r="120" spans="1:31">
      <c r="A120" s="248">
        <v>43308</v>
      </c>
      <c r="B120" s="249" t="s">
        <v>76</v>
      </c>
      <c r="C120" s="250" t="s">
        <v>77</v>
      </c>
      <c r="D120" s="123">
        <v>2865.18</v>
      </c>
      <c r="E120" s="123">
        <v>2823.13</v>
      </c>
      <c r="F120" s="123">
        <v>2801.46</v>
      </c>
      <c r="G120" s="123">
        <v>2793.92</v>
      </c>
      <c r="H120" s="123">
        <v>2807.33</v>
      </c>
      <c r="I120" s="123">
        <v>2834.53</v>
      </c>
      <c r="J120" s="123">
        <v>2886.37</v>
      </c>
      <c r="K120" s="123">
        <v>2928.89</v>
      </c>
      <c r="L120" s="123">
        <v>2857.82</v>
      </c>
      <c r="M120" s="123">
        <v>2812.2</v>
      </c>
      <c r="N120" s="123">
        <v>2796.53</v>
      </c>
      <c r="O120" s="123">
        <v>2828.06</v>
      </c>
      <c r="P120" s="123">
        <v>2884.19</v>
      </c>
      <c r="Q120" s="250">
        <f>IF((P121=""),"",MAX(D122:P122))</f>
        <v>2075.9800000000005</v>
      </c>
      <c r="R120" s="250">
        <f>IF(P121="","",MIN(D122:P122))</f>
        <v>1903.98</v>
      </c>
      <c r="S120" s="250">
        <f>IF((P122=""),"",AVERAGE(D122:P122))</f>
        <v>2024.7769230769231</v>
      </c>
      <c r="T120" s="250">
        <f>IF((P121=""),"",STDEV(D122:P122))</f>
        <v>55.088748909466673</v>
      </c>
      <c r="U120" s="251">
        <f>IF((P121=""),"",((Q120-R120)/(Q120+R120))*100)</f>
        <v>4.3216514738841711</v>
      </c>
      <c r="V120" s="228" t="str">
        <f>IF(P121="","",IF(U120&lt;7.2,IF(S120&gt;AB120,IF(S120&lt;AC120,"Pass","Fail"),"Fail"),"Fail"))</f>
        <v>Pass</v>
      </c>
      <c r="W120" s="253">
        <v>1340</v>
      </c>
      <c r="X120" s="230"/>
      <c r="Z120" s="240">
        <v>1600</v>
      </c>
      <c r="AA120" s="240">
        <v>2600</v>
      </c>
      <c r="AB120" s="241">
        <v>1700</v>
      </c>
      <c r="AC120" s="241">
        <v>2100</v>
      </c>
      <c r="AD120" s="242">
        <v>10</v>
      </c>
      <c r="AE120" s="242">
        <v>7.2</v>
      </c>
    </row>
    <row r="121" spans="1:31">
      <c r="A121" s="123"/>
      <c r="B121" s="235"/>
      <c r="C121" s="235" t="s">
        <v>78</v>
      </c>
      <c r="D121" s="123">
        <v>1896.25</v>
      </c>
      <c r="E121" s="123">
        <v>1810.61</v>
      </c>
      <c r="F121" s="123">
        <v>1781.8</v>
      </c>
      <c r="G121" s="123">
        <v>1771.41</v>
      </c>
      <c r="H121" s="123">
        <v>1769.84</v>
      </c>
      <c r="I121" s="123">
        <v>1796.54</v>
      </c>
      <c r="J121" s="123">
        <v>1904.87</v>
      </c>
      <c r="K121" s="123">
        <v>1916.6</v>
      </c>
      <c r="L121" s="123">
        <v>1823.15</v>
      </c>
      <c r="M121" s="123">
        <v>1781.3</v>
      </c>
      <c r="N121" s="123">
        <v>1770.94</v>
      </c>
      <c r="O121" s="123">
        <v>1803.05</v>
      </c>
      <c r="P121" s="123">
        <v>1932.2</v>
      </c>
      <c r="Q121" s="235"/>
      <c r="R121" s="235"/>
      <c r="S121" s="235"/>
      <c r="T121" s="235"/>
      <c r="U121" s="236"/>
      <c r="V121" s="237"/>
      <c r="W121" s="238"/>
      <c r="X121" s="239"/>
      <c r="Z121" s="240"/>
      <c r="AA121" s="240"/>
      <c r="AB121" s="241"/>
      <c r="AC121" s="241"/>
      <c r="AD121" s="242"/>
      <c r="AE121" s="242"/>
    </row>
    <row r="122" spans="1:31" ht="32.25" thickBot="1">
      <c r="A122" s="123"/>
      <c r="B122" s="243"/>
      <c r="C122" s="243" t="s">
        <v>221</v>
      </c>
      <c r="D122" s="244">
        <f t="shared" ref="D122:P122" si="36">IF(((D120="")*AND(D121="")),"",(D120-D121)*2)</f>
        <v>1937.8599999999997</v>
      </c>
      <c r="E122" s="244">
        <f t="shared" si="36"/>
        <v>2025.0400000000004</v>
      </c>
      <c r="F122" s="244">
        <f t="shared" si="36"/>
        <v>2039.3200000000002</v>
      </c>
      <c r="G122" s="244">
        <f t="shared" si="36"/>
        <v>2045.02</v>
      </c>
      <c r="H122" s="244">
        <f t="shared" si="36"/>
        <v>2074.98</v>
      </c>
      <c r="I122" s="244">
        <f t="shared" si="36"/>
        <v>2075.9800000000005</v>
      </c>
      <c r="J122" s="244">
        <f t="shared" si="36"/>
        <v>1963</v>
      </c>
      <c r="K122" s="244">
        <f t="shared" si="36"/>
        <v>2024.58</v>
      </c>
      <c r="L122" s="244">
        <f t="shared" si="36"/>
        <v>2069.34</v>
      </c>
      <c r="M122" s="244">
        <f t="shared" si="36"/>
        <v>2061.7999999999997</v>
      </c>
      <c r="N122" s="244">
        <f t="shared" si="36"/>
        <v>2051.1800000000003</v>
      </c>
      <c r="O122" s="244">
        <f t="shared" si="36"/>
        <v>2050.02</v>
      </c>
      <c r="P122" s="244">
        <f t="shared" si="36"/>
        <v>1903.98</v>
      </c>
      <c r="Q122" s="264"/>
      <c r="R122" s="243"/>
      <c r="S122" s="243"/>
      <c r="T122" s="243"/>
      <c r="U122" s="245"/>
      <c r="V122" s="246"/>
      <c r="W122" s="247"/>
      <c r="X122" s="239"/>
      <c r="Z122" s="240"/>
      <c r="AA122" s="240"/>
      <c r="AB122" s="241"/>
      <c r="AC122" s="241"/>
      <c r="AD122" s="242"/>
      <c r="AE122" s="242"/>
    </row>
    <row r="123" spans="1:31">
      <c r="A123" s="248">
        <v>43314</v>
      </c>
      <c r="B123" s="249" t="s">
        <v>76</v>
      </c>
      <c r="C123" s="250" t="s">
        <v>77</v>
      </c>
      <c r="D123" s="123">
        <v>2883.2</v>
      </c>
      <c r="E123" s="123">
        <v>2832.12</v>
      </c>
      <c r="F123" s="123">
        <v>2808.89</v>
      </c>
      <c r="G123" s="123">
        <v>2798.52</v>
      </c>
      <c r="H123" s="123">
        <v>2807.22</v>
      </c>
      <c r="I123" s="123">
        <v>2833.19</v>
      </c>
      <c r="J123" s="123">
        <v>2873.58</v>
      </c>
      <c r="K123" s="123">
        <v>2873.54</v>
      </c>
      <c r="L123" s="123">
        <v>2819.09</v>
      </c>
      <c r="M123" s="123">
        <v>2798.81</v>
      </c>
      <c r="N123" s="123">
        <v>2820.34</v>
      </c>
      <c r="O123" s="123">
        <v>2865.39</v>
      </c>
      <c r="P123" s="123">
        <v>2834</v>
      </c>
      <c r="Q123" s="250">
        <f>IF((P124=""),"",MAX(D125:P125))</f>
        <v>2088.3000000000002</v>
      </c>
      <c r="R123" s="250">
        <f>IF(P124="","",MIN(D125:P125))</f>
        <v>1946.6599999999999</v>
      </c>
      <c r="S123" s="250">
        <f>IF((P125=""),"",AVERAGE(D125:P125))</f>
        <v>2033.9092307692308</v>
      </c>
      <c r="T123" s="250">
        <f>IF((P124=""),"",STDEV(D125:P125))</f>
        <v>34.192685002677287</v>
      </c>
      <c r="U123" s="251">
        <f>IF((P124=""),"",((Q123-R123)/(Q123+R123))*100)</f>
        <v>3.5103198049051367</v>
      </c>
      <c r="V123" s="228" t="str">
        <f>IF(P124="","",IF(U123&lt;7.2,IF(S123&gt;AB123,IF(S123&lt;AC123,"Pass","Fail"),"Fail"),"Fail"))</f>
        <v>Pass</v>
      </c>
      <c r="W123" s="253">
        <v>74</v>
      </c>
      <c r="X123" s="230"/>
      <c r="Z123" s="240">
        <v>1600</v>
      </c>
      <c r="AA123" s="240">
        <v>2600</v>
      </c>
      <c r="AB123" s="241">
        <v>1700</v>
      </c>
      <c r="AC123" s="241">
        <v>2100</v>
      </c>
      <c r="AD123" s="242">
        <v>10</v>
      </c>
      <c r="AE123" s="242">
        <v>7.2</v>
      </c>
    </row>
    <row r="124" spans="1:31">
      <c r="A124" s="123"/>
      <c r="B124" s="235"/>
      <c r="C124" s="235" t="s">
        <v>78</v>
      </c>
      <c r="D124" s="123">
        <v>1909.87</v>
      </c>
      <c r="E124" s="123">
        <v>1822.03</v>
      </c>
      <c r="F124" s="123">
        <v>1789.41</v>
      </c>
      <c r="G124" s="123">
        <v>1777.23</v>
      </c>
      <c r="H124" s="123">
        <v>1774.34</v>
      </c>
      <c r="I124" s="123">
        <v>1789.04</v>
      </c>
      <c r="J124" s="123">
        <v>1868.84</v>
      </c>
      <c r="K124" s="123">
        <v>1868.9</v>
      </c>
      <c r="L124" s="123">
        <v>1791.64</v>
      </c>
      <c r="M124" s="123">
        <v>1775.93</v>
      </c>
      <c r="N124" s="123">
        <v>1793.81</v>
      </c>
      <c r="O124" s="123">
        <v>1849.44</v>
      </c>
      <c r="P124" s="123">
        <v>1817</v>
      </c>
      <c r="Q124" s="235"/>
      <c r="R124" s="235"/>
      <c r="S124" s="235"/>
      <c r="T124" s="235"/>
      <c r="U124" s="236"/>
      <c r="V124" s="237"/>
      <c r="W124" s="238"/>
      <c r="X124" s="239"/>
      <c r="Z124" s="240"/>
      <c r="AA124" s="240"/>
      <c r="AB124" s="241"/>
      <c r="AC124" s="241"/>
      <c r="AD124" s="242"/>
      <c r="AE124" s="242"/>
    </row>
    <row r="125" spans="1:31" ht="32.25" thickBot="1">
      <c r="A125" s="123"/>
      <c r="B125" s="243"/>
      <c r="C125" s="243" t="s">
        <v>221</v>
      </c>
      <c r="D125" s="244">
        <f t="shared" ref="D125:P125" si="37">IF(((D123="")*AND(D124="")),"",(D123-D124)*2)</f>
        <v>1946.6599999999999</v>
      </c>
      <c r="E125" s="244">
        <f t="shared" si="37"/>
        <v>2020.1799999999998</v>
      </c>
      <c r="F125" s="244">
        <f t="shared" si="37"/>
        <v>2038.9599999999996</v>
      </c>
      <c r="G125" s="244">
        <f t="shared" si="37"/>
        <v>2042.58</v>
      </c>
      <c r="H125" s="244">
        <f t="shared" si="37"/>
        <v>2065.7599999999998</v>
      </c>
      <c r="I125" s="244">
        <f t="shared" si="37"/>
        <v>2088.3000000000002</v>
      </c>
      <c r="J125" s="244">
        <f t="shared" si="37"/>
        <v>2009.48</v>
      </c>
      <c r="K125" s="244">
        <f t="shared" si="37"/>
        <v>2009.2799999999997</v>
      </c>
      <c r="L125" s="244">
        <f t="shared" si="37"/>
        <v>2054.9</v>
      </c>
      <c r="M125" s="244">
        <f t="shared" si="37"/>
        <v>2045.7599999999998</v>
      </c>
      <c r="N125" s="244">
        <f t="shared" si="37"/>
        <v>2053.0600000000004</v>
      </c>
      <c r="O125" s="244">
        <f t="shared" si="37"/>
        <v>2031.8999999999996</v>
      </c>
      <c r="P125" s="244">
        <f t="shared" si="37"/>
        <v>2034</v>
      </c>
      <c r="Q125" s="264"/>
      <c r="R125" s="243"/>
      <c r="S125" s="243"/>
      <c r="T125" s="243"/>
      <c r="U125" s="245"/>
      <c r="V125" s="246"/>
      <c r="W125" s="247"/>
      <c r="X125" s="239"/>
      <c r="Z125" s="240"/>
      <c r="AA125" s="240"/>
      <c r="AB125" s="241"/>
      <c r="AC125" s="241"/>
      <c r="AD125" s="242"/>
      <c r="AE125" s="242"/>
    </row>
    <row r="126" spans="1:31" ht="16.5" customHeight="1">
      <c r="A126" s="248">
        <v>43318</v>
      </c>
      <c r="B126" s="249" t="s">
        <v>76</v>
      </c>
      <c r="C126" s="250" t="s">
        <v>77</v>
      </c>
      <c r="D126" s="123">
        <v>2882.74</v>
      </c>
      <c r="E126" s="123">
        <v>2835.15</v>
      </c>
      <c r="F126" s="123">
        <v>2808.85</v>
      </c>
      <c r="G126" s="123">
        <v>2801.69</v>
      </c>
      <c r="H126" s="123">
        <v>2804.27</v>
      </c>
      <c r="I126" s="123">
        <v>2829.43</v>
      </c>
      <c r="J126" s="123">
        <v>2871.68</v>
      </c>
      <c r="K126" s="123">
        <v>2874.48</v>
      </c>
      <c r="L126" s="123">
        <v>2822.48</v>
      </c>
      <c r="M126" s="123">
        <v>2800.85</v>
      </c>
      <c r="N126" s="123">
        <v>2818.72</v>
      </c>
      <c r="O126" s="123">
        <v>2863.6</v>
      </c>
      <c r="P126" s="123">
        <v>2834</v>
      </c>
      <c r="Q126" s="250">
        <f>IF((P127=""),"",MAX(D128:P128))</f>
        <v>2074.8199999999997</v>
      </c>
      <c r="R126" s="250">
        <f>IF(P127="","",MIN(D128:P128))</f>
        <v>1922.2399999999998</v>
      </c>
      <c r="S126" s="250">
        <f>IF((P128=""),"",AVERAGE(D128:P128))</f>
        <v>2023.7969230769229</v>
      </c>
      <c r="T126" s="250">
        <f>IF((P127=""),"",STDEV(D128:P128))</f>
        <v>36.819309106458334</v>
      </c>
      <c r="U126" s="251">
        <f>IF((P127=""),"",((Q126-R126)/(Q126+R126))*100)</f>
        <v>3.817305719703981</v>
      </c>
      <c r="V126" s="228" t="str">
        <f>IF(P127="","",IF(U126&lt;7.2,IF(S126&gt;AB126,IF(S126&lt;AC126,"Pass","Fail"),"Fail"),"Fail"))</f>
        <v>Pass</v>
      </c>
      <c r="W126" s="253">
        <v>74</v>
      </c>
      <c r="X126" s="255" t="s">
        <v>89</v>
      </c>
      <c r="Z126" s="240">
        <v>1600</v>
      </c>
      <c r="AA126" s="240">
        <v>2600</v>
      </c>
      <c r="AB126" s="241">
        <v>1700</v>
      </c>
      <c r="AC126" s="241">
        <v>2100</v>
      </c>
      <c r="AD126" s="242">
        <v>10</v>
      </c>
      <c r="AE126" s="242">
        <v>7.2</v>
      </c>
    </row>
    <row r="127" spans="1:31">
      <c r="A127" s="123"/>
      <c r="B127" s="235"/>
      <c r="C127" s="235" t="s">
        <v>78</v>
      </c>
      <c r="D127" s="123">
        <v>1921.62</v>
      </c>
      <c r="E127" s="123">
        <v>1827.45</v>
      </c>
      <c r="F127" s="123">
        <v>1796.64</v>
      </c>
      <c r="G127" s="123">
        <v>1777.35</v>
      </c>
      <c r="H127" s="123">
        <v>1781.37</v>
      </c>
      <c r="I127" s="123">
        <v>1792.02</v>
      </c>
      <c r="J127" s="123">
        <v>1867.18</v>
      </c>
      <c r="K127" s="123">
        <v>1877.78</v>
      </c>
      <c r="L127" s="123">
        <v>1800.45</v>
      </c>
      <c r="M127" s="123">
        <v>1778.12</v>
      </c>
      <c r="N127" s="123">
        <v>1800.73</v>
      </c>
      <c r="O127" s="123">
        <v>1850.55</v>
      </c>
      <c r="P127" s="123">
        <v>1822</v>
      </c>
      <c r="Q127" s="235"/>
      <c r="R127" s="235"/>
      <c r="S127" s="235"/>
      <c r="T127" s="235"/>
      <c r="U127" s="236"/>
      <c r="V127" s="237"/>
      <c r="W127" s="238"/>
      <c r="X127" s="239"/>
      <c r="Z127" s="240"/>
      <c r="AA127" s="240"/>
      <c r="AB127" s="241"/>
      <c r="AC127" s="241"/>
      <c r="AD127" s="242"/>
      <c r="AE127" s="242"/>
    </row>
    <row r="128" spans="1:31" ht="32.25" thickBot="1">
      <c r="A128" s="123"/>
      <c r="B128" s="243"/>
      <c r="C128" s="243" t="s">
        <v>221</v>
      </c>
      <c r="D128" s="244">
        <f t="shared" ref="D128:P128" si="38">IF(((D126="")*AND(D127="")),"",(D126-D127)*2)</f>
        <v>1922.2399999999998</v>
      </c>
      <c r="E128" s="244">
        <f t="shared" si="38"/>
        <v>2015.4</v>
      </c>
      <c r="F128" s="244">
        <f t="shared" si="38"/>
        <v>2024.4199999999996</v>
      </c>
      <c r="G128" s="244">
        <f t="shared" si="38"/>
        <v>2048.6800000000003</v>
      </c>
      <c r="H128" s="244">
        <f t="shared" si="38"/>
        <v>2045.8000000000002</v>
      </c>
      <c r="I128" s="244">
        <f t="shared" si="38"/>
        <v>2074.8199999999997</v>
      </c>
      <c r="J128" s="244">
        <f t="shared" si="38"/>
        <v>2008.9999999999995</v>
      </c>
      <c r="K128" s="244">
        <f t="shared" si="38"/>
        <v>1993.4</v>
      </c>
      <c r="L128" s="244">
        <f t="shared" si="38"/>
        <v>2044.06</v>
      </c>
      <c r="M128" s="244">
        <f t="shared" si="38"/>
        <v>2045.46</v>
      </c>
      <c r="N128" s="244">
        <f t="shared" si="38"/>
        <v>2035.9799999999996</v>
      </c>
      <c r="O128" s="244">
        <f t="shared" si="38"/>
        <v>2026.1</v>
      </c>
      <c r="P128" s="244">
        <f t="shared" si="38"/>
        <v>2024</v>
      </c>
      <c r="Q128" s="264"/>
      <c r="R128" s="243"/>
      <c r="S128" s="243"/>
      <c r="T128" s="243"/>
      <c r="U128" s="245"/>
      <c r="V128" s="246"/>
      <c r="W128" s="247"/>
      <c r="X128" s="239"/>
      <c r="Z128" s="240"/>
      <c r="AA128" s="240"/>
      <c r="AB128" s="241"/>
      <c r="AC128" s="241"/>
      <c r="AD128" s="242"/>
      <c r="AE128" s="242"/>
    </row>
    <row r="129" spans="1:31">
      <c r="A129" s="248">
        <v>43321</v>
      </c>
      <c r="B129" s="249" t="s">
        <v>76</v>
      </c>
      <c r="C129" s="250" t="s">
        <v>77</v>
      </c>
      <c r="D129" s="123">
        <v>2867.82</v>
      </c>
      <c r="E129" s="123">
        <v>2803.62</v>
      </c>
      <c r="F129" s="123">
        <v>2795.77</v>
      </c>
      <c r="G129" s="123">
        <v>2801.21</v>
      </c>
      <c r="H129" s="123">
        <v>2860.99</v>
      </c>
      <c r="I129" s="123">
        <v>2856.49</v>
      </c>
      <c r="J129" s="123">
        <v>2793.74</v>
      </c>
      <c r="K129" s="123">
        <v>2816.3</v>
      </c>
      <c r="L129" s="123">
        <v>2919.21</v>
      </c>
      <c r="M129" s="123">
        <v>2799.56</v>
      </c>
      <c r="N129" s="123">
        <v>2826.35</v>
      </c>
      <c r="O129" s="123">
        <v>2800.51</v>
      </c>
      <c r="P129" s="123">
        <v>2823.84</v>
      </c>
      <c r="Q129" s="250">
        <f>IF((P130=""),"",MAX(D131:P131))</f>
        <v>2089.8999999999996</v>
      </c>
      <c r="R129" s="250">
        <f>IF(P130="","",MIN(D131:P131))</f>
        <v>1985.1000000000004</v>
      </c>
      <c r="S129" s="250">
        <f>IF((P131=""),"",AVERAGE(D131:P131))</f>
        <v>2053.5292307692307</v>
      </c>
      <c r="T129" s="250">
        <f>IF((P130=""),"",STDEV(D131:P131))</f>
        <v>28.348028285796204</v>
      </c>
      <c r="U129" s="251">
        <f>IF((P130=""),"",((Q129-R129)/(Q129+R129))*100)</f>
        <v>2.5717791411042765</v>
      </c>
      <c r="V129" s="228" t="str">
        <f>IF(P130="","",IF(U129&lt;7.2,IF(S129&gt;AB129,IF(S129&lt;AC129,"Pass","Fail"),"Fail"),"Fail"))</f>
        <v>Pass</v>
      </c>
      <c r="W129" s="253">
        <v>1428</v>
      </c>
      <c r="X129" s="255" t="s">
        <v>90</v>
      </c>
      <c r="Z129" s="240">
        <v>1600</v>
      </c>
      <c r="AA129" s="240">
        <v>2600</v>
      </c>
      <c r="AB129" s="241">
        <v>1700</v>
      </c>
      <c r="AC129" s="241">
        <v>2100</v>
      </c>
      <c r="AD129" s="242">
        <v>10</v>
      </c>
      <c r="AE129" s="242">
        <v>7.2</v>
      </c>
    </row>
    <row r="130" spans="1:31">
      <c r="A130" s="123"/>
      <c r="B130" s="235"/>
      <c r="C130" s="235" t="s">
        <v>78</v>
      </c>
      <c r="D130" s="123">
        <v>1875.27</v>
      </c>
      <c r="E130" s="123">
        <v>1773.56</v>
      </c>
      <c r="F130" s="123">
        <v>1763.76</v>
      </c>
      <c r="G130" s="123">
        <v>1761.95</v>
      </c>
      <c r="H130" s="123">
        <v>1830.2</v>
      </c>
      <c r="I130" s="123">
        <v>1838.53</v>
      </c>
      <c r="J130" s="123">
        <v>1760.56</v>
      </c>
      <c r="K130" s="123">
        <v>1779.41</v>
      </c>
      <c r="L130" s="123">
        <v>1911.52</v>
      </c>
      <c r="M130" s="123">
        <v>1773.73</v>
      </c>
      <c r="N130" s="123">
        <v>1781.4</v>
      </c>
      <c r="O130" s="123">
        <v>1764.79</v>
      </c>
      <c r="P130" s="123">
        <v>1802.79</v>
      </c>
      <c r="Q130" s="235"/>
      <c r="R130" s="235"/>
      <c r="S130" s="235"/>
      <c r="T130" s="235"/>
      <c r="U130" s="236"/>
      <c r="V130" s="237"/>
      <c r="W130" s="238"/>
      <c r="X130" s="239"/>
      <c r="Z130" s="240"/>
      <c r="AA130" s="240"/>
      <c r="AB130" s="241"/>
      <c r="AC130" s="241"/>
      <c r="AD130" s="242"/>
      <c r="AE130" s="242"/>
    </row>
    <row r="131" spans="1:31" ht="32.25" thickBot="1">
      <c r="A131" s="123"/>
      <c r="B131" s="243"/>
      <c r="C131" s="243" t="s">
        <v>221</v>
      </c>
      <c r="D131" s="244">
        <f t="shared" ref="D131:P131" si="39">IF(((D129="")*AND(D130="")),"",(D129-D130)*2)</f>
        <v>1985.1000000000004</v>
      </c>
      <c r="E131" s="244">
        <f t="shared" si="39"/>
        <v>2060.12</v>
      </c>
      <c r="F131" s="244">
        <f t="shared" si="39"/>
        <v>2064.02</v>
      </c>
      <c r="G131" s="244">
        <f t="shared" si="39"/>
        <v>2078.52</v>
      </c>
      <c r="H131" s="244">
        <f t="shared" si="39"/>
        <v>2061.5799999999995</v>
      </c>
      <c r="I131" s="244">
        <f t="shared" si="39"/>
        <v>2035.9199999999996</v>
      </c>
      <c r="J131" s="244">
        <f t="shared" si="39"/>
        <v>2066.3599999999997</v>
      </c>
      <c r="K131" s="244">
        <f t="shared" si="39"/>
        <v>2073.7800000000002</v>
      </c>
      <c r="L131" s="244">
        <f t="shared" si="39"/>
        <v>2015.38</v>
      </c>
      <c r="M131" s="244">
        <f t="shared" si="39"/>
        <v>2051.66</v>
      </c>
      <c r="N131" s="244">
        <f t="shared" si="39"/>
        <v>2089.8999999999996</v>
      </c>
      <c r="O131" s="244">
        <f t="shared" si="39"/>
        <v>2071.4400000000005</v>
      </c>
      <c r="P131" s="244">
        <f t="shared" si="39"/>
        <v>2042.1000000000004</v>
      </c>
      <c r="Q131" s="264"/>
      <c r="R131" s="243"/>
      <c r="S131" s="243"/>
      <c r="T131" s="243"/>
      <c r="U131" s="245"/>
      <c r="V131" s="246"/>
      <c r="W131" s="247"/>
      <c r="X131" s="239"/>
      <c r="Z131" s="240"/>
      <c r="AA131" s="240"/>
      <c r="AB131" s="241"/>
      <c r="AC131" s="241"/>
      <c r="AD131" s="242"/>
      <c r="AE131" s="242"/>
    </row>
    <row r="132" spans="1:31">
      <c r="A132" s="248">
        <v>43325</v>
      </c>
      <c r="B132" s="249" t="s">
        <v>76</v>
      </c>
      <c r="C132" s="250" t="s">
        <v>77</v>
      </c>
      <c r="D132" s="123">
        <v>2876.32</v>
      </c>
      <c r="E132" s="123">
        <v>2805.77</v>
      </c>
      <c r="F132" s="123">
        <v>2796.06</v>
      </c>
      <c r="G132" s="123">
        <v>2800.87</v>
      </c>
      <c r="H132" s="123">
        <v>2859.39</v>
      </c>
      <c r="I132" s="123">
        <v>2858.65</v>
      </c>
      <c r="J132" s="123">
        <v>2794.82</v>
      </c>
      <c r="K132" s="123">
        <v>2812.59</v>
      </c>
      <c r="L132" s="123">
        <v>2920.89</v>
      </c>
      <c r="M132" s="123">
        <v>2805.69</v>
      </c>
      <c r="N132" s="123">
        <v>2819.05</v>
      </c>
      <c r="O132" s="123">
        <v>2799.69</v>
      </c>
      <c r="P132" s="123">
        <v>2826.13</v>
      </c>
      <c r="Q132" s="250">
        <f>IF((P133=""),"",MAX(D134:P134))</f>
        <v>2034.1599999999999</v>
      </c>
      <c r="R132" s="250">
        <f>IF(P133="","",MIN(D134:P134))</f>
        <v>1964.6400000000003</v>
      </c>
      <c r="S132" s="250">
        <f>IF((P134=""),"",AVERAGE(D134:P134))</f>
        <v>2010.636923076923</v>
      </c>
      <c r="T132" s="250">
        <f>IF((P133=""),"",STDEV(D134:P134))</f>
        <v>18.572386036180767</v>
      </c>
      <c r="U132" s="251">
        <f>IF((P133=""),"",((Q132-R132)/(Q132+R132))*100)</f>
        <v>1.7385215564669283</v>
      </c>
      <c r="V132" s="228" t="str">
        <f>IF(P133="","",IF(U132&lt;7.2,IF(S132&gt;AB132,IF(S132&lt;AC132,"Pass","Fail"),"Fail"),"Fail"))</f>
        <v>Pass</v>
      </c>
      <c r="W132" s="253">
        <v>1159</v>
      </c>
      <c r="X132" s="230"/>
      <c r="Z132" s="240">
        <v>1600</v>
      </c>
      <c r="AA132" s="240">
        <v>2600</v>
      </c>
      <c r="AB132" s="241">
        <v>1700</v>
      </c>
      <c r="AC132" s="241">
        <v>2100</v>
      </c>
      <c r="AD132" s="242">
        <v>10</v>
      </c>
      <c r="AE132" s="242">
        <v>7.2</v>
      </c>
    </row>
    <row r="133" spans="1:31">
      <c r="A133" s="123"/>
      <c r="B133" s="235"/>
      <c r="C133" s="235" t="s">
        <v>78</v>
      </c>
      <c r="D133" s="123">
        <v>1894</v>
      </c>
      <c r="E133" s="123">
        <v>1804.21</v>
      </c>
      <c r="F133" s="123">
        <v>1792.21</v>
      </c>
      <c r="G133" s="123">
        <v>1783.79</v>
      </c>
      <c r="H133" s="123">
        <v>1851.57</v>
      </c>
      <c r="I133" s="123">
        <v>1853.35</v>
      </c>
      <c r="J133" s="123">
        <v>1789.49</v>
      </c>
      <c r="K133" s="123">
        <v>1805.28</v>
      </c>
      <c r="L133" s="123">
        <v>1925.79</v>
      </c>
      <c r="M133" s="123">
        <v>1799.5</v>
      </c>
      <c r="N133" s="123">
        <v>1802.16</v>
      </c>
      <c r="O133" s="123">
        <v>1784.28</v>
      </c>
      <c r="P133" s="123">
        <v>1821.15</v>
      </c>
      <c r="Q133" s="235"/>
      <c r="R133" s="235"/>
      <c r="S133" s="235"/>
      <c r="T133" s="235"/>
      <c r="U133" s="236"/>
      <c r="V133" s="237"/>
      <c r="W133" s="238"/>
      <c r="X133" s="239"/>
      <c r="Z133" s="240"/>
      <c r="AA133" s="240"/>
      <c r="AB133" s="241"/>
      <c r="AC133" s="241"/>
      <c r="AD133" s="242"/>
      <c r="AE133" s="242"/>
    </row>
    <row r="134" spans="1:31" ht="32.25" thickBot="1">
      <c r="A134" s="123"/>
      <c r="B134" s="243"/>
      <c r="C134" s="243" t="s">
        <v>221</v>
      </c>
      <c r="D134" s="244">
        <f t="shared" ref="D134:P134" si="40">IF(((D132="")*AND(D133="")),"",(D132-D133)*2)</f>
        <v>1964.6400000000003</v>
      </c>
      <c r="E134" s="244">
        <f t="shared" si="40"/>
        <v>2003.12</v>
      </c>
      <c r="F134" s="244">
        <f t="shared" si="40"/>
        <v>2007.6999999999998</v>
      </c>
      <c r="G134" s="244">
        <f t="shared" si="40"/>
        <v>2034.1599999999999</v>
      </c>
      <c r="H134" s="244">
        <f t="shared" si="40"/>
        <v>2015.6399999999999</v>
      </c>
      <c r="I134" s="244">
        <f t="shared" si="40"/>
        <v>2010.6000000000004</v>
      </c>
      <c r="J134" s="244">
        <f t="shared" si="40"/>
        <v>2010.6600000000003</v>
      </c>
      <c r="K134" s="244">
        <f t="shared" si="40"/>
        <v>2014.6200000000003</v>
      </c>
      <c r="L134" s="244">
        <f t="shared" si="40"/>
        <v>1990.1999999999998</v>
      </c>
      <c r="M134" s="244">
        <f t="shared" si="40"/>
        <v>2012.38</v>
      </c>
      <c r="N134" s="244">
        <f t="shared" si="40"/>
        <v>2033.7800000000002</v>
      </c>
      <c r="O134" s="244">
        <f t="shared" si="40"/>
        <v>2030.8200000000002</v>
      </c>
      <c r="P134" s="244">
        <f t="shared" si="40"/>
        <v>2009.96</v>
      </c>
      <c r="Q134" s="264"/>
      <c r="R134" s="243"/>
      <c r="S134" s="243"/>
      <c r="T134" s="243"/>
      <c r="U134" s="245"/>
      <c r="V134" s="246"/>
      <c r="W134" s="247"/>
      <c r="X134" s="239"/>
      <c r="Z134" s="240"/>
      <c r="AA134" s="240"/>
      <c r="AB134" s="241"/>
      <c r="AC134" s="241"/>
      <c r="AD134" s="242"/>
      <c r="AE134" s="242"/>
    </row>
    <row r="135" spans="1:31">
      <c r="A135" s="248">
        <v>43336</v>
      </c>
      <c r="B135" s="249" t="s">
        <v>76</v>
      </c>
      <c r="C135" s="250" t="s">
        <v>77</v>
      </c>
      <c r="D135" s="123">
        <v>2444</v>
      </c>
      <c r="E135" s="123">
        <v>2353</v>
      </c>
      <c r="F135" s="123">
        <v>2337</v>
      </c>
      <c r="G135" s="123">
        <v>2339</v>
      </c>
      <c r="H135" s="123">
        <v>2405</v>
      </c>
      <c r="I135" s="123">
        <v>2402</v>
      </c>
      <c r="J135" s="123">
        <v>2343</v>
      </c>
      <c r="K135" s="123">
        <v>2343</v>
      </c>
      <c r="L135" s="123">
        <v>2404</v>
      </c>
      <c r="M135" s="123">
        <v>2362</v>
      </c>
      <c r="N135" s="123">
        <v>2345</v>
      </c>
      <c r="O135" s="123">
        <v>2345</v>
      </c>
      <c r="P135" s="123">
        <v>2361</v>
      </c>
      <c r="Q135" s="250">
        <f>IF((P136=""),"",MAX(D137:P137))</f>
        <v>1974</v>
      </c>
      <c r="R135" s="250">
        <f>IF(P136="","",MIN(D137:P137))</f>
        <v>1768</v>
      </c>
      <c r="S135" s="250">
        <f>IF((P137=""),"",AVERAGE(D137:P137))</f>
        <v>1828.3076923076924</v>
      </c>
      <c r="T135" s="250">
        <f>IF((P136=""),"",STDEV(D137:P137))</f>
        <v>46.48186853563552</v>
      </c>
      <c r="U135" s="251">
        <f>IF((P136=""),"",((Q135-R135)/(Q135+R135))*100)</f>
        <v>5.505077498663816</v>
      </c>
      <c r="V135" s="228" t="str">
        <f>IF(P136="","",IF(U135&lt;7.2,IF(S135&gt;AB135,IF(S135&lt;AC135,"Pass","Fail"),"Fail"),"Fail"))</f>
        <v>Pass</v>
      </c>
      <c r="W135" s="253"/>
      <c r="X135" s="230"/>
      <c r="Y135" s="265" t="s">
        <v>91</v>
      </c>
      <c r="Z135" s="240">
        <v>1600</v>
      </c>
      <c r="AA135" s="240">
        <v>2600</v>
      </c>
      <c r="AB135" s="241">
        <v>1700</v>
      </c>
      <c r="AC135" s="241">
        <v>2100</v>
      </c>
      <c r="AD135" s="242">
        <v>10</v>
      </c>
      <c r="AE135" s="242">
        <v>7.2</v>
      </c>
    </row>
    <row r="136" spans="1:31" ht="16.5" customHeight="1">
      <c r="A136" s="123"/>
      <c r="B136" s="235"/>
      <c r="C136" s="235" t="s">
        <v>78</v>
      </c>
      <c r="D136" s="123">
        <v>1528</v>
      </c>
      <c r="E136" s="123">
        <v>1447</v>
      </c>
      <c r="F136" s="123">
        <v>1425</v>
      </c>
      <c r="G136" s="123">
        <v>1426</v>
      </c>
      <c r="H136" s="123">
        <v>1418</v>
      </c>
      <c r="I136" s="123">
        <v>1494</v>
      </c>
      <c r="J136" s="123">
        <v>1434</v>
      </c>
      <c r="K136" s="123">
        <v>1438</v>
      </c>
      <c r="L136" s="123">
        <v>1520</v>
      </c>
      <c r="M136" s="123">
        <v>1451</v>
      </c>
      <c r="N136" s="123">
        <v>1434</v>
      </c>
      <c r="O136" s="123">
        <v>1433</v>
      </c>
      <c r="P136" s="123">
        <v>1451</v>
      </c>
      <c r="Q136" s="235"/>
      <c r="R136" s="235"/>
      <c r="S136" s="235"/>
      <c r="T136" s="235"/>
      <c r="U136" s="236"/>
      <c r="V136" s="237"/>
      <c r="W136" s="238"/>
      <c r="X136" s="239"/>
      <c r="Y136" s="259"/>
      <c r="Z136" s="240"/>
      <c r="AA136" s="240"/>
      <c r="AB136" s="241"/>
      <c r="AC136" s="241"/>
      <c r="AD136" s="242"/>
      <c r="AE136" s="242"/>
    </row>
    <row r="137" spans="1:31" ht="32.25" thickBot="1">
      <c r="A137" s="123"/>
      <c r="B137" s="243"/>
      <c r="C137" s="243" t="s">
        <v>221</v>
      </c>
      <c r="D137" s="244">
        <f t="shared" ref="D137:P137" si="41">IF(((D135="")*AND(D136="")),"",(D135-D136)*2)</f>
        <v>1832</v>
      </c>
      <c r="E137" s="244">
        <f t="shared" si="41"/>
        <v>1812</v>
      </c>
      <c r="F137" s="244">
        <f t="shared" si="41"/>
        <v>1824</v>
      </c>
      <c r="G137" s="244">
        <f t="shared" si="41"/>
        <v>1826</v>
      </c>
      <c r="H137" s="244">
        <f t="shared" si="41"/>
        <v>1974</v>
      </c>
      <c r="I137" s="244">
        <f t="shared" si="41"/>
        <v>1816</v>
      </c>
      <c r="J137" s="244">
        <f t="shared" si="41"/>
        <v>1818</v>
      </c>
      <c r="K137" s="244">
        <f t="shared" si="41"/>
        <v>1810</v>
      </c>
      <c r="L137" s="244">
        <f t="shared" si="41"/>
        <v>1768</v>
      </c>
      <c r="M137" s="244">
        <f t="shared" si="41"/>
        <v>1822</v>
      </c>
      <c r="N137" s="244">
        <f t="shared" si="41"/>
        <v>1822</v>
      </c>
      <c r="O137" s="244">
        <f t="shared" si="41"/>
        <v>1824</v>
      </c>
      <c r="P137" s="244">
        <f t="shared" si="41"/>
        <v>1820</v>
      </c>
      <c r="Q137" s="264"/>
      <c r="R137" s="243"/>
      <c r="S137" s="243"/>
      <c r="T137" s="243"/>
      <c r="U137" s="245"/>
      <c r="V137" s="246"/>
      <c r="W137" s="247"/>
      <c r="X137" s="239"/>
      <c r="Z137" s="240"/>
      <c r="AA137" s="240"/>
      <c r="AB137" s="241"/>
      <c r="AC137" s="241"/>
      <c r="AD137" s="242"/>
      <c r="AE137" s="242"/>
    </row>
    <row r="138" spans="1:31">
      <c r="A138" s="248">
        <v>43340</v>
      </c>
      <c r="B138" s="249" t="s">
        <v>76</v>
      </c>
      <c r="C138" s="250" t="s">
        <v>77</v>
      </c>
      <c r="D138" s="123">
        <v>2445</v>
      </c>
      <c r="E138" s="123">
        <v>2356</v>
      </c>
      <c r="F138" s="123">
        <v>2342</v>
      </c>
      <c r="G138" s="123">
        <v>2341</v>
      </c>
      <c r="H138" s="123">
        <v>2403</v>
      </c>
      <c r="I138" s="123">
        <v>2399</v>
      </c>
      <c r="J138" s="123">
        <v>2343</v>
      </c>
      <c r="K138" s="123">
        <v>2347</v>
      </c>
      <c r="L138" s="123">
        <v>2410</v>
      </c>
      <c r="M138" s="123">
        <v>2360</v>
      </c>
      <c r="N138" s="123">
        <v>2349</v>
      </c>
      <c r="O138" s="123">
        <v>2346</v>
      </c>
      <c r="P138" s="123">
        <v>2365</v>
      </c>
      <c r="Q138" s="250">
        <f>IF((P139=""),"",MAX(D140:P140))</f>
        <v>1912</v>
      </c>
      <c r="R138" s="250">
        <f>IF(P139="","",MIN(D140:P140))</f>
        <v>1830</v>
      </c>
      <c r="S138" s="250">
        <f>IF((P140=""),"",AVERAGE(D140:P140))</f>
        <v>1887.2307692307693</v>
      </c>
      <c r="T138" s="250">
        <f>IF((P139=""),"",STDEV(D140:P140))</f>
        <v>24.104473465015598</v>
      </c>
      <c r="U138" s="251">
        <f>IF((P139=""),"",((Q138-R138)/(Q138+R138))*100)</f>
        <v>2.191341528594335</v>
      </c>
      <c r="V138" s="228" t="str">
        <f>IF(P139="","",IF(U138&lt;7.2,IF(S138&gt;AB138,IF(S138&lt;AC138,"Pass","Fail"),"Fail"),"Fail"))</f>
        <v>Pass</v>
      </c>
      <c r="W138" s="253">
        <v>1340</v>
      </c>
      <c r="X138" s="230"/>
      <c r="Z138" s="240">
        <v>1600</v>
      </c>
      <c r="AA138" s="240">
        <v>2600</v>
      </c>
      <c r="AB138" s="241">
        <v>1700</v>
      </c>
      <c r="AC138" s="241">
        <v>2100</v>
      </c>
      <c r="AD138" s="242">
        <v>10</v>
      </c>
      <c r="AE138" s="242">
        <v>7.2</v>
      </c>
    </row>
    <row r="139" spans="1:31">
      <c r="A139" s="123"/>
      <c r="B139" s="235"/>
      <c r="C139" s="235" t="s">
        <v>78</v>
      </c>
      <c r="D139" s="123">
        <v>1519</v>
      </c>
      <c r="E139" s="123">
        <v>1410</v>
      </c>
      <c r="F139" s="123">
        <v>1394</v>
      </c>
      <c r="G139" s="123">
        <v>1387</v>
      </c>
      <c r="H139" s="123">
        <v>1468</v>
      </c>
      <c r="I139" s="123">
        <v>1461</v>
      </c>
      <c r="J139" s="123">
        <v>1392</v>
      </c>
      <c r="K139" s="123">
        <v>1400</v>
      </c>
      <c r="L139" s="123">
        <v>1495</v>
      </c>
      <c r="M139" s="123">
        <v>1412</v>
      </c>
      <c r="N139" s="123">
        <v>1393</v>
      </c>
      <c r="O139" s="123">
        <v>1392</v>
      </c>
      <c r="P139" s="123">
        <v>1416</v>
      </c>
      <c r="Q139" s="235"/>
      <c r="R139" s="235"/>
      <c r="S139" s="235"/>
      <c r="T139" s="235"/>
      <c r="U139" s="236"/>
      <c r="V139" s="237"/>
      <c r="W139" s="238"/>
      <c r="X139" s="239"/>
      <c r="Z139" s="240"/>
      <c r="AA139" s="240"/>
      <c r="AB139" s="241"/>
      <c r="AC139" s="241"/>
      <c r="AD139" s="242"/>
      <c r="AE139" s="242"/>
    </row>
    <row r="140" spans="1:31" ht="32.25" thickBot="1">
      <c r="A140" s="123"/>
      <c r="B140" s="243"/>
      <c r="C140" s="243" t="s">
        <v>221</v>
      </c>
      <c r="D140" s="244">
        <f t="shared" ref="D140:P140" si="42">IF(((D138="")*AND(D139="")),"",(D138-D139)*2)</f>
        <v>1852</v>
      </c>
      <c r="E140" s="244">
        <f t="shared" si="42"/>
        <v>1892</v>
      </c>
      <c r="F140" s="244">
        <f t="shared" si="42"/>
        <v>1896</v>
      </c>
      <c r="G140" s="244">
        <f t="shared" si="42"/>
        <v>1908</v>
      </c>
      <c r="H140" s="244">
        <f t="shared" si="42"/>
        <v>1870</v>
      </c>
      <c r="I140" s="244">
        <f t="shared" si="42"/>
        <v>1876</v>
      </c>
      <c r="J140" s="244">
        <f t="shared" si="42"/>
        <v>1902</v>
      </c>
      <c r="K140" s="244">
        <f t="shared" si="42"/>
        <v>1894</v>
      </c>
      <c r="L140" s="244">
        <f t="shared" si="42"/>
        <v>1830</v>
      </c>
      <c r="M140" s="244">
        <f t="shared" si="42"/>
        <v>1896</v>
      </c>
      <c r="N140" s="244">
        <f t="shared" si="42"/>
        <v>1912</v>
      </c>
      <c r="O140" s="244">
        <f t="shared" si="42"/>
        <v>1908</v>
      </c>
      <c r="P140" s="244">
        <f t="shared" si="42"/>
        <v>1898</v>
      </c>
      <c r="Q140" s="264"/>
      <c r="R140" s="243"/>
      <c r="S140" s="243"/>
      <c r="T140" s="243"/>
      <c r="U140" s="245"/>
      <c r="V140" s="246"/>
      <c r="W140" s="247"/>
      <c r="X140" s="239"/>
      <c r="Z140" s="240"/>
      <c r="AA140" s="240"/>
      <c r="AB140" s="241"/>
      <c r="AC140" s="241"/>
      <c r="AD140" s="242"/>
      <c r="AE140" s="242"/>
    </row>
    <row r="141" spans="1:31">
      <c r="A141" s="248">
        <v>43344</v>
      </c>
      <c r="B141" s="249" t="s">
        <v>76</v>
      </c>
      <c r="C141" s="250" t="s">
        <v>77</v>
      </c>
      <c r="D141" s="123">
        <v>2442.25</v>
      </c>
      <c r="E141" s="123">
        <v>2357.86</v>
      </c>
      <c r="F141" s="123">
        <v>2342.63</v>
      </c>
      <c r="G141" s="123">
        <v>2343</v>
      </c>
      <c r="H141" s="123">
        <v>2404.61</v>
      </c>
      <c r="I141" s="123">
        <v>2400.75</v>
      </c>
      <c r="J141" s="123">
        <v>2345.81</v>
      </c>
      <c r="K141" s="123">
        <v>2349.15</v>
      </c>
      <c r="L141" s="123">
        <v>2405.1999999999998</v>
      </c>
      <c r="M141" s="123">
        <v>2361.15</v>
      </c>
      <c r="N141" s="123">
        <v>2346.02</v>
      </c>
      <c r="O141" s="123">
        <v>2344.64</v>
      </c>
      <c r="P141" s="123">
        <v>2365.1999999999998</v>
      </c>
      <c r="Q141" s="250">
        <f>IF((P142=""),"",MAX(D143:P143))</f>
        <v>1863.94</v>
      </c>
      <c r="R141" s="250">
        <f>IF(P142="","",MIN(D143:P143))</f>
        <v>1789.0999999999995</v>
      </c>
      <c r="S141" s="250">
        <f>IF((P143=""),"",AVERAGE(D143:P143))</f>
        <v>1842.6446153846155</v>
      </c>
      <c r="T141" s="250">
        <f>IF((P142=""),"",STDEV(D143:P143))</f>
        <v>21.301776379520149</v>
      </c>
      <c r="U141" s="251">
        <f>IF((P142=""),"",((Q141-R141)/(Q141+R141))*100)</f>
        <v>2.0487046405185985</v>
      </c>
      <c r="V141" s="228" t="str">
        <f>IF(P142="","",IF(U141&lt;7.2,IF(S141&gt;AB141,IF(S141&lt;AC141,"Pass","Fail"),"Fail"),"Fail"))</f>
        <v>Pass</v>
      </c>
      <c r="W141" s="253">
        <v>1428</v>
      </c>
      <c r="X141" s="230"/>
      <c r="Z141" s="240">
        <v>1600</v>
      </c>
      <c r="AA141" s="240">
        <v>2600</v>
      </c>
      <c r="AB141" s="241">
        <v>1700</v>
      </c>
      <c r="AC141" s="241">
        <v>2100</v>
      </c>
      <c r="AD141" s="242">
        <v>10</v>
      </c>
      <c r="AE141" s="242">
        <v>7.2</v>
      </c>
    </row>
    <row r="142" spans="1:31">
      <c r="A142" s="123"/>
      <c r="B142" s="235"/>
      <c r="C142" s="235" t="s">
        <v>78</v>
      </c>
      <c r="D142" s="123">
        <v>1534.43</v>
      </c>
      <c r="E142" s="123">
        <v>1431.54</v>
      </c>
      <c r="F142" s="123">
        <v>1416.97</v>
      </c>
      <c r="G142" s="123">
        <v>1411.03</v>
      </c>
      <c r="H142" s="123">
        <v>1491.25</v>
      </c>
      <c r="I142" s="123">
        <v>1484.69</v>
      </c>
      <c r="J142" s="123">
        <v>1418.47</v>
      </c>
      <c r="K142" s="123">
        <v>1425.09</v>
      </c>
      <c r="L142" s="123">
        <v>1510.65</v>
      </c>
      <c r="M142" s="123">
        <v>1435.99</v>
      </c>
      <c r="N142" s="123">
        <v>1418.54</v>
      </c>
      <c r="O142" s="123">
        <v>1413.86</v>
      </c>
      <c r="P142" s="123">
        <v>1438.57</v>
      </c>
      <c r="Q142" s="235"/>
      <c r="R142" s="235"/>
      <c r="S142" s="235"/>
      <c r="T142" s="235"/>
      <c r="U142" s="236"/>
      <c r="V142" s="237"/>
      <c r="W142" s="238"/>
      <c r="X142" s="239"/>
    </row>
    <row r="143" spans="1:31" ht="32.25" thickBot="1">
      <c r="A143" s="123"/>
      <c r="B143" s="243"/>
      <c r="C143" s="243" t="s">
        <v>221</v>
      </c>
      <c r="D143" s="244">
        <f t="shared" ref="D143:P143" si="43">IF(((D141="")*AND(D142="")),"",(D141-D142)*2)</f>
        <v>1815.6399999999999</v>
      </c>
      <c r="E143" s="244">
        <f t="shared" si="43"/>
        <v>1852.6400000000003</v>
      </c>
      <c r="F143" s="244">
        <f t="shared" si="43"/>
        <v>1851.3200000000002</v>
      </c>
      <c r="G143" s="244">
        <f t="shared" si="43"/>
        <v>1863.94</v>
      </c>
      <c r="H143" s="244">
        <f t="shared" si="43"/>
        <v>1826.7200000000003</v>
      </c>
      <c r="I143" s="244">
        <f t="shared" si="43"/>
        <v>1832.12</v>
      </c>
      <c r="J143" s="244">
        <f t="shared" si="43"/>
        <v>1854.6799999999998</v>
      </c>
      <c r="K143" s="244">
        <f t="shared" si="43"/>
        <v>1848.1200000000003</v>
      </c>
      <c r="L143" s="244">
        <f t="shared" si="43"/>
        <v>1789.0999999999995</v>
      </c>
      <c r="M143" s="244">
        <f t="shared" si="43"/>
        <v>1850.3200000000002</v>
      </c>
      <c r="N143" s="244">
        <f t="shared" si="43"/>
        <v>1854.96</v>
      </c>
      <c r="O143" s="244">
        <f t="shared" si="43"/>
        <v>1861.56</v>
      </c>
      <c r="P143" s="244">
        <f t="shared" si="43"/>
        <v>1853.2599999999998</v>
      </c>
      <c r="Q143" s="264"/>
      <c r="R143" s="243"/>
      <c r="S143" s="243"/>
      <c r="T143" s="243"/>
      <c r="U143" s="245"/>
      <c r="V143" s="246"/>
      <c r="W143" s="247"/>
      <c r="X143" s="239"/>
    </row>
    <row r="144" spans="1:31">
      <c r="A144" s="248">
        <v>43348</v>
      </c>
      <c r="B144" s="249" t="s">
        <v>76</v>
      </c>
      <c r="C144" s="250" t="s">
        <v>77</v>
      </c>
      <c r="D144" s="123">
        <v>2445.19</v>
      </c>
      <c r="E144" s="123">
        <v>2355.9699999999998</v>
      </c>
      <c r="F144" s="123">
        <v>2340.61</v>
      </c>
      <c r="G144" s="123">
        <v>2342.16</v>
      </c>
      <c r="H144" s="123">
        <v>2404.0500000000002</v>
      </c>
      <c r="I144" s="123">
        <v>2401.38</v>
      </c>
      <c r="J144" s="123">
        <v>2346.0300000000002</v>
      </c>
      <c r="K144" s="123">
        <v>2348.27</v>
      </c>
      <c r="L144" s="123">
        <v>2406.37</v>
      </c>
      <c r="M144" s="123">
        <v>2360.9299999999998</v>
      </c>
      <c r="N144" s="123">
        <v>2349.9299999999998</v>
      </c>
      <c r="O144" s="123">
        <v>2347.9899999999998</v>
      </c>
      <c r="P144" s="123">
        <v>2364.12</v>
      </c>
      <c r="Q144" s="250">
        <f>IF((P145=""),"",MAX(D146:P146))</f>
        <v>1875.6399999999999</v>
      </c>
      <c r="R144" s="250">
        <f>IF(P145="","",MIN(D146:P146))</f>
        <v>1803.9799999999996</v>
      </c>
      <c r="S144" s="250">
        <f>IF((P146=""),"",AVERAGE(D146:P146))</f>
        <v>1855.2015384615383</v>
      </c>
      <c r="T144" s="250">
        <f>IF((P145=""),"",STDEV(D146:P146))</f>
        <v>21.398988233930499</v>
      </c>
      <c r="U144" s="251">
        <f>IF((P145=""),"",((Q144-R144)/(Q144+R144))*100)</f>
        <v>1.9474837075567673</v>
      </c>
      <c r="V144" s="228" t="str">
        <f>IF(P145="","",IF(U144&lt;7.2,IF(S144&gt;AB144,IF(S144&lt;AC144,"Pass","Fail"),"Fail"),"Fail"))</f>
        <v>Pass</v>
      </c>
      <c r="W144" s="253">
        <v>121</v>
      </c>
      <c r="X144" s="230"/>
      <c r="Z144" s="240">
        <v>1600</v>
      </c>
      <c r="AA144" s="240">
        <v>2600</v>
      </c>
      <c r="AB144" s="241">
        <v>1700</v>
      </c>
      <c r="AC144" s="241">
        <v>2100</v>
      </c>
      <c r="AD144" s="242">
        <v>10</v>
      </c>
      <c r="AE144" s="242">
        <v>7.2</v>
      </c>
    </row>
    <row r="145" spans="1:31">
      <c r="A145" s="123"/>
      <c r="B145" s="235"/>
      <c r="C145" s="235" t="s">
        <v>78</v>
      </c>
      <c r="D145" s="123">
        <v>1531.02</v>
      </c>
      <c r="E145" s="123">
        <v>1424.83</v>
      </c>
      <c r="F145" s="123">
        <v>1410.67</v>
      </c>
      <c r="G145" s="123">
        <v>1404.34</v>
      </c>
      <c r="H145" s="123">
        <v>1488.38</v>
      </c>
      <c r="I145" s="123">
        <v>1473.5</v>
      </c>
      <c r="J145" s="123">
        <v>1414.39</v>
      </c>
      <c r="K145" s="123">
        <v>1416.25</v>
      </c>
      <c r="L145" s="123">
        <v>1504.38</v>
      </c>
      <c r="M145" s="123">
        <v>1427.85</v>
      </c>
      <c r="N145" s="123">
        <v>1412.13</v>
      </c>
      <c r="O145" s="123">
        <v>1410.26</v>
      </c>
      <c r="P145" s="123">
        <v>1436.19</v>
      </c>
      <c r="Q145" s="235"/>
      <c r="R145" s="235"/>
      <c r="S145" s="235"/>
      <c r="T145" s="235"/>
      <c r="U145" s="236"/>
      <c r="V145" s="237"/>
      <c r="W145" s="238"/>
      <c r="X145" s="239"/>
    </row>
    <row r="146" spans="1:31" ht="32.25" thickBot="1">
      <c r="A146" s="123"/>
      <c r="B146" s="243"/>
      <c r="C146" s="243" t="s">
        <v>221</v>
      </c>
      <c r="D146" s="244">
        <f t="shared" ref="D146:P146" si="44">IF(((D144="")*AND(D145="")),"",(D144-D145)*2)</f>
        <v>1828.3400000000001</v>
      </c>
      <c r="E146" s="244">
        <f t="shared" si="44"/>
        <v>1862.2799999999997</v>
      </c>
      <c r="F146" s="244">
        <f t="shared" si="44"/>
        <v>1859.88</v>
      </c>
      <c r="G146" s="244">
        <f t="shared" si="44"/>
        <v>1875.6399999999999</v>
      </c>
      <c r="H146" s="244">
        <f t="shared" si="44"/>
        <v>1831.3400000000001</v>
      </c>
      <c r="I146" s="244">
        <f t="shared" si="44"/>
        <v>1855.7600000000002</v>
      </c>
      <c r="J146" s="244">
        <f t="shared" si="44"/>
        <v>1863.2800000000002</v>
      </c>
      <c r="K146" s="244">
        <f t="shared" si="44"/>
        <v>1864.04</v>
      </c>
      <c r="L146" s="244">
        <f t="shared" si="44"/>
        <v>1803.9799999999996</v>
      </c>
      <c r="M146" s="244">
        <f t="shared" si="44"/>
        <v>1866.1599999999999</v>
      </c>
      <c r="N146" s="244">
        <f t="shared" si="44"/>
        <v>1875.5999999999995</v>
      </c>
      <c r="O146" s="244">
        <f t="shared" si="44"/>
        <v>1875.4599999999996</v>
      </c>
      <c r="P146" s="244">
        <f t="shared" si="44"/>
        <v>1855.8599999999997</v>
      </c>
      <c r="Q146" s="264"/>
      <c r="R146" s="243"/>
      <c r="S146" s="243"/>
      <c r="T146" s="243"/>
      <c r="U146" s="245"/>
      <c r="V146" s="246"/>
      <c r="W146" s="247"/>
      <c r="X146" s="239"/>
    </row>
    <row r="147" spans="1:31">
      <c r="A147" s="248">
        <v>43352</v>
      </c>
      <c r="B147" s="249" t="s">
        <v>76</v>
      </c>
      <c r="C147" s="250" t="s">
        <v>77</v>
      </c>
      <c r="D147" s="123">
        <v>2443.3000000000002</v>
      </c>
      <c r="E147" s="123">
        <v>2355.52</v>
      </c>
      <c r="F147" s="123">
        <v>2342.67</v>
      </c>
      <c r="G147" s="123">
        <v>2341.63</v>
      </c>
      <c r="H147" s="123">
        <v>2400.81</v>
      </c>
      <c r="I147" s="123">
        <v>2399.6</v>
      </c>
      <c r="J147" s="123">
        <v>2344.5</v>
      </c>
      <c r="K147" s="123">
        <v>2347.59</v>
      </c>
      <c r="L147" s="123">
        <v>2409.9</v>
      </c>
      <c r="M147" s="123">
        <v>2357.14</v>
      </c>
      <c r="N147" s="123">
        <v>2348.5700000000002</v>
      </c>
      <c r="O147" s="123">
        <v>2347.56</v>
      </c>
      <c r="P147" s="123">
        <v>2365.52</v>
      </c>
      <c r="Q147" s="250">
        <f>IF((P148=""),"",MAX(D149:P149))</f>
        <v>2025.9800000000005</v>
      </c>
      <c r="R147" s="250">
        <f>IF(P148="","",MIN(D149:P149))</f>
        <v>1906.7600000000002</v>
      </c>
      <c r="S147" s="250">
        <f>IF((P149=""),"",AVERAGE(D149:P149))</f>
        <v>1992.4461538461544</v>
      </c>
      <c r="T147" s="250">
        <f>IF((P148=""),"",STDEV(D149:P149))</f>
        <v>34.053254748619239</v>
      </c>
      <c r="U147" s="251">
        <f>IF((P148=""),"",((Q147-R147)/(Q147+R147))*100)</f>
        <v>3.0314742393344138</v>
      </c>
      <c r="V147" s="228" t="str">
        <f>IF(P148="","",IF(U147&lt;7.2,IF(S147&gt;AB147,IF(S147&lt;AC147,"Pass","Fail"),"Fail"),"Fail"))</f>
        <v>Pass</v>
      </c>
      <c r="W147" s="253">
        <v>74</v>
      </c>
      <c r="X147" s="230"/>
      <c r="Z147" s="240">
        <v>1600</v>
      </c>
      <c r="AA147" s="240">
        <v>2600</v>
      </c>
      <c r="AB147" s="241">
        <v>1700</v>
      </c>
      <c r="AC147" s="241">
        <v>2100</v>
      </c>
      <c r="AD147" s="242">
        <v>10</v>
      </c>
      <c r="AE147" s="242">
        <v>7.2</v>
      </c>
    </row>
    <row r="148" spans="1:31">
      <c r="A148" s="123"/>
      <c r="B148" s="235"/>
      <c r="C148" s="235" t="s">
        <v>78</v>
      </c>
      <c r="D148" s="123">
        <v>1471.91</v>
      </c>
      <c r="E148" s="123">
        <v>1357.3</v>
      </c>
      <c r="F148" s="123">
        <v>1337.05</v>
      </c>
      <c r="G148" s="123">
        <v>1330.25</v>
      </c>
      <c r="H148" s="123">
        <v>1404.54</v>
      </c>
      <c r="I148" s="123">
        <v>1412.31</v>
      </c>
      <c r="J148" s="123">
        <v>1341.03</v>
      </c>
      <c r="K148" s="123">
        <v>1344.65</v>
      </c>
      <c r="L148" s="123">
        <v>1456.52</v>
      </c>
      <c r="M148" s="123">
        <v>1361.58</v>
      </c>
      <c r="N148" s="123">
        <v>1335.58</v>
      </c>
      <c r="O148" s="123">
        <v>1336.53</v>
      </c>
      <c r="P148" s="123">
        <v>1364.16</v>
      </c>
      <c r="Q148" s="235"/>
      <c r="R148" s="235"/>
      <c r="S148" s="235"/>
      <c r="T148" s="235"/>
      <c r="U148" s="236"/>
      <c r="V148" s="237"/>
      <c r="W148" s="238"/>
      <c r="X148" s="239"/>
    </row>
    <row r="149" spans="1:31" ht="32.25" thickBot="1">
      <c r="A149" s="123"/>
      <c r="B149" s="243"/>
      <c r="C149" s="243" t="s">
        <v>221</v>
      </c>
      <c r="D149" s="244">
        <f t="shared" ref="D149:P149" si="45">IF(((D147="")*AND(D148="")),"",(D147-D148)*2)</f>
        <v>1942.7800000000002</v>
      </c>
      <c r="E149" s="244">
        <f t="shared" si="45"/>
        <v>1996.44</v>
      </c>
      <c r="F149" s="244">
        <f t="shared" si="45"/>
        <v>2011.2400000000002</v>
      </c>
      <c r="G149" s="244">
        <f t="shared" si="45"/>
        <v>2022.7600000000002</v>
      </c>
      <c r="H149" s="244">
        <f t="shared" si="45"/>
        <v>1992.54</v>
      </c>
      <c r="I149" s="244">
        <f t="shared" si="45"/>
        <v>1974.58</v>
      </c>
      <c r="J149" s="244">
        <f t="shared" si="45"/>
        <v>2006.94</v>
      </c>
      <c r="K149" s="244">
        <f t="shared" si="45"/>
        <v>2005.88</v>
      </c>
      <c r="L149" s="244">
        <f t="shared" si="45"/>
        <v>1906.7600000000002</v>
      </c>
      <c r="M149" s="244">
        <f t="shared" si="45"/>
        <v>1991.12</v>
      </c>
      <c r="N149" s="244">
        <f t="shared" si="45"/>
        <v>2025.9800000000005</v>
      </c>
      <c r="O149" s="244">
        <f t="shared" si="45"/>
        <v>2022.06</v>
      </c>
      <c r="P149" s="244">
        <f t="shared" si="45"/>
        <v>2002.7199999999998</v>
      </c>
      <c r="Q149" s="264"/>
      <c r="R149" s="243"/>
      <c r="S149" s="243"/>
      <c r="T149" s="243"/>
      <c r="U149" s="245"/>
      <c r="V149" s="246"/>
      <c r="W149" s="247"/>
      <c r="X149" s="239"/>
    </row>
    <row r="150" spans="1:31">
      <c r="A150" s="248">
        <v>43357</v>
      </c>
      <c r="B150" s="249" t="s">
        <v>76</v>
      </c>
      <c r="C150" s="250" t="s">
        <v>77</v>
      </c>
      <c r="D150" s="123">
        <v>2441.19</v>
      </c>
      <c r="E150" s="123">
        <v>2354.42</v>
      </c>
      <c r="F150" s="123">
        <v>2337.41</v>
      </c>
      <c r="G150" s="123">
        <v>2337.15</v>
      </c>
      <c r="H150" s="123">
        <v>2392.25</v>
      </c>
      <c r="I150" s="123">
        <v>2397.44</v>
      </c>
      <c r="J150" s="123">
        <v>2341.16</v>
      </c>
      <c r="K150" s="123">
        <v>2343.7199999999998</v>
      </c>
      <c r="L150" s="123">
        <v>2399.0100000000002</v>
      </c>
      <c r="M150" s="123">
        <v>2361.19</v>
      </c>
      <c r="N150" s="123">
        <v>2346.04</v>
      </c>
      <c r="O150" s="123">
        <v>2341.2199999999998</v>
      </c>
      <c r="P150" s="123">
        <v>2362.37</v>
      </c>
      <c r="Q150" s="250">
        <f>IF((P151=""),"",MAX(D152:P152))</f>
        <v>2028.2200000000003</v>
      </c>
      <c r="R150" s="250">
        <f>IF(P151="","",MIN(D152:P152))</f>
        <v>1911.4600000000005</v>
      </c>
      <c r="S150" s="250">
        <f>IF((P152=""),"",AVERAGE(D152:P152))</f>
        <v>1992.3507692307689</v>
      </c>
      <c r="T150" s="250">
        <f>IF((P151=""),"",STDEV(D152:P152))</f>
        <v>32.440160927862749</v>
      </c>
      <c r="U150" s="251">
        <f>IF((P151=""),"",((Q150-R150)/(Q150+R150))*100)</f>
        <v>2.9636924826381774</v>
      </c>
      <c r="V150" s="228" t="str">
        <f>IF(P151="","",IF(U150&lt;7.2,IF(S150&gt;AB150,IF(S150&lt;AC150,"Pass","Fail"),"Fail"),"Fail"))</f>
        <v>Pass</v>
      </c>
      <c r="W150" s="253">
        <v>1159</v>
      </c>
      <c r="X150" s="260" t="s">
        <v>92</v>
      </c>
      <c r="Z150" s="240">
        <v>1600</v>
      </c>
      <c r="AA150" s="240">
        <v>2600</v>
      </c>
      <c r="AB150" s="241">
        <v>1700</v>
      </c>
      <c r="AC150" s="241">
        <v>2100</v>
      </c>
      <c r="AD150" s="242">
        <v>10</v>
      </c>
      <c r="AE150" s="242">
        <v>7.2</v>
      </c>
    </row>
    <row r="151" spans="1:31">
      <c r="A151" s="123"/>
      <c r="B151" s="235"/>
      <c r="C151" s="235" t="s">
        <v>78</v>
      </c>
      <c r="D151" s="123">
        <v>1467.67</v>
      </c>
      <c r="E151" s="123">
        <v>1356.72</v>
      </c>
      <c r="F151" s="123">
        <v>1332.57</v>
      </c>
      <c r="G151" s="123">
        <v>1323.04</v>
      </c>
      <c r="H151" s="123">
        <v>1405.93</v>
      </c>
      <c r="I151" s="123">
        <v>1403.24</v>
      </c>
      <c r="J151" s="123">
        <v>1339.23</v>
      </c>
      <c r="K151" s="123">
        <v>1344.84</v>
      </c>
      <c r="L151" s="123">
        <v>1443.28</v>
      </c>
      <c r="M151" s="123">
        <v>1361.5</v>
      </c>
      <c r="N151" s="123">
        <v>1332.92</v>
      </c>
      <c r="O151" s="123">
        <v>1334.1</v>
      </c>
      <c r="P151" s="123">
        <v>1359.25</v>
      </c>
      <c r="Q151" s="235"/>
      <c r="R151" s="235"/>
      <c r="S151" s="235"/>
      <c r="T151" s="235"/>
      <c r="U151" s="236"/>
      <c r="V151" s="237"/>
      <c r="W151" s="238"/>
      <c r="X151" s="239"/>
    </row>
    <row r="152" spans="1:31" ht="32.25" thickBot="1">
      <c r="A152" s="123"/>
      <c r="B152" s="243"/>
      <c r="C152" s="243" t="s">
        <v>221</v>
      </c>
      <c r="D152" s="244">
        <f t="shared" ref="D152:P152" si="46">IF(((D150="")*AND(D151="")),"",(D150-D151)*2)</f>
        <v>1947.04</v>
      </c>
      <c r="E152" s="244">
        <f t="shared" si="46"/>
        <v>1995.4</v>
      </c>
      <c r="F152" s="244">
        <f t="shared" si="46"/>
        <v>2009.6799999999998</v>
      </c>
      <c r="G152" s="244">
        <f t="shared" si="46"/>
        <v>2028.2200000000003</v>
      </c>
      <c r="H152" s="244">
        <f t="shared" si="46"/>
        <v>1972.6399999999999</v>
      </c>
      <c r="I152" s="244">
        <f t="shared" si="46"/>
        <v>1988.4</v>
      </c>
      <c r="J152" s="244">
        <f t="shared" si="46"/>
        <v>2003.8599999999997</v>
      </c>
      <c r="K152" s="244">
        <f t="shared" si="46"/>
        <v>1997.7599999999998</v>
      </c>
      <c r="L152" s="244">
        <f t="shared" si="46"/>
        <v>1911.4600000000005</v>
      </c>
      <c r="M152" s="244">
        <f t="shared" si="46"/>
        <v>1999.38</v>
      </c>
      <c r="N152" s="244">
        <f t="shared" si="46"/>
        <v>2026.2399999999998</v>
      </c>
      <c r="O152" s="244">
        <f t="shared" si="46"/>
        <v>2014.2399999999998</v>
      </c>
      <c r="P152" s="244">
        <f t="shared" si="46"/>
        <v>2006.2399999999998</v>
      </c>
      <c r="Q152" s="264"/>
      <c r="R152" s="243"/>
      <c r="S152" s="243"/>
      <c r="T152" s="243"/>
      <c r="U152" s="245"/>
      <c r="V152" s="246"/>
      <c r="W152" s="247"/>
      <c r="X152" s="239"/>
    </row>
    <row r="153" spans="1:31">
      <c r="A153" s="248">
        <v>43362</v>
      </c>
      <c r="B153" s="249" t="s">
        <v>76</v>
      </c>
      <c r="C153" s="250" t="s">
        <v>77</v>
      </c>
      <c r="D153" s="123">
        <v>2411.4299999999998</v>
      </c>
      <c r="E153" s="123">
        <v>2319.92</v>
      </c>
      <c r="F153" s="123">
        <v>2305.81</v>
      </c>
      <c r="G153" s="123">
        <v>2308.12</v>
      </c>
      <c r="H153" s="123">
        <v>2384.88</v>
      </c>
      <c r="I153" s="123">
        <v>2377.88</v>
      </c>
      <c r="J153" s="123">
        <v>2312.21</v>
      </c>
      <c r="K153" s="123">
        <v>2311.02</v>
      </c>
      <c r="L153" s="123">
        <v>2372.4699999999998</v>
      </c>
      <c r="M153" s="123">
        <v>2326.98</v>
      </c>
      <c r="N153" s="123">
        <v>2313.96</v>
      </c>
      <c r="O153" s="123">
        <v>2318.25</v>
      </c>
      <c r="P153" s="123">
        <v>2327.08</v>
      </c>
      <c r="Q153" s="250">
        <f>IF((P154=""),"",MAX(D155:P155))</f>
        <v>1791.7000000000003</v>
      </c>
      <c r="R153" s="250">
        <f>IF(P154="","",MIN(D155:P155))</f>
        <v>1737.0399999999995</v>
      </c>
      <c r="S153" s="250">
        <f>IF((P155=""),"",AVERAGE(D155:P155))</f>
        <v>1775.621538461538</v>
      </c>
      <c r="T153" s="250">
        <f>IF((P154=""),"",STDEV(D155:P155))</f>
        <v>14.84860815371491</v>
      </c>
      <c r="U153" s="251">
        <f>IF((P154=""),"",((Q153-R153)/(Q153+R153))*100)</f>
        <v>1.5489948253484465</v>
      </c>
      <c r="V153" s="228" t="str">
        <f>IF(P154="","",IF(U153&lt;7.2,IF(S153&gt;AB153,IF(S153&lt;AC153,"Pass","Fail"),"Fail"),"Fail"))</f>
        <v>Pass</v>
      </c>
      <c r="W153" s="253">
        <v>1340</v>
      </c>
      <c r="X153" s="230"/>
      <c r="Z153" s="240">
        <v>1600</v>
      </c>
      <c r="AA153" s="240">
        <v>2600</v>
      </c>
      <c r="AB153" s="241">
        <v>1700</v>
      </c>
      <c r="AC153" s="241">
        <v>2100</v>
      </c>
      <c r="AD153" s="242">
        <v>10</v>
      </c>
      <c r="AE153" s="242">
        <v>7.2</v>
      </c>
    </row>
    <row r="154" spans="1:31">
      <c r="A154" s="123"/>
      <c r="B154" s="235"/>
      <c r="C154" s="235" t="s">
        <v>78</v>
      </c>
      <c r="D154" s="123">
        <v>1528.91</v>
      </c>
      <c r="E154" s="123">
        <v>1429.67</v>
      </c>
      <c r="F154" s="123">
        <v>1413.85</v>
      </c>
      <c r="G154" s="123">
        <v>1414.1</v>
      </c>
      <c r="H154" s="123">
        <v>1504.15</v>
      </c>
      <c r="I154" s="123">
        <v>1493.23</v>
      </c>
      <c r="J154" s="123">
        <v>1419.89</v>
      </c>
      <c r="K154" s="123">
        <v>1424.21</v>
      </c>
      <c r="L154" s="123">
        <v>1503.95</v>
      </c>
      <c r="M154" s="123">
        <v>1437.02</v>
      </c>
      <c r="N154" s="123">
        <v>1418.11</v>
      </c>
      <c r="O154" s="123">
        <v>1423.61</v>
      </c>
      <c r="P154" s="123">
        <v>1437.77</v>
      </c>
      <c r="Q154" s="235"/>
      <c r="R154" s="235"/>
      <c r="S154" s="235"/>
      <c r="T154" s="235"/>
      <c r="U154" s="236"/>
      <c r="V154" s="237"/>
      <c r="W154" s="238"/>
      <c r="X154" s="239"/>
    </row>
    <row r="155" spans="1:31" ht="32.25" thickBot="1">
      <c r="A155" s="123"/>
      <c r="B155" s="243"/>
      <c r="C155" s="243" t="s">
        <v>221</v>
      </c>
      <c r="D155" s="244">
        <f t="shared" ref="D155:P155" si="47">IF(((D153="")*AND(D154="")),"",(D153-D154)*2)</f>
        <v>1765.0399999999995</v>
      </c>
      <c r="E155" s="244">
        <f t="shared" si="47"/>
        <v>1780.5</v>
      </c>
      <c r="F155" s="244">
        <f t="shared" si="47"/>
        <v>1783.92</v>
      </c>
      <c r="G155" s="244">
        <f t="shared" si="47"/>
        <v>1788.04</v>
      </c>
      <c r="H155" s="244">
        <f t="shared" si="47"/>
        <v>1761.46</v>
      </c>
      <c r="I155" s="244">
        <f t="shared" si="47"/>
        <v>1769.3000000000002</v>
      </c>
      <c r="J155" s="244">
        <f t="shared" si="47"/>
        <v>1784.6399999999999</v>
      </c>
      <c r="K155" s="244">
        <f t="shared" si="47"/>
        <v>1773.62</v>
      </c>
      <c r="L155" s="244">
        <f t="shared" si="47"/>
        <v>1737.0399999999995</v>
      </c>
      <c r="M155" s="244">
        <f t="shared" si="47"/>
        <v>1779.92</v>
      </c>
      <c r="N155" s="244">
        <f t="shared" si="47"/>
        <v>1791.7000000000003</v>
      </c>
      <c r="O155" s="244">
        <f t="shared" si="47"/>
        <v>1789.2800000000002</v>
      </c>
      <c r="P155" s="244">
        <f t="shared" si="47"/>
        <v>1778.62</v>
      </c>
      <c r="Q155" s="264"/>
      <c r="R155" s="243"/>
      <c r="S155" s="243"/>
      <c r="T155" s="243"/>
      <c r="U155" s="245"/>
      <c r="V155" s="246"/>
      <c r="W155" s="247"/>
      <c r="X155" s="239"/>
    </row>
    <row r="156" spans="1:31">
      <c r="A156" s="248">
        <v>43367</v>
      </c>
      <c r="B156" s="249" t="s">
        <v>76</v>
      </c>
      <c r="C156" s="250" t="s">
        <v>77</v>
      </c>
      <c r="D156" s="123">
        <v>2420.2600000000002</v>
      </c>
      <c r="E156" s="123">
        <v>2329.7800000000002</v>
      </c>
      <c r="F156" s="123">
        <v>2313.59</v>
      </c>
      <c r="G156" s="123">
        <v>2315.14</v>
      </c>
      <c r="H156" s="123">
        <v>2380.8200000000002</v>
      </c>
      <c r="I156" s="123">
        <v>2381.09</v>
      </c>
      <c r="J156" s="123">
        <v>2319.0500000000002</v>
      </c>
      <c r="K156" s="123">
        <v>2323</v>
      </c>
      <c r="L156" s="123">
        <v>2392.2600000000002</v>
      </c>
      <c r="M156" s="123">
        <v>2333.0300000000002</v>
      </c>
      <c r="N156" s="123">
        <v>2323.42</v>
      </c>
      <c r="O156" s="123">
        <v>2324.0700000000002</v>
      </c>
      <c r="P156" s="123">
        <v>2339.98</v>
      </c>
      <c r="Q156" s="250">
        <f>IF((P157=""),"",MAX(D158:P158))</f>
        <v>1988.2200000000003</v>
      </c>
      <c r="R156" s="250">
        <f>IF(P157="","",MIN(D158:P158))</f>
        <v>1890.8000000000006</v>
      </c>
      <c r="S156" s="250">
        <f>IF((P158=""),"",AVERAGE(D158:P158))</f>
        <v>1964.7707692307695</v>
      </c>
      <c r="T156" s="250">
        <f>IF((P157=""),"",STDEV(D158:P158))</f>
        <v>30.70726148148513</v>
      </c>
      <c r="U156" s="251">
        <f>IF((P157=""),"",((Q156-R156)/(Q156+R156))*100)</f>
        <v>2.5114590798706788</v>
      </c>
      <c r="V156" s="228" t="str">
        <f>IF(P157="","",IF(U156&lt;7.2,IF(S156&gt;AB156,IF(S156&lt;AC156,"Pass","Fail"),"Fail"),"Fail"))</f>
        <v>Pass</v>
      </c>
      <c r="W156" s="253">
        <v>1340</v>
      </c>
      <c r="X156" s="230"/>
      <c r="Z156" s="240">
        <v>1600</v>
      </c>
      <c r="AA156" s="240">
        <v>2600</v>
      </c>
      <c r="AB156" s="241">
        <v>1700</v>
      </c>
      <c r="AC156" s="241">
        <v>2100</v>
      </c>
      <c r="AD156" s="242">
        <v>10</v>
      </c>
      <c r="AE156" s="242">
        <v>7.2</v>
      </c>
    </row>
    <row r="157" spans="1:31">
      <c r="A157" s="123"/>
      <c r="B157" s="235"/>
      <c r="C157" s="235" t="s">
        <v>78</v>
      </c>
      <c r="D157" s="123">
        <v>1466.06</v>
      </c>
      <c r="E157" s="123">
        <v>1342.05</v>
      </c>
      <c r="F157" s="123">
        <v>1325.71</v>
      </c>
      <c r="G157" s="123">
        <v>1322.85</v>
      </c>
      <c r="H157" s="123">
        <v>1394.68</v>
      </c>
      <c r="I157" s="123">
        <v>1405.8</v>
      </c>
      <c r="J157" s="123">
        <v>1330.03</v>
      </c>
      <c r="K157" s="123">
        <v>1330.11</v>
      </c>
      <c r="L157" s="123">
        <v>1446.86</v>
      </c>
      <c r="M157" s="123">
        <v>1347.87</v>
      </c>
      <c r="N157" s="123">
        <v>1329.31</v>
      </c>
      <c r="O157" s="123">
        <v>1330.83</v>
      </c>
      <c r="P157" s="123">
        <v>1352.32</v>
      </c>
      <c r="Q157" s="235"/>
      <c r="R157" s="235"/>
      <c r="S157" s="235"/>
      <c r="T157" s="235"/>
      <c r="U157" s="236"/>
      <c r="V157" s="237"/>
      <c r="W157" s="238"/>
      <c r="X157" s="239"/>
    </row>
    <row r="158" spans="1:31" ht="32.25" thickBot="1">
      <c r="A158" s="123"/>
      <c r="B158" s="243"/>
      <c r="C158" s="243" t="s">
        <v>221</v>
      </c>
      <c r="D158" s="244">
        <f t="shared" ref="D158:P158" si="48">IF(((D156="")*AND(D157="")),"",(D156-D157)*2)</f>
        <v>1908.4000000000005</v>
      </c>
      <c r="E158" s="244">
        <f t="shared" si="48"/>
        <v>1975.4600000000005</v>
      </c>
      <c r="F158" s="244">
        <f t="shared" si="48"/>
        <v>1975.7600000000002</v>
      </c>
      <c r="G158" s="244">
        <f t="shared" si="48"/>
        <v>1984.58</v>
      </c>
      <c r="H158" s="244">
        <f t="shared" si="48"/>
        <v>1972.2800000000002</v>
      </c>
      <c r="I158" s="244">
        <f t="shared" si="48"/>
        <v>1950.5800000000004</v>
      </c>
      <c r="J158" s="244">
        <f t="shared" si="48"/>
        <v>1978.0400000000004</v>
      </c>
      <c r="K158" s="244">
        <f t="shared" si="48"/>
        <v>1985.7800000000002</v>
      </c>
      <c r="L158" s="244">
        <f t="shared" si="48"/>
        <v>1890.8000000000006</v>
      </c>
      <c r="M158" s="244">
        <f t="shared" si="48"/>
        <v>1970.3200000000006</v>
      </c>
      <c r="N158" s="244">
        <f t="shared" si="48"/>
        <v>1988.2200000000003</v>
      </c>
      <c r="O158" s="244">
        <f t="shared" si="48"/>
        <v>1986.4800000000005</v>
      </c>
      <c r="P158" s="244">
        <f t="shared" si="48"/>
        <v>1975.3200000000002</v>
      </c>
      <c r="Q158" s="264"/>
      <c r="R158" s="243"/>
      <c r="S158" s="243"/>
      <c r="T158" s="243"/>
      <c r="U158" s="245"/>
      <c r="V158" s="246"/>
      <c r="W158" s="247"/>
      <c r="X158" s="239"/>
    </row>
    <row r="159" spans="1:31">
      <c r="A159" s="248">
        <v>43370</v>
      </c>
      <c r="B159" s="249" t="s">
        <v>76</v>
      </c>
      <c r="C159" s="250" t="s">
        <v>77</v>
      </c>
      <c r="D159" s="123">
        <v>2416.54</v>
      </c>
      <c r="E159" s="123">
        <v>2327.41</v>
      </c>
      <c r="F159" s="123">
        <v>2310.88</v>
      </c>
      <c r="G159" s="123">
        <v>2314.6799999999998</v>
      </c>
      <c r="H159" s="123">
        <v>2384.21</v>
      </c>
      <c r="I159" s="123">
        <v>2384.44</v>
      </c>
      <c r="J159" s="123">
        <v>2316.04</v>
      </c>
      <c r="K159" s="123">
        <v>2319.36</v>
      </c>
      <c r="L159" s="123">
        <v>2383.7199999999998</v>
      </c>
      <c r="M159" s="123">
        <v>2332.89</v>
      </c>
      <c r="N159" s="123">
        <v>2320.02</v>
      </c>
      <c r="O159" s="123">
        <v>2324.34</v>
      </c>
      <c r="P159" s="123">
        <v>2336.13</v>
      </c>
      <c r="Q159" s="250">
        <f>IF((P160=""),"",MAX(D161:P161))</f>
        <v>2074.06</v>
      </c>
      <c r="R159" s="250">
        <f>IF(P160="","",MIN(D161:P161))</f>
        <v>1952.0199999999995</v>
      </c>
      <c r="S159" s="250">
        <f>IF((P161=""),"",AVERAGE(D161:P161))</f>
        <v>2039.7584615384617</v>
      </c>
      <c r="T159" s="250">
        <f>IF((P160=""),"",STDEV(D161:P161))</f>
        <v>35.031053330379677</v>
      </c>
      <c r="U159" s="251">
        <f>IF((P160=""),"",((Q159-R159)/(Q159+R159))*100)</f>
        <v>3.0312363390692791</v>
      </c>
      <c r="V159" s="228" t="str">
        <f>IF(P160="","",IF(U159&lt;7.2,IF(S159&gt;AB159,IF(S159&lt;AC159,"Pass","Fail"),"Fail"),"Fail"))</f>
        <v>Pass</v>
      </c>
      <c r="W159" s="253">
        <v>1340</v>
      </c>
      <c r="X159" s="230"/>
      <c r="Z159" s="240">
        <v>1600</v>
      </c>
      <c r="AA159" s="240">
        <v>2600</v>
      </c>
      <c r="AB159" s="241">
        <v>1700</v>
      </c>
      <c r="AC159" s="241">
        <v>2100</v>
      </c>
      <c r="AD159" s="242">
        <v>10</v>
      </c>
      <c r="AE159" s="242">
        <v>7.2</v>
      </c>
    </row>
    <row r="160" spans="1:31">
      <c r="A160" s="123"/>
      <c r="B160" s="235"/>
      <c r="C160" s="235" t="s">
        <v>78</v>
      </c>
      <c r="D160" s="123">
        <v>1424.57</v>
      </c>
      <c r="E160" s="123">
        <v>1305.4100000000001</v>
      </c>
      <c r="F160" s="123">
        <v>1285.3599999999999</v>
      </c>
      <c r="G160" s="123">
        <v>1280.9100000000001</v>
      </c>
      <c r="H160" s="123">
        <v>1357.12</v>
      </c>
      <c r="I160" s="123">
        <v>1372.91</v>
      </c>
      <c r="J160" s="123">
        <v>1293.96</v>
      </c>
      <c r="K160" s="123">
        <v>1292.1199999999999</v>
      </c>
      <c r="L160" s="123">
        <v>1407.71</v>
      </c>
      <c r="M160" s="123">
        <v>1306.3800000000001</v>
      </c>
      <c r="N160" s="123">
        <v>1282.99</v>
      </c>
      <c r="O160" s="123">
        <v>1289.6099999999999</v>
      </c>
      <c r="P160" s="123">
        <v>1313.18</v>
      </c>
      <c r="Q160" s="235"/>
      <c r="R160" s="235"/>
      <c r="S160" s="235"/>
      <c r="T160" s="235"/>
      <c r="U160" s="236"/>
      <c r="V160" s="237"/>
      <c r="W160" s="238"/>
      <c r="X160" s="239"/>
      <c r="Z160" s="240">
        <v>1600</v>
      </c>
      <c r="AA160" s="240">
        <v>2600</v>
      </c>
      <c r="AB160" s="241">
        <v>1700</v>
      </c>
      <c r="AC160" s="241">
        <v>2100</v>
      </c>
      <c r="AD160" s="242">
        <v>10</v>
      </c>
      <c r="AE160" s="242">
        <v>7.2</v>
      </c>
    </row>
    <row r="161" spans="1:31" ht="32.25" thickBot="1">
      <c r="A161" s="123"/>
      <c r="B161" s="243"/>
      <c r="C161" s="243" t="s">
        <v>221</v>
      </c>
      <c r="D161" s="244">
        <f t="shared" ref="D161:P161" si="49">IF(((D159="")*AND(D160="")),"",(D159-D160)*2)</f>
        <v>1983.94</v>
      </c>
      <c r="E161" s="244">
        <f t="shared" si="49"/>
        <v>2043.9999999999995</v>
      </c>
      <c r="F161" s="244">
        <f t="shared" si="49"/>
        <v>2051.0400000000004</v>
      </c>
      <c r="G161" s="244">
        <f t="shared" si="49"/>
        <v>2067.5399999999995</v>
      </c>
      <c r="H161" s="244">
        <f t="shared" si="49"/>
        <v>2054.1800000000003</v>
      </c>
      <c r="I161" s="244">
        <f t="shared" si="49"/>
        <v>2023.06</v>
      </c>
      <c r="J161" s="244">
        <f t="shared" si="49"/>
        <v>2044.1599999999999</v>
      </c>
      <c r="K161" s="244">
        <f t="shared" si="49"/>
        <v>2054.4800000000005</v>
      </c>
      <c r="L161" s="244">
        <f t="shared" si="49"/>
        <v>1952.0199999999995</v>
      </c>
      <c r="M161" s="244">
        <f t="shared" si="49"/>
        <v>2053.0199999999995</v>
      </c>
      <c r="N161" s="244">
        <f t="shared" si="49"/>
        <v>2074.06</v>
      </c>
      <c r="O161" s="244">
        <f t="shared" si="49"/>
        <v>2069.4600000000005</v>
      </c>
      <c r="P161" s="244">
        <f t="shared" si="49"/>
        <v>2045.9</v>
      </c>
      <c r="Q161" s="264"/>
      <c r="R161" s="243"/>
      <c r="S161" s="243"/>
      <c r="T161" s="243"/>
      <c r="U161" s="245"/>
      <c r="V161" s="246"/>
      <c r="W161" s="247"/>
      <c r="X161" s="239"/>
    </row>
    <row r="162" spans="1:31">
      <c r="A162" s="248">
        <v>43370</v>
      </c>
      <c r="B162" s="249" t="s">
        <v>76</v>
      </c>
      <c r="C162" s="250" t="s">
        <v>77</v>
      </c>
      <c r="D162" s="123">
        <v>1469.36</v>
      </c>
      <c r="E162" s="123">
        <v>1318.91</v>
      </c>
      <c r="F162" s="123">
        <v>1279.5</v>
      </c>
      <c r="G162" s="123">
        <v>1278.68</v>
      </c>
      <c r="H162" s="123">
        <v>1391.74</v>
      </c>
      <c r="I162" s="123">
        <v>1402.55</v>
      </c>
      <c r="J162" s="123">
        <v>1294.75</v>
      </c>
      <c r="K162" s="123">
        <v>1302.33</v>
      </c>
      <c r="L162" s="123">
        <v>1279.5</v>
      </c>
      <c r="M162" s="123">
        <v>1278.68</v>
      </c>
      <c r="N162" s="123">
        <v>1391.74</v>
      </c>
      <c r="O162" s="123">
        <v>1402.55</v>
      </c>
      <c r="P162" s="123">
        <v>1451.86</v>
      </c>
      <c r="Q162" s="250">
        <f>IF((P163=""),"",MAX(D164:P164))</f>
        <v>2071.9800000000005</v>
      </c>
      <c r="R162" s="250">
        <f>IF(P163="","",MIN(D164:P164))</f>
        <v>1917.7499999999995</v>
      </c>
      <c r="S162" s="250">
        <f>IF((P164=""),"",AVERAGE(D164:P164))</f>
        <v>2023.7100000000003</v>
      </c>
      <c r="T162" s="250">
        <f>IF((P163=""),"",STDEV(D164:P164))</f>
        <v>46.750618177731319</v>
      </c>
      <c r="U162" s="251">
        <f>IF((P163=""),"",((Q162-R162)/(Q162+R162))*100)</f>
        <v>3.8656751208728641</v>
      </c>
      <c r="V162" s="228" t="str">
        <f>IF(P163="","",IF(U162&lt;7.2,IF(S162&gt;AB162,IF(S162&lt;AC162,"Pass","Fail"),"Fail"),"Fail"))</f>
        <v>Pass</v>
      </c>
      <c r="W162" s="253">
        <v>1340</v>
      </c>
      <c r="X162" s="230"/>
      <c r="Z162" s="240">
        <v>1600</v>
      </c>
      <c r="AA162" s="240">
        <v>2600</v>
      </c>
      <c r="AB162" s="241">
        <v>1700</v>
      </c>
      <c r="AC162" s="241">
        <v>2100</v>
      </c>
      <c r="AD162" s="242">
        <v>10</v>
      </c>
      <c r="AE162" s="242">
        <v>7.2</v>
      </c>
    </row>
    <row r="163" spans="1:31">
      <c r="A163" s="123"/>
      <c r="B163" s="235"/>
      <c r="C163" s="235" t="s">
        <v>78</v>
      </c>
      <c r="D163" s="123">
        <v>804.52</v>
      </c>
      <c r="E163" s="123">
        <v>633.6</v>
      </c>
      <c r="F163" s="123">
        <v>596.01</v>
      </c>
      <c r="G163" s="123">
        <v>588.02</v>
      </c>
      <c r="H163" s="123">
        <v>733.69</v>
      </c>
      <c r="I163" s="123">
        <v>729.74</v>
      </c>
      <c r="J163" s="123">
        <v>607.48</v>
      </c>
      <c r="K163" s="123">
        <v>619.61</v>
      </c>
      <c r="L163" s="123">
        <v>596.01</v>
      </c>
      <c r="M163" s="123">
        <v>588.02</v>
      </c>
      <c r="N163" s="123">
        <v>733.69</v>
      </c>
      <c r="O163" s="123">
        <v>729.74</v>
      </c>
      <c r="P163" s="123">
        <v>812.61</v>
      </c>
      <c r="Q163" s="235"/>
      <c r="R163" s="235"/>
      <c r="S163" s="235"/>
      <c r="T163" s="235"/>
      <c r="U163" s="236"/>
      <c r="V163" s="237"/>
      <c r="W163" s="238"/>
      <c r="X163" s="239"/>
      <c r="Z163" s="240">
        <v>1600</v>
      </c>
      <c r="AA163" s="240">
        <v>2600</v>
      </c>
      <c r="AB163" s="241">
        <v>1700</v>
      </c>
      <c r="AC163" s="241">
        <v>2100</v>
      </c>
      <c r="AD163" s="242">
        <v>10</v>
      </c>
      <c r="AE163" s="242">
        <v>7.2</v>
      </c>
    </row>
    <row r="164" spans="1:31" ht="32.25" thickBot="1">
      <c r="A164" s="123"/>
      <c r="B164" s="243"/>
      <c r="C164" s="243" t="s">
        <v>221</v>
      </c>
      <c r="D164" s="244">
        <f>IF(((D162="")*AND(D163="")),"",(D162-D163)*3)</f>
        <v>1994.5199999999998</v>
      </c>
      <c r="E164" s="244">
        <f t="shared" ref="E164:N164" si="50">IF(((E162="")*AND(E163="")),"",(E162-E163)*3)</f>
        <v>2055.9300000000003</v>
      </c>
      <c r="F164" s="244">
        <f t="shared" si="50"/>
        <v>2050.4700000000003</v>
      </c>
      <c r="G164" s="244">
        <f t="shared" si="50"/>
        <v>2071.9800000000005</v>
      </c>
      <c r="H164" s="244">
        <f t="shared" si="50"/>
        <v>1974.1499999999999</v>
      </c>
      <c r="I164" s="244">
        <f t="shared" si="50"/>
        <v>2018.4299999999998</v>
      </c>
      <c r="J164" s="244">
        <f t="shared" si="50"/>
        <v>2061.81</v>
      </c>
      <c r="K164" s="244">
        <f t="shared" si="50"/>
        <v>2048.16</v>
      </c>
      <c r="L164" s="244">
        <f t="shared" si="50"/>
        <v>2050.4700000000003</v>
      </c>
      <c r="M164" s="244">
        <f t="shared" si="50"/>
        <v>2071.9800000000005</v>
      </c>
      <c r="N164" s="244">
        <f t="shared" si="50"/>
        <v>1974.1499999999999</v>
      </c>
      <c r="O164" s="244">
        <f>IF(((O162="")*AND(O163="")),"",(O162-O163)*3)</f>
        <v>2018.4299999999998</v>
      </c>
      <c r="P164" s="244">
        <f>IF(((P162="")*AND(P163="")),"",(P162-P163)*3)</f>
        <v>1917.7499999999995</v>
      </c>
      <c r="Q164" s="264"/>
      <c r="R164" s="243"/>
      <c r="S164" s="243"/>
      <c r="T164" s="243"/>
      <c r="U164" s="245"/>
      <c r="V164" s="246"/>
      <c r="W164" s="247"/>
      <c r="X164" s="239"/>
    </row>
    <row r="165" spans="1:31">
      <c r="A165" s="248">
        <v>43378</v>
      </c>
      <c r="B165" s="249" t="s">
        <v>76</v>
      </c>
      <c r="C165" s="250" t="s">
        <v>77</v>
      </c>
      <c r="D165" s="123">
        <v>2426.7600000000002</v>
      </c>
      <c r="E165" s="123">
        <v>2332.8000000000002</v>
      </c>
      <c r="F165" s="123">
        <v>2318.02</v>
      </c>
      <c r="G165" s="123">
        <v>2319.7600000000002</v>
      </c>
      <c r="H165" s="123">
        <v>2392.25</v>
      </c>
      <c r="I165" s="123">
        <v>2390.48</v>
      </c>
      <c r="J165" s="123">
        <v>2323.9299999999998</v>
      </c>
      <c r="K165" s="123">
        <v>2325.37</v>
      </c>
      <c r="L165" s="123">
        <v>2382.5700000000002</v>
      </c>
      <c r="M165" s="123">
        <v>2340.65</v>
      </c>
      <c r="N165" s="123">
        <v>2326.7800000000002</v>
      </c>
      <c r="O165" s="123">
        <v>2327.4699999999998</v>
      </c>
      <c r="P165" s="123">
        <v>2339.91</v>
      </c>
      <c r="Q165" s="250">
        <f>IF((P166=""),"",MAX(D167:P167))</f>
        <v>3011.55</v>
      </c>
      <c r="R165" s="250">
        <f>IF(P166="","",MIN(D167:P167))</f>
        <v>2837.79</v>
      </c>
      <c r="S165" s="250">
        <f>IF((P167=""),"",AVERAGE(D167:P167))</f>
        <v>2964.2999999999997</v>
      </c>
      <c r="T165" s="250">
        <f>IF((P166=""),"",STDEV(D167:P167))</f>
        <v>47.756565517214419</v>
      </c>
      <c r="U165" s="251">
        <f>IF((P166=""),"",((Q165-R165)/(Q165+R165))*100)</f>
        <v>2.9705915539189074</v>
      </c>
      <c r="V165" s="228" t="str">
        <f>IF(P166="","",IF(U165&lt;7.2,IF(S165&gt;AB165,IF(S165&lt;AC165,"Pass","Fail"),"Fail"),"Fail"))</f>
        <v>Fail</v>
      </c>
      <c r="W165" s="253">
        <v>1340</v>
      </c>
      <c r="X165" s="230"/>
      <c r="Z165" s="240">
        <v>1600</v>
      </c>
      <c r="AA165" s="240">
        <v>2600</v>
      </c>
      <c r="AB165" s="241">
        <v>1700</v>
      </c>
      <c r="AC165" s="241">
        <v>2100</v>
      </c>
      <c r="AD165" s="242">
        <v>10</v>
      </c>
      <c r="AE165" s="242">
        <v>7.2</v>
      </c>
    </row>
    <row r="166" spans="1:31">
      <c r="A166" s="123"/>
      <c r="B166" s="235"/>
      <c r="C166" s="235" t="s">
        <v>78</v>
      </c>
      <c r="D166" s="123">
        <v>1459.68</v>
      </c>
      <c r="E166" s="123">
        <v>1338.8</v>
      </c>
      <c r="F166" s="123">
        <v>1325.39</v>
      </c>
      <c r="G166" s="123">
        <v>1319.38</v>
      </c>
      <c r="H166" s="123">
        <v>1410.86</v>
      </c>
      <c r="I166" s="123">
        <v>1407.45</v>
      </c>
      <c r="J166" s="123">
        <v>1330.11</v>
      </c>
      <c r="K166" s="123">
        <v>1328.02</v>
      </c>
      <c r="L166" s="123">
        <v>1436.64</v>
      </c>
      <c r="M166" s="123">
        <v>1346.13</v>
      </c>
      <c r="N166" s="123">
        <v>1322.93</v>
      </c>
      <c r="O166" s="123">
        <v>1328.49</v>
      </c>
      <c r="P166" s="123">
        <v>1347.57</v>
      </c>
      <c r="Q166" s="235"/>
      <c r="R166" s="235"/>
      <c r="S166" s="235"/>
      <c r="T166" s="235"/>
      <c r="U166" s="236"/>
      <c r="V166" s="237"/>
      <c r="W166" s="238"/>
      <c r="X166" s="239"/>
      <c r="Z166" s="240">
        <v>1600</v>
      </c>
      <c r="AA166" s="240">
        <v>2600</v>
      </c>
      <c r="AB166" s="241">
        <v>1700</v>
      </c>
      <c r="AC166" s="241">
        <v>2100</v>
      </c>
      <c r="AD166" s="242">
        <v>10</v>
      </c>
      <c r="AE166" s="242">
        <v>7.2</v>
      </c>
    </row>
    <row r="167" spans="1:31" ht="32.25" thickBot="1">
      <c r="A167" s="123"/>
      <c r="B167" s="243"/>
      <c r="C167" s="243" t="s">
        <v>221</v>
      </c>
      <c r="D167" s="244">
        <f>IF(((D165="")*AND(D166="")),"",(D165-D166)*3)</f>
        <v>2901.2400000000007</v>
      </c>
      <c r="E167" s="244">
        <f t="shared" ref="E167:N167" si="51">IF(((E165="")*AND(E166="")),"",(E165-E166)*3)</f>
        <v>2982.0000000000009</v>
      </c>
      <c r="F167" s="244">
        <f t="shared" si="51"/>
        <v>2977.8899999999994</v>
      </c>
      <c r="G167" s="244">
        <f t="shared" si="51"/>
        <v>3001.1400000000003</v>
      </c>
      <c r="H167" s="244">
        <f t="shared" si="51"/>
        <v>2944.17</v>
      </c>
      <c r="I167" s="244">
        <f t="shared" si="51"/>
        <v>2949.09</v>
      </c>
      <c r="J167" s="244">
        <f t="shared" si="51"/>
        <v>2981.46</v>
      </c>
      <c r="K167" s="244">
        <f t="shared" si="51"/>
        <v>2992.0499999999997</v>
      </c>
      <c r="L167" s="244">
        <f t="shared" si="51"/>
        <v>2837.79</v>
      </c>
      <c r="M167" s="244">
        <f t="shared" si="51"/>
        <v>2983.56</v>
      </c>
      <c r="N167" s="244">
        <f t="shared" si="51"/>
        <v>3011.55</v>
      </c>
      <c r="O167" s="244">
        <f>IF(((O165="")*AND(O166="")),"",(O165-O166)*3)</f>
        <v>2996.9399999999996</v>
      </c>
      <c r="P167" s="244">
        <f>IF(((P165="")*AND(P166="")),"",(P165-P166)*3)</f>
        <v>2977.0199999999995</v>
      </c>
      <c r="Q167" s="264"/>
      <c r="R167" s="243"/>
      <c r="S167" s="243"/>
      <c r="T167" s="243"/>
      <c r="U167" s="245"/>
      <c r="V167" s="246"/>
      <c r="W167" s="247"/>
      <c r="X167" s="239"/>
    </row>
    <row r="168" spans="1:31">
      <c r="A168" s="248">
        <v>43378</v>
      </c>
      <c r="B168" s="249" t="s">
        <v>76</v>
      </c>
      <c r="C168" s="250" t="s">
        <v>77</v>
      </c>
      <c r="D168" s="123">
        <v>2961.61</v>
      </c>
      <c r="E168" s="123">
        <v>2846.67</v>
      </c>
      <c r="F168" s="123">
        <v>2833.08</v>
      </c>
      <c r="G168" s="123">
        <v>2834.82</v>
      </c>
      <c r="H168" s="123">
        <v>2917.34</v>
      </c>
      <c r="I168" s="123">
        <v>2894.96</v>
      </c>
      <c r="J168" s="123">
        <v>2840.49</v>
      </c>
      <c r="K168" s="123">
        <v>2839.33</v>
      </c>
      <c r="L168" s="123">
        <v>2922.89</v>
      </c>
      <c r="M168" s="123">
        <v>2855</v>
      </c>
      <c r="N168" s="123">
        <v>2843.87</v>
      </c>
      <c r="O168" s="123">
        <v>2831.31</v>
      </c>
      <c r="P168" s="123">
        <v>2864.25</v>
      </c>
      <c r="Q168" s="250">
        <f>IF((P169=""),"",MAX(D170:P170))</f>
        <v>2058.54</v>
      </c>
      <c r="R168" s="250">
        <f>IF(P169="","",MIN(D170:P170))</f>
        <v>1991.3799999999997</v>
      </c>
      <c r="S168" s="250">
        <f>IF((P170=""),"",AVERAGE(D170:P170))</f>
        <v>2041.2907692307692</v>
      </c>
      <c r="T168" s="250">
        <f>IF((P169=""),"",STDEV(D170:P170))</f>
        <v>17.257092484704508</v>
      </c>
      <c r="U168" s="251">
        <f>IF((P169=""),"",((Q168-R168)/(Q168+R168))*100)</f>
        <v>1.6583043615676436</v>
      </c>
      <c r="V168" s="228" t="str">
        <f>IF(P169="","",IF(U168&lt;7.2,IF(S168&gt;AB168,IF(S168&lt;AC168,"Pass","Fail"),"Fail"),"Fail"))</f>
        <v>Pass</v>
      </c>
      <c r="W168" s="253">
        <v>1340</v>
      </c>
      <c r="X168" s="230"/>
      <c r="Z168" s="240">
        <v>1600</v>
      </c>
      <c r="AA168" s="240">
        <v>2600</v>
      </c>
      <c r="AB168" s="241">
        <v>1700</v>
      </c>
      <c r="AC168" s="241">
        <v>2100</v>
      </c>
      <c r="AD168" s="242">
        <v>10</v>
      </c>
      <c r="AE168" s="242">
        <v>7.2</v>
      </c>
    </row>
    <row r="169" spans="1:31">
      <c r="A169" s="123"/>
      <c r="B169" s="235"/>
      <c r="C169" s="235" t="s">
        <v>78</v>
      </c>
      <c r="D169" s="123">
        <v>1940.55</v>
      </c>
      <c r="E169" s="123">
        <v>1825.72</v>
      </c>
      <c r="F169" s="123">
        <v>1815.92</v>
      </c>
      <c r="G169" s="123">
        <v>1806.28</v>
      </c>
      <c r="H169" s="123">
        <v>1891.88</v>
      </c>
      <c r="I169" s="123">
        <v>1873.41</v>
      </c>
      <c r="J169" s="123">
        <v>1817.95</v>
      </c>
      <c r="K169" s="123">
        <v>1820.37</v>
      </c>
      <c r="L169" s="123">
        <v>1927.2</v>
      </c>
      <c r="M169" s="123">
        <v>1832.44</v>
      </c>
      <c r="N169" s="123">
        <v>1814.6</v>
      </c>
      <c r="O169" s="123">
        <v>1802.59</v>
      </c>
      <c r="P169" s="123">
        <v>1848.32</v>
      </c>
      <c r="Q169" s="235"/>
      <c r="R169" s="235"/>
      <c r="S169" s="235"/>
      <c r="T169" s="235"/>
      <c r="U169" s="236"/>
      <c r="V169" s="237"/>
      <c r="W169" s="238"/>
      <c r="X169" s="239"/>
    </row>
    <row r="170" spans="1:31" ht="32.25" thickBot="1">
      <c r="A170" s="123"/>
      <c r="B170" s="243"/>
      <c r="C170" s="243" t="s">
        <v>221</v>
      </c>
      <c r="D170" s="244">
        <f t="shared" ref="D170:P170" si="52">IF(((D168="")*AND(D169="")),"",(D168-D169)*2)</f>
        <v>2042.1200000000003</v>
      </c>
      <c r="E170" s="244">
        <f t="shared" si="52"/>
        <v>2041.9</v>
      </c>
      <c r="F170" s="244">
        <f t="shared" si="52"/>
        <v>2034.3199999999997</v>
      </c>
      <c r="G170" s="244">
        <f t="shared" si="52"/>
        <v>2057.0800000000004</v>
      </c>
      <c r="H170" s="244">
        <f t="shared" si="52"/>
        <v>2050.92</v>
      </c>
      <c r="I170" s="244">
        <f t="shared" si="52"/>
        <v>2043.1</v>
      </c>
      <c r="J170" s="244">
        <f t="shared" si="52"/>
        <v>2045.0799999999995</v>
      </c>
      <c r="K170" s="244">
        <f t="shared" si="52"/>
        <v>2037.92</v>
      </c>
      <c r="L170" s="244">
        <f t="shared" si="52"/>
        <v>1991.3799999999997</v>
      </c>
      <c r="M170" s="244">
        <f t="shared" si="52"/>
        <v>2045.12</v>
      </c>
      <c r="N170" s="244">
        <f t="shared" si="52"/>
        <v>2058.54</v>
      </c>
      <c r="O170" s="244">
        <f t="shared" si="52"/>
        <v>2057.44</v>
      </c>
      <c r="P170" s="244">
        <f t="shared" si="52"/>
        <v>2031.8600000000001</v>
      </c>
      <c r="Q170" s="264"/>
      <c r="R170" s="243"/>
      <c r="S170" s="243"/>
      <c r="T170" s="243"/>
      <c r="U170" s="245"/>
      <c r="V170" s="246"/>
      <c r="W170" s="247"/>
      <c r="X170" s="239"/>
    </row>
    <row r="171" spans="1:31">
      <c r="A171" s="248">
        <v>43382</v>
      </c>
      <c r="B171" s="249" t="s">
        <v>76</v>
      </c>
      <c r="C171" s="250" t="s">
        <v>77</v>
      </c>
      <c r="D171" s="123">
        <v>2902.95</v>
      </c>
      <c r="E171" s="123">
        <v>2833.31</v>
      </c>
      <c r="F171" s="123">
        <v>2828.29</v>
      </c>
      <c r="G171" s="123">
        <v>2838.39</v>
      </c>
      <c r="H171" s="123">
        <v>2923.5</v>
      </c>
      <c r="I171" s="123">
        <v>2953.48</v>
      </c>
      <c r="J171" s="123">
        <v>2843.14</v>
      </c>
      <c r="K171" s="123">
        <v>2827.98</v>
      </c>
      <c r="L171" s="123">
        <v>2905.6</v>
      </c>
      <c r="M171" s="123">
        <v>2848.59</v>
      </c>
      <c r="N171" s="123">
        <v>2837.22</v>
      </c>
      <c r="O171" s="123">
        <v>2857.83</v>
      </c>
      <c r="P171" s="123">
        <v>2836.43</v>
      </c>
      <c r="Q171" s="250">
        <f>IF((P172=""),"",MAX(D173:P173))</f>
        <v>2058.2800000000002</v>
      </c>
      <c r="R171" s="250">
        <f>IF(P172="","",MIN(D173:P173))</f>
        <v>1963.8599999999997</v>
      </c>
      <c r="S171" s="250">
        <f>IF((P173=""),"",AVERAGE(D173:P173))</f>
        <v>2019.5430769230768</v>
      </c>
      <c r="T171" s="250">
        <f>IF((P172=""),"",STDEV(D173:P173))</f>
        <v>24.178225529256522</v>
      </c>
      <c r="U171" s="251">
        <f>IF((P172=""),"",((Q171-R171)/(Q171+R171))*100)</f>
        <v>2.3475065512389057</v>
      </c>
      <c r="V171" s="228" t="str">
        <f>IF(P172="","",IF(U171&lt;7.2,IF(S171&gt;AB171,IF(S171&lt;AC171,"Pass","Fail"),"Fail"),"Fail"))</f>
        <v>Pass</v>
      </c>
      <c r="W171" s="253">
        <v>1335</v>
      </c>
      <c r="X171" s="230"/>
      <c r="Z171" s="240">
        <v>1600</v>
      </c>
      <c r="AA171" s="240">
        <v>2600</v>
      </c>
      <c r="AB171" s="241">
        <v>1700</v>
      </c>
      <c r="AC171" s="241">
        <v>2100</v>
      </c>
      <c r="AD171" s="242">
        <v>10</v>
      </c>
      <c r="AE171" s="242">
        <v>7.2</v>
      </c>
    </row>
    <row r="172" spans="1:31">
      <c r="A172" s="123"/>
      <c r="B172" s="235"/>
      <c r="C172" s="235" t="s">
        <v>78</v>
      </c>
      <c r="D172" s="123">
        <v>1909.86</v>
      </c>
      <c r="E172" s="123">
        <v>1824.95</v>
      </c>
      <c r="F172" s="123">
        <v>1812.78</v>
      </c>
      <c r="G172" s="123">
        <v>1820.38</v>
      </c>
      <c r="H172" s="123">
        <v>1903.13</v>
      </c>
      <c r="I172" s="123">
        <v>1924.34</v>
      </c>
      <c r="J172" s="123">
        <v>1834.56</v>
      </c>
      <c r="K172" s="123">
        <v>1821.21</v>
      </c>
      <c r="L172" s="123">
        <v>1923.67</v>
      </c>
      <c r="M172" s="123">
        <v>1843.68</v>
      </c>
      <c r="N172" s="123">
        <v>1821.26</v>
      </c>
      <c r="O172" s="123">
        <v>1842.03</v>
      </c>
      <c r="P172" s="123">
        <v>1827.83</v>
      </c>
      <c r="Q172" s="235"/>
      <c r="R172" s="235"/>
      <c r="S172" s="235"/>
      <c r="T172" s="235"/>
      <c r="U172" s="236"/>
      <c r="V172" s="237"/>
      <c r="W172" s="238"/>
      <c r="X172" s="239"/>
    </row>
    <row r="173" spans="1:31" ht="32.25" thickBot="1">
      <c r="A173" s="123"/>
      <c r="B173" s="243"/>
      <c r="C173" s="243" t="s">
        <v>221</v>
      </c>
      <c r="D173" s="244">
        <f t="shared" ref="D173:P173" si="53">IF(((D171="")*AND(D172="")),"",(D171-D172)*2)</f>
        <v>1986.1799999999998</v>
      </c>
      <c r="E173" s="244">
        <f t="shared" si="53"/>
        <v>2016.7199999999998</v>
      </c>
      <c r="F173" s="244">
        <f t="shared" si="53"/>
        <v>2031.02</v>
      </c>
      <c r="G173" s="244">
        <f t="shared" si="53"/>
        <v>2036.0199999999995</v>
      </c>
      <c r="H173" s="244">
        <f t="shared" si="53"/>
        <v>2040.7399999999998</v>
      </c>
      <c r="I173" s="244">
        <f t="shared" si="53"/>
        <v>2058.2800000000002</v>
      </c>
      <c r="J173" s="244">
        <f t="shared" si="53"/>
        <v>2017.1599999999999</v>
      </c>
      <c r="K173" s="244">
        <f t="shared" si="53"/>
        <v>2013.54</v>
      </c>
      <c r="L173" s="244">
        <f t="shared" si="53"/>
        <v>1963.8599999999997</v>
      </c>
      <c r="M173" s="244">
        <f t="shared" si="53"/>
        <v>2009.8200000000002</v>
      </c>
      <c r="N173" s="244">
        <f t="shared" si="53"/>
        <v>2031.9199999999996</v>
      </c>
      <c r="O173" s="244">
        <f t="shared" si="53"/>
        <v>2031.6</v>
      </c>
      <c r="P173" s="244">
        <f t="shared" si="53"/>
        <v>2017.1999999999998</v>
      </c>
      <c r="Q173" s="264"/>
      <c r="R173" s="243"/>
      <c r="S173" s="243"/>
      <c r="T173" s="243"/>
      <c r="U173" s="245"/>
      <c r="V173" s="246"/>
      <c r="W173" s="247"/>
      <c r="X173" s="239"/>
    </row>
    <row r="174" spans="1:31" ht="15.75" customHeight="1">
      <c r="A174" s="248">
        <v>43385</v>
      </c>
      <c r="B174" s="249" t="s">
        <v>76</v>
      </c>
      <c r="C174" s="250" t="s">
        <v>77</v>
      </c>
      <c r="D174" s="123">
        <v>2916.15</v>
      </c>
      <c r="E174" s="123">
        <v>2841.62</v>
      </c>
      <c r="F174" s="123">
        <v>2836.57</v>
      </c>
      <c r="G174" s="123">
        <v>2849.75</v>
      </c>
      <c r="H174" s="123">
        <v>2933.36</v>
      </c>
      <c r="I174" s="123">
        <v>2962.64</v>
      </c>
      <c r="J174" s="123">
        <v>2854.05</v>
      </c>
      <c r="K174" s="123">
        <v>2838.77</v>
      </c>
      <c r="L174" s="123">
        <v>2907.59</v>
      </c>
      <c r="M174" s="123">
        <v>2860.68</v>
      </c>
      <c r="N174" s="123">
        <v>2848.39</v>
      </c>
      <c r="O174" s="123">
        <v>2867.63</v>
      </c>
      <c r="P174" s="123">
        <v>2846.05</v>
      </c>
      <c r="Q174" s="250">
        <f>IF((P175=""),"",MAX(D176:P176))</f>
        <v>2068.64</v>
      </c>
      <c r="R174" s="250">
        <f>IF(P175="","",MIN(D176:P176))</f>
        <v>1948.9800000000005</v>
      </c>
      <c r="S174" s="250">
        <f>IF((P176=""),"",AVERAGE(D176:P176))</f>
        <v>2024.3107692307692</v>
      </c>
      <c r="T174" s="250">
        <f>IF((P175=""),"",STDEV(D176:P176))</f>
        <v>30.978967720465381</v>
      </c>
      <c r="U174" s="251">
        <f>IF((P175=""),"",((Q174-R174)/(Q174+R174))*100)</f>
        <v>2.9783802350645252</v>
      </c>
      <c r="V174" s="228" t="str">
        <f>IF(P175="","",IF(U174&lt;7.2,IF(S174&gt;AB174,IF(S174&lt;AC174,"Pass","Fail"),"Fail"),"Fail"))</f>
        <v>Pass</v>
      </c>
      <c r="W174" s="253">
        <v>102</v>
      </c>
      <c r="X174" s="255" t="s">
        <v>93</v>
      </c>
      <c r="Z174" s="240">
        <v>1600</v>
      </c>
      <c r="AA174" s="240">
        <v>2600</v>
      </c>
      <c r="AB174" s="241">
        <v>1700</v>
      </c>
      <c r="AC174" s="241">
        <v>2100</v>
      </c>
      <c r="AD174" s="242">
        <v>10</v>
      </c>
      <c r="AE174" s="242">
        <v>7.2</v>
      </c>
    </row>
    <row r="175" spans="1:31">
      <c r="A175" s="123"/>
      <c r="B175" s="235"/>
      <c r="C175" s="235" t="s">
        <v>78</v>
      </c>
      <c r="D175" s="123">
        <v>1923.96</v>
      </c>
      <c r="E175" s="123">
        <v>1832.74</v>
      </c>
      <c r="F175" s="123">
        <v>1819.6</v>
      </c>
      <c r="G175" s="123">
        <v>1825.06</v>
      </c>
      <c r="H175" s="123">
        <v>1906.25</v>
      </c>
      <c r="I175" s="123">
        <v>1928.32</v>
      </c>
      <c r="J175" s="123">
        <v>1841.65</v>
      </c>
      <c r="K175" s="123">
        <v>1826.61</v>
      </c>
      <c r="L175" s="123">
        <v>1933.1</v>
      </c>
      <c r="M175" s="123">
        <v>1850.91</v>
      </c>
      <c r="N175" s="123">
        <v>1829.63</v>
      </c>
      <c r="O175" s="123">
        <v>1847.26</v>
      </c>
      <c r="P175" s="123">
        <v>1840.14</v>
      </c>
      <c r="Q175" s="235"/>
      <c r="R175" s="235"/>
      <c r="S175" s="235"/>
      <c r="T175" s="235"/>
      <c r="U175" s="236"/>
      <c r="V175" s="237"/>
      <c r="W175" s="238"/>
      <c r="X175" s="239"/>
    </row>
    <row r="176" spans="1:31" ht="32.25" thickBot="1">
      <c r="A176" s="123"/>
      <c r="B176" s="243"/>
      <c r="C176" s="243" t="s">
        <v>221</v>
      </c>
      <c r="D176" s="244">
        <f t="shared" ref="D176:P176" si="54">IF(((D174="")*AND(D175="")),"",(D174-D175)*2)</f>
        <v>1984.38</v>
      </c>
      <c r="E176" s="244">
        <f t="shared" si="54"/>
        <v>2017.7599999999998</v>
      </c>
      <c r="F176" s="244">
        <f t="shared" si="54"/>
        <v>2033.9400000000005</v>
      </c>
      <c r="G176" s="244">
        <f t="shared" si="54"/>
        <v>2049.38</v>
      </c>
      <c r="H176" s="244">
        <f t="shared" si="54"/>
        <v>2054.2200000000003</v>
      </c>
      <c r="I176" s="244">
        <f t="shared" si="54"/>
        <v>2068.64</v>
      </c>
      <c r="J176" s="244">
        <f t="shared" si="54"/>
        <v>2024.8000000000002</v>
      </c>
      <c r="K176" s="244">
        <f t="shared" si="54"/>
        <v>2024.3200000000002</v>
      </c>
      <c r="L176" s="244">
        <f t="shared" si="54"/>
        <v>1948.9800000000005</v>
      </c>
      <c r="M176" s="244">
        <f t="shared" si="54"/>
        <v>2019.5399999999995</v>
      </c>
      <c r="N176" s="244">
        <f t="shared" si="54"/>
        <v>2037.5199999999995</v>
      </c>
      <c r="O176" s="244">
        <f t="shared" si="54"/>
        <v>2040.7400000000002</v>
      </c>
      <c r="P176" s="244">
        <f t="shared" si="54"/>
        <v>2011.8200000000002</v>
      </c>
      <c r="Q176" s="264"/>
      <c r="R176" s="243"/>
      <c r="S176" s="243"/>
      <c r="T176" s="243"/>
      <c r="U176" s="245"/>
      <c r="V176" s="246"/>
      <c r="W176" s="247"/>
      <c r="X176" s="239"/>
    </row>
    <row r="177" spans="1:31">
      <c r="A177" s="248">
        <v>43388</v>
      </c>
      <c r="B177" s="249" t="s">
        <v>76</v>
      </c>
      <c r="C177" s="250" t="s">
        <v>77</v>
      </c>
      <c r="D177" s="123">
        <v>2910.06</v>
      </c>
      <c r="E177" s="123">
        <v>2843.82</v>
      </c>
      <c r="F177" s="123">
        <v>2835.49</v>
      </c>
      <c r="G177" s="123">
        <v>2843.98</v>
      </c>
      <c r="H177" s="123">
        <v>2929.54</v>
      </c>
      <c r="I177" s="123">
        <v>2962.46</v>
      </c>
      <c r="J177" s="123">
        <v>2854.59</v>
      </c>
      <c r="K177" s="123">
        <v>2840.31</v>
      </c>
      <c r="L177" s="123">
        <v>2908.51</v>
      </c>
      <c r="M177" s="123">
        <v>2852.22</v>
      </c>
      <c r="N177" s="123">
        <v>2839.75</v>
      </c>
      <c r="O177" s="123">
        <v>2865.23</v>
      </c>
      <c r="P177" s="123">
        <v>2845.67</v>
      </c>
      <c r="Q177" s="250">
        <f>IF((P178=""),"",MAX(D179:P179))</f>
        <v>2075.9</v>
      </c>
      <c r="R177" s="250">
        <f>IF(P178="","",MIN(D179:P179))</f>
        <v>1970.9400000000005</v>
      </c>
      <c r="S177" s="250">
        <f>IF((P179=""),"",AVERAGE(D179:P179))</f>
        <v>2032.8630769230767</v>
      </c>
      <c r="T177" s="250">
        <f>IF((P178=""),"",STDEV(D179:P179))</f>
        <v>26.904871735002189</v>
      </c>
      <c r="U177" s="251">
        <f>IF((P178=""),"",((Q177-R177)/(Q177+R177))*100)</f>
        <v>2.5936286089887313</v>
      </c>
      <c r="V177" s="228" t="str">
        <f>IF(P178="","",IF(U177&lt;7.2,IF(S177&gt;AB177,IF(S177&lt;AC177,"Pass","Fail"),"Fail"),"Fail"))</f>
        <v>Pass</v>
      </c>
      <c r="W177" s="253">
        <v>1340</v>
      </c>
      <c r="X177" s="230"/>
      <c r="Z177" s="240">
        <v>1600</v>
      </c>
      <c r="AA177" s="240">
        <v>2600</v>
      </c>
      <c r="AB177" s="241">
        <v>1700</v>
      </c>
      <c r="AC177" s="241">
        <v>2100</v>
      </c>
      <c r="AD177" s="242">
        <v>10</v>
      </c>
      <c r="AE177" s="242">
        <v>7.2</v>
      </c>
    </row>
    <row r="178" spans="1:31">
      <c r="A178" s="123"/>
      <c r="B178" s="235"/>
      <c r="C178" s="235" t="s">
        <v>78</v>
      </c>
      <c r="D178" s="123">
        <v>1913.31</v>
      </c>
      <c r="E178" s="123">
        <v>1825.07</v>
      </c>
      <c r="F178" s="123">
        <v>1818.52</v>
      </c>
      <c r="G178" s="123">
        <v>1820.26</v>
      </c>
      <c r="H178" s="123">
        <v>1902.89</v>
      </c>
      <c r="I178" s="123">
        <v>1924.51</v>
      </c>
      <c r="J178" s="123">
        <v>1833.68</v>
      </c>
      <c r="K178" s="123">
        <v>1818.03</v>
      </c>
      <c r="L178" s="123">
        <v>1923.04</v>
      </c>
      <c r="M178" s="123">
        <v>1844.69</v>
      </c>
      <c r="N178" s="123">
        <v>1824.33</v>
      </c>
      <c r="O178" s="123">
        <v>1840.75</v>
      </c>
      <c r="P178" s="123">
        <v>1828.94</v>
      </c>
      <c r="Q178" s="235"/>
      <c r="R178" s="235"/>
      <c r="S178" s="235"/>
      <c r="T178" s="235"/>
      <c r="U178" s="236"/>
      <c r="V178" s="237"/>
      <c r="W178" s="238"/>
      <c r="X178" s="239"/>
    </row>
    <row r="179" spans="1:31" ht="32.25" thickBot="1">
      <c r="A179" s="123"/>
      <c r="B179" s="243"/>
      <c r="C179" s="243" t="s">
        <v>221</v>
      </c>
      <c r="D179" s="244">
        <f t="shared" ref="D179:P179" si="55">IF(((D177="")*AND(D178="")),"",(D177-D178)*2)</f>
        <v>1993.5</v>
      </c>
      <c r="E179" s="244">
        <f t="shared" si="55"/>
        <v>2037.5000000000005</v>
      </c>
      <c r="F179" s="244">
        <f t="shared" si="55"/>
        <v>2033.9399999999996</v>
      </c>
      <c r="G179" s="244">
        <f t="shared" si="55"/>
        <v>2047.44</v>
      </c>
      <c r="H179" s="244">
        <f t="shared" si="55"/>
        <v>2053.2999999999997</v>
      </c>
      <c r="I179" s="244">
        <f t="shared" si="55"/>
        <v>2075.9</v>
      </c>
      <c r="J179" s="244">
        <f t="shared" si="55"/>
        <v>2041.8200000000002</v>
      </c>
      <c r="K179" s="244">
        <f t="shared" si="55"/>
        <v>2044.56</v>
      </c>
      <c r="L179" s="244">
        <f t="shared" si="55"/>
        <v>1970.9400000000005</v>
      </c>
      <c r="M179" s="244">
        <f t="shared" si="55"/>
        <v>2015.0599999999995</v>
      </c>
      <c r="N179" s="244">
        <f t="shared" si="55"/>
        <v>2030.8400000000001</v>
      </c>
      <c r="O179" s="244">
        <f t="shared" si="55"/>
        <v>2048.96</v>
      </c>
      <c r="P179" s="244">
        <f t="shared" si="55"/>
        <v>2033.46</v>
      </c>
      <c r="Q179" s="264"/>
      <c r="R179" s="243"/>
      <c r="S179" s="243"/>
      <c r="T179" s="243"/>
      <c r="U179" s="245"/>
      <c r="V179" s="246"/>
      <c r="W179" s="247"/>
      <c r="X179" s="239"/>
    </row>
    <row r="180" spans="1:31" ht="17.45" customHeight="1">
      <c r="A180" s="248">
        <v>43391</v>
      </c>
      <c r="B180" s="249" t="s">
        <v>76</v>
      </c>
      <c r="C180" s="250" t="s">
        <v>77</v>
      </c>
      <c r="D180" s="123">
        <v>2908.95</v>
      </c>
      <c r="E180" s="123">
        <v>2839.07</v>
      </c>
      <c r="F180" s="123">
        <v>2830.82</v>
      </c>
      <c r="G180" s="123">
        <v>2842.67</v>
      </c>
      <c r="H180" s="123">
        <v>2930.2</v>
      </c>
      <c r="I180" s="123">
        <v>2957.41</v>
      </c>
      <c r="J180" s="123">
        <v>2850.9</v>
      </c>
      <c r="K180" s="123">
        <v>2830.74</v>
      </c>
      <c r="L180" s="123">
        <v>2906.81</v>
      </c>
      <c r="M180" s="123">
        <v>2852.83</v>
      </c>
      <c r="N180" s="123">
        <v>2842.55</v>
      </c>
      <c r="O180" s="123">
        <v>2863.42</v>
      </c>
      <c r="P180" s="123">
        <v>2844.38</v>
      </c>
      <c r="Q180" s="250">
        <f>IF((P181=""),"",MAX(D182:P182))</f>
        <v>2070.7799999999997</v>
      </c>
      <c r="R180" s="250">
        <f>IF(P181="","",MIN(D182:P182))</f>
        <v>1983</v>
      </c>
      <c r="S180" s="250">
        <f>IF((P182=""),"",AVERAGE(D182:P182))</f>
        <v>2039.5707692307694</v>
      </c>
      <c r="T180" s="250">
        <f>IF((P181=""),"",STDEV(D182:P182))</f>
        <v>24.540253483320843</v>
      </c>
      <c r="U180" s="251">
        <f>IF((P181=""),"",((Q180-R180)/(Q180+R180))*100)</f>
        <v>2.1653863801192901</v>
      </c>
      <c r="V180" s="228" t="str">
        <f>IF(P181="","",IF(U180&lt;7.2,IF(S180&gt;AB180,IF(S180&lt;AC180,"Pass","Fail"),"Fail"),"Fail"))</f>
        <v>Pass</v>
      </c>
      <c r="W180" s="253">
        <v>121</v>
      </c>
      <c r="X180" s="255" t="s">
        <v>94</v>
      </c>
      <c r="Z180" s="240">
        <v>1600</v>
      </c>
      <c r="AA180" s="240">
        <v>2600</v>
      </c>
      <c r="AB180" s="241">
        <v>1700</v>
      </c>
      <c r="AC180" s="241">
        <v>2100</v>
      </c>
      <c r="AD180" s="242">
        <v>10</v>
      </c>
      <c r="AE180" s="242">
        <v>7.2</v>
      </c>
    </row>
    <row r="181" spans="1:31">
      <c r="A181" s="123"/>
      <c r="B181" s="235"/>
      <c r="C181" s="235" t="s">
        <v>78</v>
      </c>
      <c r="D181" s="123">
        <v>1905.32</v>
      </c>
      <c r="E181" s="123">
        <v>1821.23</v>
      </c>
      <c r="F181" s="123">
        <v>1815.32</v>
      </c>
      <c r="G181" s="123">
        <v>1817.05</v>
      </c>
      <c r="H181" s="123">
        <v>1897.57</v>
      </c>
      <c r="I181" s="123">
        <v>1922.02</v>
      </c>
      <c r="J181" s="123">
        <v>1826.29</v>
      </c>
      <c r="K181" s="123">
        <v>1810.43</v>
      </c>
      <c r="L181" s="123">
        <v>1915.31</v>
      </c>
      <c r="M181" s="123">
        <v>1836.6</v>
      </c>
      <c r="N181" s="123">
        <v>1817.78</v>
      </c>
      <c r="O181" s="123">
        <v>1829.51</v>
      </c>
      <c r="P181" s="123">
        <v>1829.11</v>
      </c>
      <c r="Q181" s="235"/>
      <c r="R181" s="235"/>
      <c r="S181" s="235"/>
      <c r="T181" s="235"/>
      <c r="U181" s="236"/>
      <c r="V181" s="237"/>
      <c r="W181" s="238"/>
      <c r="X181" s="239"/>
    </row>
    <row r="182" spans="1:31" ht="32.25" thickBot="1">
      <c r="A182" s="123"/>
      <c r="B182" s="243"/>
      <c r="C182" s="243" t="s">
        <v>221</v>
      </c>
      <c r="D182" s="244">
        <f t="shared" ref="D182:P182" si="56">IF(((D180="")*AND(D181="")),"",(D180-D181)*2)</f>
        <v>2007.2599999999998</v>
      </c>
      <c r="E182" s="244">
        <f t="shared" si="56"/>
        <v>2035.6800000000003</v>
      </c>
      <c r="F182" s="244">
        <f t="shared" si="56"/>
        <v>2031.0000000000005</v>
      </c>
      <c r="G182" s="244">
        <f t="shared" si="56"/>
        <v>2051.2400000000002</v>
      </c>
      <c r="H182" s="244">
        <f t="shared" si="56"/>
        <v>2065.2599999999998</v>
      </c>
      <c r="I182" s="244">
        <f t="shared" si="56"/>
        <v>2070.7799999999997</v>
      </c>
      <c r="J182" s="244">
        <f t="shared" si="56"/>
        <v>2049.2200000000003</v>
      </c>
      <c r="K182" s="244">
        <f t="shared" si="56"/>
        <v>2040.6199999999994</v>
      </c>
      <c r="L182" s="244">
        <f t="shared" si="56"/>
        <v>1983</v>
      </c>
      <c r="M182" s="244">
        <f t="shared" si="56"/>
        <v>2032.46</v>
      </c>
      <c r="N182" s="244">
        <f t="shared" si="56"/>
        <v>2049.5400000000004</v>
      </c>
      <c r="O182" s="244">
        <f t="shared" si="56"/>
        <v>2067.8200000000002</v>
      </c>
      <c r="P182" s="244">
        <f t="shared" si="56"/>
        <v>2030.5400000000004</v>
      </c>
      <c r="Q182" s="264"/>
      <c r="R182" s="243"/>
      <c r="S182" s="243"/>
      <c r="T182" s="243"/>
      <c r="U182" s="245"/>
      <c r="V182" s="246"/>
      <c r="W182" s="247"/>
      <c r="X182" s="239"/>
    </row>
    <row r="183" spans="1:31" ht="15" customHeight="1">
      <c r="A183" s="248">
        <v>43395</v>
      </c>
      <c r="B183" s="249" t="s">
        <v>76</v>
      </c>
      <c r="C183" s="250" t="s">
        <v>77</v>
      </c>
      <c r="D183" s="123">
        <v>1905.32</v>
      </c>
      <c r="E183" s="123">
        <v>1821.23</v>
      </c>
      <c r="F183" s="123">
        <v>1815.32</v>
      </c>
      <c r="G183" s="123">
        <v>1817.05</v>
      </c>
      <c r="H183" s="123">
        <v>1897.57</v>
      </c>
      <c r="I183" s="123">
        <v>1922.02</v>
      </c>
      <c r="J183" s="123">
        <v>1826.29</v>
      </c>
      <c r="K183" s="123">
        <v>1810.43</v>
      </c>
      <c r="L183" s="123">
        <v>1915.31</v>
      </c>
      <c r="M183" s="123">
        <v>1836.6</v>
      </c>
      <c r="N183" s="123">
        <v>1817.78</v>
      </c>
      <c r="O183" s="123">
        <v>1829.51</v>
      </c>
      <c r="P183" s="123">
        <v>1829.11</v>
      </c>
      <c r="Q183" s="250">
        <f>IF((P184=""),"",MAX(D185:P185))</f>
        <v>1984.74</v>
      </c>
      <c r="R183" s="250">
        <f>IF(P184="","",MIN(D185:P185))</f>
        <v>1815.6599999999999</v>
      </c>
      <c r="S183" s="250">
        <f>IF((P185=""),"",AVERAGE(D185:P185))</f>
        <v>1930.4338461538459</v>
      </c>
      <c r="T183" s="250">
        <f>IF((P184=""),"",STDEV(D185:P185))</f>
        <v>56.321753869835781</v>
      </c>
      <c r="U183" s="251">
        <f>IF((P184=""),"",((Q183-R183)/(Q183+R183))*100)</f>
        <v>4.44900536785602</v>
      </c>
      <c r="V183" s="228" t="str">
        <f>IF(P184="","",IF(U183&lt;7.2,IF(S183&gt;AB183,IF(S183&lt;AC183,"Pass","Fail"),"Fail"),"Fail"))</f>
        <v>Pass</v>
      </c>
      <c r="W183" s="253">
        <v>121</v>
      </c>
      <c r="X183" s="255" t="s">
        <v>95</v>
      </c>
      <c r="Z183" s="240">
        <v>1600</v>
      </c>
      <c r="AA183" s="240">
        <v>2600</v>
      </c>
      <c r="AB183" s="241">
        <v>1700</v>
      </c>
      <c r="AC183" s="241">
        <v>2100</v>
      </c>
      <c r="AD183" s="242">
        <v>10</v>
      </c>
      <c r="AE183" s="242">
        <v>7.2</v>
      </c>
    </row>
    <row r="184" spans="1:31">
      <c r="A184" s="123"/>
      <c r="B184" s="235"/>
      <c r="C184" s="235" t="s">
        <v>78</v>
      </c>
      <c r="D184" s="123">
        <v>976.74</v>
      </c>
      <c r="E184" s="123">
        <v>838.86</v>
      </c>
      <c r="F184" s="123">
        <v>829.77</v>
      </c>
      <c r="G184" s="123">
        <v>829.97</v>
      </c>
      <c r="H184" s="123">
        <v>962</v>
      </c>
      <c r="I184" s="123">
        <v>989.52</v>
      </c>
      <c r="J184" s="123">
        <v>849.88</v>
      </c>
      <c r="K184" s="123">
        <v>829.75</v>
      </c>
      <c r="L184" s="123">
        <v>1007.48</v>
      </c>
      <c r="M184" s="123">
        <v>853.23</v>
      </c>
      <c r="N184" s="123">
        <v>825.41</v>
      </c>
      <c r="O184" s="123">
        <v>852.13</v>
      </c>
      <c r="P184" s="123">
        <v>850.98</v>
      </c>
      <c r="Q184" s="235"/>
      <c r="R184" s="235"/>
      <c r="S184" s="235"/>
      <c r="T184" s="235"/>
      <c r="U184" s="236"/>
      <c r="V184" s="237"/>
      <c r="W184" s="238"/>
      <c r="X184" s="239"/>
    </row>
    <row r="185" spans="1:31" ht="32.25" thickBot="1">
      <c r="A185" s="123"/>
      <c r="B185" s="243"/>
      <c r="C185" s="243" t="s">
        <v>221</v>
      </c>
      <c r="D185" s="244">
        <f t="shared" ref="D185:P185" si="57">IF(((D183="")*AND(D184="")),"",(D183-D184)*2)</f>
        <v>1857.1599999999999</v>
      </c>
      <c r="E185" s="244">
        <f t="shared" si="57"/>
        <v>1964.74</v>
      </c>
      <c r="F185" s="244">
        <f t="shared" si="57"/>
        <v>1971.1</v>
      </c>
      <c r="G185" s="244">
        <f t="shared" si="57"/>
        <v>1974.1599999999999</v>
      </c>
      <c r="H185" s="244">
        <f t="shared" si="57"/>
        <v>1871.1399999999999</v>
      </c>
      <c r="I185" s="244">
        <f t="shared" si="57"/>
        <v>1865</v>
      </c>
      <c r="J185" s="244">
        <f t="shared" si="57"/>
        <v>1952.82</v>
      </c>
      <c r="K185" s="244">
        <f t="shared" si="57"/>
        <v>1961.3600000000001</v>
      </c>
      <c r="L185" s="244">
        <f t="shared" si="57"/>
        <v>1815.6599999999999</v>
      </c>
      <c r="M185" s="244">
        <f t="shared" si="57"/>
        <v>1966.7399999999998</v>
      </c>
      <c r="N185" s="244">
        <f t="shared" si="57"/>
        <v>1984.74</v>
      </c>
      <c r="O185" s="244">
        <f t="shared" si="57"/>
        <v>1954.76</v>
      </c>
      <c r="P185" s="244">
        <f t="shared" si="57"/>
        <v>1956.2599999999998</v>
      </c>
      <c r="Q185" s="264"/>
      <c r="R185" s="243"/>
      <c r="S185" s="243"/>
      <c r="T185" s="243"/>
      <c r="U185" s="245"/>
      <c r="V185" s="246"/>
      <c r="W185" s="247"/>
      <c r="X185" s="239"/>
    </row>
    <row r="186" spans="1:31">
      <c r="A186" s="248">
        <v>43398</v>
      </c>
      <c r="B186" s="249" t="s">
        <v>76</v>
      </c>
      <c r="C186" s="250" t="s">
        <v>77</v>
      </c>
      <c r="D186" s="123">
        <v>2909.19</v>
      </c>
      <c r="E186" s="123">
        <v>2838.88</v>
      </c>
      <c r="F186" s="123">
        <v>2838.85</v>
      </c>
      <c r="G186" s="123">
        <v>2845.78</v>
      </c>
      <c r="H186" s="123">
        <v>2937.86</v>
      </c>
      <c r="I186" s="123">
        <v>2961.54</v>
      </c>
      <c r="J186" s="123">
        <v>2854.64</v>
      </c>
      <c r="K186" s="123">
        <v>2836.43</v>
      </c>
      <c r="L186" s="123">
        <v>2907.99</v>
      </c>
      <c r="M186" s="123">
        <v>2859.72</v>
      </c>
      <c r="N186" s="123">
        <v>2848.5</v>
      </c>
      <c r="O186" s="123">
        <v>2869.56</v>
      </c>
      <c r="P186" s="123">
        <v>2845.88</v>
      </c>
      <c r="Q186" s="250">
        <f>IF((P187=""),"",MAX(D188:P188))</f>
        <v>2085.6799999999998</v>
      </c>
      <c r="R186" s="250">
        <f>IF(P187="","",MIN(D188:P188))</f>
        <v>1973.9799999999996</v>
      </c>
      <c r="S186" s="250">
        <f>IF((P188=""),"",AVERAGE(D188:P188))</f>
        <v>2046.7338461538461</v>
      </c>
      <c r="T186" s="250">
        <f>IF((P187=""),"",STDEV(D188:P188))</f>
        <v>28.923420019787216</v>
      </c>
      <c r="U186" s="251">
        <f>IF((P187=""),"",((Q186-R186)/(Q186+R186))*100)</f>
        <v>2.7514619450890048</v>
      </c>
      <c r="V186" s="228" t="str">
        <f>IF(P187="","",IF(U186&lt;7.2,IF(S186&gt;AB186,IF(S186&lt;AC186,"Pass","Fail"),"Fail"),"Fail"))</f>
        <v>Pass</v>
      </c>
      <c r="W186" s="253"/>
      <c r="X186" s="230"/>
      <c r="Z186" s="240">
        <v>1600</v>
      </c>
      <c r="AA186" s="240">
        <v>2600</v>
      </c>
      <c r="AB186" s="241">
        <v>1700</v>
      </c>
      <c r="AC186" s="241">
        <v>2100</v>
      </c>
      <c r="AD186" s="242">
        <v>10</v>
      </c>
      <c r="AE186" s="242">
        <v>7.2</v>
      </c>
    </row>
    <row r="187" spans="1:31">
      <c r="A187" s="123"/>
      <c r="B187" s="235"/>
      <c r="C187" s="235" t="s">
        <v>78</v>
      </c>
      <c r="D187" s="123">
        <v>1905.54</v>
      </c>
      <c r="E187" s="123">
        <v>1820.65</v>
      </c>
      <c r="F187" s="123">
        <v>1811.45</v>
      </c>
      <c r="G187" s="123">
        <v>1818.69</v>
      </c>
      <c r="H187" s="123">
        <v>1900.65</v>
      </c>
      <c r="I187" s="123">
        <v>1918.7</v>
      </c>
      <c r="J187" s="123">
        <v>1825.51</v>
      </c>
      <c r="K187" s="123">
        <v>1815.06</v>
      </c>
      <c r="L187" s="123">
        <v>1921</v>
      </c>
      <c r="M187" s="123">
        <v>1834.97</v>
      </c>
      <c r="N187" s="123">
        <v>1817.57</v>
      </c>
      <c r="O187" s="123">
        <v>1837.66</v>
      </c>
      <c r="P187" s="123">
        <v>1823.6</v>
      </c>
      <c r="Q187" s="235"/>
      <c r="R187" s="235"/>
      <c r="S187" s="235"/>
      <c r="T187" s="235"/>
      <c r="U187" s="236"/>
      <c r="V187" s="237"/>
      <c r="W187" s="238"/>
      <c r="X187" s="239"/>
    </row>
    <row r="188" spans="1:31" ht="32.25" thickBot="1">
      <c r="A188" s="123"/>
      <c r="B188" s="243"/>
      <c r="C188" s="243" t="s">
        <v>221</v>
      </c>
      <c r="D188" s="244">
        <f t="shared" ref="D188:P188" si="58">IF(((D186="")*AND(D187="")),"",(D186-D187)*2)</f>
        <v>2007.3000000000002</v>
      </c>
      <c r="E188" s="244">
        <f t="shared" si="58"/>
        <v>2036.46</v>
      </c>
      <c r="F188" s="244">
        <f t="shared" si="58"/>
        <v>2054.7999999999997</v>
      </c>
      <c r="G188" s="244">
        <f t="shared" si="58"/>
        <v>2054.1800000000003</v>
      </c>
      <c r="H188" s="244">
        <f t="shared" si="58"/>
        <v>2074.42</v>
      </c>
      <c r="I188" s="244">
        <f t="shared" si="58"/>
        <v>2085.6799999999998</v>
      </c>
      <c r="J188" s="244">
        <f t="shared" si="58"/>
        <v>2058.2599999999998</v>
      </c>
      <c r="K188" s="244">
        <f t="shared" si="58"/>
        <v>2042.7399999999998</v>
      </c>
      <c r="L188" s="244">
        <f t="shared" si="58"/>
        <v>1973.9799999999996</v>
      </c>
      <c r="M188" s="244">
        <f t="shared" si="58"/>
        <v>2049.4999999999995</v>
      </c>
      <c r="N188" s="244">
        <f t="shared" si="58"/>
        <v>2061.86</v>
      </c>
      <c r="O188" s="244">
        <f t="shared" si="58"/>
        <v>2063.7999999999997</v>
      </c>
      <c r="P188" s="244">
        <f t="shared" si="58"/>
        <v>2044.5600000000004</v>
      </c>
      <c r="Q188" s="264"/>
      <c r="R188" s="243"/>
      <c r="S188" s="243"/>
      <c r="T188" s="243"/>
      <c r="U188" s="245"/>
      <c r="V188" s="246"/>
      <c r="W188" s="247"/>
      <c r="X188" s="239"/>
    </row>
    <row r="189" spans="1:31">
      <c r="A189" s="248">
        <v>43401</v>
      </c>
      <c r="B189" s="249" t="s">
        <v>76</v>
      </c>
      <c r="C189" s="250" t="s">
        <v>77</v>
      </c>
      <c r="D189" s="123">
        <v>2913.57</v>
      </c>
      <c r="E189" s="123">
        <v>2848.15</v>
      </c>
      <c r="F189" s="123">
        <v>2844.53</v>
      </c>
      <c r="G189" s="123">
        <v>2850.12</v>
      </c>
      <c r="H189" s="123">
        <v>2942.69</v>
      </c>
      <c r="I189" s="123">
        <v>2967.55</v>
      </c>
      <c r="J189" s="123">
        <v>2859.95</v>
      </c>
      <c r="K189" s="123">
        <v>2843.45</v>
      </c>
      <c r="L189" s="123">
        <v>2913.75</v>
      </c>
      <c r="M189" s="123">
        <v>2866.08</v>
      </c>
      <c r="N189" s="123">
        <v>2851.86</v>
      </c>
      <c r="O189" s="123">
        <v>2872.53</v>
      </c>
      <c r="P189" s="123">
        <v>2851.77</v>
      </c>
      <c r="Q189" s="250">
        <f>IF((P190=""),"",MAX(D191:P191))</f>
        <v>2093.0200000000004</v>
      </c>
      <c r="R189" s="250">
        <f>IF(P190="","",MIN(D191:P191))</f>
        <v>1985.8400000000001</v>
      </c>
      <c r="S189" s="250">
        <f>IF((P191=""),"",AVERAGE(D191:P191))</f>
        <v>2052.7846153846153</v>
      </c>
      <c r="T189" s="250">
        <f>IF((P190=""),"",STDEV(D191:P191))</f>
        <v>28.659009233684479</v>
      </c>
      <c r="U189" s="251">
        <f>IF((P190=""),"",((Q189-R189)/(Q189+R189))*100)</f>
        <v>2.6276949932088933</v>
      </c>
      <c r="V189" s="228" t="str">
        <f>IF(P190="","",IF(U189&lt;7.2,IF(S189&gt;AB189,IF(S189&lt;AC189,"Pass","Fail"),"Fail"),"Fail"))</f>
        <v>Pass</v>
      </c>
      <c r="W189" s="253">
        <v>1340</v>
      </c>
      <c r="X189" s="230"/>
      <c r="Z189" s="240">
        <v>1600</v>
      </c>
      <c r="AA189" s="240">
        <v>2600</v>
      </c>
      <c r="AB189" s="241">
        <v>1700</v>
      </c>
      <c r="AC189" s="241">
        <v>2100</v>
      </c>
      <c r="AD189" s="242">
        <v>10</v>
      </c>
      <c r="AE189" s="242">
        <v>7.2</v>
      </c>
    </row>
    <row r="190" spans="1:31">
      <c r="A190" s="123"/>
      <c r="B190" s="235"/>
      <c r="C190" s="235" t="s">
        <v>78</v>
      </c>
      <c r="D190" s="123">
        <v>1912.53</v>
      </c>
      <c r="E190" s="123">
        <v>1817.1</v>
      </c>
      <c r="F190" s="123">
        <v>1810.54</v>
      </c>
      <c r="G190" s="123">
        <v>1820.22</v>
      </c>
      <c r="H190" s="123">
        <v>1908.54</v>
      </c>
      <c r="I190" s="123">
        <v>1921.04</v>
      </c>
      <c r="J190" s="123">
        <v>1831.57</v>
      </c>
      <c r="K190" s="123">
        <v>1819.57</v>
      </c>
      <c r="L190" s="123">
        <v>1920.83</v>
      </c>
      <c r="M190" s="123">
        <v>1837.6</v>
      </c>
      <c r="N190" s="123">
        <v>1817.28</v>
      </c>
      <c r="O190" s="123">
        <v>1838.53</v>
      </c>
      <c r="P190" s="123">
        <v>1827.55</v>
      </c>
      <c r="Q190" s="235"/>
      <c r="R190" s="235"/>
      <c r="S190" s="235"/>
      <c r="T190" s="235"/>
      <c r="U190" s="236"/>
      <c r="V190" s="237"/>
      <c r="W190" s="238"/>
      <c r="X190" s="239"/>
    </row>
    <row r="191" spans="1:31" ht="32.25" thickBot="1">
      <c r="A191" s="123"/>
      <c r="B191" s="243"/>
      <c r="C191" s="243" t="s">
        <v>221</v>
      </c>
      <c r="D191" s="244">
        <f t="shared" ref="D191:P191" si="59">IF(((D189="")*AND(D190="")),"",(D189-D190)*2)</f>
        <v>2002.0800000000004</v>
      </c>
      <c r="E191" s="244">
        <f t="shared" si="59"/>
        <v>2062.1000000000004</v>
      </c>
      <c r="F191" s="244">
        <f t="shared" si="59"/>
        <v>2067.9800000000005</v>
      </c>
      <c r="G191" s="244">
        <f t="shared" si="59"/>
        <v>2059.7999999999997</v>
      </c>
      <c r="H191" s="244">
        <f t="shared" si="59"/>
        <v>2068.3000000000002</v>
      </c>
      <c r="I191" s="244">
        <f t="shared" si="59"/>
        <v>2093.0200000000004</v>
      </c>
      <c r="J191" s="244">
        <f t="shared" si="59"/>
        <v>2056.7599999999998</v>
      </c>
      <c r="K191" s="244">
        <f t="shared" si="59"/>
        <v>2047.7599999999998</v>
      </c>
      <c r="L191" s="244">
        <f t="shared" si="59"/>
        <v>1985.8400000000001</v>
      </c>
      <c r="M191" s="244">
        <f t="shared" si="59"/>
        <v>2056.96</v>
      </c>
      <c r="N191" s="244">
        <f t="shared" si="59"/>
        <v>2069.1600000000003</v>
      </c>
      <c r="O191" s="244">
        <f t="shared" si="59"/>
        <v>2068.0000000000005</v>
      </c>
      <c r="P191" s="244">
        <f t="shared" si="59"/>
        <v>2048.44</v>
      </c>
      <c r="Q191" s="264"/>
      <c r="R191" s="243"/>
      <c r="S191" s="243"/>
      <c r="T191" s="243"/>
      <c r="U191" s="245"/>
      <c r="V191" s="246"/>
      <c r="W191" s="247"/>
      <c r="X191" s="239"/>
    </row>
    <row r="192" spans="1:31">
      <c r="A192" s="248">
        <v>43402</v>
      </c>
      <c r="B192" s="249" t="s">
        <v>76</v>
      </c>
      <c r="C192" s="250" t="s">
        <v>77</v>
      </c>
      <c r="D192" s="123">
        <v>2910.47</v>
      </c>
      <c r="E192" s="123">
        <v>2847.07</v>
      </c>
      <c r="F192" s="123">
        <v>2846.11</v>
      </c>
      <c r="G192" s="123">
        <v>2854.52</v>
      </c>
      <c r="H192" s="123">
        <v>2945.81</v>
      </c>
      <c r="I192" s="123">
        <v>2963.28</v>
      </c>
      <c r="J192" s="123">
        <v>2862.72</v>
      </c>
      <c r="K192" s="123">
        <v>2845.47</v>
      </c>
      <c r="L192" s="123">
        <v>2910.8</v>
      </c>
      <c r="M192" s="123">
        <v>2864.47</v>
      </c>
      <c r="N192" s="123">
        <v>2856.6</v>
      </c>
      <c r="O192" s="123">
        <v>2872.52</v>
      </c>
      <c r="P192" s="123">
        <v>2854.83</v>
      </c>
      <c r="Q192" s="250">
        <f>IF((P193=""),"",MAX(D194:P194))</f>
        <v>2082.7200000000003</v>
      </c>
      <c r="R192" s="250">
        <f>IF(P193="","",MIN(D194:P194))</f>
        <v>1985.5400000000004</v>
      </c>
      <c r="S192" s="250">
        <f>IF((P194=""),"",AVERAGE(D194:P194))</f>
        <v>2045.4646153846154</v>
      </c>
      <c r="T192" s="250">
        <f>IF((P193=""),"",STDEV(D194:P194))</f>
        <v>26.551817456746839</v>
      </c>
      <c r="U192" s="251">
        <f>IF((P193=""),"",((Q192-R192)/(Q192+R192))*100)</f>
        <v>2.3887362164660031</v>
      </c>
      <c r="V192" s="228" t="str">
        <f>IF(P193="","",IF(U192&lt;7.2,IF(S192&gt;AB192,IF(S192&lt;AC192,"Pass","Fail"),"Fail"),"Fail"))</f>
        <v>Pass</v>
      </c>
      <c r="W192" s="253">
        <v>1428</v>
      </c>
      <c r="X192" s="230"/>
      <c r="Z192" s="240">
        <v>1600</v>
      </c>
      <c r="AA192" s="240">
        <v>2600</v>
      </c>
      <c r="AB192" s="241">
        <v>1700</v>
      </c>
      <c r="AC192" s="241">
        <v>2100</v>
      </c>
      <c r="AD192" s="242">
        <v>10</v>
      </c>
      <c r="AE192" s="242">
        <v>7.2</v>
      </c>
    </row>
    <row r="193" spans="1:31">
      <c r="A193" s="123"/>
      <c r="B193" s="235"/>
      <c r="C193" s="235" t="s">
        <v>78</v>
      </c>
      <c r="D193" s="123">
        <v>1908.79</v>
      </c>
      <c r="E193" s="123">
        <v>1831.48</v>
      </c>
      <c r="F193" s="123">
        <v>1821.4</v>
      </c>
      <c r="G193" s="123">
        <v>1822.74</v>
      </c>
      <c r="H193" s="123">
        <v>1911.68</v>
      </c>
      <c r="I193" s="123">
        <v>1921.92</v>
      </c>
      <c r="J193" s="123">
        <v>1835.01</v>
      </c>
      <c r="K193" s="123">
        <v>1820.43</v>
      </c>
      <c r="L193" s="123">
        <v>1918.03</v>
      </c>
      <c r="M193" s="123">
        <v>1845.55</v>
      </c>
      <c r="N193" s="123">
        <v>1826.44</v>
      </c>
      <c r="O193" s="123">
        <v>1842.14</v>
      </c>
      <c r="P193" s="123">
        <v>1833.54</v>
      </c>
      <c r="Q193" s="235"/>
      <c r="R193" s="235"/>
      <c r="S193" s="235"/>
      <c r="T193" s="235"/>
      <c r="U193" s="236"/>
      <c r="V193" s="237"/>
      <c r="W193" s="238"/>
      <c r="X193" s="239"/>
    </row>
    <row r="194" spans="1:31" ht="32.25" thickBot="1">
      <c r="A194" s="123"/>
      <c r="B194" s="243"/>
      <c r="C194" s="243" t="s">
        <v>221</v>
      </c>
      <c r="D194" s="244">
        <f t="shared" ref="D194:P194" si="60">IF(((D192="")*AND(D193="")),"",(D192-D193)*2)</f>
        <v>2003.3599999999997</v>
      </c>
      <c r="E194" s="244">
        <f t="shared" si="60"/>
        <v>2031.1800000000003</v>
      </c>
      <c r="F194" s="244">
        <f t="shared" si="60"/>
        <v>2049.42</v>
      </c>
      <c r="G194" s="244">
        <f t="shared" si="60"/>
        <v>2063.56</v>
      </c>
      <c r="H194" s="244">
        <f t="shared" si="60"/>
        <v>2068.2599999999998</v>
      </c>
      <c r="I194" s="244">
        <f t="shared" si="60"/>
        <v>2082.7200000000003</v>
      </c>
      <c r="J194" s="244">
        <f t="shared" si="60"/>
        <v>2055.4199999999996</v>
      </c>
      <c r="K194" s="244">
        <f t="shared" si="60"/>
        <v>2050.0799999999995</v>
      </c>
      <c r="L194" s="244">
        <f t="shared" si="60"/>
        <v>1985.5400000000004</v>
      </c>
      <c r="M194" s="244">
        <f t="shared" si="60"/>
        <v>2037.8399999999997</v>
      </c>
      <c r="N194" s="244">
        <f t="shared" si="60"/>
        <v>2060.3199999999997</v>
      </c>
      <c r="O194" s="244">
        <f t="shared" si="60"/>
        <v>2060.7599999999998</v>
      </c>
      <c r="P194" s="244">
        <f t="shared" si="60"/>
        <v>2042.58</v>
      </c>
      <c r="Q194" s="264"/>
      <c r="R194" s="243"/>
      <c r="S194" s="243"/>
      <c r="T194" s="243"/>
      <c r="U194" s="245"/>
      <c r="V194" s="246"/>
      <c r="W194" s="247"/>
      <c r="X194" s="239"/>
    </row>
    <row r="195" spans="1:31" ht="15.75" customHeight="1">
      <c r="A195" s="248">
        <v>43404</v>
      </c>
      <c r="B195" s="249" t="s">
        <v>76</v>
      </c>
      <c r="C195" s="250" t="s">
        <v>77</v>
      </c>
      <c r="D195" s="123">
        <v>2910.63</v>
      </c>
      <c r="E195" s="123">
        <v>2854.35</v>
      </c>
      <c r="F195" s="123">
        <v>2847.91</v>
      </c>
      <c r="G195" s="123">
        <v>2861.54</v>
      </c>
      <c r="H195" s="123">
        <v>2953.24</v>
      </c>
      <c r="I195" s="123">
        <v>2972.72</v>
      </c>
      <c r="J195" s="123">
        <v>2867.93</v>
      </c>
      <c r="K195" s="123">
        <v>2850.99</v>
      </c>
      <c r="L195" s="123">
        <v>2905.1</v>
      </c>
      <c r="M195" s="123">
        <v>2866.73</v>
      </c>
      <c r="N195" s="123">
        <v>2862.23</v>
      </c>
      <c r="O195" s="123">
        <v>2882.06</v>
      </c>
      <c r="P195" s="123">
        <v>2854.83</v>
      </c>
      <c r="Q195" s="250">
        <f>IF((P196=""),"",MAX(D197:P197))</f>
        <v>2063.2599999999998</v>
      </c>
      <c r="R195" s="250">
        <f>IF(P196="","",MIN(D197:P197))</f>
        <v>1964.6999999999998</v>
      </c>
      <c r="S195" s="250">
        <f>IF((P197=""),"",AVERAGE(D197:P197))</f>
        <v>2028.8430769230772</v>
      </c>
      <c r="T195" s="250">
        <f>IF((P196=""),"",STDEV(D197:P197))</f>
        <v>27.989067920831491</v>
      </c>
      <c r="U195" s="251">
        <f>IF((P196=""),"",((Q195-R195)/(Q195+R195))*100)</f>
        <v>2.4468961955928052</v>
      </c>
      <c r="V195" s="228" t="str">
        <f>IF(P196="","",IF(U195&lt;7.2,IF(S195&gt;AB195,IF(S195&lt;AC195,"Pass","Fail"),"Fail"),"Fail"))</f>
        <v>Pass</v>
      </c>
      <c r="W195" s="253">
        <v>1335</v>
      </c>
      <c r="X195" s="255" t="s">
        <v>96</v>
      </c>
      <c r="Z195" s="240">
        <v>1600</v>
      </c>
      <c r="AA195" s="240">
        <v>2600</v>
      </c>
      <c r="AB195" s="241">
        <v>1700</v>
      </c>
      <c r="AC195" s="241">
        <v>2100</v>
      </c>
      <c r="AD195" s="242">
        <v>10</v>
      </c>
      <c r="AE195" s="242">
        <v>7.2</v>
      </c>
    </row>
    <row r="196" spans="1:31">
      <c r="A196" s="123"/>
      <c r="B196" s="235"/>
      <c r="C196" s="235" t="s">
        <v>78</v>
      </c>
      <c r="D196" s="123">
        <v>1915.72</v>
      </c>
      <c r="E196" s="123">
        <v>1842.31</v>
      </c>
      <c r="F196" s="123">
        <v>1836.51</v>
      </c>
      <c r="G196" s="123">
        <v>1844.73</v>
      </c>
      <c r="H196" s="123">
        <v>1921.61</v>
      </c>
      <c r="I196" s="123">
        <v>1943.92</v>
      </c>
      <c r="J196" s="123">
        <v>1842.98</v>
      </c>
      <c r="K196" s="123">
        <v>1833.87</v>
      </c>
      <c r="L196" s="123">
        <v>1922.75</v>
      </c>
      <c r="M196" s="123">
        <v>1857.52</v>
      </c>
      <c r="N196" s="123">
        <v>1842.63</v>
      </c>
      <c r="O196" s="123">
        <v>1852.8</v>
      </c>
      <c r="P196" s="123">
        <v>1845.43</v>
      </c>
      <c r="Q196" s="235"/>
      <c r="R196" s="235"/>
      <c r="S196" s="235"/>
      <c r="T196" s="235"/>
      <c r="U196" s="236"/>
      <c r="V196" s="237"/>
      <c r="W196" s="238"/>
      <c r="X196" s="239"/>
    </row>
    <row r="197" spans="1:31" ht="32.25" thickBot="1">
      <c r="A197" s="123"/>
      <c r="B197" s="243"/>
      <c r="C197" s="243" t="s">
        <v>221</v>
      </c>
      <c r="D197" s="244">
        <f t="shared" ref="D197:P197" si="61">IF(((D195="")*AND(D196="")),"",(D195-D196)*2)</f>
        <v>1989.8200000000002</v>
      </c>
      <c r="E197" s="244">
        <f t="shared" si="61"/>
        <v>2024.08</v>
      </c>
      <c r="F197" s="244">
        <f t="shared" si="61"/>
        <v>2022.7999999999997</v>
      </c>
      <c r="G197" s="244">
        <f t="shared" si="61"/>
        <v>2033.62</v>
      </c>
      <c r="H197" s="244">
        <f t="shared" si="61"/>
        <v>2063.2599999999998</v>
      </c>
      <c r="I197" s="244">
        <f t="shared" si="61"/>
        <v>2057.5999999999995</v>
      </c>
      <c r="J197" s="244">
        <f t="shared" si="61"/>
        <v>2049.8999999999996</v>
      </c>
      <c r="K197" s="244">
        <f t="shared" si="61"/>
        <v>2034.2399999999998</v>
      </c>
      <c r="L197" s="244">
        <f t="shared" si="61"/>
        <v>1964.6999999999998</v>
      </c>
      <c r="M197" s="244">
        <f t="shared" si="61"/>
        <v>2018.42</v>
      </c>
      <c r="N197" s="244">
        <f t="shared" si="61"/>
        <v>2039.1999999999998</v>
      </c>
      <c r="O197" s="244">
        <f t="shared" si="61"/>
        <v>2058.52</v>
      </c>
      <c r="P197" s="244">
        <f t="shared" si="61"/>
        <v>2018.7999999999997</v>
      </c>
      <c r="Q197" s="264"/>
      <c r="R197" s="243"/>
      <c r="S197" s="243"/>
      <c r="T197" s="243"/>
      <c r="U197" s="245"/>
      <c r="V197" s="246"/>
      <c r="W197" s="247"/>
      <c r="X197" s="239"/>
    </row>
    <row r="198" spans="1:31">
      <c r="A198" s="248">
        <v>43409</v>
      </c>
      <c r="B198" s="249" t="s">
        <v>76</v>
      </c>
      <c r="C198" s="250" t="s">
        <v>77</v>
      </c>
      <c r="D198" s="123">
        <v>2915</v>
      </c>
      <c r="E198" s="123">
        <v>2852.52</v>
      </c>
      <c r="F198" s="123">
        <v>2849.42</v>
      </c>
      <c r="G198" s="123">
        <v>2859.35</v>
      </c>
      <c r="H198" s="123">
        <v>2945.22</v>
      </c>
      <c r="I198" s="123">
        <v>2964.64</v>
      </c>
      <c r="J198" s="123">
        <v>2862.76</v>
      </c>
      <c r="K198" s="123">
        <v>2849.63</v>
      </c>
      <c r="L198" s="123">
        <v>2913.37</v>
      </c>
      <c r="M198" s="123">
        <v>2869.34</v>
      </c>
      <c r="N198" s="123">
        <v>2855.01</v>
      </c>
      <c r="O198" s="123">
        <v>2879.97</v>
      </c>
      <c r="P198" s="123">
        <v>2852.92</v>
      </c>
      <c r="Q198" s="250">
        <f>IF((P199=""),"",MAX(D200:P200))</f>
        <v>2056.6999999999998</v>
      </c>
      <c r="R198" s="250">
        <f>IF(P199="","",MIN(D200:P200))</f>
        <v>1974.8399999999997</v>
      </c>
      <c r="S198" s="250">
        <f>IF((P200=""),"",AVERAGE(D200:P200))</f>
        <v>2023.6523076923077</v>
      </c>
      <c r="T198" s="250">
        <f>IF((P199=""),"",STDEV(D200:P200))</f>
        <v>23.638668234429716</v>
      </c>
      <c r="U198" s="251">
        <f>IF((P199=""),"",((Q198-R198)/(Q198+R198))*100)</f>
        <v>2.030489589586117</v>
      </c>
      <c r="V198" s="228" t="str">
        <f>IF(P199="","",IF(U198&lt;7.2,IF(S198&gt;AB198,IF(S198&lt;AC198,"Pass","Fail"),"Fail"),"Fail"))</f>
        <v>Pass</v>
      </c>
      <c r="W198" s="253">
        <v>1335</v>
      </c>
      <c r="X198" s="230"/>
      <c r="Z198" s="240">
        <v>1600</v>
      </c>
      <c r="AA198" s="240">
        <v>2600</v>
      </c>
      <c r="AB198" s="241">
        <v>1700</v>
      </c>
      <c r="AC198" s="241">
        <v>2100</v>
      </c>
      <c r="AD198" s="242">
        <v>10</v>
      </c>
      <c r="AE198" s="242">
        <v>7.2</v>
      </c>
    </row>
    <row r="199" spans="1:31">
      <c r="A199" s="123"/>
      <c r="B199" s="235"/>
      <c r="C199" s="235" t="s">
        <v>78</v>
      </c>
      <c r="D199" s="123">
        <v>1918.41</v>
      </c>
      <c r="E199" s="123">
        <v>1845.24</v>
      </c>
      <c r="F199" s="123">
        <v>1840.21</v>
      </c>
      <c r="G199" s="123">
        <v>1836.06</v>
      </c>
      <c r="H199" s="123">
        <v>1918.03</v>
      </c>
      <c r="I199" s="123">
        <v>1947.62</v>
      </c>
      <c r="J199" s="123">
        <v>1843.45</v>
      </c>
      <c r="K199" s="123">
        <v>1836.35</v>
      </c>
      <c r="L199" s="123">
        <v>1925.95</v>
      </c>
      <c r="M199" s="123">
        <v>1860.49</v>
      </c>
      <c r="N199" s="123">
        <v>1841.7</v>
      </c>
      <c r="O199" s="123">
        <v>1851.62</v>
      </c>
      <c r="P199" s="123">
        <v>1850.28</v>
      </c>
      <c r="Q199" s="235"/>
      <c r="R199" s="235"/>
      <c r="S199" s="235"/>
      <c r="T199" s="235"/>
      <c r="U199" s="236"/>
      <c r="V199" s="237"/>
      <c r="W199" s="238"/>
      <c r="X199" s="239"/>
    </row>
    <row r="200" spans="1:31" ht="32.25" thickBot="1">
      <c r="A200" s="123"/>
      <c r="B200" s="243"/>
      <c r="C200" s="243" t="s">
        <v>221</v>
      </c>
      <c r="D200" s="244">
        <f t="shared" ref="D200:P200" si="62">IF(((D198="")*AND(D199="")),"",(D198-D199)*2)</f>
        <v>1993.1799999999998</v>
      </c>
      <c r="E200" s="244">
        <f t="shared" si="62"/>
        <v>2014.56</v>
      </c>
      <c r="F200" s="244">
        <f t="shared" si="62"/>
        <v>2018.42</v>
      </c>
      <c r="G200" s="244">
        <f t="shared" si="62"/>
        <v>2046.58</v>
      </c>
      <c r="H200" s="244">
        <f t="shared" si="62"/>
        <v>2054.3799999999997</v>
      </c>
      <c r="I200" s="244">
        <f t="shared" si="62"/>
        <v>2034.04</v>
      </c>
      <c r="J200" s="244">
        <f t="shared" si="62"/>
        <v>2038.6200000000003</v>
      </c>
      <c r="K200" s="244">
        <f t="shared" si="62"/>
        <v>2026.5600000000004</v>
      </c>
      <c r="L200" s="244">
        <f t="shared" si="62"/>
        <v>1974.8399999999997</v>
      </c>
      <c r="M200" s="244">
        <f t="shared" si="62"/>
        <v>2017.7000000000003</v>
      </c>
      <c r="N200" s="244">
        <f t="shared" si="62"/>
        <v>2026.6200000000003</v>
      </c>
      <c r="O200" s="244">
        <f t="shared" si="62"/>
        <v>2056.6999999999998</v>
      </c>
      <c r="P200" s="244">
        <f t="shared" si="62"/>
        <v>2005.2800000000002</v>
      </c>
      <c r="Q200" s="264"/>
      <c r="R200" s="243"/>
      <c r="S200" s="243"/>
      <c r="T200" s="243"/>
      <c r="U200" s="245"/>
      <c r="V200" s="246"/>
      <c r="W200" s="247"/>
      <c r="X200" s="239"/>
    </row>
    <row r="201" spans="1:31">
      <c r="A201" s="248">
        <v>43413</v>
      </c>
      <c r="B201" s="249" t="s">
        <v>76</v>
      </c>
      <c r="C201" s="250" t="s">
        <v>77</v>
      </c>
      <c r="D201" s="123">
        <v>2978.47</v>
      </c>
      <c r="E201" s="123">
        <v>2872.92</v>
      </c>
      <c r="F201" s="123">
        <v>2849.14</v>
      </c>
      <c r="G201" s="123">
        <v>2847.52</v>
      </c>
      <c r="H201" s="123">
        <v>2916.67</v>
      </c>
      <c r="I201" s="123">
        <v>2909.45</v>
      </c>
      <c r="J201" s="123">
        <v>2852.21</v>
      </c>
      <c r="K201" s="123">
        <v>2861.84</v>
      </c>
      <c r="L201" s="123">
        <v>2932.31</v>
      </c>
      <c r="M201" s="123">
        <v>2874.94</v>
      </c>
      <c r="N201" s="123">
        <v>2861.4</v>
      </c>
      <c r="O201" s="123">
        <v>2853.91</v>
      </c>
      <c r="P201" s="123">
        <v>2881.91</v>
      </c>
      <c r="Q201" s="250">
        <f>IF((P202=""),"",MAX(D203:P203))</f>
        <v>2044.1200000000003</v>
      </c>
      <c r="R201" s="250">
        <f>IF(P202="","",MIN(D203:P203))</f>
        <v>1988.3199999999997</v>
      </c>
      <c r="S201" s="250">
        <f>IF((P203=""),"",AVERAGE(D203:P203))</f>
        <v>2029.8184615384614</v>
      </c>
      <c r="T201" s="250">
        <f>IF((P202=""),"",STDEV(D203:P203))</f>
        <v>15.069734484585284</v>
      </c>
      <c r="U201" s="251">
        <f>IF((P202=""),"",((Q201-R201)/(Q201+R201))*100)</f>
        <v>1.3837775639563299</v>
      </c>
      <c r="V201" s="228" t="str">
        <f>IF(P202="","",IF(U201&lt;7.2,IF(S201&gt;AB201,IF(S201&lt;AC201,"Pass","Fail"),"Fail"),"Fail"))</f>
        <v>Pass</v>
      </c>
      <c r="W201" s="253">
        <v>1428</v>
      </c>
      <c r="X201" s="230"/>
      <c r="Z201" s="240">
        <v>1600</v>
      </c>
      <c r="AA201" s="240">
        <v>2600</v>
      </c>
      <c r="AB201" s="241">
        <v>1700</v>
      </c>
      <c r="AC201" s="241">
        <v>2100</v>
      </c>
      <c r="AD201" s="242">
        <v>10</v>
      </c>
      <c r="AE201" s="242">
        <v>7.2</v>
      </c>
    </row>
    <row r="202" spans="1:31">
      <c r="A202" s="123"/>
      <c r="B202" s="235"/>
      <c r="C202" s="235" t="s">
        <v>78</v>
      </c>
      <c r="D202" s="123">
        <v>1956.45</v>
      </c>
      <c r="E202" s="123">
        <v>1860.11</v>
      </c>
      <c r="F202" s="123">
        <v>1837.43</v>
      </c>
      <c r="G202" s="123">
        <v>1829.75</v>
      </c>
      <c r="H202" s="123">
        <v>1894.61</v>
      </c>
      <c r="I202" s="123">
        <v>1889.79</v>
      </c>
      <c r="J202" s="123">
        <v>1840.23</v>
      </c>
      <c r="K202" s="123">
        <v>1842.58</v>
      </c>
      <c r="L202" s="123">
        <v>1938.15</v>
      </c>
      <c r="M202" s="123">
        <v>1865.62</v>
      </c>
      <c r="N202" s="123">
        <v>1841.09</v>
      </c>
      <c r="O202" s="123">
        <v>1835.14</v>
      </c>
      <c r="P202" s="123">
        <v>1867.92</v>
      </c>
      <c r="Q202" s="235"/>
      <c r="R202" s="235"/>
      <c r="S202" s="235"/>
      <c r="T202" s="235"/>
      <c r="U202" s="236"/>
      <c r="V202" s="237"/>
      <c r="W202" s="238"/>
      <c r="X202" s="239"/>
    </row>
    <row r="203" spans="1:31" ht="32.25" thickBot="1">
      <c r="A203" s="123"/>
      <c r="B203" s="243"/>
      <c r="C203" s="243" t="s">
        <v>221</v>
      </c>
      <c r="D203" s="244">
        <f t="shared" ref="D203:P203" si="63">IF(((D201="")*AND(D202="")),"",(D201-D202)*2)</f>
        <v>2044.0399999999995</v>
      </c>
      <c r="E203" s="244">
        <f t="shared" si="63"/>
        <v>2025.6200000000003</v>
      </c>
      <c r="F203" s="244">
        <f t="shared" si="63"/>
        <v>2023.4199999999996</v>
      </c>
      <c r="G203" s="244">
        <f t="shared" si="63"/>
        <v>2035.54</v>
      </c>
      <c r="H203" s="244">
        <f t="shared" si="63"/>
        <v>2044.1200000000003</v>
      </c>
      <c r="I203" s="244">
        <f t="shared" si="63"/>
        <v>2039.3199999999997</v>
      </c>
      <c r="J203" s="244">
        <f t="shared" si="63"/>
        <v>2023.96</v>
      </c>
      <c r="K203" s="244">
        <f t="shared" si="63"/>
        <v>2038.5200000000004</v>
      </c>
      <c r="L203" s="244">
        <f t="shared" si="63"/>
        <v>1988.3199999999997</v>
      </c>
      <c r="M203" s="244">
        <f t="shared" si="63"/>
        <v>2018.6400000000003</v>
      </c>
      <c r="N203" s="244">
        <f t="shared" si="63"/>
        <v>2040.6200000000003</v>
      </c>
      <c r="O203" s="244">
        <f t="shared" si="63"/>
        <v>2037.5399999999995</v>
      </c>
      <c r="P203" s="244">
        <f t="shared" si="63"/>
        <v>2027.9799999999996</v>
      </c>
      <c r="Q203" s="264"/>
      <c r="R203" s="243"/>
      <c r="S203" s="243"/>
      <c r="T203" s="243"/>
      <c r="U203" s="245"/>
      <c r="V203" s="246"/>
      <c r="W203" s="247"/>
      <c r="X203" s="239"/>
    </row>
    <row r="204" spans="1:31">
      <c r="A204" s="248">
        <v>43424</v>
      </c>
      <c r="B204" s="249" t="s">
        <v>76</v>
      </c>
      <c r="C204" s="250" t="s">
        <v>77</v>
      </c>
      <c r="D204" s="123">
        <v>2900.73</v>
      </c>
      <c r="E204" s="123">
        <v>2853.21</v>
      </c>
      <c r="F204" s="123">
        <v>2851.4</v>
      </c>
      <c r="G204" s="123">
        <v>2872.29</v>
      </c>
      <c r="H204" s="123">
        <v>2972.35</v>
      </c>
      <c r="I204" s="123">
        <v>2903.29</v>
      </c>
      <c r="J204" s="123">
        <v>2850.03</v>
      </c>
      <c r="K204" s="123">
        <v>2872.36</v>
      </c>
      <c r="L204" s="123">
        <v>2971.51</v>
      </c>
      <c r="M204" s="123">
        <v>2854.32</v>
      </c>
      <c r="N204" s="123">
        <v>2890.08</v>
      </c>
      <c r="O204" s="123">
        <v>2868.36</v>
      </c>
      <c r="P204" s="123">
        <v>2866.89</v>
      </c>
      <c r="Q204" s="250">
        <f>IF((P205=""),"",MAX(D206:P206))</f>
        <v>2081.8599999999997</v>
      </c>
      <c r="R204" s="250">
        <f>IF(P205="","",MIN(D206:P206))</f>
        <v>2003.7600000000002</v>
      </c>
      <c r="S204" s="250">
        <f>IF((P206=""),"",AVERAGE(D206:P206))</f>
        <v>2048.5661538461541</v>
      </c>
      <c r="T204" s="250">
        <f>IF((P205=""),"",STDEV(D206:P206))</f>
        <v>22.087752842718483</v>
      </c>
      <c r="U204" s="251">
        <f>IF((P205=""),"",((Q204-R204)/(Q204+R204))*100)</f>
        <v>1.9115825749824862</v>
      </c>
      <c r="V204" s="228" t="str">
        <f>IF(P205="","",IF(U204&lt;7.2,IF(S204&gt;AB204,IF(S204&lt;AC204,"Pass","Fail"),"Fail"),"Fail"))</f>
        <v>Pass</v>
      </c>
      <c r="W204" s="253">
        <v>1335</v>
      </c>
      <c r="X204" s="254" t="s">
        <v>97</v>
      </c>
      <c r="Z204" s="240">
        <v>1600</v>
      </c>
      <c r="AA204" s="240">
        <v>2600</v>
      </c>
      <c r="AB204" s="241">
        <v>1700</v>
      </c>
      <c r="AC204" s="241">
        <v>2100</v>
      </c>
      <c r="AD204" s="242">
        <v>10</v>
      </c>
      <c r="AE204" s="242">
        <v>7.2</v>
      </c>
    </row>
    <row r="205" spans="1:31">
      <c r="A205" s="123"/>
      <c r="B205" s="235"/>
      <c r="C205" s="235" t="s">
        <v>78</v>
      </c>
      <c r="D205" s="123">
        <v>1898.85</v>
      </c>
      <c r="E205" s="123">
        <v>1835.32</v>
      </c>
      <c r="F205" s="123">
        <v>1828.99</v>
      </c>
      <c r="G205" s="123">
        <v>1831.41</v>
      </c>
      <c r="H205" s="123">
        <v>1941.17</v>
      </c>
      <c r="I205" s="123">
        <v>1879.48</v>
      </c>
      <c r="J205" s="123">
        <v>1825.09</v>
      </c>
      <c r="K205" s="123">
        <v>1844.92</v>
      </c>
      <c r="L205" s="123">
        <v>1957.29</v>
      </c>
      <c r="M205" s="123">
        <v>1837.93</v>
      </c>
      <c r="N205" s="123">
        <v>1849.15</v>
      </c>
      <c r="O205" s="123">
        <v>1833.45</v>
      </c>
      <c r="P205" s="123">
        <v>1848.09</v>
      </c>
      <c r="Q205" s="235"/>
      <c r="R205" s="235"/>
      <c r="S205" s="235"/>
      <c r="T205" s="235"/>
      <c r="U205" s="236"/>
      <c r="V205" s="237"/>
      <c r="W205" s="238"/>
      <c r="X205" s="239"/>
    </row>
    <row r="206" spans="1:31" ht="32.25" thickBot="1">
      <c r="A206" s="123"/>
      <c r="B206" s="243"/>
      <c r="C206" s="243" t="s">
        <v>221</v>
      </c>
      <c r="D206" s="244">
        <f t="shared" ref="D206:P206" si="64">IF(((D204="")*AND(D205="")),"",(D204-D205)*2)</f>
        <v>2003.7600000000002</v>
      </c>
      <c r="E206" s="244">
        <f t="shared" si="64"/>
        <v>2035.7800000000002</v>
      </c>
      <c r="F206" s="244">
        <f t="shared" si="64"/>
        <v>2044.8200000000002</v>
      </c>
      <c r="G206" s="244">
        <f t="shared" si="64"/>
        <v>2081.7599999999998</v>
      </c>
      <c r="H206" s="244">
        <f t="shared" si="64"/>
        <v>2062.3599999999997</v>
      </c>
      <c r="I206" s="244">
        <f t="shared" si="64"/>
        <v>2047.62</v>
      </c>
      <c r="J206" s="244">
        <f t="shared" si="64"/>
        <v>2049.8800000000006</v>
      </c>
      <c r="K206" s="244">
        <f t="shared" si="64"/>
        <v>2054.88</v>
      </c>
      <c r="L206" s="244">
        <f t="shared" si="64"/>
        <v>2028.4400000000005</v>
      </c>
      <c r="M206" s="244">
        <f t="shared" si="64"/>
        <v>2032.7800000000002</v>
      </c>
      <c r="N206" s="244">
        <f t="shared" si="64"/>
        <v>2081.8599999999997</v>
      </c>
      <c r="O206" s="244">
        <f t="shared" si="64"/>
        <v>2069.8200000000002</v>
      </c>
      <c r="P206" s="244">
        <f t="shared" si="64"/>
        <v>2037.6</v>
      </c>
      <c r="Q206" s="264"/>
      <c r="R206" s="243"/>
      <c r="S206" s="243"/>
      <c r="T206" s="243"/>
      <c r="U206" s="245"/>
      <c r="V206" s="246"/>
      <c r="W206" s="247"/>
      <c r="X206" s="239"/>
    </row>
    <row r="207" spans="1:31">
      <c r="A207" s="248">
        <v>43430</v>
      </c>
      <c r="B207" s="249" t="s">
        <v>76</v>
      </c>
      <c r="C207" s="250" t="s">
        <v>77</v>
      </c>
      <c r="D207" s="123">
        <v>2893.72</v>
      </c>
      <c r="E207" s="123">
        <v>2849.5</v>
      </c>
      <c r="F207" s="123">
        <v>2849.45</v>
      </c>
      <c r="G207" s="123">
        <v>2866.21</v>
      </c>
      <c r="H207" s="123">
        <v>2971.33</v>
      </c>
      <c r="I207" s="123">
        <v>2900.54</v>
      </c>
      <c r="J207" s="123">
        <v>2850.71</v>
      </c>
      <c r="K207" s="123">
        <v>2868.41</v>
      </c>
      <c r="L207" s="123">
        <v>2963.92</v>
      </c>
      <c r="M207" s="123">
        <v>2850.63</v>
      </c>
      <c r="N207" s="123">
        <v>2885.69</v>
      </c>
      <c r="O207" s="123">
        <v>2868</v>
      </c>
      <c r="P207" s="123">
        <v>2862.35</v>
      </c>
      <c r="Q207" s="250">
        <f>IF((P208=""),"",MAX(D209:P209))</f>
        <v>2081.52</v>
      </c>
      <c r="R207" s="250">
        <f>IF(P208="","",MIN(D209:P209))</f>
        <v>1981.8999999999996</v>
      </c>
      <c r="S207" s="250">
        <f>IF((P209=""),"",AVERAGE(D209:P209))</f>
        <v>2041.3815384615384</v>
      </c>
      <c r="T207" s="250">
        <f>IF((P208=""),"",STDEV(D209:P209))</f>
        <v>26.514233236180306</v>
      </c>
      <c r="U207" s="251">
        <f>IF((P208=""),"",((Q207-R207)/(Q207+R207))*100)</f>
        <v>2.4516294156154266</v>
      </c>
      <c r="V207" s="228" t="str">
        <f>IF(P208="","",IF(U207&lt;7.2,IF(S207&gt;AB207,IF(S207&lt;AC207,"Pass","Fail"),"Fail"),"Fail"))</f>
        <v>Pass</v>
      </c>
      <c r="W207" s="253">
        <v>74</v>
      </c>
      <c r="X207" s="230"/>
      <c r="Z207" s="240">
        <v>1600</v>
      </c>
      <c r="AA207" s="240">
        <v>2600</v>
      </c>
      <c r="AB207" s="241">
        <v>1700</v>
      </c>
      <c r="AC207" s="241">
        <v>2100</v>
      </c>
      <c r="AD207" s="242">
        <v>10</v>
      </c>
      <c r="AE207" s="242">
        <v>7.2</v>
      </c>
    </row>
    <row r="208" spans="1:31">
      <c r="A208" s="123"/>
      <c r="B208" s="235"/>
      <c r="C208" s="235" t="s">
        <v>78</v>
      </c>
      <c r="D208" s="123">
        <v>1902.77</v>
      </c>
      <c r="E208" s="123">
        <v>1835.15</v>
      </c>
      <c r="F208" s="123">
        <v>1831.68</v>
      </c>
      <c r="G208" s="123">
        <v>1833.64</v>
      </c>
      <c r="H208" s="123">
        <v>1930.57</v>
      </c>
      <c r="I208" s="123">
        <v>1874.85</v>
      </c>
      <c r="J208" s="123">
        <v>1832.17</v>
      </c>
      <c r="K208" s="123">
        <v>1849.26</v>
      </c>
      <c r="L208" s="123">
        <v>1951.06</v>
      </c>
      <c r="M208" s="123">
        <v>1835.48</v>
      </c>
      <c r="N208" s="123">
        <v>1851.29</v>
      </c>
      <c r="O208" s="123">
        <v>1832.25</v>
      </c>
      <c r="P208" s="123">
        <v>1851.31</v>
      </c>
      <c r="Q208" s="235"/>
      <c r="R208" s="235"/>
      <c r="S208" s="235"/>
      <c r="T208" s="235"/>
      <c r="U208" s="236"/>
      <c r="V208" s="237"/>
      <c r="W208" s="238"/>
      <c r="X208" s="239"/>
    </row>
    <row r="209" spans="1:31" ht="32.25" thickBot="1">
      <c r="A209" s="123"/>
      <c r="B209" s="243"/>
      <c r="C209" s="243" t="s">
        <v>221</v>
      </c>
      <c r="D209" s="244">
        <f t="shared" ref="D209:P209" si="65">IF(((D207="")*AND(D208="")),"",(D207-D208)*2)</f>
        <v>1981.8999999999996</v>
      </c>
      <c r="E209" s="244">
        <f t="shared" si="65"/>
        <v>2028.6999999999998</v>
      </c>
      <c r="F209" s="244">
        <f t="shared" si="65"/>
        <v>2035.5399999999995</v>
      </c>
      <c r="G209" s="244">
        <f t="shared" si="65"/>
        <v>2065.14</v>
      </c>
      <c r="H209" s="244">
        <f t="shared" si="65"/>
        <v>2081.52</v>
      </c>
      <c r="I209" s="244">
        <f t="shared" si="65"/>
        <v>2051.38</v>
      </c>
      <c r="J209" s="244">
        <f t="shared" si="65"/>
        <v>2037.08</v>
      </c>
      <c r="K209" s="244">
        <f t="shared" si="65"/>
        <v>2038.2999999999997</v>
      </c>
      <c r="L209" s="244">
        <f t="shared" si="65"/>
        <v>2025.7200000000003</v>
      </c>
      <c r="M209" s="244">
        <f t="shared" si="65"/>
        <v>2030.3000000000002</v>
      </c>
      <c r="N209" s="244">
        <f t="shared" si="65"/>
        <v>2068.8000000000002</v>
      </c>
      <c r="O209" s="244">
        <f t="shared" si="65"/>
        <v>2071.5</v>
      </c>
      <c r="P209" s="244">
        <f t="shared" si="65"/>
        <v>2022.08</v>
      </c>
      <c r="Q209" s="264"/>
      <c r="R209" s="243"/>
      <c r="S209" s="243"/>
      <c r="T209" s="243"/>
      <c r="U209" s="245"/>
      <c r="V209" s="246"/>
      <c r="W209" s="247"/>
      <c r="X209" s="239"/>
    </row>
    <row r="210" spans="1:31">
      <c r="A210" s="248">
        <v>43438</v>
      </c>
      <c r="B210" s="249" t="s">
        <v>76</v>
      </c>
      <c r="C210" s="250" t="s">
        <v>77</v>
      </c>
      <c r="D210" s="123">
        <v>2902.16</v>
      </c>
      <c r="E210" s="123">
        <v>2847.46</v>
      </c>
      <c r="F210" s="123">
        <v>2850.11</v>
      </c>
      <c r="G210" s="123">
        <v>2868.12</v>
      </c>
      <c r="H210" s="123">
        <v>2965.57</v>
      </c>
      <c r="I210" s="123">
        <v>2901.15</v>
      </c>
      <c r="J210" s="123">
        <v>2850.21</v>
      </c>
      <c r="K210" s="123">
        <v>2869.93</v>
      </c>
      <c r="L210" s="123">
        <v>2970.61</v>
      </c>
      <c r="M210" s="123">
        <v>2852.62</v>
      </c>
      <c r="N210" s="123">
        <v>2888.3</v>
      </c>
      <c r="O210" s="123">
        <v>2866.53</v>
      </c>
      <c r="P210" s="123">
        <v>2864.3</v>
      </c>
      <c r="Q210" s="250">
        <f>IF((P211=""),"",MAX(D212:P212))</f>
        <v>2094.3200000000002</v>
      </c>
      <c r="R210" s="250">
        <f>IF(P211="","",MIN(D212:P212))</f>
        <v>2015.5599999999995</v>
      </c>
      <c r="S210" s="250">
        <f>IF((P212=""),"",AVERAGE(D212:P212))</f>
        <v>2061.8923076923074</v>
      </c>
      <c r="T210" s="250">
        <f>IF((P211=""),"",STDEV(D212:P212))</f>
        <v>20.265460827825013</v>
      </c>
      <c r="U210" s="251">
        <f>IF((P211=""),"",((Q210-R210)/(Q210+R210))*100)</f>
        <v>1.916357655211361</v>
      </c>
      <c r="V210" s="228" t="str">
        <f>IF(P211="","",IF(U210&lt;7.2,IF(S210&gt;AB210,IF(S210&lt;AC210,"Pass","Fail"),"Fail"),"Fail"))</f>
        <v>Pass</v>
      </c>
      <c r="W210" s="253">
        <v>1340</v>
      </c>
      <c r="X210" s="230"/>
      <c r="Z210" s="240">
        <v>1600</v>
      </c>
      <c r="AA210" s="240">
        <v>2600</v>
      </c>
      <c r="AB210" s="241">
        <v>1700</v>
      </c>
      <c r="AC210" s="241">
        <v>2100</v>
      </c>
      <c r="AD210" s="242">
        <v>10</v>
      </c>
      <c r="AE210" s="242">
        <v>7.2</v>
      </c>
    </row>
    <row r="211" spans="1:31">
      <c r="A211" s="123"/>
      <c r="B211" s="235"/>
      <c r="C211" s="235" t="s">
        <v>78</v>
      </c>
      <c r="D211" s="123">
        <v>1894.38</v>
      </c>
      <c r="E211" s="123">
        <v>1824.53</v>
      </c>
      <c r="F211" s="123">
        <v>1821.45</v>
      </c>
      <c r="G211" s="123">
        <v>1832.22</v>
      </c>
      <c r="H211" s="123">
        <v>1918.41</v>
      </c>
      <c r="I211" s="123">
        <v>1865.34</v>
      </c>
      <c r="J211" s="123">
        <v>1822.94</v>
      </c>
      <c r="K211" s="123">
        <v>1838.53</v>
      </c>
      <c r="L211" s="123">
        <v>1941.55</v>
      </c>
      <c r="M211" s="123">
        <v>1827.86</v>
      </c>
      <c r="N211" s="123">
        <v>1844.12</v>
      </c>
      <c r="O211" s="123">
        <v>1826.96</v>
      </c>
      <c r="P211" s="123">
        <v>1836.48</v>
      </c>
      <c r="Q211" s="235"/>
      <c r="R211" s="235"/>
      <c r="S211" s="235"/>
      <c r="T211" s="235"/>
      <c r="U211" s="236"/>
      <c r="V211" s="237"/>
      <c r="W211" s="238"/>
      <c r="X211" s="239"/>
    </row>
    <row r="212" spans="1:31" ht="32.25" thickBot="1">
      <c r="A212" s="123"/>
      <c r="B212" s="243"/>
      <c r="C212" s="243" t="s">
        <v>221</v>
      </c>
      <c r="D212" s="244">
        <f t="shared" ref="D212:P212" si="66">IF(((D210="")*AND(D211="")),"",(D210-D211)*2)</f>
        <v>2015.5599999999995</v>
      </c>
      <c r="E212" s="244">
        <f t="shared" si="66"/>
        <v>2045.8600000000001</v>
      </c>
      <c r="F212" s="244">
        <f t="shared" si="66"/>
        <v>2057.3200000000002</v>
      </c>
      <c r="G212" s="244">
        <f t="shared" si="66"/>
        <v>2071.7999999999997</v>
      </c>
      <c r="H212" s="244">
        <f t="shared" si="66"/>
        <v>2094.3200000000002</v>
      </c>
      <c r="I212" s="244">
        <f t="shared" si="66"/>
        <v>2071.6200000000003</v>
      </c>
      <c r="J212" s="244">
        <f t="shared" si="66"/>
        <v>2054.54</v>
      </c>
      <c r="K212" s="244">
        <f t="shared" si="66"/>
        <v>2062.7999999999997</v>
      </c>
      <c r="L212" s="244">
        <f t="shared" si="66"/>
        <v>2058.1200000000003</v>
      </c>
      <c r="M212" s="244">
        <f t="shared" si="66"/>
        <v>2049.52</v>
      </c>
      <c r="N212" s="244">
        <f t="shared" si="66"/>
        <v>2088.3600000000006</v>
      </c>
      <c r="O212" s="244">
        <f t="shared" si="66"/>
        <v>2079.1400000000003</v>
      </c>
      <c r="P212" s="244">
        <f t="shared" si="66"/>
        <v>2055.6400000000003</v>
      </c>
      <c r="Q212" s="264"/>
      <c r="R212" s="243"/>
      <c r="S212" s="243"/>
      <c r="T212" s="243"/>
      <c r="U212" s="245"/>
      <c r="V212" s="246"/>
      <c r="W212" s="247"/>
      <c r="X212" s="239"/>
    </row>
    <row r="213" spans="1:31">
      <c r="A213" s="248">
        <v>43452</v>
      </c>
      <c r="B213" s="249" t="s">
        <v>76</v>
      </c>
      <c r="C213" s="250" t="s">
        <v>77</v>
      </c>
      <c r="D213" s="123">
        <v>2948.49</v>
      </c>
      <c r="E213" s="123">
        <v>2840.39</v>
      </c>
      <c r="F213" s="123">
        <v>2820.64</v>
      </c>
      <c r="G213" s="123">
        <v>2825.99</v>
      </c>
      <c r="H213" s="123">
        <v>2898.02</v>
      </c>
      <c r="I213" s="123">
        <v>2881.41</v>
      </c>
      <c r="J213" s="123">
        <v>2822.7</v>
      </c>
      <c r="K213" s="123">
        <v>2841.31</v>
      </c>
      <c r="L213" s="123">
        <v>2943.48</v>
      </c>
      <c r="M213" s="123">
        <v>2838.53</v>
      </c>
      <c r="N213" s="123">
        <v>2841.64</v>
      </c>
      <c r="O213" s="123">
        <v>2829.58</v>
      </c>
      <c r="P213" s="123">
        <v>2859.08</v>
      </c>
      <c r="Q213" s="250">
        <f>IF((P214=""),"",MAX(D215:P215))</f>
        <v>2073.8999999999996</v>
      </c>
      <c r="R213" s="250">
        <f>IF(P214="","",MIN(D215:P215))</f>
        <v>2005.42</v>
      </c>
      <c r="S213" s="250">
        <f>IF((P215=""),"",AVERAGE(D215:P215))</f>
        <v>2048.1799999999998</v>
      </c>
      <c r="T213" s="250">
        <f>IF((P214=""),"",STDEV(D215:P215))</f>
        <v>17.023977208631333</v>
      </c>
      <c r="U213" s="251">
        <f>IF((P214=""),"",((Q213-R213)/(Q213+R213))*100)</f>
        <v>1.678711157741966</v>
      </c>
      <c r="V213" s="228" t="str">
        <f>IF(P214="","",IF(U213&lt;7.2,IF(S213&gt;AB213,IF(S213&lt;AC213,"Pass","Fail"),"Fail"),"Fail"))</f>
        <v>Pass</v>
      </c>
      <c r="W213" s="253">
        <v>1340</v>
      </c>
      <c r="X213" s="230"/>
      <c r="Z213" s="240">
        <v>1600</v>
      </c>
      <c r="AA213" s="240">
        <v>2600</v>
      </c>
      <c r="AB213" s="241">
        <v>1700</v>
      </c>
      <c r="AC213" s="241">
        <v>2100</v>
      </c>
      <c r="AD213" s="242">
        <v>10</v>
      </c>
      <c r="AE213" s="242">
        <v>7.2</v>
      </c>
    </row>
    <row r="214" spans="1:31">
      <c r="A214" s="123"/>
      <c r="B214" s="235"/>
      <c r="C214" s="235" t="s">
        <v>78</v>
      </c>
      <c r="D214" s="123">
        <v>1932.64</v>
      </c>
      <c r="E214" s="123">
        <v>1815.49</v>
      </c>
      <c r="F214" s="123">
        <v>1794.85</v>
      </c>
      <c r="G214" s="123">
        <v>1794.8</v>
      </c>
      <c r="H214" s="123">
        <v>1871.99</v>
      </c>
      <c r="I214" s="123">
        <v>1862.98</v>
      </c>
      <c r="J214" s="123">
        <v>1797.09</v>
      </c>
      <c r="K214" s="123">
        <v>1812.1</v>
      </c>
      <c r="L214" s="123">
        <v>1940.77</v>
      </c>
      <c r="M214" s="123">
        <v>1815.56</v>
      </c>
      <c r="N214" s="123">
        <v>1804.69</v>
      </c>
      <c r="O214" s="123">
        <v>1798.06</v>
      </c>
      <c r="P214" s="123">
        <v>1837.07</v>
      </c>
      <c r="Q214" s="235"/>
      <c r="R214" s="235"/>
      <c r="S214" s="235"/>
      <c r="T214" s="235"/>
      <c r="U214" s="236"/>
      <c r="V214" s="237"/>
      <c r="W214" s="238"/>
      <c r="X214" s="239"/>
    </row>
    <row r="215" spans="1:31" ht="32.25" thickBot="1">
      <c r="A215" s="123"/>
      <c r="B215" s="243"/>
      <c r="C215" s="243" t="s">
        <v>221</v>
      </c>
      <c r="D215" s="244">
        <f t="shared" ref="D215:P215" si="67">IF(((D213="")*AND(D214="")),"",(D213-D214)*2)</f>
        <v>2031.6999999999994</v>
      </c>
      <c r="E215" s="244">
        <f t="shared" si="67"/>
        <v>2049.7999999999997</v>
      </c>
      <c r="F215" s="244">
        <f t="shared" si="67"/>
        <v>2051.58</v>
      </c>
      <c r="G215" s="244">
        <f t="shared" si="67"/>
        <v>2062.3799999999997</v>
      </c>
      <c r="H215" s="244">
        <f t="shared" si="67"/>
        <v>2052.06</v>
      </c>
      <c r="I215" s="244">
        <f t="shared" si="67"/>
        <v>2036.8599999999997</v>
      </c>
      <c r="J215" s="244">
        <f t="shared" si="67"/>
        <v>2051.2199999999998</v>
      </c>
      <c r="K215" s="244">
        <f t="shared" si="67"/>
        <v>2058.42</v>
      </c>
      <c r="L215" s="244">
        <f t="shared" si="67"/>
        <v>2005.42</v>
      </c>
      <c r="M215" s="244">
        <f t="shared" si="67"/>
        <v>2045.9400000000005</v>
      </c>
      <c r="N215" s="244">
        <f t="shared" si="67"/>
        <v>2073.8999999999996</v>
      </c>
      <c r="O215" s="244">
        <f t="shared" si="67"/>
        <v>2063.04</v>
      </c>
      <c r="P215" s="244">
        <f t="shared" si="67"/>
        <v>2044.02</v>
      </c>
      <c r="Q215" s="264"/>
      <c r="R215" s="243"/>
      <c r="S215" s="243"/>
      <c r="T215" s="243"/>
      <c r="U215" s="245"/>
      <c r="V215" s="246"/>
      <c r="W215" s="247"/>
      <c r="X215" s="239"/>
    </row>
    <row r="216" spans="1:31">
      <c r="A216" s="248">
        <v>43452</v>
      </c>
      <c r="B216" s="249" t="s">
        <v>76</v>
      </c>
      <c r="C216" s="250" t="s">
        <v>77</v>
      </c>
      <c r="D216" s="123">
        <v>1935.2</v>
      </c>
      <c r="E216" s="123">
        <v>1817.42</v>
      </c>
      <c r="F216" s="123">
        <v>1800.3</v>
      </c>
      <c r="G216" s="123">
        <v>1793.87</v>
      </c>
      <c r="H216" s="123">
        <v>1872.56</v>
      </c>
      <c r="I216" s="123">
        <v>1865.2</v>
      </c>
      <c r="J216" s="123">
        <v>1796.95</v>
      </c>
      <c r="K216" s="123">
        <v>1815.33</v>
      </c>
      <c r="L216" s="123">
        <v>1942.02</v>
      </c>
      <c r="M216" s="123">
        <v>1813.76</v>
      </c>
      <c r="N216" s="123">
        <v>1804.47</v>
      </c>
      <c r="O216" s="123">
        <v>1799.03</v>
      </c>
      <c r="P216" s="123">
        <v>1836.37</v>
      </c>
      <c r="Q216" s="250">
        <f>IF((P217=""),"",MAX(D218:P218))</f>
        <v>1971.2799999999997</v>
      </c>
      <c r="R216" s="250">
        <f>IF(P217="","",MIN(D218:P218))</f>
        <v>1802.52</v>
      </c>
      <c r="S216" s="250">
        <f>IF((P218=""),"",AVERAGE(D218:P218))</f>
        <v>1925.9830769230766</v>
      </c>
      <c r="T216" s="250">
        <f>IF((P217=""),"",STDEV(D218:P218))</f>
        <v>56.05254014235441</v>
      </c>
      <c r="U216" s="251">
        <f>IF((P217=""),"",((Q216-R216)/(Q216+R216))*100)</f>
        <v>4.4718851025491491</v>
      </c>
      <c r="V216" s="228" t="str">
        <f>IF(P217="","",IF(U216&lt;7.2,IF(S216&gt;AB216,IF(S216&lt;AC216,"Pass","Fail"),"Fail"),"Fail"))</f>
        <v>Pass</v>
      </c>
      <c r="W216" s="253">
        <v>1428</v>
      </c>
      <c r="X216" s="230"/>
      <c r="Z216" s="240">
        <v>1600</v>
      </c>
      <c r="AA216" s="240">
        <v>2600</v>
      </c>
      <c r="AB216" s="241">
        <v>1700</v>
      </c>
      <c r="AC216" s="241">
        <v>2100</v>
      </c>
      <c r="AD216" s="242">
        <v>10</v>
      </c>
      <c r="AE216" s="242">
        <v>7.2</v>
      </c>
    </row>
    <row r="217" spans="1:31">
      <c r="A217" s="123"/>
      <c r="B217" s="235"/>
      <c r="C217" s="235" t="s">
        <v>78</v>
      </c>
      <c r="D217" s="123">
        <v>1019.91</v>
      </c>
      <c r="E217" s="123">
        <v>842.23</v>
      </c>
      <c r="F217" s="123">
        <v>816.53</v>
      </c>
      <c r="G217" s="123">
        <v>808.23</v>
      </c>
      <c r="H217" s="123">
        <v>931.85</v>
      </c>
      <c r="I217" s="123">
        <v>916.12</v>
      </c>
      <c r="J217" s="123">
        <v>819.63</v>
      </c>
      <c r="K217" s="123">
        <v>832.4</v>
      </c>
      <c r="L217" s="123">
        <v>1040.76</v>
      </c>
      <c r="M217" s="123">
        <v>841.63</v>
      </c>
      <c r="N217" s="123">
        <v>822.51</v>
      </c>
      <c r="O217" s="123">
        <v>814.22</v>
      </c>
      <c r="P217" s="123">
        <v>867.57</v>
      </c>
      <c r="Q217" s="235"/>
      <c r="R217" s="235"/>
      <c r="S217" s="235"/>
      <c r="T217" s="235"/>
      <c r="U217" s="236"/>
      <c r="V217" s="237"/>
      <c r="W217" s="238"/>
      <c r="X217" s="239"/>
    </row>
    <row r="218" spans="1:31" ht="32.25" thickBot="1">
      <c r="A218" s="123"/>
      <c r="B218" s="243"/>
      <c r="C218" s="243" t="s">
        <v>221</v>
      </c>
      <c r="D218" s="244">
        <f t="shared" ref="D218:P218" si="68">IF(((D216="")*AND(D217="")),"",(D216-D217)*2)</f>
        <v>1830.5800000000002</v>
      </c>
      <c r="E218" s="244">
        <f t="shared" si="68"/>
        <v>1950.38</v>
      </c>
      <c r="F218" s="244">
        <f t="shared" si="68"/>
        <v>1967.54</v>
      </c>
      <c r="G218" s="244">
        <f t="shared" si="68"/>
        <v>1971.2799999999997</v>
      </c>
      <c r="H218" s="244">
        <f t="shared" si="68"/>
        <v>1881.4199999999998</v>
      </c>
      <c r="I218" s="244">
        <f t="shared" si="68"/>
        <v>1898.16</v>
      </c>
      <c r="J218" s="244">
        <f t="shared" si="68"/>
        <v>1954.64</v>
      </c>
      <c r="K218" s="244">
        <f t="shared" si="68"/>
        <v>1965.86</v>
      </c>
      <c r="L218" s="244">
        <f t="shared" si="68"/>
        <v>1802.52</v>
      </c>
      <c r="M218" s="244">
        <f t="shared" si="68"/>
        <v>1944.26</v>
      </c>
      <c r="N218" s="244">
        <f t="shared" si="68"/>
        <v>1963.92</v>
      </c>
      <c r="O218" s="244">
        <f t="shared" si="68"/>
        <v>1969.62</v>
      </c>
      <c r="P218" s="244">
        <f t="shared" si="68"/>
        <v>1937.5999999999997</v>
      </c>
      <c r="Q218" s="264"/>
      <c r="R218" s="243"/>
      <c r="S218" s="243"/>
      <c r="T218" s="243"/>
      <c r="U218" s="245"/>
      <c r="V218" s="246"/>
      <c r="W218" s="247"/>
      <c r="X218" s="239"/>
    </row>
    <row r="219" spans="1:31">
      <c r="A219" s="248">
        <v>43458</v>
      </c>
      <c r="B219" s="249" t="s">
        <v>76</v>
      </c>
      <c r="C219" s="250" t="s">
        <v>77</v>
      </c>
      <c r="D219" s="123">
        <v>2898</v>
      </c>
      <c r="E219" s="123">
        <v>2808</v>
      </c>
      <c r="F219" s="123">
        <v>2758</v>
      </c>
      <c r="G219" s="123">
        <v>2735</v>
      </c>
      <c r="H219" s="123">
        <v>2740</v>
      </c>
      <c r="I219" s="123">
        <v>2776</v>
      </c>
      <c r="J219" s="123">
        <v>2854</v>
      </c>
      <c r="K219" s="123">
        <v>2833</v>
      </c>
      <c r="L219" s="123">
        <v>2772</v>
      </c>
      <c r="M219" s="123">
        <v>2744</v>
      </c>
      <c r="N219" s="123">
        <v>2749</v>
      </c>
      <c r="O219" s="123">
        <v>2785</v>
      </c>
      <c r="P219" s="123">
        <v>2841</v>
      </c>
      <c r="Q219" s="250">
        <f>IF((P220=""),"",MAX(D221:P221))</f>
        <v>2056</v>
      </c>
      <c r="R219" s="250">
        <f>IF(P220="","",MIN(D221:P221))</f>
        <v>1906</v>
      </c>
      <c r="S219" s="250">
        <f>IF((P221=""),"",AVERAGE(D221:P221))</f>
        <v>2003.2307692307693</v>
      </c>
      <c r="T219" s="250">
        <f>IF((P220=""),"",STDEV(D221:P221))</f>
        <v>50.606577053043623</v>
      </c>
      <c r="U219" s="251">
        <f>IF((P220=""),"",((Q219-R219)/(Q219+R219))*100)</f>
        <v>3.7859666834931853</v>
      </c>
      <c r="V219" s="228" t="str">
        <f>IF(P220="","",IF(U219&lt;7.2,IF(S219&gt;AB219,IF(S219&lt;AC219,"Pass","Fail"),"Fail"),"Fail"))</f>
        <v>Pass</v>
      </c>
      <c r="W219" s="253">
        <v>1428</v>
      </c>
      <c r="X219" s="230"/>
      <c r="Z219" s="240">
        <v>1600</v>
      </c>
      <c r="AA219" s="240">
        <v>2600</v>
      </c>
      <c r="AB219" s="241">
        <v>1700</v>
      </c>
      <c r="AC219" s="241">
        <v>2100</v>
      </c>
      <c r="AD219" s="242">
        <v>10</v>
      </c>
      <c r="AE219" s="242">
        <v>7.2</v>
      </c>
    </row>
    <row r="220" spans="1:31">
      <c r="A220" s="123"/>
      <c r="B220" s="235"/>
      <c r="C220" s="235" t="s">
        <v>78</v>
      </c>
      <c r="D220" s="123">
        <v>1937</v>
      </c>
      <c r="E220" s="123">
        <v>1797</v>
      </c>
      <c r="F220" s="123">
        <v>1745</v>
      </c>
      <c r="G220" s="123">
        <v>1721</v>
      </c>
      <c r="H220" s="123">
        <v>1717</v>
      </c>
      <c r="I220" s="123">
        <v>1748</v>
      </c>
      <c r="J220" s="123">
        <v>1878</v>
      </c>
      <c r="K220" s="123">
        <v>1856</v>
      </c>
      <c r="L220" s="123">
        <v>1753</v>
      </c>
      <c r="M220" s="123">
        <v>1727</v>
      </c>
      <c r="N220" s="123">
        <v>1732</v>
      </c>
      <c r="O220" s="123">
        <v>1773</v>
      </c>
      <c r="P220" s="123">
        <v>1888</v>
      </c>
      <c r="Q220" s="235"/>
      <c r="R220" s="235"/>
      <c r="S220" s="235"/>
      <c r="T220" s="235"/>
      <c r="U220" s="236"/>
      <c r="V220" s="237"/>
      <c r="W220" s="238"/>
      <c r="X220" s="239"/>
    </row>
    <row r="221" spans="1:31" ht="32.25" thickBot="1">
      <c r="A221" s="123"/>
      <c r="B221" s="243"/>
      <c r="C221" s="243" t="s">
        <v>221</v>
      </c>
      <c r="D221" s="244">
        <f t="shared" ref="D221:P221" si="69">IF(((D219="")*AND(D220="")),"",(D219-D220)*2)</f>
        <v>1922</v>
      </c>
      <c r="E221" s="244">
        <f t="shared" si="69"/>
        <v>2022</v>
      </c>
      <c r="F221" s="244">
        <f t="shared" si="69"/>
        <v>2026</v>
      </c>
      <c r="G221" s="244">
        <f t="shared" si="69"/>
        <v>2028</v>
      </c>
      <c r="H221" s="244">
        <f t="shared" si="69"/>
        <v>2046</v>
      </c>
      <c r="I221" s="244">
        <f t="shared" si="69"/>
        <v>2056</v>
      </c>
      <c r="J221" s="244">
        <f t="shared" si="69"/>
        <v>1952</v>
      </c>
      <c r="K221" s="244">
        <f t="shared" si="69"/>
        <v>1954</v>
      </c>
      <c r="L221" s="244">
        <f t="shared" si="69"/>
        <v>2038</v>
      </c>
      <c r="M221" s="244">
        <f t="shared" si="69"/>
        <v>2034</v>
      </c>
      <c r="N221" s="244">
        <f t="shared" si="69"/>
        <v>2034</v>
      </c>
      <c r="O221" s="244">
        <f t="shared" si="69"/>
        <v>2024</v>
      </c>
      <c r="P221" s="244">
        <f t="shared" si="69"/>
        <v>1906</v>
      </c>
      <c r="Q221" s="264"/>
      <c r="R221" s="243"/>
      <c r="S221" s="243"/>
      <c r="T221" s="243"/>
      <c r="U221" s="245"/>
      <c r="V221" s="246"/>
      <c r="W221" s="247"/>
      <c r="X221" s="239"/>
    </row>
    <row r="222" spans="1:31">
      <c r="A222" s="248">
        <v>43462</v>
      </c>
      <c r="B222" s="249" t="s">
        <v>76</v>
      </c>
      <c r="C222" s="250" t="s">
        <v>77</v>
      </c>
      <c r="D222" s="123">
        <v>2877.91</v>
      </c>
      <c r="E222" s="123">
        <v>2758.2</v>
      </c>
      <c r="F222" s="123">
        <v>2736.32</v>
      </c>
      <c r="G222" s="123">
        <v>2739.22</v>
      </c>
      <c r="H222" s="123">
        <v>2838.01</v>
      </c>
      <c r="I222" s="123">
        <v>2812.44</v>
      </c>
      <c r="J222" s="123">
        <v>2740.44</v>
      </c>
      <c r="K222" s="123">
        <v>2748.42</v>
      </c>
      <c r="L222" s="123">
        <v>2838.14</v>
      </c>
      <c r="M222" s="123">
        <v>2761.3</v>
      </c>
      <c r="N222" s="123">
        <v>2752.24</v>
      </c>
      <c r="O222" s="123">
        <v>2744.61</v>
      </c>
      <c r="P222" s="123">
        <v>2768.02</v>
      </c>
      <c r="Q222" s="250">
        <f>IF((P223=""),"",MAX(D224:P224))</f>
        <v>2047.7200000000003</v>
      </c>
      <c r="R222" s="250">
        <f>IF(P223="","",MIN(D224:P224))</f>
        <v>1974.9999999999995</v>
      </c>
      <c r="S222" s="250">
        <f>IF((P224=""),"",AVERAGE(D224:P224))</f>
        <v>2022.6046153846155</v>
      </c>
      <c r="T222" s="250">
        <f>IF((P223=""),"",STDEV(D224:P224))</f>
        <v>19.554685975227216</v>
      </c>
      <c r="U222" s="251">
        <f>IF((P223=""),"",((Q222-R222)/(Q222+R222))*100)</f>
        <v>1.8077320817755329</v>
      </c>
      <c r="V222" s="228" t="str">
        <f>IF(P223="","",IF(U222&lt;7.2,IF(S222&gt;AB222,IF(S222&lt;AC222,"Pass","Fail"),"Fail"),"Fail"))</f>
        <v>Pass</v>
      </c>
      <c r="W222" s="253">
        <v>1340</v>
      </c>
      <c r="X222" s="230"/>
      <c r="Z222" s="240">
        <v>1600</v>
      </c>
      <c r="AA222" s="240">
        <v>2600</v>
      </c>
      <c r="AB222" s="241">
        <v>1700</v>
      </c>
      <c r="AC222" s="241">
        <v>2100</v>
      </c>
      <c r="AD222" s="242">
        <v>10</v>
      </c>
      <c r="AE222" s="242">
        <v>7.2</v>
      </c>
    </row>
    <row r="223" spans="1:31">
      <c r="A223" s="123"/>
      <c r="B223" s="235"/>
      <c r="C223" s="235" t="s">
        <v>78</v>
      </c>
      <c r="D223" s="123">
        <v>1875.78</v>
      </c>
      <c r="E223" s="123">
        <v>1748.6</v>
      </c>
      <c r="F223" s="123">
        <v>1727.88</v>
      </c>
      <c r="G223" s="123">
        <v>1720.46</v>
      </c>
      <c r="H223" s="123">
        <v>1816.5</v>
      </c>
      <c r="I223" s="123">
        <v>1795.48</v>
      </c>
      <c r="J223" s="123">
        <v>1724.67</v>
      </c>
      <c r="K223" s="123">
        <v>1737.84</v>
      </c>
      <c r="L223" s="123">
        <v>1850.64</v>
      </c>
      <c r="M223" s="123">
        <v>1754.39</v>
      </c>
      <c r="N223" s="123">
        <v>1732.95</v>
      </c>
      <c r="O223" s="123">
        <v>1720.75</v>
      </c>
      <c r="P223" s="123">
        <v>1762.4</v>
      </c>
      <c r="Q223" s="235"/>
      <c r="R223" s="235"/>
      <c r="S223" s="235"/>
      <c r="T223" s="235"/>
      <c r="U223" s="236"/>
      <c r="V223" s="237"/>
      <c r="W223" s="238"/>
      <c r="X223" s="239"/>
    </row>
    <row r="224" spans="1:31" ht="32.25" thickBot="1">
      <c r="A224" s="123"/>
      <c r="B224" s="243"/>
      <c r="C224" s="243" t="s">
        <v>221</v>
      </c>
      <c r="D224" s="244">
        <f t="shared" ref="D224:P224" si="70">IF(((D222="")*AND(D223="")),"",(D222-D223)*2)</f>
        <v>2004.2599999999998</v>
      </c>
      <c r="E224" s="244">
        <f t="shared" si="70"/>
        <v>2019.1999999999998</v>
      </c>
      <c r="F224" s="244">
        <f t="shared" si="70"/>
        <v>2016.88</v>
      </c>
      <c r="G224" s="244">
        <f t="shared" si="70"/>
        <v>2037.5199999999995</v>
      </c>
      <c r="H224" s="244">
        <f t="shared" si="70"/>
        <v>2043.0200000000004</v>
      </c>
      <c r="I224" s="244">
        <f t="shared" si="70"/>
        <v>2033.92</v>
      </c>
      <c r="J224" s="244">
        <f t="shared" si="70"/>
        <v>2031.54</v>
      </c>
      <c r="K224" s="244">
        <f t="shared" si="70"/>
        <v>2021.1600000000003</v>
      </c>
      <c r="L224" s="244">
        <f t="shared" si="70"/>
        <v>1974.9999999999995</v>
      </c>
      <c r="M224" s="244">
        <f t="shared" si="70"/>
        <v>2013.8200000000002</v>
      </c>
      <c r="N224" s="244">
        <f t="shared" si="70"/>
        <v>2038.5799999999995</v>
      </c>
      <c r="O224" s="244">
        <f t="shared" si="70"/>
        <v>2047.7200000000003</v>
      </c>
      <c r="P224" s="244">
        <f t="shared" si="70"/>
        <v>2011.2399999999998</v>
      </c>
      <c r="Q224" s="264"/>
      <c r="R224" s="243"/>
      <c r="S224" s="243"/>
      <c r="T224" s="243"/>
      <c r="U224" s="245"/>
      <c r="V224" s="246"/>
      <c r="W224" s="247"/>
      <c r="X224" s="239"/>
    </row>
    <row r="225" spans="1:31">
      <c r="A225" s="248">
        <v>43466</v>
      </c>
      <c r="B225" s="249" t="s">
        <v>76</v>
      </c>
      <c r="C225" s="250" t="s">
        <v>77</v>
      </c>
      <c r="D225" s="123">
        <v>2874.89</v>
      </c>
      <c r="E225" s="123">
        <v>2752.57</v>
      </c>
      <c r="F225" s="123">
        <v>2735.18</v>
      </c>
      <c r="G225" s="123">
        <v>2737.82</v>
      </c>
      <c r="H225" s="123">
        <v>2830.11</v>
      </c>
      <c r="I225" s="123">
        <v>2815.47</v>
      </c>
      <c r="J225" s="123">
        <v>2738.34</v>
      </c>
      <c r="K225" s="123">
        <v>2748.86</v>
      </c>
      <c r="L225" s="123">
        <v>2843.18</v>
      </c>
      <c r="M225" s="123">
        <v>2754.2</v>
      </c>
      <c r="N225" s="123">
        <v>2749.35</v>
      </c>
      <c r="O225" s="123">
        <v>2743.61</v>
      </c>
      <c r="P225" s="123">
        <v>2768.07</v>
      </c>
      <c r="Q225" s="250">
        <f>IF((P226=""),"",MAX(D227:P227))</f>
        <v>2052.7799999999997</v>
      </c>
      <c r="R225" s="250">
        <f>IF(P226="","",MIN(D227:P227))</f>
        <v>1964.0999999999995</v>
      </c>
      <c r="S225" s="250">
        <f>IF((P227=""),"",AVERAGE(D227:P227))</f>
        <v>2024.073846153846</v>
      </c>
      <c r="T225" s="250">
        <f>IF((P226=""),"",STDEV(D227:P227))</f>
        <v>22.943027095562147</v>
      </c>
      <c r="U225" s="251">
        <f>IF((P226=""),"",((Q225-R225)/(Q225+R225))*100)</f>
        <v>2.2076835753121902</v>
      </c>
      <c r="V225" s="228" t="str">
        <f>IF(P226="","",IF(U225&lt;7.2,IF(S225&gt;AB225,IF(S225&lt;AC225,"Pass","Fail"),"Fail"),"Fail"))</f>
        <v>Pass</v>
      </c>
      <c r="W225" s="253" t="s">
        <v>98</v>
      </c>
      <c r="X225" s="255" t="s">
        <v>99</v>
      </c>
      <c r="Z225" s="240">
        <v>1600</v>
      </c>
      <c r="AA225" s="240">
        <v>2600</v>
      </c>
      <c r="AB225" s="241">
        <v>1700</v>
      </c>
      <c r="AC225" s="241">
        <v>2100</v>
      </c>
      <c r="AD225" s="242">
        <v>10</v>
      </c>
      <c r="AE225" s="242">
        <v>7.2</v>
      </c>
    </row>
    <row r="226" spans="1:31">
      <c r="A226" s="123"/>
      <c r="B226" s="235"/>
      <c r="C226" s="235" t="s">
        <v>78</v>
      </c>
      <c r="D226" s="123">
        <v>1870.08</v>
      </c>
      <c r="E226" s="123">
        <v>1741.59</v>
      </c>
      <c r="F226" s="123">
        <v>1723.34</v>
      </c>
      <c r="G226" s="123">
        <v>1713.6</v>
      </c>
      <c r="H226" s="123">
        <v>1821.44</v>
      </c>
      <c r="I226" s="123">
        <v>1797.25</v>
      </c>
      <c r="J226" s="123">
        <v>1718.9</v>
      </c>
      <c r="K226" s="123">
        <v>1738.82</v>
      </c>
      <c r="L226" s="123">
        <v>1861.13</v>
      </c>
      <c r="M226" s="123">
        <v>1744.16</v>
      </c>
      <c r="N226" s="123">
        <v>1722.96</v>
      </c>
      <c r="O226" s="123">
        <v>1720.25</v>
      </c>
      <c r="P226" s="123">
        <v>1761.65</v>
      </c>
      <c r="Q226" s="235"/>
      <c r="R226" s="235"/>
      <c r="S226" s="235"/>
      <c r="T226" s="235"/>
      <c r="U226" s="236"/>
      <c r="V226" s="237"/>
      <c r="W226" s="238"/>
      <c r="X226" s="239"/>
    </row>
    <row r="227" spans="1:31" ht="32.25" thickBot="1">
      <c r="A227" s="123"/>
      <c r="B227" s="243"/>
      <c r="C227" s="243" t="s">
        <v>221</v>
      </c>
      <c r="D227" s="244">
        <f t="shared" ref="D227:P227" si="71">IF(((D225="")*AND(D226="")),"",(D225-D226)*2)</f>
        <v>2009.62</v>
      </c>
      <c r="E227" s="244">
        <f t="shared" si="71"/>
        <v>2021.9600000000005</v>
      </c>
      <c r="F227" s="244">
        <f t="shared" si="71"/>
        <v>2023.6799999999998</v>
      </c>
      <c r="G227" s="244">
        <f t="shared" si="71"/>
        <v>2048.4400000000005</v>
      </c>
      <c r="H227" s="244">
        <f t="shared" si="71"/>
        <v>2017.3400000000001</v>
      </c>
      <c r="I227" s="244">
        <f t="shared" si="71"/>
        <v>2036.4399999999996</v>
      </c>
      <c r="J227" s="244">
        <f t="shared" si="71"/>
        <v>2038.88</v>
      </c>
      <c r="K227" s="244">
        <f t="shared" si="71"/>
        <v>2020.0800000000004</v>
      </c>
      <c r="L227" s="244">
        <f t="shared" si="71"/>
        <v>1964.0999999999995</v>
      </c>
      <c r="M227" s="244">
        <f t="shared" si="71"/>
        <v>2020.0799999999995</v>
      </c>
      <c r="N227" s="244">
        <f t="shared" si="71"/>
        <v>2052.7799999999997</v>
      </c>
      <c r="O227" s="244">
        <f t="shared" si="71"/>
        <v>2046.7200000000003</v>
      </c>
      <c r="P227" s="244">
        <f t="shared" si="71"/>
        <v>2012.8400000000001</v>
      </c>
      <c r="Q227" s="264"/>
      <c r="R227" s="243"/>
      <c r="S227" s="243"/>
      <c r="T227" s="243"/>
      <c r="U227" s="245"/>
      <c r="V227" s="246"/>
      <c r="W227" s="247"/>
      <c r="X227" s="239"/>
    </row>
    <row r="228" spans="1:31">
      <c r="A228" s="248">
        <v>43476</v>
      </c>
      <c r="B228" s="268" t="s">
        <v>76</v>
      </c>
      <c r="C228" s="269" t="s">
        <v>77</v>
      </c>
      <c r="D228" s="123">
        <v>2873.7</v>
      </c>
      <c r="E228" s="123">
        <v>2747.39</v>
      </c>
      <c r="F228" s="123">
        <v>2737.87</v>
      </c>
      <c r="G228" s="123">
        <v>2739.72</v>
      </c>
      <c r="H228" s="123">
        <v>2834.12</v>
      </c>
      <c r="I228" s="123">
        <v>2814.15</v>
      </c>
      <c r="J228" s="123">
        <v>2742.18</v>
      </c>
      <c r="K228" s="123">
        <v>2748.11</v>
      </c>
      <c r="L228" s="123">
        <v>2844.03</v>
      </c>
      <c r="M228" s="123">
        <v>2765.8</v>
      </c>
      <c r="N228" s="123">
        <v>2751.92</v>
      </c>
      <c r="O228" s="123">
        <v>2746.46</v>
      </c>
      <c r="P228" s="123">
        <v>2773.89</v>
      </c>
      <c r="Q228" s="269">
        <f>IF((P229=""),"",MAX(D230:P230))</f>
        <v>448.09999999999945</v>
      </c>
      <c r="R228" s="269">
        <f>IF(P229="","",MIN(D230:P230))</f>
        <v>366.75999999999931</v>
      </c>
      <c r="S228" s="269">
        <f>IF((P230=""),"",AVERAGE(D230:P230))</f>
        <v>403.25384615384615</v>
      </c>
      <c r="T228" s="269">
        <f>IF((P229=""),"",STDEV(D230:P230))</f>
        <v>24.856315608734661</v>
      </c>
      <c r="U228" s="269">
        <f>IF((P229=""),"",((Q228-R228)/(Q228+R228))*100)</f>
        <v>9.9820828117713791</v>
      </c>
      <c r="V228" s="228" t="str">
        <f>IF(P229="","",IF(U228&lt;7.2,IF(S228&gt;AB228,IF(S228&lt;AC228,"Pass","Fail"),"Fail"),"Fail"))</f>
        <v>Fail</v>
      </c>
      <c r="W228" s="253">
        <v>1340</v>
      </c>
      <c r="X228" s="270"/>
      <c r="Y228" s="271"/>
      <c r="Z228" s="272">
        <v>1600</v>
      </c>
      <c r="AA228" s="272">
        <v>2600</v>
      </c>
      <c r="AB228" s="273">
        <v>1900</v>
      </c>
      <c r="AC228" s="273">
        <v>2250</v>
      </c>
      <c r="AD228" s="274">
        <v>10</v>
      </c>
      <c r="AE228" s="274">
        <v>4.5</v>
      </c>
    </row>
    <row r="229" spans="1:31">
      <c r="A229" s="275"/>
      <c r="B229" s="276"/>
      <c r="C229" s="276" t="s">
        <v>78</v>
      </c>
      <c r="D229" s="123">
        <v>2649.65</v>
      </c>
      <c r="E229" s="123">
        <v>2564.0100000000002</v>
      </c>
      <c r="F229" s="123">
        <v>2538.35</v>
      </c>
      <c r="G229" s="123">
        <v>2545.59</v>
      </c>
      <c r="H229" s="123">
        <v>2635.2</v>
      </c>
      <c r="I229" s="123">
        <v>2599.06</v>
      </c>
      <c r="J229" s="123">
        <v>2549.64</v>
      </c>
      <c r="K229" s="123">
        <v>2558.1799999999998</v>
      </c>
      <c r="L229" s="123">
        <v>2633.1</v>
      </c>
      <c r="M229" s="123">
        <v>2550.65</v>
      </c>
      <c r="N229" s="123">
        <v>2557.08</v>
      </c>
      <c r="O229" s="123">
        <v>2555.9299999999998</v>
      </c>
      <c r="P229" s="123">
        <v>2561.75</v>
      </c>
      <c r="Q229" s="276"/>
      <c r="R229" s="276"/>
      <c r="S229" s="276"/>
      <c r="T229" s="276"/>
      <c r="U229" s="276"/>
      <c r="V229" s="277"/>
      <c r="W229" s="238"/>
      <c r="X229" s="270"/>
      <c r="Y229" s="271"/>
      <c r="Z229" s="278"/>
      <c r="AA229" s="278"/>
      <c r="AB229" s="278"/>
      <c r="AC229" s="278"/>
      <c r="AD229" s="279"/>
      <c r="AE229" s="279"/>
    </row>
    <row r="230" spans="1:31" ht="32.25" thickBot="1">
      <c r="A230" s="280"/>
      <c r="B230" s="281"/>
      <c r="C230" s="243" t="s">
        <v>221</v>
      </c>
      <c r="D230" s="282">
        <f t="shared" ref="D230:P230" si="72">IF(((D228="")*AND(D229="")),"",(D228-D229)*2)</f>
        <v>448.09999999999945</v>
      </c>
      <c r="E230" s="282">
        <f t="shared" si="72"/>
        <v>366.75999999999931</v>
      </c>
      <c r="F230" s="282">
        <f t="shared" si="72"/>
        <v>399.03999999999996</v>
      </c>
      <c r="G230" s="282">
        <f t="shared" si="72"/>
        <v>388.25999999999931</v>
      </c>
      <c r="H230" s="282">
        <f t="shared" si="72"/>
        <v>397.84000000000015</v>
      </c>
      <c r="I230" s="282">
        <f t="shared" si="72"/>
        <v>430.18000000000029</v>
      </c>
      <c r="J230" s="282">
        <f t="shared" si="72"/>
        <v>385.07999999999993</v>
      </c>
      <c r="K230" s="282">
        <f t="shared" si="72"/>
        <v>379.86000000000058</v>
      </c>
      <c r="L230" s="282">
        <f t="shared" si="72"/>
        <v>421.86000000000058</v>
      </c>
      <c r="M230" s="282">
        <f t="shared" si="72"/>
        <v>430.30000000000018</v>
      </c>
      <c r="N230" s="282">
        <f t="shared" si="72"/>
        <v>389.68000000000029</v>
      </c>
      <c r="O230" s="282">
        <f t="shared" si="72"/>
        <v>381.0600000000004</v>
      </c>
      <c r="P230" s="282">
        <f t="shared" si="72"/>
        <v>424.27999999999975</v>
      </c>
      <c r="Q230" s="264"/>
      <c r="R230" s="281"/>
      <c r="S230" s="281"/>
      <c r="T230" s="281"/>
      <c r="U230" s="281"/>
      <c r="V230" s="283"/>
      <c r="W230" s="247"/>
      <c r="X230" s="270"/>
      <c r="Y230" s="271"/>
      <c r="Z230" s="278"/>
      <c r="AA230" s="278"/>
      <c r="AB230" s="278"/>
      <c r="AC230" s="278"/>
      <c r="AD230" s="279"/>
      <c r="AE230" s="279"/>
    </row>
    <row r="231" spans="1:31">
      <c r="A231" s="248">
        <v>43480</v>
      </c>
      <c r="B231" s="268" t="s">
        <v>76</v>
      </c>
      <c r="C231" s="269" t="s">
        <v>77</v>
      </c>
      <c r="D231" s="123">
        <v>2883.34</v>
      </c>
      <c r="E231" s="123">
        <v>2761.44</v>
      </c>
      <c r="F231" s="123">
        <v>2742.06</v>
      </c>
      <c r="G231" s="123">
        <v>2742.92</v>
      </c>
      <c r="H231" s="123">
        <v>2841.14</v>
      </c>
      <c r="I231" s="123">
        <v>2821.65</v>
      </c>
      <c r="J231" s="123">
        <v>2747.13</v>
      </c>
      <c r="K231" s="123">
        <v>2755.63</v>
      </c>
      <c r="L231" s="123">
        <v>2847.02</v>
      </c>
      <c r="M231" s="123">
        <v>2766.36</v>
      </c>
      <c r="N231" s="123">
        <v>2758.38</v>
      </c>
      <c r="O231" s="123">
        <v>2748.95</v>
      </c>
      <c r="P231" s="123">
        <v>2778.22</v>
      </c>
      <c r="Q231" s="269">
        <f>IF((P232=""),"",MAX(D233:P233))</f>
        <v>2098.38</v>
      </c>
      <c r="R231" s="269">
        <f>IF(P232="","",MIN(D233:P233))</f>
        <v>2016.88</v>
      </c>
      <c r="S231" s="269">
        <f>IF((P233=""),"",AVERAGE(D233:P233))</f>
        <v>2070.1523076923081</v>
      </c>
      <c r="T231" s="269">
        <f>IF((P232=""),"",STDEV(D233:P233))</f>
        <v>20.297780730023234</v>
      </c>
      <c r="U231" s="269">
        <f>IF((P232=""),"",((Q231-R231)/(Q231+R231))*100)</f>
        <v>1.9804338000515156</v>
      </c>
      <c r="V231" s="228" t="str">
        <f>IF(P232="","",IF(U231&lt;7.2,IF(S231&gt;AB231,IF(S231&lt;AC231,"Pass","Fail"),"Fail"),"Fail"))</f>
        <v>Pass</v>
      </c>
      <c r="W231" s="253" t="s">
        <v>98</v>
      </c>
      <c r="X231" s="270"/>
      <c r="Y231" s="271"/>
      <c r="Z231" s="272">
        <v>1600</v>
      </c>
      <c r="AA231" s="272">
        <v>2600</v>
      </c>
      <c r="AB231" s="273">
        <v>1900</v>
      </c>
      <c r="AC231" s="273">
        <v>2250</v>
      </c>
      <c r="AD231" s="274">
        <v>10</v>
      </c>
      <c r="AE231" s="274">
        <v>4.5</v>
      </c>
    </row>
    <row r="232" spans="1:31">
      <c r="A232" s="275"/>
      <c r="B232" s="276"/>
      <c r="C232" s="276" t="s">
        <v>78</v>
      </c>
      <c r="D232" s="123">
        <v>1857.83</v>
      </c>
      <c r="E232" s="123">
        <v>1726.71</v>
      </c>
      <c r="F232" s="123">
        <v>1704.6</v>
      </c>
      <c r="G232" s="123">
        <v>1701</v>
      </c>
      <c r="H232" s="123">
        <v>1808.21</v>
      </c>
      <c r="I232" s="123">
        <v>1789.63</v>
      </c>
      <c r="J232" s="123">
        <v>1705.94</v>
      </c>
      <c r="K232" s="123">
        <v>1715.56</v>
      </c>
      <c r="L232" s="123">
        <v>1838.58</v>
      </c>
      <c r="M232" s="123">
        <v>1727.55</v>
      </c>
      <c r="N232" s="123">
        <v>1709.19</v>
      </c>
      <c r="O232" s="123">
        <v>1705.51</v>
      </c>
      <c r="P232" s="123">
        <v>1747.94</v>
      </c>
      <c r="Q232" s="276"/>
      <c r="R232" s="276"/>
      <c r="S232" s="276"/>
      <c r="T232" s="276"/>
      <c r="U232" s="276"/>
      <c r="V232" s="277"/>
      <c r="W232" s="238"/>
      <c r="X232" s="270"/>
      <c r="Y232" s="271"/>
      <c r="Z232" s="278"/>
      <c r="AA232" s="278"/>
      <c r="AB232" s="278"/>
      <c r="AC232" s="278"/>
      <c r="AD232" s="279"/>
      <c r="AE232" s="279"/>
    </row>
    <row r="233" spans="1:31" ht="32.25" thickBot="1">
      <c r="A233" s="280"/>
      <c r="B233" s="281"/>
      <c r="C233" s="243" t="s">
        <v>221</v>
      </c>
      <c r="D233" s="282">
        <f t="shared" ref="D233:P233" si="73">IF(((D231="")*AND(D232="")),"",(D231-D232)*2)</f>
        <v>2051.0200000000004</v>
      </c>
      <c r="E233" s="282">
        <f t="shared" si="73"/>
        <v>2069.46</v>
      </c>
      <c r="F233" s="282">
        <f t="shared" si="73"/>
        <v>2074.92</v>
      </c>
      <c r="G233" s="282">
        <f t="shared" si="73"/>
        <v>2083.84</v>
      </c>
      <c r="H233" s="282">
        <f t="shared" si="73"/>
        <v>2065.8599999999997</v>
      </c>
      <c r="I233" s="282">
        <f t="shared" si="73"/>
        <v>2064.04</v>
      </c>
      <c r="J233" s="282">
        <f t="shared" si="73"/>
        <v>2082.38</v>
      </c>
      <c r="K233" s="282">
        <f t="shared" si="73"/>
        <v>2080.1400000000003</v>
      </c>
      <c r="L233" s="282">
        <f t="shared" si="73"/>
        <v>2016.88</v>
      </c>
      <c r="M233" s="282">
        <f t="shared" si="73"/>
        <v>2077.6200000000003</v>
      </c>
      <c r="N233" s="282">
        <f t="shared" si="73"/>
        <v>2098.38</v>
      </c>
      <c r="O233" s="282">
        <f t="shared" si="73"/>
        <v>2086.8799999999997</v>
      </c>
      <c r="P233" s="282">
        <f t="shared" si="73"/>
        <v>2060.5599999999995</v>
      </c>
      <c r="Q233" s="264"/>
      <c r="R233" s="281"/>
      <c r="S233" s="281"/>
      <c r="T233" s="281"/>
      <c r="U233" s="281"/>
      <c r="V233" s="283"/>
      <c r="W233" s="247"/>
      <c r="X233" s="270"/>
      <c r="Y233" s="271"/>
      <c r="Z233" s="278"/>
      <c r="AA233" s="278"/>
      <c r="AB233" s="278"/>
      <c r="AC233" s="278"/>
      <c r="AD233" s="279"/>
      <c r="AE233" s="279"/>
    </row>
    <row r="234" spans="1:31">
      <c r="A234" s="248">
        <v>43487</v>
      </c>
      <c r="B234" s="268" t="s">
        <v>76</v>
      </c>
      <c r="C234" s="269" t="s">
        <v>77</v>
      </c>
      <c r="D234" s="123">
        <v>2881.66</v>
      </c>
      <c r="E234" s="123">
        <v>2764.31</v>
      </c>
      <c r="F234" s="123">
        <v>2739.98</v>
      </c>
      <c r="G234" s="123">
        <v>2743.94</v>
      </c>
      <c r="H234" s="123">
        <v>2837.35</v>
      </c>
      <c r="I234" s="123">
        <v>2817.87</v>
      </c>
      <c r="J234" s="123">
        <v>2745.22</v>
      </c>
      <c r="K234" s="123">
        <v>2753.09</v>
      </c>
      <c r="L234" s="123">
        <v>2844.82</v>
      </c>
      <c r="M234" s="123">
        <v>2766.95</v>
      </c>
      <c r="N234" s="123">
        <v>2756.83</v>
      </c>
      <c r="O234" s="123">
        <v>2750.15</v>
      </c>
      <c r="P234" s="123">
        <v>2773.58</v>
      </c>
      <c r="Q234" s="269">
        <f>IF((P235=""),"",MAX(D236:P236))</f>
        <v>1959.6400000000003</v>
      </c>
      <c r="R234" s="269">
        <f>IF(P235="","",MIN(D236:P236))</f>
        <v>1845</v>
      </c>
      <c r="S234" s="269">
        <f>IF((P236=""),"",AVERAGE(D236:P236))</f>
        <v>1928.3076923076924</v>
      </c>
      <c r="T234" s="269">
        <f>IF((P235=""),"",STDEV(D236:P236))</f>
        <v>39.38266838636973</v>
      </c>
      <c r="U234" s="269">
        <f>IF((P235=""),"",((Q234-R234)/(Q234+R234))*100)</f>
        <v>3.0131628748055093</v>
      </c>
      <c r="V234" s="228" t="str">
        <f>IF(P235="","",IF(U234&lt;7.2,IF(S234&gt;AB234,IF(S234&lt;AC234,"Pass","Fail"),"Fail"),"Fail"))</f>
        <v>Pass</v>
      </c>
      <c r="W234" s="253">
        <v>1335</v>
      </c>
      <c r="X234" s="270" t="s">
        <v>147</v>
      </c>
      <c r="Y234" s="271"/>
      <c r="Z234" s="272">
        <v>1600</v>
      </c>
      <c r="AA234" s="272">
        <v>2600</v>
      </c>
      <c r="AB234" s="273">
        <v>1900</v>
      </c>
      <c r="AC234" s="273">
        <v>2250</v>
      </c>
      <c r="AD234" s="274">
        <v>10</v>
      </c>
      <c r="AE234" s="274">
        <v>4.5</v>
      </c>
    </row>
    <row r="235" spans="1:31">
      <c r="A235" s="275"/>
      <c r="B235" s="276"/>
      <c r="C235" s="276" t="s">
        <v>78</v>
      </c>
      <c r="D235" s="123">
        <v>1932.55</v>
      </c>
      <c r="E235" s="123">
        <v>1787.08</v>
      </c>
      <c r="F235" s="123">
        <v>1767.7</v>
      </c>
      <c r="G235" s="123">
        <v>1765.72</v>
      </c>
      <c r="H235" s="123">
        <v>1914.85</v>
      </c>
      <c r="I235" s="123">
        <v>1872.94</v>
      </c>
      <c r="J235" s="123">
        <v>1769.61</v>
      </c>
      <c r="K235" s="123">
        <v>1779.88</v>
      </c>
      <c r="L235" s="123">
        <v>1911.82</v>
      </c>
      <c r="M235" s="123">
        <v>1789.05</v>
      </c>
      <c r="N235" s="123">
        <v>1777.89</v>
      </c>
      <c r="O235" s="123">
        <v>1770.33</v>
      </c>
      <c r="P235" s="123">
        <v>1802.33</v>
      </c>
      <c r="Q235" s="276"/>
      <c r="R235" s="276"/>
      <c r="S235" s="276"/>
      <c r="T235" s="276"/>
      <c r="U235" s="276"/>
      <c r="V235" s="277"/>
      <c r="W235" s="238"/>
      <c r="X235" s="270"/>
      <c r="Y235" s="271"/>
      <c r="Z235" s="278"/>
      <c r="AA235" s="278"/>
      <c r="AB235" s="278"/>
      <c r="AC235" s="278"/>
      <c r="AD235" s="279"/>
      <c r="AE235" s="279"/>
    </row>
    <row r="236" spans="1:31" ht="32.25" thickBot="1">
      <c r="A236" s="280"/>
      <c r="B236" s="281"/>
      <c r="C236" s="243" t="s">
        <v>221</v>
      </c>
      <c r="D236" s="282">
        <f t="shared" ref="D236:P236" si="74">IF(((D234="")*AND(D235="")),"",(D234-D235)*2)</f>
        <v>1898.2199999999998</v>
      </c>
      <c r="E236" s="282">
        <f t="shared" si="74"/>
        <v>1954.46</v>
      </c>
      <c r="F236" s="282">
        <f t="shared" si="74"/>
        <v>1944.56</v>
      </c>
      <c r="G236" s="282">
        <f t="shared" si="74"/>
        <v>1956.44</v>
      </c>
      <c r="H236" s="282">
        <f t="shared" si="74"/>
        <v>1845</v>
      </c>
      <c r="I236" s="282">
        <f t="shared" si="74"/>
        <v>1889.8599999999997</v>
      </c>
      <c r="J236" s="282">
        <f t="shared" si="74"/>
        <v>1951.2199999999998</v>
      </c>
      <c r="K236" s="282">
        <f t="shared" si="74"/>
        <v>1946.42</v>
      </c>
      <c r="L236" s="282">
        <f t="shared" si="74"/>
        <v>1866.0000000000005</v>
      </c>
      <c r="M236" s="282">
        <f t="shared" si="74"/>
        <v>1955.7999999999997</v>
      </c>
      <c r="N236" s="282">
        <f t="shared" si="74"/>
        <v>1957.8799999999997</v>
      </c>
      <c r="O236" s="282">
        <f t="shared" si="74"/>
        <v>1959.6400000000003</v>
      </c>
      <c r="P236" s="282">
        <f t="shared" si="74"/>
        <v>1942.5</v>
      </c>
      <c r="Q236" s="264"/>
      <c r="R236" s="281"/>
      <c r="S236" s="281"/>
      <c r="T236" s="281"/>
      <c r="U236" s="281"/>
      <c r="V236" s="283"/>
      <c r="W236" s="247"/>
      <c r="X236" s="270"/>
      <c r="Y236" s="271"/>
      <c r="Z236" s="278"/>
      <c r="AA236" s="278"/>
      <c r="AB236" s="278"/>
      <c r="AC236" s="278"/>
      <c r="AD236" s="279"/>
      <c r="AE236" s="279"/>
    </row>
    <row r="237" spans="1:31">
      <c r="A237" s="248">
        <v>43493</v>
      </c>
      <c r="B237" s="268" t="s">
        <v>76</v>
      </c>
      <c r="C237" s="269" t="s">
        <v>77</v>
      </c>
      <c r="D237" s="123">
        <v>2875.59</v>
      </c>
      <c r="E237" s="123">
        <v>2759.22</v>
      </c>
      <c r="F237" s="123">
        <v>2740.39</v>
      </c>
      <c r="G237" s="123">
        <v>2743.84</v>
      </c>
      <c r="H237" s="123">
        <v>2843.43</v>
      </c>
      <c r="I237" s="123">
        <v>2820.33</v>
      </c>
      <c r="J237" s="123">
        <v>2746.17</v>
      </c>
      <c r="K237" s="123">
        <v>2750.23</v>
      </c>
      <c r="L237" s="123">
        <v>2838.39</v>
      </c>
      <c r="M237" s="123">
        <v>2766.83</v>
      </c>
      <c r="N237" s="123">
        <v>2754.53</v>
      </c>
      <c r="O237" s="123">
        <v>2751.42</v>
      </c>
      <c r="P237" s="123">
        <v>2768.83</v>
      </c>
      <c r="Q237" s="269">
        <f>IF((P238=""),"",MAX(D239:P239))</f>
        <v>2058.3000000000002</v>
      </c>
      <c r="R237" s="269">
        <f>IF(P238="","",MIN(D239:P239))</f>
        <v>1945.1</v>
      </c>
      <c r="S237" s="269">
        <f>IF((P239=""),"",AVERAGE(D239:P239))</f>
        <v>2019.6015384615384</v>
      </c>
      <c r="T237" s="269">
        <f>IF((P238=""),"",STDEV(D239:P239))</f>
        <v>39.432038971322584</v>
      </c>
      <c r="U237" s="269">
        <f>IF((P238=""),"",((Q237-R237)/(Q237+R237))*100)</f>
        <v>2.827596542938509</v>
      </c>
      <c r="V237" s="228" t="str">
        <f>IF(P238="","",IF(U237&lt;7.2,IF(S237&gt;AB237,IF(S237&lt;AC237,"Pass","Fail"),"Fail"),"Fail"))</f>
        <v>Pass</v>
      </c>
      <c r="W237" s="284" t="s">
        <v>98</v>
      </c>
      <c r="X237" s="270" t="s">
        <v>148</v>
      </c>
      <c r="Y237" s="271"/>
      <c r="Z237" s="272">
        <v>1600</v>
      </c>
      <c r="AA237" s="272">
        <v>2600</v>
      </c>
      <c r="AB237" s="273">
        <v>1900</v>
      </c>
      <c r="AC237" s="273">
        <v>2250</v>
      </c>
      <c r="AD237" s="274">
        <v>10</v>
      </c>
      <c r="AE237" s="274">
        <v>4.5</v>
      </c>
    </row>
    <row r="238" spans="1:31">
      <c r="A238" s="275"/>
      <c r="B238" s="276"/>
      <c r="C238" s="276" t="s">
        <v>78</v>
      </c>
      <c r="D238" s="123">
        <v>1894.54</v>
      </c>
      <c r="E238" s="123">
        <v>1741.45</v>
      </c>
      <c r="F238" s="123">
        <v>1721.64</v>
      </c>
      <c r="G238" s="123">
        <v>1716.1</v>
      </c>
      <c r="H238" s="123">
        <v>1851.24</v>
      </c>
      <c r="I238" s="123">
        <v>1834.67</v>
      </c>
      <c r="J238" s="123">
        <v>1726.15</v>
      </c>
      <c r="K238" s="123">
        <v>1730.57</v>
      </c>
      <c r="L238" s="123">
        <v>1865.84</v>
      </c>
      <c r="M238" s="123">
        <v>1745.35</v>
      </c>
      <c r="N238" s="123">
        <v>1725.4</v>
      </c>
      <c r="O238" s="123">
        <v>1722.27</v>
      </c>
      <c r="P238" s="123">
        <v>1756.57</v>
      </c>
      <c r="Q238" s="276"/>
      <c r="R238" s="276"/>
      <c r="S238" s="276"/>
      <c r="T238" s="276"/>
      <c r="U238" s="276"/>
      <c r="V238" s="277"/>
      <c r="W238" s="238"/>
      <c r="X238" s="270"/>
      <c r="Y238" s="271"/>
      <c r="Z238" s="278"/>
      <c r="AA238" s="278"/>
      <c r="AB238" s="278"/>
      <c r="AC238" s="278"/>
      <c r="AD238" s="279"/>
      <c r="AE238" s="279"/>
    </row>
    <row r="239" spans="1:31" ht="32.25" thickBot="1">
      <c r="A239" s="280"/>
      <c r="B239" s="281"/>
      <c r="C239" s="243" t="s">
        <v>221</v>
      </c>
      <c r="D239" s="282">
        <f t="shared" ref="D239:P239" si="75">IF(((D237="")*AND(D238="")),"",(D237-D238)*2)</f>
        <v>1962.1000000000004</v>
      </c>
      <c r="E239" s="282">
        <f t="shared" si="75"/>
        <v>2035.5399999999995</v>
      </c>
      <c r="F239" s="282">
        <f t="shared" si="75"/>
        <v>2037.4999999999995</v>
      </c>
      <c r="G239" s="282">
        <f t="shared" si="75"/>
        <v>2055.4800000000005</v>
      </c>
      <c r="H239" s="282">
        <f t="shared" si="75"/>
        <v>1984.3799999999997</v>
      </c>
      <c r="I239" s="282">
        <f t="shared" si="75"/>
        <v>1971.3199999999997</v>
      </c>
      <c r="J239" s="282">
        <f t="shared" si="75"/>
        <v>2040.04</v>
      </c>
      <c r="K239" s="282">
        <f t="shared" si="75"/>
        <v>2039.3200000000002</v>
      </c>
      <c r="L239" s="282">
        <f t="shared" si="75"/>
        <v>1945.1</v>
      </c>
      <c r="M239" s="282">
        <f t="shared" si="75"/>
        <v>2042.96</v>
      </c>
      <c r="N239" s="282">
        <f t="shared" si="75"/>
        <v>2058.2600000000002</v>
      </c>
      <c r="O239" s="282">
        <f t="shared" si="75"/>
        <v>2058.3000000000002</v>
      </c>
      <c r="P239" s="282">
        <f t="shared" si="75"/>
        <v>2024.52</v>
      </c>
      <c r="Q239" s="264"/>
      <c r="R239" s="281"/>
      <c r="S239" s="281"/>
      <c r="T239" s="281"/>
      <c r="U239" s="281"/>
      <c r="V239" s="283"/>
      <c r="W239" s="247"/>
      <c r="X239" s="270"/>
      <c r="Y239" s="271"/>
      <c r="Z239" s="278"/>
      <c r="AA239" s="278"/>
      <c r="AB239" s="278"/>
      <c r="AC239" s="278"/>
      <c r="AD239" s="279"/>
      <c r="AE239" s="279"/>
    </row>
    <row r="240" spans="1:31">
      <c r="A240" s="248">
        <v>43497</v>
      </c>
      <c r="B240" s="268" t="s">
        <v>76</v>
      </c>
      <c r="C240" s="269" t="s">
        <v>77</v>
      </c>
      <c r="D240" s="123">
        <v>2882.54</v>
      </c>
      <c r="E240" s="123">
        <v>2765.4</v>
      </c>
      <c r="F240" s="123">
        <v>2749.28</v>
      </c>
      <c r="G240" s="123">
        <v>2749.93</v>
      </c>
      <c r="H240" s="123">
        <v>2845.01</v>
      </c>
      <c r="I240" s="123">
        <v>2827.64</v>
      </c>
      <c r="J240" s="123">
        <v>2748.34</v>
      </c>
      <c r="K240" s="123">
        <v>2757.68</v>
      </c>
      <c r="L240" s="123">
        <v>2848.03</v>
      </c>
      <c r="M240" s="123">
        <v>2770.31</v>
      </c>
      <c r="N240" s="123">
        <v>2764.53</v>
      </c>
      <c r="O240" s="123">
        <v>2757.7</v>
      </c>
      <c r="P240" s="123">
        <v>2781.62</v>
      </c>
      <c r="Q240" s="269">
        <f>IF((P241=""),"",MAX(D242:P242))</f>
        <v>2088.0000000000005</v>
      </c>
      <c r="R240" s="269">
        <f>IF(P241="","",MIN(D242:P242))</f>
        <v>1985.7200000000003</v>
      </c>
      <c r="S240" s="269">
        <f>IF((P242=""),"",AVERAGE(D242:P242))</f>
        <v>2049.9184615384615</v>
      </c>
      <c r="T240" s="269">
        <f>IF((P241=""),"",STDEV(D242:P242))</f>
        <v>30.255572997976635</v>
      </c>
      <c r="U240" s="269">
        <f>IF((P241=""),"",((Q240-R240)/(Q240+R240))*100)</f>
        <v>2.5107272959359057</v>
      </c>
      <c r="V240" s="228" t="str">
        <f>IF(P241="","",IF(U240&lt;7.2,IF(S240&gt;AB240,IF(S240&lt;AC240,"Pass","Fail"),"Fail"),"Fail"))</f>
        <v>Pass</v>
      </c>
      <c r="W240" s="253">
        <v>121</v>
      </c>
      <c r="X240" s="270" t="s">
        <v>149</v>
      </c>
      <c r="Y240" s="271"/>
      <c r="Z240" s="272">
        <v>1600</v>
      </c>
      <c r="AA240" s="272">
        <v>2600</v>
      </c>
      <c r="AB240" s="273">
        <v>1900</v>
      </c>
      <c r="AC240" s="273">
        <v>2250</v>
      </c>
      <c r="AD240" s="274">
        <v>10</v>
      </c>
      <c r="AE240" s="274">
        <v>4.5</v>
      </c>
    </row>
    <row r="241" spans="1:31">
      <c r="A241" s="275"/>
      <c r="B241" s="276"/>
      <c r="C241" s="276" t="s">
        <v>78</v>
      </c>
      <c r="D241" s="123">
        <v>1880.55</v>
      </c>
      <c r="E241" s="123">
        <v>1737.37</v>
      </c>
      <c r="F241" s="123">
        <v>1718.94</v>
      </c>
      <c r="G241" s="123">
        <v>1710.14</v>
      </c>
      <c r="H241" s="123">
        <v>1827.69</v>
      </c>
      <c r="I241" s="123">
        <v>1817.37</v>
      </c>
      <c r="J241" s="123">
        <v>1718.59</v>
      </c>
      <c r="K241" s="123">
        <v>1725.52</v>
      </c>
      <c r="L241" s="123">
        <v>1855.17</v>
      </c>
      <c r="M241" s="123">
        <v>1742.44</v>
      </c>
      <c r="N241" s="123">
        <v>1720.53</v>
      </c>
      <c r="O241" s="123">
        <v>1720.85</v>
      </c>
      <c r="P241" s="123">
        <v>1748.38</v>
      </c>
      <c r="Q241" s="276"/>
      <c r="R241" s="276"/>
      <c r="S241" s="276"/>
      <c r="T241" s="276"/>
      <c r="U241" s="276"/>
      <c r="V241" s="277"/>
      <c r="W241" s="238"/>
      <c r="X241" s="270"/>
      <c r="Y241" s="271"/>
      <c r="Z241" s="278"/>
      <c r="AA241" s="278"/>
      <c r="AB241" s="278"/>
      <c r="AC241" s="278"/>
      <c r="AD241" s="279"/>
      <c r="AE241" s="279"/>
    </row>
    <row r="242" spans="1:31" ht="32.25" thickBot="1">
      <c r="A242" s="280"/>
      <c r="B242" s="281"/>
      <c r="C242" s="243" t="s">
        <v>221</v>
      </c>
      <c r="D242" s="282">
        <f t="shared" ref="D242:P242" si="76">IF(((D240="")*AND(D241="")),"",(D240-D241)*2)</f>
        <v>2003.98</v>
      </c>
      <c r="E242" s="282">
        <f t="shared" si="76"/>
        <v>2056.0600000000004</v>
      </c>
      <c r="F242" s="282">
        <f t="shared" si="76"/>
        <v>2060.6800000000003</v>
      </c>
      <c r="G242" s="282">
        <f t="shared" si="76"/>
        <v>2079.5799999999995</v>
      </c>
      <c r="H242" s="282">
        <f t="shared" si="76"/>
        <v>2034.6400000000003</v>
      </c>
      <c r="I242" s="282">
        <f t="shared" si="76"/>
        <v>2020.54</v>
      </c>
      <c r="J242" s="282">
        <f t="shared" si="76"/>
        <v>2059.5000000000005</v>
      </c>
      <c r="K242" s="282">
        <f t="shared" si="76"/>
        <v>2064.3199999999997</v>
      </c>
      <c r="L242" s="282">
        <f t="shared" si="76"/>
        <v>1985.7200000000003</v>
      </c>
      <c r="M242" s="282">
        <f t="shared" si="76"/>
        <v>2055.7399999999998</v>
      </c>
      <c r="N242" s="282">
        <f t="shared" si="76"/>
        <v>2088.0000000000005</v>
      </c>
      <c r="O242" s="282">
        <f t="shared" si="76"/>
        <v>2073.6999999999998</v>
      </c>
      <c r="P242" s="282">
        <f t="shared" si="76"/>
        <v>2066.4799999999996</v>
      </c>
      <c r="Q242" s="264"/>
      <c r="R242" s="281"/>
      <c r="S242" s="281"/>
      <c r="T242" s="281"/>
      <c r="U242" s="281"/>
      <c r="V242" s="283"/>
      <c r="W242" s="247"/>
      <c r="X242" s="270"/>
      <c r="Y242" s="271"/>
      <c r="Z242" s="278"/>
      <c r="AA242" s="278"/>
      <c r="AB242" s="278"/>
      <c r="AC242" s="278"/>
      <c r="AD242" s="279"/>
      <c r="AE242" s="279"/>
    </row>
    <row r="243" spans="1:31">
      <c r="A243" s="248">
        <v>43502</v>
      </c>
      <c r="B243" s="268" t="s">
        <v>76</v>
      </c>
      <c r="C243" s="269" t="s">
        <v>77</v>
      </c>
      <c r="D243" s="123">
        <v>2849.15</v>
      </c>
      <c r="E243" s="123">
        <v>2756.68</v>
      </c>
      <c r="F243" s="123">
        <v>2754.26</v>
      </c>
      <c r="G243" s="123">
        <v>2776.5</v>
      </c>
      <c r="H243" s="123">
        <v>2890.65</v>
      </c>
      <c r="I243" s="123">
        <v>2836.46</v>
      </c>
      <c r="J243" s="123">
        <v>2762.12</v>
      </c>
      <c r="K243" s="123">
        <v>2764.54</v>
      </c>
      <c r="L243" s="123">
        <v>2842.48</v>
      </c>
      <c r="M243" s="123">
        <v>2766.89</v>
      </c>
      <c r="N243" s="123">
        <v>2783.42</v>
      </c>
      <c r="O243" s="123">
        <v>2782.46</v>
      </c>
      <c r="P243" s="123">
        <v>2769.22</v>
      </c>
      <c r="Q243" s="269">
        <f>IF((P244=""),"",MAX(D245:P245))</f>
        <v>2089.54</v>
      </c>
      <c r="R243" s="269">
        <f>IF(P244="","",MIN(D245:P245))</f>
        <v>1984.5</v>
      </c>
      <c r="S243" s="269">
        <f>IF((P245=""),"",AVERAGE(D245:P245))</f>
        <v>2048.1338461538462</v>
      </c>
      <c r="T243" s="269">
        <f>IF((P244=""),"",STDEV(D245:P245))</f>
        <v>34.546130882840636</v>
      </c>
      <c r="U243" s="269">
        <f>IF((P244=""),"",((Q243-R243)/(Q243+R243))*100)</f>
        <v>2.578276109218367</v>
      </c>
      <c r="V243" s="228" t="str">
        <f>IF(P244="","",IF(U243&lt;7.2,IF(S243&gt;AB243,IF(S243&lt;AC243,"Pass","Fail"),"Fail"),"Fail"))</f>
        <v>Pass</v>
      </c>
      <c r="W243" s="253">
        <v>102</v>
      </c>
      <c r="X243" s="270" t="s">
        <v>150</v>
      </c>
      <c r="Y243" s="271"/>
      <c r="Z243" s="272">
        <v>1600</v>
      </c>
      <c r="AA243" s="272">
        <v>2600</v>
      </c>
      <c r="AB243" s="273">
        <v>1900</v>
      </c>
      <c r="AC243" s="273">
        <v>2250</v>
      </c>
      <c r="AD243" s="274">
        <v>10</v>
      </c>
      <c r="AE243" s="274">
        <v>4.5</v>
      </c>
    </row>
    <row r="244" spans="1:31">
      <c r="A244" s="275"/>
      <c r="B244" s="276"/>
      <c r="C244" s="276" t="s">
        <v>78</v>
      </c>
      <c r="D244" s="123">
        <v>1843.18</v>
      </c>
      <c r="E244" s="123">
        <v>1732.48</v>
      </c>
      <c r="F244" s="123">
        <v>1723.53</v>
      </c>
      <c r="G244" s="123">
        <v>1732.6</v>
      </c>
      <c r="H244" s="123">
        <v>1891.56</v>
      </c>
      <c r="I244" s="123">
        <v>1829.31</v>
      </c>
      <c r="J244" s="123">
        <v>1729.42</v>
      </c>
      <c r="K244" s="123">
        <v>1729.53</v>
      </c>
      <c r="L244" s="123">
        <v>1850.23</v>
      </c>
      <c r="M244" s="123">
        <v>1738.72</v>
      </c>
      <c r="N244" s="123">
        <v>1738.65</v>
      </c>
      <c r="O244" s="123">
        <v>1743.71</v>
      </c>
      <c r="P244" s="123">
        <v>1739.04</v>
      </c>
      <c r="Q244" s="276"/>
      <c r="R244" s="276"/>
      <c r="S244" s="276"/>
      <c r="T244" s="276"/>
      <c r="U244" s="276"/>
      <c r="V244" s="277"/>
      <c r="W244" s="238"/>
      <c r="X244" s="270"/>
      <c r="Y244" s="271"/>
      <c r="Z244" s="278"/>
      <c r="AA244" s="278"/>
      <c r="AB244" s="278"/>
      <c r="AC244" s="278"/>
      <c r="AD244" s="279"/>
      <c r="AE244" s="279"/>
    </row>
    <row r="245" spans="1:31" ht="32.25" thickBot="1">
      <c r="A245" s="280"/>
      <c r="B245" s="281"/>
      <c r="C245" s="243" t="s">
        <v>221</v>
      </c>
      <c r="D245" s="282">
        <f t="shared" ref="D245:P245" si="77">IF(((D243="")*AND(D244="")),"",(D243-D244)*2)</f>
        <v>2011.94</v>
      </c>
      <c r="E245" s="282">
        <f t="shared" si="77"/>
        <v>2048.3999999999996</v>
      </c>
      <c r="F245" s="282">
        <f t="shared" si="77"/>
        <v>2061.4600000000005</v>
      </c>
      <c r="G245" s="282">
        <f t="shared" si="77"/>
        <v>2087.8000000000002</v>
      </c>
      <c r="H245" s="282">
        <f t="shared" si="77"/>
        <v>1998.1800000000003</v>
      </c>
      <c r="I245" s="282">
        <f t="shared" si="77"/>
        <v>2014.3000000000002</v>
      </c>
      <c r="J245" s="282">
        <f t="shared" si="77"/>
        <v>2065.3999999999996</v>
      </c>
      <c r="K245" s="282">
        <f t="shared" si="77"/>
        <v>2070.02</v>
      </c>
      <c r="L245" s="282">
        <f t="shared" si="77"/>
        <v>1984.5</v>
      </c>
      <c r="M245" s="282">
        <f t="shared" si="77"/>
        <v>2056.3399999999997</v>
      </c>
      <c r="N245" s="282">
        <f t="shared" si="77"/>
        <v>2089.54</v>
      </c>
      <c r="O245" s="282">
        <f t="shared" si="77"/>
        <v>2077.5</v>
      </c>
      <c r="P245" s="282">
        <f t="shared" si="77"/>
        <v>2060.3599999999997</v>
      </c>
      <c r="Q245" s="264"/>
      <c r="R245" s="281"/>
      <c r="S245" s="281"/>
      <c r="T245" s="281"/>
      <c r="U245" s="281"/>
      <c r="V245" s="283"/>
      <c r="W245" s="247"/>
      <c r="X245" s="270"/>
      <c r="Y245" s="271"/>
      <c r="Z245" s="278"/>
      <c r="AA245" s="278"/>
      <c r="AB245" s="278"/>
      <c r="AC245" s="278"/>
      <c r="AD245" s="279"/>
      <c r="AE245" s="279"/>
    </row>
    <row r="246" spans="1:31">
      <c r="A246" s="248">
        <v>43507</v>
      </c>
      <c r="B246" s="268" t="s">
        <v>76</v>
      </c>
      <c r="C246" s="269" t="s">
        <v>77</v>
      </c>
      <c r="D246" s="123">
        <v>2853.01</v>
      </c>
      <c r="E246" s="123">
        <v>2764.34</v>
      </c>
      <c r="F246" s="123">
        <v>2756.15</v>
      </c>
      <c r="G246" s="123">
        <v>2776.45</v>
      </c>
      <c r="H246" s="123">
        <v>2892.13</v>
      </c>
      <c r="I246" s="123">
        <v>2837.52</v>
      </c>
      <c r="J246" s="123">
        <v>2766.11</v>
      </c>
      <c r="K246" s="123">
        <v>2769.66</v>
      </c>
      <c r="L246" s="123">
        <v>2840.49</v>
      </c>
      <c r="M246" s="123">
        <v>2766.32</v>
      </c>
      <c r="N246" s="123">
        <v>2787.52</v>
      </c>
      <c r="O246" s="123">
        <v>2787.18</v>
      </c>
      <c r="P246" s="123">
        <v>2775.24</v>
      </c>
      <c r="Q246" s="269">
        <f>IF((P247=""),"",MAX(D248:P248))</f>
        <v>2078.92</v>
      </c>
      <c r="R246" s="269">
        <f>IF(P247="","",MIN(D248:P248))</f>
        <v>1962.4599999999996</v>
      </c>
      <c r="S246" s="269">
        <f>IF((P248=""),"",AVERAGE(D248:P248))</f>
        <v>2037.3584615384611</v>
      </c>
      <c r="T246" s="269">
        <f>IF((P247=""),"",STDEV(D248:P248))</f>
        <v>37.827598797296531</v>
      </c>
      <c r="U246" s="269">
        <f>IF((P247=""),"",((Q246-R246)/(Q246+R246))*100)</f>
        <v>2.8816889280394444</v>
      </c>
      <c r="V246" s="228" t="str">
        <f>IF(P247="","",IF(U246&lt;7.2,IF(S246&gt;AB246,IF(S246&lt;AC246,"Pass","Fail"),"Fail"),"Fail"))</f>
        <v>Pass</v>
      </c>
      <c r="W246" s="253">
        <v>74</v>
      </c>
      <c r="X246" s="270"/>
      <c r="Y246" s="271"/>
      <c r="Z246" s="272">
        <v>1600</v>
      </c>
      <c r="AA246" s="272">
        <v>2600</v>
      </c>
      <c r="AB246" s="273">
        <v>1900</v>
      </c>
      <c r="AC246" s="273">
        <v>2250</v>
      </c>
      <c r="AD246" s="274">
        <v>10</v>
      </c>
      <c r="AE246" s="274">
        <v>4.5</v>
      </c>
    </row>
    <row r="247" spans="1:31">
      <c r="A247" s="275"/>
      <c r="B247" s="276"/>
      <c r="C247" s="276" t="s">
        <v>78</v>
      </c>
      <c r="D247" s="123">
        <v>1857.5</v>
      </c>
      <c r="E247" s="123">
        <v>1737.01</v>
      </c>
      <c r="F247" s="123">
        <v>1730.42</v>
      </c>
      <c r="G247" s="123">
        <v>1741.24</v>
      </c>
      <c r="H247" s="123">
        <v>1896.45</v>
      </c>
      <c r="I247" s="123">
        <v>1838.59</v>
      </c>
      <c r="J247" s="123">
        <v>1736.12</v>
      </c>
      <c r="K247" s="123">
        <v>1739.01</v>
      </c>
      <c r="L247" s="123">
        <v>1859.26</v>
      </c>
      <c r="M247" s="123">
        <v>1744.76</v>
      </c>
      <c r="N247" s="123">
        <v>1748.06</v>
      </c>
      <c r="O247" s="123">
        <v>1752.36</v>
      </c>
      <c r="P247" s="123">
        <v>1748.51</v>
      </c>
      <c r="Q247" s="276"/>
      <c r="R247" s="276"/>
      <c r="S247" s="276"/>
      <c r="T247" s="276"/>
      <c r="U247" s="276"/>
      <c r="V247" s="277"/>
      <c r="W247" s="238"/>
      <c r="X247" s="270"/>
      <c r="Y247" s="271"/>
      <c r="Z247" s="278"/>
      <c r="AA247" s="278"/>
      <c r="AB247" s="278"/>
      <c r="AC247" s="278"/>
      <c r="AD247" s="279"/>
      <c r="AE247" s="279"/>
    </row>
    <row r="248" spans="1:31" ht="32.25" thickBot="1">
      <c r="A248" s="280"/>
      <c r="B248" s="281"/>
      <c r="C248" s="243" t="s">
        <v>221</v>
      </c>
      <c r="D248" s="282">
        <f t="shared" ref="D248:P248" si="78">IF(((D246="")*AND(D247="")),"",(D246-D247)*2)</f>
        <v>1991.0200000000004</v>
      </c>
      <c r="E248" s="282">
        <f t="shared" si="78"/>
        <v>2054.6600000000003</v>
      </c>
      <c r="F248" s="282">
        <f t="shared" si="78"/>
        <v>2051.46</v>
      </c>
      <c r="G248" s="282">
        <f t="shared" si="78"/>
        <v>2070.4199999999996</v>
      </c>
      <c r="H248" s="282">
        <f t="shared" si="78"/>
        <v>1991.3600000000001</v>
      </c>
      <c r="I248" s="282">
        <f t="shared" si="78"/>
        <v>1997.8600000000001</v>
      </c>
      <c r="J248" s="282">
        <f t="shared" si="78"/>
        <v>2059.9800000000005</v>
      </c>
      <c r="K248" s="282">
        <f t="shared" si="78"/>
        <v>2061.2999999999997</v>
      </c>
      <c r="L248" s="282">
        <f t="shared" si="78"/>
        <v>1962.4599999999996</v>
      </c>
      <c r="M248" s="282">
        <f t="shared" si="78"/>
        <v>2043.1200000000003</v>
      </c>
      <c r="N248" s="282">
        <f t="shared" si="78"/>
        <v>2078.92</v>
      </c>
      <c r="O248" s="282">
        <f t="shared" si="78"/>
        <v>2069.64</v>
      </c>
      <c r="P248" s="282">
        <f t="shared" si="78"/>
        <v>2053.4599999999996</v>
      </c>
      <c r="Q248" s="264"/>
      <c r="R248" s="281"/>
      <c r="S248" s="281"/>
      <c r="T248" s="281"/>
      <c r="U248" s="281"/>
      <c r="V248" s="283"/>
      <c r="W248" s="247"/>
      <c r="X248" s="270"/>
      <c r="Y248" s="271"/>
      <c r="Z248" s="278"/>
      <c r="AA248" s="278"/>
      <c r="AB248" s="278"/>
      <c r="AC248" s="278"/>
      <c r="AD248" s="279"/>
      <c r="AE248" s="279"/>
    </row>
    <row r="249" spans="1:31">
      <c r="A249" s="248">
        <v>43510</v>
      </c>
      <c r="B249" s="268" t="s">
        <v>76</v>
      </c>
      <c r="C249" s="269" t="s">
        <v>77</v>
      </c>
      <c r="D249" s="123">
        <v>2848.07</v>
      </c>
      <c r="E249" s="123">
        <v>2753.57</v>
      </c>
      <c r="F249" s="123">
        <v>2752.31</v>
      </c>
      <c r="G249" s="123">
        <v>2772.66</v>
      </c>
      <c r="H249" s="123">
        <v>2884.92</v>
      </c>
      <c r="I249" s="123">
        <v>2836.04</v>
      </c>
      <c r="J249" s="123">
        <v>2762.58</v>
      </c>
      <c r="K249" s="123">
        <v>2759.64</v>
      </c>
      <c r="L249" s="123">
        <v>2838.42</v>
      </c>
      <c r="M249" s="123">
        <v>2759.5</v>
      </c>
      <c r="N249" s="123">
        <v>2779.7</v>
      </c>
      <c r="O249" s="123">
        <v>2781.87</v>
      </c>
      <c r="P249" s="123">
        <v>2763.81</v>
      </c>
      <c r="Q249" s="269">
        <f>IF((P250=""),"",MAX(D251:P251))</f>
        <v>2050.3999999999996</v>
      </c>
      <c r="R249" s="269">
        <f>IF(P250="","",MIN(D251:P251))</f>
        <v>1914.2800000000002</v>
      </c>
      <c r="S249" s="269">
        <f>IF((P251=""),"",AVERAGE(D251:P251))</f>
        <v>2003.8646153846153</v>
      </c>
      <c r="T249" s="269">
        <f>IF((P250=""),"",STDEV(D251:P251))</f>
        <v>50.598778742736386</v>
      </c>
      <c r="U249" s="269">
        <f>IF((P250=""),"",((Q249-R249)/(Q249+R249))*100)</f>
        <v>3.4333161818860396</v>
      </c>
      <c r="V249" s="228" t="str">
        <f>IF(P250="","",IF(U249&lt;7.2,IF(S249&gt;AB249,IF(S249&lt;AC249,"Pass","Fail"),"Fail"),"Fail"))</f>
        <v>Pass</v>
      </c>
      <c r="W249" s="253" t="s">
        <v>138</v>
      </c>
      <c r="X249" s="270"/>
      <c r="Y249" s="271"/>
      <c r="Z249" s="272">
        <v>1600</v>
      </c>
      <c r="AA249" s="272">
        <v>2600</v>
      </c>
      <c r="AB249" s="273">
        <v>1900</v>
      </c>
      <c r="AC249" s="273">
        <v>2250</v>
      </c>
      <c r="AD249" s="274">
        <v>10</v>
      </c>
      <c r="AE249" s="274">
        <v>4.5</v>
      </c>
    </row>
    <row r="250" spans="1:31">
      <c r="A250" s="275"/>
      <c r="B250" s="276"/>
      <c r="C250" s="276" t="s">
        <v>78</v>
      </c>
      <c r="D250" s="123">
        <v>1873</v>
      </c>
      <c r="E250" s="123">
        <v>1739.3</v>
      </c>
      <c r="F250" s="123">
        <v>1734.63</v>
      </c>
      <c r="G250" s="123">
        <v>1747.46</v>
      </c>
      <c r="H250" s="123">
        <v>1927.57</v>
      </c>
      <c r="I250" s="123">
        <v>1858.71</v>
      </c>
      <c r="J250" s="123">
        <v>1748.09</v>
      </c>
      <c r="K250" s="123">
        <v>1741.88</v>
      </c>
      <c r="L250" s="123">
        <v>1881.28</v>
      </c>
      <c r="M250" s="123">
        <v>1748.05</v>
      </c>
      <c r="N250" s="123">
        <v>1756.23</v>
      </c>
      <c r="O250" s="123">
        <v>1763.45</v>
      </c>
      <c r="P250" s="123">
        <v>1748.32</v>
      </c>
      <c r="Q250" s="276"/>
      <c r="R250" s="276"/>
      <c r="S250" s="276"/>
      <c r="T250" s="276"/>
      <c r="U250" s="276"/>
      <c r="V250" s="277"/>
      <c r="W250" s="238"/>
      <c r="X250" s="270"/>
      <c r="Y250" s="271"/>
      <c r="Z250" s="278"/>
      <c r="AA250" s="278"/>
      <c r="AB250" s="278"/>
      <c r="AC250" s="278"/>
      <c r="AD250" s="279"/>
      <c r="AE250" s="279"/>
    </row>
    <row r="251" spans="1:31" ht="32.25" thickBot="1">
      <c r="A251" s="280"/>
      <c r="B251" s="281"/>
      <c r="C251" s="243" t="s">
        <v>221</v>
      </c>
      <c r="D251" s="282">
        <f t="shared" ref="D251:P251" si="79">IF(((D249="")*AND(D250="")),"",(D249-D250)*2)</f>
        <v>1950.1400000000003</v>
      </c>
      <c r="E251" s="282">
        <f t="shared" si="79"/>
        <v>2028.5400000000004</v>
      </c>
      <c r="F251" s="282">
        <f t="shared" si="79"/>
        <v>2035.3599999999997</v>
      </c>
      <c r="G251" s="282">
        <f t="shared" si="79"/>
        <v>2050.3999999999996</v>
      </c>
      <c r="H251" s="282">
        <f t="shared" si="79"/>
        <v>1914.7000000000003</v>
      </c>
      <c r="I251" s="282">
        <f t="shared" si="79"/>
        <v>1954.6599999999999</v>
      </c>
      <c r="J251" s="282">
        <f t="shared" si="79"/>
        <v>2028.98</v>
      </c>
      <c r="K251" s="282">
        <f t="shared" si="79"/>
        <v>2035.5199999999995</v>
      </c>
      <c r="L251" s="282">
        <f t="shared" si="79"/>
        <v>1914.2800000000002</v>
      </c>
      <c r="M251" s="282">
        <f t="shared" si="79"/>
        <v>2022.9</v>
      </c>
      <c r="N251" s="282">
        <f t="shared" si="79"/>
        <v>2046.9399999999996</v>
      </c>
      <c r="O251" s="282">
        <f t="shared" si="79"/>
        <v>2036.8399999999997</v>
      </c>
      <c r="P251" s="282">
        <f t="shared" si="79"/>
        <v>2030.98</v>
      </c>
      <c r="Q251" s="264"/>
      <c r="R251" s="281"/>
      <c r="S251" s="281"/>
      <c r="T251" s="281"/>
      <c r="U251" s="281"/>
      <c r="V251" s="283"/>
      <c r="W251" s="247"/>
      <c r="X251" s="270"/>
      <c r="Y251" s="271"/>
      <c r="Z251" s="278"/>
      <c r="AA251" s="278"/>
      <c r="AB251" s="278"/>
      <c r="AC251" s="278"/>
      <c r="AD251" s="279"/>
      <c r="AE251" s="279"/>
    </row>
    <row r="252" spans="1:31">
      <c r="A252" s="248">
        <v>43514</v>
      </c>
      <c r="B252" s="268" t="s">
        <v>76</v>
      </c>
      <c r="C252" s="269" t="s">
        <v>77</v>
      </c>
      <c r="D252" s="123">
        <v>2858.15</v>
      </c>
      <c r="E252" s="123">
        <v>2766.4</v>
      </c>
      <c r="F252" s="123">
        <v>2761.96</v>
      </c>
      <c r="G252" s="123">
        <v>2780.35</v>
      </c>
      <c r="H252" s="123">
        <v>2895.56</v>
      </c>
      <c r="I252" s="123">
        <v>2841.33</v>
      </c>
      <c r="J252" s="123">
        <v>2770.32</v>
      </c>
      <c r="K252" s="123">
        <v>2771.91</v>
      </c>
      <c r="L252" s="123">
        <v>2850.01</v>
      </c>
      <c r="M252" s="123">
        <v>2772.1</v>
      </c>
      <c r="N252" s="123">
        <v>2791.86</v>
      </c>
      <c r="O252" s="123">
        <v>2793.02</v>
      </c>
      <c r="P252" s="123">
        <v>2777.14</v>
      </c>
      <c r="Q252" s="269">
        <f>IF((P253=""),"",MAX(D254:P254))</f>
        <v>2075.5000000000005</v>
      </c>
      <c r="R252" s="269">
        <f>IF(P253="","",MIN(D254:P254))</f>
        <v>1950.7399999999998</v>
      </c>
      <c r="S252" s="269">
        <f>IF((P254=""),"",AVERAGE(D254:P254))</f>
        <v>2029.9969230769227</v>
      </c>
      <c r="T252" s="269">
        <f>IF((P253=""),"",STDEV(D254:P254))</f>
        <v>43.346014692744092</v>
      </c>
      <c r="U252" s="269">
        <f>IF((P253=""),"",((Q252-R252)/(Q252+R252))*100)</f>
        <v>3.0986727070418221</v>
      </c>
      <c r="V252" s="228" t="str">
        <f>IF(P253="","",IF(U252&lt;7.2,IF(S252&gt;AB252,IF(S252&lt;AC252,"Pass","Fail"),"Fail"),"Fail"))</f>
        <v>Pass</v>
      </c>
      <c r="W252" s="253">
        <v>1428</v>
      </c>
      <c r="X252" s="270"/>
      <c r="Y252" s="271"/>
      <c r="Z252" s="272">
        <v>1600</v>
      </c>
      <c r="AA252" s="272">
        <v>2600</v>
      </c>
      <c r="AB252" s="273">
        <v>1900</v>
      </c>
      <c r="AC252" s="273">
        <v>2250</v>
      </c>
      <c r="AD252" s="274">
        <v>10</v>
      </c>
      <c r="AE252" s="274">
        <v>4.5</v>
      </c>
    </row>
    <row r="253" spans="1:31">
      <c r="A253" s="275"/>
      <c r="B253" s="276"/>
      <c r="C253" s="276" t="s">
        <v>78</v>
      </c>
      <c r="D253" s="123">
        <v>1862.51</v>
      </c>
      <c r="E253" s="123">
        <v>1742.54</v>
      </c>
      <c r="F253" s="123">
        <v>1736.17</v>
      </c>
      <c r="G253" s="123">
        <v>1747.28</v>
      </c>
      <c r="H253" s="123">
        <v>1920.19</v>
      </c>
      <c r="I253" s="123">
        <v>1851.55</v>
      </c>
      <c r="J253" s="123">
        <v>1743.36</v>
      </c>
      <c r="K253" s="123">
        <v>1744.89</v>
      </c>
      <c r="L253" s="123">
        <v>1870.82</v>
      </c>
      <c r="M253" s="123">
        <v>1748.97</v>
      </c>
      <c r="N253" s="123">
        <v>1754.11</v>
      </c>
      <c r="O253" s="123">
        <v>1762.84</v>
      </c>
      <c r="P253" s="123">
        <v>1749.9</v>
      </c>
      <c r="Q253" s="276"/>
      <c r="R253" s="276"/>
      <c r="S253" s="276"/>
      <c r="T253" s="276"/>
      <c r="U253" s="276"/>
      <c r="V253" s="277"/>
      <c r="W253" s="238"/>
      <c r="X253" s="270"/>
      <c r="Y253" s="271"/>
      <c r="Z253" s="278"/>
      <c r="AA253" s="278"/>
      <c r="AB253" s="278"/>
      <c r="AC253" s="278"/>
      <c r="AD253" s="279"/>
      <c r="AE253" s="279"/>
    </row>
    <row r="254" spans="1:31" ht="32.25" thickBot="1">
      <c r="A254" s="280"/>
      <c r="B254" s="281"/>
      <c r="C254" s="243" t="s">
        <v>221</v>
      </c>
      <c r="D254" s="282">
        <f t="shared" ref="D254:P254" si="80">IF(((D252="")*AND(D253="")),"",(D252-D253)*2)</f>
        <v>1991.2800000000002</v>
      </c>
      <c r="E254" s="282">
        <f t="shared" si="80"/>
        <v>2047.7200000000003</v>
      </c>
      <c r="F254" s="282">
        <f t="shared" si="80"/>
        <v>2051.58</v>
      </c>
      <c r="G254" s="282">
        <f t="shared" si="80"/>
        <v>2066.14</v>
      </c>
      <c r="H254" s="282">
        <f t="shared" si="80"/>
        <v>1950.7399999999998</v>
      </c>
      <c r="I254" s="282">
        <f t="shared" si="80"/>
        <v>1979.56</v>
      </c>
      <c r="J254" s="282">
        <f t="shared" si="80"/>
        <v>2053.9200000000005</v>
      </c>
      <c r="K254" s="282">
        <f t="shared" si="80"/>
        <v>2054.0399999999995</v>
      </c>
      <c r="L254" s="282">
        <f t="shared" si="80"/>
        <v>1958.3800000000006</v>
      </c>
      <c r="M254" s="282">
        <f t="shared" si="80"/>
        <v>2046.2599999999998</v>
      </c>
      <c r="N254" s="282">
        <f t="shared" si="80"/>
        <v>2075.5000000000005</v>
      </c>
      <c r="O254" s="282">
        <f t="shared" si="80"/>
        <v>2060.36</v>
      </c>
      <c r="P254" s="282">
        <f t="shared" si="80"/>
        <v>2054.4799999999996</v>
      </c>
      <c r="Q254" s="264"/>
      <c r="R254" s="281"/>
      <c r="S254" s="281"/>
      <c r="T254" s="281"/>
      <c r="U254" s="281"/>
      <c r="V254" s="283"/>
      <c r="W254" s="247"/>
      <c r="X254" s="270"/>
      <c r="Y254" s="271"/>
      <c r="Z254" s="278"/>
      <c r="AA254" s="278"/>
      <c r="AB254" s="278"/>
      <c r="AC254" s="278"/>
      <c r="AD254" s="279"/>
      <c r="AE254" s="279"/>
    </row>
    <row r="255" spans="1:31">
      <c r="A255" s="248">
        <v>43522</v>
      </c>
      <c r="B255" s="268" t="s">
        <v>76</v>
      </c>
      <c r="C255" s="269" t="s">
        <v>77</v>
      </c>
      <c r="D255" s="123">
        <v>2864.73</v>
      </c>
      <c r="E255" s="123">
        <v>2772.33</v>
      </c>
      <c r="F255" s="123">
        <v>2772.87</v>
      </c>
      <c r="G255" s="123">
        <v>2788.8</v>
      </c>
      <c r="H255" s="123">
        <v>2898.55</v>
      </c>
      <c r="I255" s="123">
        <v>2853.29</v>
      </c>
      <c r="J255" s="123">
        <v>2779.96</v>
      </c>
      <c r="K255" s="123">
        <v>2779.37</v>
      </c>
      <c r="L255" s="123">
        <v>2854.43</v>
      </c>
      <c r="M255" s="123">
        <v>2781.97</v>
      </c>
      <c r="N255" s="123">
        <v>2796.58</v>
      </c>
      <c r="O255" s="123">
        <v>2800.6</v>
      </c>
      <c r="P255" s="123">
        <v>2783.59</v>
      </c>
      <c r="Q255" s="269">
        <f>IF((P256=""),"",MAX(D257:P257))</f>
        <v>2028.0800000000004</v>
      </c>
      <c r="R255" s="269">
        <f>IF(P256="","",MIN(D257:P257))</f>
        <v>1903.6600000000003</v>
      </c>
      <c r="S255" s="269">
        <f>IF((P257=""),"",AVERAGE(D257:P257))</f>
        <v>1986.7061538461539</v>
      </c>
      <c r="T255" s="269">
        <f>IF((P256=""),"",STDEV(D257:P257))</f>
        <v>52.394764614170704</v>
      </c>
      <c r="U255" s="269">
        <f>IF((P256=""),"",((Q255-R255)/(Q255+R255))*100)</f>
        <v>3.1645022305645858</v>
      </c>
      <c r="V255" s="228" t="str">
        <f>IF(P256="","",IF(U255&lt;7.2,IF(S255&gt;AB255,IF(S255&lt;AC255,"Pass","Fail"),"Fail"),"Fail"))</f>
        <v>Pass</v>
      </c>
      <c r="W255" s="253" t="s">
        <v>137</v>
      </c>
      <c r="X255" s="270" t="s">
        <v>151</v>
      </c>
      <c r="Y255" s="271"/>
      <c r="Z255" s="272">
        <v>1600</v>
      </c>
      <c r="AA255" s="272">
        <v>2600</v>
      </c>
      <c r="AB255" s="273">
        <v>1900</v>
      </c>
      <c r="AC255" s="273">
        <v>2250</v>
      </c>
      <c r="AD255" s="274">
        <v>10</v>
      </c>
      <c r="AE255" s="274">
        <v>4.5</v>
      </c>
    </row>
    <row r="256" spans="1:31">
      <c r="A256" s="275"/>
      <c r="B256" s="276"/>
      <c r="C256" s="276" t="s">
        <v>78</v>
      </c>
      <c r="D256" s="123">
        <v>1904.59</v>
      </c>
      <c r="E256" s="123">
        <v>1763.21</v>
      </c>
      <c r="F256" s="123">
        <v>1760.85</v>
      </c>
      <c r="G256" s="123">
        <v>1774.76</v>
      </c>
      <c r="H256" s="123">
        <v>1946.72</v>
      </c>
      <c r="I256" s="123">
        <v>1894.53</v>
      </c>
      <c r="J256" s="123">
        <v>1773.99</v>
      </c>
      <c r="K256" s="123">
        <v>1768.98</v>
      </c>
      <c r="L256" s="123">
        <v>1901.7</v>
      </c>
      <c r="M256" s="123">
        <v>1775.15</v>
      </c>
      <c r="N256" s="123">
        <v>1782.91</v>
      </c>
      <c r="O256" s="123">
        <v>1791.35</v>
      </c>
      <c r="P256" s="123">
        <v>1774.74</v>
      </c>
      <c r="Q256" s="276"/>
      <c r="R256" s="276"/>
      <c r="S256" s="276"/>
      <c r="T256" s="276"/>
      <c r="U256" s="276"/>
      <c r="V256" s="277"/>
      <c r="W256" s="238"/>
      <c r="X256" s="270"/>
      <c r="Y256" s="271"/>
      <c r="Z256" s="278"/>
      <c r="AA256" s="278"/>
      <c r="AB256" s="278"/>
      <c r="AC256" s="278"/>
      <c r="AD256" s="279"/>
      <c r="AE256" s="279"/>
    </row>
    <row r="257" spans="1:31" ht="32.25" thickBot="1">
      <c r="A257" s="280"/>
      <c r="B257" s="281"/>
      <c r="C257" s="243" t="s">
        <v>221</v>
      </c>
      <c r="D257" s="282">
        <f t="shared" ref="D257:P257" si="81">IF(((D255="")*AND(D256="")),"",(D255-D256)*2)</f>
        <v>1920.2800000000002</v>
      </c>
      <c r="E257" s="282">
        <f t="shared" si="81"/>
        <v>2018.2399999999998</v>
      </c>
      <c r="F257" s="282">
        <f t="shared" si="81"/>
        <v>2024.04</v>
      </c>
      <c r="G257" s="282">
        <f t="shared" si="81"/>
        <v>2028.0800000000004</v>
      </c>
      <c r="H257" s="282">
        <f t="shared" si="81"/>
        <v>1903.6600000000003</v>
      </c>
      <c r="I257" s="282">
        <f t="shared" si="81"/>
        <v>1917.52</v>
      </c>
      <c r="J257" s="282">
        <f t="shared" si="81"/>
        <v>2011.94</v>
      </c>
      <c r="K257" s="282">
        <f t="shared" si="81"/>
        <v>2020.7799999999997</v>
      </c>
      <c r="L257" s="282">
        <f t="shared" si="81"/>
        <v>1905.4599999999996</v>
      </c>
      <c r="M257" s="282">
        <f t="shared" si="81"/>
        <v>2013.6399999999994</v>
      </c>
      <c r="N257" s="282">
        <f t="shared" si="81"/>
        <v>2027.3399999999997</v>
      </c>
      <c r="O257" s="282">
        <f t="shared" si="81"/>
        <v>2018.5</v>
      </c>
      <c r="P257" s="282">
        <f t="shared" si="81"/>
        <v>2017.7000000000003</v>
      </c>
      <c r="Q257" s="264"/>
      <c r="R257" s="281"/>
      <c r="S257" s="281"/>
      <c r="T257" s="281"/>
      <c r="U257" s="281"/>
      <c r="V257" s="283"/>
      <c r="W257" s="247"/>
      <c r="X257" s="270"/>
      <c r="Y257" s="271"/>
      <c r="Z257" s="278"/>
      <c r="AA257" s="278"/>
      <c r="AB257" s="278"/>
      <c r="AC257" s="278"/>
      <c r="AD257" s="279"/>
      <c r="AE257" s="279"/>
    </row>
    <row r="258" spans="1:31">
      <c r="A258" s="248">
        <v>43528</v>
      </c>
      <c r="B258" s="268" t="s">
        <v>76</v>
      </c>
      <c r="C258" s="269" t="s">
        <v>77</v>
      </c>
      <c r="D258" s="123">
        <v>2873.8</v>
      </c>
      <c r="E258" s="123">
        <v>2785.44</v>
      </c>
      <c r="F258" s="123">
        <v>2782.6</v>
      </c>
      <c r="G258" s="123">
        <v>2802.3</v>
      </c>
      <c r="H258" s="123">
        <v>2910.33</v>
      </c>
      <c r="I258" s="123">
        <v>2866.89</v>
      </c>
      <c r="J258" s="123">
        <v>2790.3</v>
      </c>
      <c r="K258" s="123">
        <v>2789.91</v>
      </c>
      <c r="L258" s="123">
        <v>2865.65</v>
      </c>
      <c r="M258" s="123">
        <v>2793.54</v>
      </c>
      <c r="N258" s="123">
        <v>2806.78</v>
      </c>
      <c r="O258" s="123">
        <v>2809.04</v>
      </c>
      <c r="P258" s="123">
        <v>2794.67</v>
      </c>
      <c r="Q258" s="269">
        <f>IF((P259=""),"",MAX(D260:P260))</f>
        <v>2115.4000000000005</v>
      </c>
      <c r="R258" s="269">
        <f>IF(P259="","",MIN(D260:P260))</f>
        <v>1960.7999999999997</v>
      </c>
      <c r="S258" s="269">
        <f>IF((P260=""),"",AVERAGE(D260:P260))</f>
        <v>2068.9076923076918</v>
      </c>
      <c r="T258" s="269">
        <f>IF((P259=""),"",STDEV(D260:P260))</f>
        <v>54.562477056710946</v>
      </c>
      <c r="U258" s="269">
        <f>IF((P259=""),"",((Q258-R258)/(Q258+R258))*100)</f>
        <v>3.7927481477847214</v>
      </c>
      <c r="V258" s="228" t="str">
        <f>IF(P259="","",IF(U258&lt;7.2,IF(S258&gt;AB258,IF(S258&lt;AC258,"Pass","Fail"),"Fail"),"Fail"))</f>
        <v>Pass</v>
      </c>
      <c r="W258" s="253">
        <v>1159</v>
      </c>
      <c r="X258" s="270" t="s">
        <v>152</v>
      </c>
      <c r="Y258" s="271"/>
      <c r="Z258" s="272">
        <v>1600</v>
      </c>
      <c r="AA258" s="272">
        <v>2600</v>
      </c>
      <c r="AB258" s="273">
        <v>1900</v>
      </c>
      <c r="AC258" s="273">
        <v>2250</v>
      </c>
      <c r="AD258" s="274">
        <v>10</v>
      </c>
      <c r="AE258" s="274">
        <v>4.5</v>
      </c>
    </row>
    <row r="259" spans="1:31">
      <c r="A259" s="275"/>
      <c r="B259" s="276"/>
      <c r="C259" s="276" t="s">
        <v>78</v>
      </c>
      <c r="D259" s="123">
        <v>1857.93</v>
      </c>
      <c r="E259" s="123">
        <v>1733.41</v>
      </c>
      <c r="F259" s="123">
        <v>1731.94</v>
      </c>
      <c r="G259" s="123">
        <v>1746.54</v>
      </c>
      <c r="H259" s="123">
        <v>1929.93</v>
      </c>
      <c r="I259" s="123">
        <v>1865.96</v>
      </c>
      <c r="J259" s="123">
        <v>1749.17</v>
      </c>
      <c r="K259" s="123">
        <v>1734.96</v>
      </c>
      <c r="L259" s="123">
        <v>1873.99</v>
      </c>
      <c r="M259" s="123">
        <v>1746.42</v>
      </c>
      <c r="N259" s="123">
        <v>1749.08</v>
      </c>
      <c r="O259" s="123">
        <v>1763.89</v>
      </c>
      <c r="P259" s="123">
        <v>1740.13</v>
      </c>
      <c r="Q259" s="276"/>
      <c r="R259" s="276"/>
      <c r="S259" s="276"/>
      <c r="T259" s="276"/>
      <c r="U259" s="276"/>
      <c r="V259" s="277"/>
      <c r="W259" s="238"/>
      <c r="X259" s="270"/>
      <c r="Y259" s="271"/>
      <c r="Z259" s="278"/>
      <c r="AA259" s="278"/>
      <c r="AB259" s="278"/>
      <c r="AC259" s="278"/>
      <c r="AD259" s="279"/>
      <c r="AE259" s="279"/>
    </row>
    <row r="260" spans="1:31" ht="32.25" thickBot="1">
      <c r="A260" s="280"/>
      <c r="B260" s="281"/>
      <c r="C260" s="243" t="s">
        <v>221</v>
      </c>
      <c r="D260" s="282">
        <f t="shared" ref="D260:P260" si="82">IF(((D258="")*AND(D259="")),"",(D258-D259)*2)</f>
        <v>2031.7400000000002</v>
      </c>
      <c r="E260" s="282">
        <f t="shared" si="82"/>
        <v>2104.06</v>
      </c>
      <c r="F260" s="282">
        <f t="shared" si="82"/>
        <v>2101.3199999999997</v>
      </c>
      <c r="G260" s="282">
        <f t="shared" si="82"/>
        <v>2111.5200000000004</v>
      </c>
      <c r="H260" s="282">
        <f t="shared" si="82"/>
        <v>1960.7999999999997</v>
      </c>
      <c r="I260" s="282">
        <f t="shared" si="82"/>
        <v>2001.8599999999997</v>
      </c>
      <c r="J260" s="282">
        <f t="shared" si="82"/>
        <v>2082.2600000000002</v>
      </c>
      <c r="K260" s="282">
        <f t="shared" si="82"/>
        <v>2109.8999999999996</v>
      </c>
      <c r="L260" s="282">
        <f t="shared" si="82"/>
        <v>1983.3200000000002</v>
      </c>
      <c r="M260" s="282">
        <f t="shared" si="82"/>
        <v>2094.2399999999998</v>
      </c>
      <c r="N260" s="282">
        <f t="shared" si="82"/>
        <v>2115.4000000000005</v>
      </c>
      <c r="O260" s="282">
        <f t="shared" si="82"/>
        <v>2090.2999999999997</v>
      </c>
      <c r="P260" s="282">
        <f t="shared" si="82"/>
        <v>2109.08</v>
      </c>
      <c r="Q260" s="264"/>
      <c r="R260" s="281"/>
      <c r="S260" s="281"/>
      <c r="T260" s="281"/>
      <c r="U260" s="281"/>
      <c r="V260" s="283"/>
      <c r="W260" s="247"/>
      <c r="X260" s="270"/>
      <c r="Y260" s="271"/>
      <c r="Z260" s="278"/>
      <c r="AA260" s="278"/>
      <c r="AB260" s="278"/>
      <c r="AC260" s="278"/>
      <c r="AD260" s="279"/>
      <c r="AE260" s="279"/>
    </row>
    <row r="261" spans="1:31" ht="15" customHeight="1">
      <c r="A261" s="248">
        <v>43544</v>
      </c>
      <c r="B261" s="268" t="s">
        <v>76</v>
      </c>
      <c r="C261" s="269" t="s">
        <v>77</v>
      </c>
      <c r="D261" s="123">
        <v>2855</v>
      </c>
      <c r="E261" s="123">
        <v>2796</v>
      </c>
      <c r="F261" s="123">
        <v>2794</v>
      </c>
      <c r="G261" s="123">
        <v>2809</v>
      </c>
      <c r="H261" s="123">
        <v>2894</v>
      </c>
      <c r="I261" s="123">
        <v>2855</v>
      </c>
      <c r="J261" s="123">
        <v>2798</v>
      </c>
      <c r="K261" s="123">
        <v>2805</v>
      </c>
      <c r="L261" s="123">
        <v>2869</v>
      </c>
      <c r="M261" s="123">
        <v>2805</v>
      </c>
      <c r="N261" s="123">
        <v>2820</v>
      </c>
      <c r="O261" s="123">
        <v>2816</v>
      </c>
      <c r="P261" s="123">
        <v>2805</v>
      </c>
      <c r="Q261" s="269">
        <f>IF((P262=""),"",MAX(D263:P263))</f>
        <v>2061.42</v>
      </c>
      <c r="R261" s="269">
        <f>IF(P262="","",MIN(D263:P263))</f>
        <v>1986.42</v>
      </c>
      <c r="S261" s="269">
        <f>IF((P263=""),"",AVERAGE(D263:P263))</f>
        <v>2034.9861538461544</v>
      </c>
      <c r="T261" s="269">
        <f>IF((P262=""),"",STDEV(D263:P263))</f>
        <v>27.301325223775521</v>
      </c>
      <c r="U261" s="269">
        <f>IF((P262=""),"",((Q261-R261)/(Q261+R261))*100)</f>
        <v>1.8528400332028934</v>
      </c>
      <c r="V261" s="228" t="str">
        <f>IF(P262="","",IF(U261&lt;7.2,IF(S261&gt;AB261,IF(S261&lt;AC261,"Pass","Fail"),"Fail"),"Fail"))</f>
        <v>Pass</v>
      </c>
      <c r="W261" s="253">
        <v>74</v>
      </c>
      <c r="Y261" s="255" t="s">
        <v>153</v>
      </c>
      <c r="Z261" s="272">
        <v>1600</v>
      </c>
      <c r="AA261" s="272">
        <v>2600</v>
      </c>
      <c r="AB261" s="273">
        <v>1900</v>
      </c>
      <c r="AC261" s="273">
        <v>2250</v>
      </c>
      <c r="AD261" s="274">
        <v>10</v>
      </c>
      <c r="AE261" s="274">
        <v>4.5</v>
      </c>
    </row>
    <row r="262" spans="1:31">
      <c r="A262" s="275"/>
      <c r="B262" s="276"/>
      <c r="C262" s="276" t="s">
        <v>78</v>
      </c>
      <c r="D262" s="123">
        <v>1845.19</v>
      </c>
      <c r="E262" s="123">
        <v>1777.1</v>
      </c>
      <c r="F262" s="123">
        <v>1767.96</v>
      </c>
      <c r="G262" s="123">
        <v>1779.62</v>
      </c>
      <c r="H262" s="123">
        <v>1900.79</v>
      </c>
      <c r="I262" s="123">
        <v>1856.25</v>
      </c>
      <c r="J262" s="123">
        <v>1781.78</v>
      </c>
      <c r="K262" s="123">
        <v>1774.29</v>
      </c>
      <c r="L262" s="123">
        <v>1872.4</v>
      </c>
      <c r="M262" s="123">
        <v>1778.4</v>
      </c>
      <c r="N262" s="123">
        <v>1789.62</v>
      </c>
      <c r="O262" s="123">
        <v>1794.64</v>
      </c>
      <c r="P262" s="123">
        <v>1775.55</v>
      </c>
      <c r="Q262" s="276"/>
      <c r="R262" s="276"/>
      <c r="S262" s="276"/>
      <c r="T262" s="276"/>
      <c r="U262" s="276"/>
      <c r="V262" s="277"/>
      <c r="W262" s="238"/>
      <c r="X262" s="270"/>
      <c r="Y262" s="271"/>
      <c r="Z262" s="278"/>
      <c r="AA262" s="278"/>
      <c r="AB262" s="278"/>
      <c r="AC262" s="278"/>
      <c r="AD262" s="279"/>
      <c r="AE262" s="279"/>
    </row>
    <row r="263" spans="1:31" ht="32.25" thickBot="1">
      <c r="A263" s="280"/>
      <c r="B263" s="281"/>
      <c r="C263" s="243" t="s">
        <v>221</v>
      </c>
      <c r="D263" s="282">
        <f t="shared" ref="D263:P263" si="83">IF(((D261="")*AND(D262="")),"",(D261-D262)*2)</f>
        <v>2019.62</v>
      </c>
      <c r="E263" s="282">
        <f t="shared" si="83"/>
        <v>2037.8000000000002</v>
      </c>
      <c r="F263" s="282">
        <f t="shared" si="83"/>
        <v>2052.08</v>
      </c>
      <c r="G263" s="282">
        <f t="shared" si="83"/>
        <v>2058.7600000000002</v>
      </c>
      <c r="H263" s="282">
        <f t="shared" si="83"/>
        <v>1986.42</v>
      </c>
      <c r="I263" s="282">
        <f t="shared" si="83"/>
        <v>1997.5</v>
      </c>
      <c r="J263" s="282">
        <f t="shared" si="83"/>
        <v>2032.44</v>
      </c>
      <c r="K263" s="282">
        <f t="shared" si="83"/>
        <v>2061.42</v>
      </c>
      <c r="L263" s="282">
        <f t="shared" si="83"/>
        <v>1993.1999999999998</v>
      </c>
      <c r="M263" s="282">
        <f t="shared" si="83"/>
        <v>2053.1999999999998</v>
      </c>
      <c r="N263" s="282">
        <f t="shared" si="83"/>
        <v>2060.7600000000002</v>
      </c>
      <c r="O263" s="282">
        <f t="shared" si="83"/>
        <v>2042.7199999999998</v>
      </c>
      <c r="P263" s="282">
        <f t="shared" si="83"/>
        <v>2058.9</v>
      </c>
      <c r="Q263" s="264"/>
      <c r="R263" s="281"/>
      <c r="S263" s="281"/>
      <c r="T263" s="281"/>
      <c r="U263" s="281"/>
      <c r="V263" s="283"/>
      <c r="W263" s="247"/>
      <c r="X263" s="270"/>
      <c r="Y263" s="271"/>
      <c r="Z263" s="278"/>
      <c r="AA263" s="278"/>
      <c r="AB263" s="278"/>
      <c r="AC263" s="278"/>
      <c r="AD263" s="279"/>
      <c r="AE263" s="279"/>
    </row>
    <row r="264" spans="1:31" ht="15" customHeight="1">
      <c r="A264" s="248">
        <v>43546</v>
      </c>
      <c r="B264" s="268" t="s">
        <v>76</v>
      </c>
      <c r="C264" s="269" t="s">
        <v>77</v>
      </c>
      <c r="D264" s="123">
        <v>2860.47</v>
      </c>
      <c r="E264" s="123">
        <v>2795.97</v>
      </c>
      <c r="F264" s="123">
        <v>2791.68</v>
      </c>
      <c r="G264" s="123">
        <v>2810.66</v>
      </c>
      <c r="H264" s="123">
        <v>2895.76</v>
      </c>
      <c r="I264" s="123">
        <v>2856.49</v>
      </c>
      <c r="J264" s="123">
        <v>2803.62</v>
      </c>
      <c r="K264" s="123">
        <v>2800.58</v>
      </c>
      <c r="L264" s="123">
        <v>2857.49</v>
      </c>
      <c r="M264" s="123">
        <v>2803.11</v>
      </c>
      <c r="N264" s="123">
        <v>2817.08</v>
      </c>
      <c r="O264" s="123">
        <v>2816.11</v>
      </c>
      <c r="P264" s="123">
        <v>2800.38</v>
      </c>
      <c r="Q264" s="269">
        <f>IF((P265=""),"",MAX(D266:P266))</f>
        <v>2192.8599999999997</v>
      </c>
      <c r="R264" s="269">
        <f>IF(P265="","",MIN(D266:P266))</f>
        <v>2108.4199999999996</v>
      </c>
      <c r="S264" s="269">
        <f>IF((P266=""),"",AVERAGE(D266:P266))</f>
        <v>2161.2876923076924</v>
      </c>
      <c r="T264" s="269">
        <f>IF((P265=""),"",STDEV(D266:P266))</f>
        <v>28.561919331470651</v>
      </c>
      <c r="U264" s="269">
        <f>IF((P265=""),"",((Q264-R264)/(Q264+R264))*100)</f>
        <v>1.9631365546999981</v>
      </c>
      <c r="V264" s="228" t="str">
        <f>IF(P265="","",IF(U264&lt;7.2,IF(S264&gt;AB264,IF(S264&lt;AC264,"Pass","Fail"),"Fail"),"Fail"))</f>
        <v>Pass</v>
      </c>
      <c r="W264" s="253">
        <v>1340</v>
      </c>
      <c r="X264" s="255"/>
      <c r="Y264" s="271"/>
      <c r="Z264" s="272">
        <v>1600</v>
      </c>
      <c r="AA264" s="272">
        <v>2600</v>
      </c>
      <c r="AB264" s="273">
        <v>1900</v>
      </c>
      <c r="AC264" s="273">
        <v>2250</v>
      </c>
      <c r="AD264" s="274">
        <v>10</v>
      </c>
      <c r="AE264" s="274">
        <v>4.5</v>
      </c>
    </row>
    <row r="265" spans="1:31">
      <c r="A265" s="275"/>
      <c r="B265" s="276"/>
      <c r="C265" s="276" t="s">
        <v>78</v>
      </c>
      <c r="D265" s="123">
        <v>1788.39</v>
      </c>
      <c r="E265" s="123">
        <v>1706.99</v>
      </c>
      <c r="F265" s="123">
        <v>1704.91</v>
      </c>
      <c r="G265" s="123">
        <v>1717.35</v>
      </c>
      <c r="H265" s="123">
        <v>1838.51</v>
      </c>
      <c r="I265" s="123">
        <v>1802.28</v>
      </c>
      <c r="J265" s="123">
        <v>1717.82</v>
      </c>
      <c r="K265" s="123">
        <v>1710.96</v>
      </c>
      <c r="L265" s="123">
        <v>1795.38</v>
      </c>
      <c r="M265" s="123">
        <v>1713.19</v>
      </c>
      <c r="N265" s="123">
        <v>1720.65</v>
      </c>
      <c r="O265" s="123">
        <v>1733.2</v>
      </c>
      <c r="P265" s="123">
        <v>1711.4</v>
      </c>
      <c r="Q265" s="276"/>
      <c r="R265" s="276"/>
      <c r="S265" s="276"/>
      <c r="T265" s="276"/>
      <c r="U265" s="276"/>
      <c r="V265" s="277"/>
      <c r="W265" s="238"/>
      <c r="X265" s="270"/>
      <c r="Y265" s="271"/>
      <c r="Z265" s="278"/>
      <c r="AA265" s="278"/>
      <c r="AB265" s="278"/>
      <c r="AC265" s="278"/>
      <c r="AD265" s="279"/>
      <c r="AE265" s="279"/>
    </row>
    <row r="266" spans="1:31" ht="32.25" thickBot="1">
      <c r="A266" s="280"/>
      <c r="B266" s="281"/>
      <c r="C266" s="243" t="s">
        <v>221</v>
      </c>
      <c r="D266" s="282">
        <f t="shared" ref="D266:P266" si="84">IF(((D264="")*AND(D265="")),"",(D264-D265)*2)</f>
        <v>2144.1599999999994</v>
      </c>
      <c r="E266" s="282">
        <f t="shared" si="84"/>
        <v>2177.9599999999996</v>
      </c>
      <c r="F266" s="282">
        <f t="shared" si="84"/>
        <v>2173.5399999999995</v>
      </c>
      <c r="G266" s="282">
        <f t="shared" si="84"/>
        <v>2186.62</v>
      </c>
      <c r="H266" s="282">
        <f t="shared" si="84"/>
        <v>2114.5000000000005</v>
      </c>
      <c r="I266" s="282">
        <f t="shared" si="84"/>
        <v>2108.4199999999996</v>
      </c>
      <c r="J266" s="282">
        <f t="shared" si="84"/>
        <v>2171.6</v>
      </c>
      <c r="K266" s="282">
        <f t="shared" si="84"/>
        <v>2179.2399999999998</v>
      </c>
      <c r="L266" s="282">
        <f t="shared" si="84"/>
        <v>2124.2199999999993</v>
      </c>
      <c r="M266" s="282">
        <f t="shared" si="84"/>
        <v>2179.84</v>
      </c>
      <c r="N266" s="282">
        <f t="shared" si="84"/>
        <v>2192.8599999999997</v>
      </c>
      <c r="O266" s="282">
        <f t="shared" si="84"/>
        <v>2165.8200000000002</v>
      </c>
      <c r="P266" s="282">
        <f t="shared" si="84"/>
        <v>2177.96</v>
      </c>
      <c r="Q266" s="264"/>
      <c r="R266" s="281"/>
      <c r="S266" s="281"/>
      <c r="T266" s="281"/>
      <c r="U266" s="281"/>
      <c r="V266" s="283"/>
      <c r="W266" s="247"/>
      <c r="X266" s="270"/>
      <c r="Y266" s="271"/>
      <c r="Z266" s="278"/>
      <c r="AA266" s="278"/>
      <c r="AB266" s="278"/>
      <c r="AC266" s="278"/>
      <c r="AD266" s="279"/>
      <c r="AE266" s="279"/>
    </row>
    <row r="267" spans="1:31">
      <c r="A267" s="248">
        <v>43549</v>
      </c>
      <c r="B267" s="268" t="s">
        <v>76</v>
      </c>
      <c r="C267" s="269" t="s">
        <v>77</v>
      </c>
      <c r="D267" s="123">
        <v>2856.82</v>
      </c>
      <c r="E267" s="123">
        <v>2796.93</v>
      </c>
      <c r="F267" s="123">
        <v>2789.12</v>
      </c>
      <c r="G267" s="123">
        <v>2808.43</v>
      </c>
      <c r="H267" s="123">
        <v>2893.98</v>
      </c>
      <c r="I267" s="123">
        <v>2858.07</v>
      </c>
      <c r="J267" s="123">
        <v>2801.1</v>
      </c>
      <c r="K267" s="123">
        <v>2798.91</v>
      </c>
      <c r="L267" s="123">
        <v>2857.46</v>
      </c>
      <c r="M267" s="123">
        <v>2803.24</v>
      </c>
      <c r="N267" s="123">
        <v>2815.45</v>
      </c>
      <c r="O267" s="123">
        <v>2815.37</v>
      </c>
      <c r="P267" s="123">
        <v>2801.64</v>
      </c>
      <c r="Q267" s="269">
        <f>IF((P268=""),"",MAX(D269:P269))</f>
        <v>2250.1399999999994</v>
      </c>
      <c r="R267" s="269">
        <f>IF(P268="","",MIN(D269:P269))</f>
        <v>2175.1400000000003</v>
      </c>
      <c r="S267" s="269">
        <f>IF((P269=""),"",AVERAGE(D269:P269))</f>
        <v>2212.6215384615384</v>
      </c>
      <c r="T267" s="269">
        <f>IF((P268=""),"",STDEV(D269:P269))</f>
        <v>23.721709412179528</v>
      </c>
      <c r="U267" s="269">
        <f>IF((P268=""),"",((Q267-R267)/(Q267+R267))*100)</f>
        <v>1.6948080121483633</v>
      </c>
      <c r="V267" s="228" t="str">
        <f>IF(P268="","",IF(U267&lt;7.2,IF(S267&gt;AB267,IF(S267&lt;AC267,"Pass","Fail"),"Fail"),"Fail"))</f>
        <v>Pass</v>
      </c>
      <c r="W267" s="253">
        <v>1159</v>
      </c>
      <c r="X267" s="285" t="s">
        <v>154</v>
      </c>
      <c r="Y267" s="271"/>
      <c r="Z267" s="272">
        <v>1600</v>
      </c>
      <c r="AA267" s="272">
        <v>2600</v>
      </c>
      <c r="AB267" s="273">
        <v>1900</v>
      </c>
      <c r="AC267" s="273">
        <v>2250</v>
      </c>
      <c r="AD267" s="274">
        <v>10</v>
      </c>
      <c r="AE267" s="274">
        <v>4.5</v>
      </c>
    </row>
    <row r="268" spans="1:31">
      <c r="A268" s="275"/>
      <c r="B268" s="276"/>
      <c r="C268" s="276" t="s">
        <v>78</v>
      </c>
      <c r="D268" s="123">
        <v>1765.14</v>
      </c>
      <c r="E268" s="123">
        <v>1685.33</v>
      </c>
      <c r="F268" s="123">
        <v>1678.78</v>
      </c>
      <c r="G268" s="123">
        <v>1692.65</v>
      </c>
      <c r="H268" s="123">
        <v>1803.58</v>
      </c>
      <c r="I268" s="123">
        <v>1770.5</v>
      </c>
      <c r="J268" s="123">
        <v>1693.26</v>
      </c>
      <c r="K268" s="123">
        <v>1684.09</v>
      </c>
      <c r="L268" s="123">
        <v>1765.38</v>
      </c>
      <c r="M268" s="123">
        <v>1689.73</v>
      </c>
      <c r="N268" s="123">
        <v>1690.38</v>
      </c>
      <c r="O268" s="123">
        <v>1707.59</v>
      </c>
      <c r="P268" s="123">
        <v>1688.07</v>
      </c>
      <c r="Q268" s="276"/>
      <c r="R268" s="276"/>
      <c r="S268" s="276"/>
      <c r="T268" s="276"/>
      <c r="U268" s="276"/>
      <c r="V268" s="277"/>
      <c r="W268" s="238"/>
      <c r="X268" s="270"/>
      <c r="Y268" s="271"/>
      <c r="Z268" s="278"/>
      <c r="AA268" s="278"/>
      <c r="AB268" s="278"/>
      <c r="AC268" s="278"/>
      <c r="AD268" s="279"/>
      <c r="AE268" s="279"/>
    </row>
    <row r="269" spans="1:31" ht="32.25" thickBot="1">
      <c r="A269" s="280"/>
      <c r="B269" s="281"/>
      <c r="C269" s="243" t="s">
        <v>221</v>
      </c>
      <c r="D269" s="282">
        <f t="shared" ref="D269:P269" si="85">IF(((D267="")*AND(D268="")),"",(D267-D268)*2)</f>
        <v>2183.36</v>
      </c>
      <c r="E269" s="282">
        <f t="shared" si="85"/>
        <v>2223.1999999999998</v>
      </c>
      <c r="F269" s="282">
        <f t="shared" si="85"/>
        <v>2220.6799999999998</v>
      </c>
      <c r="G269" s="282">
        <f t="shared" si="85"/>
        <v>2231.5599999999995</v>
      </c>
      <c r="H269" s="282">
        <f t="shared" si="85"/>
        <v>2180.8000000000002</v>
      </c>
      <c r="I269" s="282">
        <f t="shared" si="85"/>
        <v>2175.1400000000003</v>
      </c>
      <c r="J269" s="282">
        <f t="shared" si="85"/>
        <v>2215.6799999999998</v>
      </c>
      <c r="K269" s="282">
        <f t="shared" si="85"/>
        <v>2229.64</v>
      </c>
      <c r="L269" s="282">
        <f t="shared" si="85"/>
        <v>2184.16</v>
      </c>
      <c r="M269" s="282">
        <f t="shared" si="85"/>
        <v>2227.0199999999995</v>
      </c>
      <c r="N269" s="282">
        <f t="shared" si="85"/>
        <v>2250.1399999999994</v>
      </c>
      <c r="O269" s="282">
        <f t="shared" si="85"/>
        <v>2215.56</v>
      </c>
      <c r="P269" s="282">
        <f t="shared" si="85"/>
        <v>2227.14</v>
      </c>
      <c r="Q269" s="264"/>
      <c r="R269" s="281"/>
      <c r="S269" s="281"/>
      <c r="T269" s="281"/>
      <c r="U269" s="281"/>
      <c r="V269" s="283"/>
      <c r="W269" s="247"/>
      <c r="X269" s="270"/>
      <c r="Y269" s="271"/>
      <c r="Z269" s="278"/>
      <c r="AA269" s="278"/>
      <c r="AB269" s="278"/>
      <c r="AC269" s="278"/>
      <c r="AD269" s="279"/>
      <c r="AE269" s="279"/>
    </row>
    <row r="270" spans="1:31">
      <c r="A270" s="248">
        <v>43552</v>
      </c>
      <c r="B270" s="268" t="s">
        <v>76</v>
      </c>
      <c r="C270" s="269" t="s">
        <v>77</v>
      </c>
      <c r="D270" s="123">
        <v>2844.63</v>
      </c>
      <c r="E270" s="123">
        <v>2787.98</v>
      </c>
      <c r="F270" s="123">
        <v>2790.18</v>
      </c>
      <c r="G270" s="123">
        <v>2803.34</v>
      </c>
      <c r="H270" s="123">
        <v>2881.46</v>
      </c>
      <c r="I270" s="123">
        <v>2871.11</v>
      </c>
      <c r="J270" s="123">
        <v>2800.88</v>
      </c>
      <c r="K270" s="123">
        <v>2798.34</v>
      </c>
      <c r="L270" s="123">
        <v>2845.42</v>
      </c>
      <c r="M270" s="123">
        <v>2801.84</v>
      </c>
      <c r="N270" s="123">
        <v>2805.53</v>
      </c>
      <c r="O270" s="123">
        <v>2813.89</v>
      </c>
      <c r="P270" s="123">
        <v>2797.72</v>
      </c>
      <c r="Q270" s="269">
        <f>IF((P271=""),"",MAX(D272:P272))</f>
        <v>2257.0600000000004</v>
      </c>
      <c r="R270" s="269">
        <f>IF(P271="","",MIN(D272:P272))</f>
        <v>2174.84</v>
      </c>
      <c r="S270" s="269">
        <f>IF((P272=""),"",AVERAGE(D272:P272))</f>
        <v>2226.295384615385</v>
      </c>
      <c r="T270" s="269">
        <f>IF((P271=""),"",STDEV(D272:P272))</f>
        <v>30.249045333526588</v>
      </c>
      <c r="U270" s="269">
        <f>IF((P271=""),"",((Q270-R270)/(Q270+R270))*100)</f>
        <v>1.8551862632279665</v>
      </c>
      <c r="V270" s="228" t="str">
        <f>IF(P271="","",IF(U270&lt;7.2,IF(S270&gt;AB270,IF(S270&lt;AC270,"Pass","Fail"),"Fail"),"Fail"))</f>
        <v>Pass</v>
      </c>
      <c r="W270" s="253">
        <v>1159</v>
      </c>
      <c r="X270" s="286" t="s">
        <v>155</v>
      </c>
      <c r="Y270" s="271"/>
      <c r="Z270" s="272">
        <v>1600</v>
      </c>
      <c r="AA270" s="272">
        <v>2600</v>
      </c>
      <c r="AB270" s="273">
        <v>1900</v>
      </c>
      <c r="AC270" s="273">
        <v>2250</v>
      </c>
      <c r="AD270" s="274">
        <v>10</v>
      </c>
      <c r="AE270" s="274">
        <v>3.6</v>
      </c>
    </row>
    <row r="271" spans="1:31">
      <c r="A271" s="275"/>
      <c r="B271" s="276"/>
      <c r="C271" s="276" t="s">
        <v>78</v>
      </c>
      <c r="D271" s="123">
        <v>1740.8</v>
      </c>
      <c r="E271" s="123">
        <v>1668.79</v>
      </c>
      <c r="F271" s="123">
        <v>1668.25</v>
      </c>
      <c r="G271" s="123">
        <v>1676.32</v>
      </c>
      <c r="H271" s="123">
        <v>1791.95</v>
      </c>
      <c r="I271" s="123">
        <v>1783.69</v>
      </c>
      <c r="J271" s="123">
        <v>1688.11</v>
      </c>
      <c r="K271" s="123">
        <v>1671.01</v>
      </c>
      <c r="L271" s="123">
        <v>1753.89</v>
      </c>
      <c r="M271" s="123">
        <v>1677.83</v>
      </c>
      <c r="N271" s="123">
        <v>1677</v>
      </c>
      <c r="O271" s="123">
        <v>1699.52</v>
      </c>
      <c r="P271" s="123">
        <v>1674.24</v>
      </c>
      <c r="Q271" s="276"/>
      <c r="R271" s="276"/>
      <c r="S271" s="276"/>
      <c r="T271" s="276"/>
      <c r="U271" s="276"/>
      <c r="V271" s="277"/>
      <c r="W271" s="238"/>
      <c r="X271" s="270"/>
      <c r="Y271" s="271"/>
      <c r="Z271" s="278"/>
      <c r="AA271" s="278"/>
      <c r="AB271" s="278"/>
      <c r="AC271" s="278"/>
      <c r="AD271" s="279"/>
      <c r="AE271" s="279"/>
    </row>
    <row r="272" spans="1:31" ht="32.25" thickBot="1">
      <c r="A272" s="280"/>
      <c r="B272" s="281"/>
      <c r="C272" s="243" t="s">
        <v>221</v>
      </c>
      <c r="D272" s="282">
        <f t="shared" ref="D272:P272" si="86">IF(((D270="")*AND(D271="")),"",(D270-D271)*2)</f>
        <v>2207.6600000000003</v>
      </c>
      <c r="E272" s="282">
        <f t="shared" si="86"/>
        <v>2238.38</v>
      </c>
      <c r="F272" s="282">
        <f t="shared" si="86"/>
        <v>2243.8599999999997</v>
      </c>
      <c r="G272" s="282">
        <f t="shared" si="86"/>
        <v>2254.0400000000004</v>
      </c>
      <c r="H272" s="282">
        <f t="shared" si="86"/>
        <v>2179.02</v>
      </c>
      <c r="I272" s="282">
        <f t="shared" si="86"/>
        <v>2174.84</v>
      </c>
      <c r="J272" s="282">
        <f t="shared" si="86"/>
        <v>2225.5400000000004</v>
      </c>
      <c r="K272" s="282">
        <f t="shared" si="86"/>
        <v>2254.6600000000003</v>
      </c>
      <c r="L272" s="282">
        <f t="shared" si="86"/>
        <v>2183.06</v>
      </c>
      <c r="M272" s="282">
        <f t="shared" si="86"/>
        <v>2248.0200000000004</v>
      </c>
      <c r="N272" s="282">
        <f t="shared" si="86"/>
        <v>2257.0600000000004</v>
      </c>
      <c r="O272" s="282">
        <f t="shared" si="86"/>
        <v>2228.7399999999998</v>
      </c>
      <c r="P272" s="282">
        <f t="shared" si="86"/>
        <v>2246.9599999999996</v>
      </c>
      <c r="Q272" s="264"/>
      <c r="R272" s="281"/>
      <c r="S272" s="281"/>
      <c r="T272" s="281"/>
      <c r="U272" s="281"/>
      <c r="V272" s="283"/>
      <c r="W272" s="247"/>
      <c r="X272" s="270"/>
      <c r="Y272" s="271"/>
      <c r="Z272" s="278"/>
      <c r="AA272" s="278"/>
      <c r="AB272" s="278"/>
      <c r="AC272" s="278"/>
      <c r="AD272" s="279"/>
      <c r="AE272" s="279"/>
    </row>
    <row r="273" spans="1:31">
      <c r="A273" s="248">
        <v>43558</v>
      </c>
      <c r="B273" s="268" t="s">
        <v>76</v>
      </c>
      <c r="C273" s="269" t="s">
        <v>77</v>
      </c>
      <c r="D273" s="287">
        <v>2850.61</v>
      </c>
      <c r="E273" s="287">
        <v>2792.24</v>
      </c>
      <c r="F273" s="287">
        <v>2793.16</v>
      </c>
      <c r="G273" s="287">
        <v>2805.96</v>
      </c>
      <c r="H273" s="287">
        <v>2885.22</v>
      </c>
      <c r="I273" s="287">
        <v>2864.62</v>
      </c>
      <c r="J273" s="287">
        <v>2798.78</v>
      </c>
      <c r="K273" s="287">
        <v>2793.59</v>
      </c>
      <c r="L273" s="287">
        <v>2852.36</v>
      </c>
      <c r="M273" s="287">
        <v>2798.64</v>
      </c>
      <c r="N273" s="287">
        <v>2806.36</v>
      </c>
      <c r="O273" s="287">
        <v>2813.88</v>
      </c>
      <c r="P273" s="287">
        <v>2801.02</v>
      </c>
      <c r="Q273" s="269">
        <f>IF((P274=""),"",MAX(D275:P275))</f>
        <v>2251.2400000000002</v>
      </c>
      <c r="R273" s="269">
        <f>IF(P274="","",MIN(D275:P275))</f>
        <v>2155.7999999999997</v>
      </c>
      <c r="S273" s="269">
        <f>IF((P275=""),"",AVERAGE(D275:P275))</f>
        <v>2220.0353846153848</v>
      </c>
      <c r="T273" s="269">
        <f>IF((P274=""),"",STDEV(D275:P275))</f>
        <v>32.045895372986763</v>
      </c>
      <c r="U273" s="269">
        <f>IF((P274=""),"",((Q273-R273)/(Q273+R273))*100)</f>
        <v>2.1656259076386988</v>
      </c>
      <c r="V273" s="228" t="str">
        <f>IF(P274="","",IF(U273&lt;7.2,IF(S273&gt;AB273,IF(S273&lt;AC273,"Pass","Fail"),"Fail"),"Fail"))</f>
        <v>Pass</v>
      </c>
      <c r="W273" s="253">
        <v>1340</v>
      </c>
      <c r="X273" s="270" t="s">
        <v>156</v>
      </c>
      <c r="Y273" s="271"/>
      <c r="Z273" s="272">
        <v>1600</v>
      </c>
      <c r="AA273" s="272">
        <v>2600</v>
      </c>
      <c r="AB273" s="273">
        <v>1900</v>
      </c>
      <c r="AC273" s="273">
        <v>2250</v>
      </c>
      <c r="AD273" s="274">
        <v>10</v>
      </c>
      <c r="AE273" s="274">
        <v>3.6</v>
      </c>
    </row>
    <row r="274" spans="1:31">
      <c r="A274" s="275"/>
      <c r="B274" s="276"/>
      <c r="C274" s="276" t="s">
        <v>78</v>
      </c>
      <c r="D274" s="287">
        <v>1744.09</v>
      </c>
      <c r="E274" s="287">
        <v>1676.84</v>
      </c>
      <c r="F274" s="287">
        <v>1671.27</v>
      </c>
      <c r="G274" s="287">
        <v>1682.1</v>
      </c>
      <c r="H274" s="287">
        <v>1807.32</v>
      </c>
      <c r="I274" s="287">
        <v>1782.24</v>
      </c>
      <c r="J274" s="287">
        <v>1687.96</v>
      </c>
      <c r="K274" s="287">
        <v>1673.11</v>
      </c>
      <c r="L274" s="287">
        <v>1760.62</v>
      </c>
      <c r="M274" s="287">
        <v>1678.51</v>
      </c>
      <c r="N274" s="287">
        <v>1680.74</v>
      </c>
      <c r="O274" s="287">
        <v>1701.09</v>
      </c>
      <c r="P274" s="287">
        <v>1680.32</v>
      </c>
      <c r="Q274" s="276"/>
      <c r="R274" s="276"/>
      <c r="S274" s="276"/>
      <c r="T274" s="276"/>
      <c r="U274" s="276"/>
      <c r="V274" s="277"/>
      <c r="W274" s="238"/>
      <c r="X274" s="270"/>
      <c r="Y274" s="271"/>
      <c r="Z274" s="278"/>
      <c r="AA274" s="278"/>
      <c r="AB274" s="278"/>
      <c r="AC274" s="278"/>
      <c r="AD274" s="279"/>
      <c r="AE274" s="279"/>
    </row>
    <row r="275" spans="1:31" ht="32.25" thickBot="1">
      <c r="A275" s="280"/>
      <c r="B275" s="281"/>
      <c r="C275" s="243" t="s">
        <v>221</v>
      </c>
      <c r="D275" s="282">
        <f t="shared" ref="D275:P275" si="87">IF(((D273="")*AND(D274="")),"",(D273-D274)*2)</f>
        <v>2213.0400000000004</v>
      </c>
      <c r="E275" s="282">
        <f t="shared" si="87"/>
        <v>2230.7999999999997</v>
      </c>
      <c r="F275" s="282">
        <f t="shared" si="87"/>
        <v>2243.7799999999997</v>
      </c>
      <c r="G275" s="282">
        <f t="shared" si="87"/>
        <v>2247.7200000000003</v>
      </c>
      <c r="H275" s="282">
        <f t="shared" si="87"/>
        <v>2155.7999999999997</v>
      </c>
      <c r="I275" s="282">
        <f t="shared" si="87"/>
        <v>2164.7599999999998</v>
      </c>
      <c r="J275" s="282">
        <f t="shared" si="87"/>
        <v>2221.6400000000003</v>
      </c>
      <c r="K275" s="282">
        <f t="shared" si="87"/>
        <v>2240.9600000000005</v>
      </c>
      <c r="L275" s="282">
        <f t="shared" si="87"/>
        <v>2183.4800000000005</v>
      </c>
      <c r="M275" s="282">
        <f t="shared" si="87"/>
        <v>2240.2599999999998</v>
      </c>
      <c r="N275" s="282">
        <f t="shared" si="87"/>
        <v>2251.2400000000002</v>
      </c>
      <c r="O275" s="282">
        <f t="shared" si="87"/>
        <v>2225.5800000000004</v>
      </c>
      <c r="P275" s="282">
        <f t="shared" si="87"/>
        <v>2241.4</v>
      </c>
      <c r="Q275" s="264"/>
      <c r="R275" s="281"/>
      <c r="S275" s="281"/>
      <c r="T275" s="281"/>
      <c r="U275" s="281"/>
      <c r="V275" s="283"/>
      <c r="W275" s="247"/>
      <c r="X275" s="270"/>
      <c r="Y275" s="271"/>
      <c r="Z275" s="278"/>
      <c r="AA275" s="278"/>
      <c r="AB275" s="278"/>
      <c r="AC275" s="278"/>
      <c r="AD275" s="279"/>
      <c r="AE275" s="279"/>
    </row>
    <row r="276" spans="1:31">
      <c r="A276" s="248">
        <v>43564</v>
      </c>
      <c r="B276" s="268" t="s">
        <v>76</v>
      </c>
      <c r="C276" s="269" t="s">
        <v>77</v>
      </c>
      <c r="D276" s="288">
        <v>2884</v>
      </c>
      <c r="E276" s="289">
        <v>2831</v>
      </c>
      <c r="F276" s="289">
        <v>2807</v>
      </c>
      <c r="G276" s="289">
        <v>2799</v>
      </c>
      <c r="H276" s="289">
        <v>2815</v>
      </c>
      <c r="I276" s="289">
        <v>2848</v>
      </c>
      <c r="J276" s="289">
        <v>2916</v>
      </c>
      <c r="K276" s="289">
        <v>2904</v>
      </c>
      <c r="L276" s="289">
        <v>2844</v>
      </c>
      <c r="M276" s="289">
        <v>2813</v>
      </c>
      <c r="N276" s="289">
        <v>2804</v>
      </c>
      <c r="O276" s="289">
        <v>2828</v>
      </c>
      <c r="P276" s="289">
        <v>2881</v>
      </c>
      <c r="Q276" s="269">
        <f>IF((P277=""),"",MAX(D278:P278))</f>
        <v>2240</v>
      </c>
      <c r="R276" s="269">
        <f>IF(P277="","",MIN(D278:P278))</f>
        <v>2102</v>
      </c>
      <c r="S276" s="269">
        <f>IF((P278=""),"",AVERAGE(D278:P278))</f>
        <v>2198.1538461538462</v>
      </c>
      <c r="T276" s="269">
        <f>IF((P277=""),"",STDEV(D278:P278))</f>
        <v>53.413241419842322</v>
      </c>
      <c r="U276" s="269">
        <f>IF((P277=""),"",((Q276-R276)/(Q276+R276))*100)</f>
        <v>3.1782588668816212</v>
      </c>
      <c r="V276" s="228" t="str">
        <f>IF(P277="","",IF(U276&lt;7.2,IF(S276&gt;AB276,IF(S276&lt;AC276,"Pass","Fail"),"Fail"),"Fail"))</f>
        <v>Pass</v>
      </c>
      <c r="W276" s="253">
        <v>1159</v>
      </c>
      <c r="X276" s="270" t="s">
        <v>157</v>
      </c>
      <c r="Y276" s="271"/>
      <c r="Z276" s="272">
        <v>1600</v>
      </c>
      <c r="AA276" s="272">
        <v>2600</v>
      </c>
      <c r="AB276" s="273">
        <v>1900</v>
      </c>
      <c r="AC276" s="273">
        <v>2250</v>
      </c>
      <c r="AD276" s="274">
        <v>10</v>
      </c>
      <c r="AE276" s="274">
        <v>3.6</v>
      </c>
    </row>
    <row r="277" spans="1:31">
      <c r="A277" s="275"/>
      <c r="B277" s="276"/>
      <c r="C277" s="276" t="s">
        <v>78</v>
      </c>
      <c r="D277" s="287">
        <v>1821</v>
      </c>
      <c r="E277" s="287">
        <v>1719</v>
      </c>
      <c r="F277" s="287">
        <v>1689</v>
      </c>
      <c r="G277" s="287">
        <v>1685</v>
      </c>
      <c r="H277" s="287">
        <v>1696</v>
      </c>
      <c r="I277" s="287">
        <v>1732</v>
      </c>
      <c r="J277" s="287">
        <v>1856</v>
      </c>
      <c r="K277" s="287">
        <v>1833</v>
      </c>
      <c r="L277" s="287">
        <v>1724</v>
      </c>
      <c r="M277" s="287">
        <v>1696</v>
      </c>
      <c r="N277" s="287">
        <v>1687</v>
      </c>
      <c r="O277" s="287">
        <v>1718</v>
      </c>
      <c r="P277" s="287">
        <v>1830</v>
      </c>
      <c r="Q277" s="276"/>
      <c r="R277" s="276"/>
      <c r="S277" s="276"/>
      <c r="T277" s="276"/>
      <c r="U277" s="276"/>
      <c r="V277" s="277"/>
      <c r="W277" s="238"/>
      <c r="X277" s="270"/>
      <c r="Y277" s="271"/>
      <c r="Z277" s="278"/>
      <c r="AA277" s="278"/>
      <c r="AB277" s="278"/>
      <c r="AC277" s="278"/>
      <c r="AD277" s="279"/>
      <c r="AE277" s="279"/>
    </row>
    <row r="278" spans="1:31" ht="32.25" thickBot="1">
      <c r="A278" s="280"/>
      <c r="B278" s="281"/>
      <c r="C278" s="243" t="s">
        <v>221</v>
      </c>
      <c r="D278" s="282">
        <f t="shared" ref="D278:P278" si="88">IF(((D276="")*AND(D277="")),"",(D276-D277)*2)</f>
        <v>2126</v>
      </c>
      <c r="E278" s="282">
        <f t="shared" si="88"/>
        <v>2224</v>
      </c>
      <c r="F278" s="282">
        <f t="shared" si="88"/>
        <v>2236</v>
      </c>
      <c r="G278" s="282">
        <f t="shared" si="88"/>
        <v>2228</v>
      </c>
      <c r="H278" s="282">
        <f t="shared" si="88"/>
        <v>2238</v>
      </c>
      <c r="I278" s="282">
        <f t="shared" si="88"/>
        <v>2232</v>
      </c>
      <c r="J278" s="282">
        <f t="shared" si="88"/>
        <v>2120</v>
      </c>
      <c r="K278" s="282">
        <f t="shared" si="88"/>
        <v>2142</v>
      </c>
      <c r="L278" s="282">
        <f t="shared" si="88"/>
        <v>2240</v>
      </c>
      <c r="M278" s="282">
        <f t="shared" si="88"/>
        <v>2234</v>
      </c>
      <c r="N278" s="282">
        <f t="shared" si="88"/>
        <v>2234</v>
      </c>
      <c r="O278" s="282">
        <f t="shared" si="88"/>
        <v>2220</v>
      </c>
      <c r="P278" s="282">
        <f t="shared" si="88"/>
        <v>2102</v>
      </c>
      <c r="Q278" s="264"/>
      <c r="R278" s="281"/>
      <c r="S278" s="281"/>
      <c r="T278" s="281"/>
      <c r="U278" s="281"/>
      <c r="V278" s="283"/>
      <c r="W278" s="247"/>
      <c r="X278" s="270"/>
      <c r="Y278" s="271"/>
      <c r="Z278" s="278"/>
      <c r="AA278" s="278"/>
      <c r="AB278" s="278"/>
      <c r="AC278" s="278"/>
      <c r="AD278" s="279"/>
      <c r="AE278" s="279"/>
    </row>
    <row r="279" spans="1:31">
      <c r="A279" s="248">
        <v>43569</v>
      </c>
      <c r="B279" s="268" t="s">
        <v>76</v>
      </c>
      <c r="C279" s="269" t="s">
        <v>77</v>
      </c>
      <c r="D279" s="123">
        <v>2852.41</v>
      </c>
      <c r="E279" s="123">
        <v>2798.98</v>
      </c>
      <c r="F279" s="123">
        <v>2795.75</v>
      </c>
      <c r="G279" s="123">
        <v>2807.04</v>
      </c>
      <c r="H279" s="123">
        <v>2877.07</v>
      </c>
      <c r="I279" s="123">
        <v>2881.2</v>
      </c>
      <c r="J279" s="123">
        <v>2806.87</v>
      </c>
      <c r="K279" s="123">
        <v>2799.69</v>
      </c>
      <c r="L279" s="123">
        <v>2856.48</v>
      </c>
      <c r="M279" s="123">
        <v>2807.28</v>
      </c>
      <c r="N279" s="123">
        <v>2805.09</v>
      </c>
      <c r="O279" s="123">
        <v>2817.24</v>
      </c>
      <c r="P279" s="123">
        <v>2806.64</v>
      </c>
      <c r="Q279" s="269">
        <f>IF((P280=""),"",MAX(D281:P281))</f>
        <v>2244.94</v>
      </c>
      <c r="R279" s="269">
        <f>IF(P280="","",MIN(D281:P281))</f>
        <v>2158.6400000000003</v>
      </c>
      <c r="S279" s="269">
        <f>IF((P281=""),"",AVERAGE(D281:P281))</f>
        <v>2212.7584615384612</v>
      </c>
      <c r="T279" s="269">
        <f>IF((P280=""),"",STDEV(D281:P281))</f>
        <v>30.243491268412932</v>
      </c>
      <c r="U279" s="269">
        <f>IF((P280=""),"",((Q279-R279)/(Q279+R279))*100)</f>
        <v>1.9597690969620112</v>
      </c>
      <c r="V279" s="228" t="str">
        <f>IF(P280="","",IF(U279&lt;7.2,IF(S279&gt;AB279,IF(S279&lt;AC279,"Pass","Fail"),"Fail"),"Fail"))</f>
        <v>Pass</v>
      </c>
      <c r="W279" s="253">
        <v>1534</v>
      </c>
      <c r="X279" s="270"/>
      <c r="Y279" s="271"/>
      <c r="Z279" s="272">
        <v>1600</v>
      </c>
      <c r="AA279" s="272">
        <v>2600</v>
      </c>
      <c r="AB279" s="273">
        <v>1900</v>
      </c>
      <c r="AC279" s="273">
        <v>2250</v>
      </c>
      <c r="AD279" s="274">
        <v>10</v>
      </c>
      <c r="AE279" s="274">
        <v>3.6</v>
      </c>
    </row>
    <row r="280" spans="1:31">
      <c r="A280" s="275"/>
      <c r="B280" s="276"/>
      <c r="C280" s="276" t="s">
        <v>78</v>
      </c>
      <c r="D280" s="123">
        <v>1754.13</v>
      </c>
      <c r="E280" s="123">
        <v>1682.31</v>
      </c>
      <c r="F280" s="123">
        <v>1682.24</v>
      </c>
      <c r="G280" s="123">
        <v>1691.49</v>
      </c>
      <c r="H280" s="123">
        <v>1797.75</v>
      </c>
      <c r="I280" s="123">
        <v>1798.72</v>
      </c>
      <c r="J280" s="123">
        <v>1702.55</v>
      </c>
      <c r="K280" s="123">
        <v>1677.22</v>
      </c>
      <c r="L280" s="123">
        <v>1770.39</v>
      </c>
      <c r="M280" s="123">
        <v>1693.04</v>
      </c>
      <c r="N280" s="123">
        <v>1683.28</v>
      </c>
      <c r="O280" s="123">
        <v>1707.64</v>
      </c>
      <c r="P280" s="123">
        <v>1688.05</v>
      </c>
      <c r="Q280" s="276"/>
      <c r="R280" s="276"/>
      <c r="S280" s="276"/>
      <c r="T280" s="276"/>
      <c r="U280" s="276"/>
      <c r="V280" s="277"/>
      <c r="W280" s="238"/>
      <c r="X280" s="270"/>
      <c r="Y280" s="271"/>
      <c r="Z280" s="278"/>
      <c r="AA280" s="278"/>
      <c r="AB280" s="278"/>
      <c r="AC280" s="278"/>
      <c r="AD280" s="279"/>
      <c r="AE280" s="279"/>
    </row>
    <row r="281" spans="1:31" ht="32.25" thickBot="1">
      <c r="A281" s="280"/>
      <c r="B281" s="281"/>
      <c r="C281" s="243" t="s">
        <v>221</v>
      </c>
      <c r="D281" s="282">
        <f t="shared" ref="D281:P281" si="89">IF(((D279="")*AND(D280="")),"",(D279-D280)*2)</f>
        <v>2196.5599999999995</v>
      </c>
      <c r="E281" s="282">
        <f t="shared" si="89"/>
        <v>2233.34</v>
      </c>
      <c r="F281" s="282">
        <f t="shared" si="89"/>
        <v>2227.02</v>
      </c>
      <c r="G281" s="282">
        <f t="shared" si="89"/>
        <v>2231.1</v>
      </c>
      <c r="H281" s="282">
        <f t="shared" si="89"/>
        <v>2158.6400000000003</v>
      </c>
      <c r="I281" s="282">
        <f t="shared" si="89"/>
        <v>2164.9599999999996</v>
      </c>
      <c r="J281" s="282">
        <f t="shared" si="89"/>
        <v>2208.64</v>
      </c>
      <c r="K281" s="282">
        <f t="shared" si="89"/>
        <v>2244.94</v>
      </c>
      <c r="L281" s="282">
        <f t="shared" si="89"/>
        <v>2172.1799999999998</v>
      </c>
      <c r="M281" s="282">
        <f t="shared" si="89"/>
        <v>2228.4800000000005</v>
      </c>
      <c r="N281" s="282">
        <f t="shared" si="89"/>
        <v>2243.6200000000003</v>
      </c>
      <c r="O281" s="282">
        <f t="shared" si="89"/>
        <v>2219.1999999999994</v>
      </c>
      <c r="P281" s="282">
        <f t="shared" si="89"/>
        <v>2237.1799999999998</v>
      </c>
      <c r="Q281" s="264"/>
      <c r="R281" s="281"/>
      <c r="S281" s="281"/>
      <c r="T281" s="281"/>
      <c r="U281" s="281"/>
      <c r="V281" s="283"/>
      <c r="W281" s="247"/>
      <c r="X281" s="270"/>
      <c r="Y281" s="271"/>
      <c r="Z281" s="278"/>
      <c r="AA281" s="278"/>
      <c r="AB281" s="278"/>
      <c r="AC281" s="278"/>
      <c r="AD281" s="279"/>
      <c r="AE281" s="279"/>
    </row>
    <row r="282" spans="1:31">
      <c r="A282" s="248">
        <v>43577</v>
      </c>
      <c r="B282" s="268" t="s">
        <v>76</v>
      </c>
      <c r="C282" s="269" t="s">
        <v>77</v>
      </c>
      <c r="D282" s="123">
        <v>2981</v>
      </c>
      <c r="E282" s="123">
        <v>2905</v>
      </c>
      <c r="F282" s="123">
        <v>2859</v>
      </c>
      <c r="G282" s="123">
        <v>2837</v>
      </c>
      <c r="H282" s="123">
        <v>2839</v>
      </c>
      <c r="I282" s="123">
        <v>2868</v>
      </c>
      <c r="J282" s="123">
        <v>2935</v>
      </c>
      <c r="K282" s="123">
        <v>2912</v>
      </c>
      <c r="L282" s="123">
        <v>2868</v>
      </c>
      <c r="M282" s="123">
        <v>2843</v>
      </c>
      <c r="N282" s="123">
        <v>2848</v>
      </c>
      <c r="O282" s="123">
        <v>2878</v>
      </c>
      <c r="P282" s="123">
        <v>2931</v>
      </c>
      <c r="Q282" s="269">
        <f>IF((P283=""),"",MAX(D284:P284))</f>
        <v>2270</v>
      </c>
      <c r="R282" s="269">
        <f>IF(P283="","",MIN(D284:P284))</f>
        <v>2118</v>
      </c>
      <c r="S282" s="269">
        <f>IF((P284=""),"",AVERAGE(D284:P284))</f>
        <v>2225.2307692307691</v>
      </c>
      <c r="T282" s="269">
        <f>IF((P283=""),"",STDEV(D284:P284))</f>
        <v>60.423717537285313</v>
      </c>
      <c r="U282" s="269">
        <f>IF((P283=""),"",((Q282-R282)/(Q282+R282))*100)</f>
        <v>3.4639927073837744</v>
      </c>
      <c r="V282" s="228" t="str">
        <f>IF(P283="","",IF(U282&lt;7.2,IF(S282&gt;AB282,IF(S282&lt;AC282,"Pass","Fail"),"Fail"),"Fail"))</f>
        <v>Pass</v>
      </c>
      <c r="W282" s="253">
        <v>1340</v>
      </c>
      <c r="X282" s="270"/>
      <c r="Y282" s="271"/>
      <c r="Z282" s="272">
        <v>1600</v>
      </c>
      <c r="AA282" s="272">
        <v>2600</v>
      </c>
      <c r="AB282" s="273">
        <v>1900</v>
      </c>
      <c r="AC282" s="273">
        <v>2250</v>
      </c>
      <c r="AD282" s="274">
        <v>10</v>
      </c>
      <c r="AE282" s="274">
        <v>3.6</v>
      </c>
    </row>
    <row r="283" spans="1:31">
      <c r="A283" s="275"/>
      <c r="B283" s="276"/>
      <c r="C283" s="276" t="s">
        <v>78</v>
      </c>
      <c r="D283" s="123">
        <v>1918</v>
      </c>
      <c r="E283" s="123">
        <v>1780</v>
      </c>
      <c r="F283" s="123">
        <v>1727</v>
      </c>
      <c r="G283" s="123">
        <v>1706</v>
      </c>
      <c r="H283" s="123">
        <v>1704</v>
      </c>
      <c r="I283" s="123">
        <v>1734</v>
      </c>
      <c r="J283" s="123">
        <v>1859</v>
      </c>
      <c r="K283" s="123">
        <v>1830</v>
      </c>
      <c r="L283" s="123">
        <v>1733</v>
      </c>
      <c r="M283" s="123">
        <v>1711</v>
      </c>
      <c r="N283" s="123">
        <v>1714</v>
      </c>
      <c r="O283" s="123">
        <v>1752</v>
      </c>
      <c r="P283" s="123">
        <v>1872</v>
      </c>
      <c r="Q283" s="276"/>
      <c r="R283" s="276"/>
      <c r="S283" s="276"/>
      <c r="T283" s="276"/>
      <c r="U283" s="276"/>
      <c r="V283" s="277"/>
      <c r="W283" s="238"/>
      <c r="X283" s="270"/>
      <c r="Y283" s="271"/>
      <c r="Z283" s="278"/>
      <c r="AA283" s="278"/>
      <c r="AB283" s="278"/>
      <c r="AC283" s="278"/>
      <c r="AD283" s="279"/>
      <c r="AE283" s="279"/>
    </row>
    <row r="284" spans="1:31" ht="32.25" thickBot="1">
      <c r="A284" s="280"/>
      <c r="B284" s="281"/>
      <c r="C284" s="243" t="s">
        <v>221</v>
      </c>
      <c r="D284" s="282">
        <f t="shared" ref="D284:P284" si="90">IF(((D282="")*AND(D283="")),"",(D282-D283)*2)</f>
        <v>2126</v>
      </c>
      <c r="E284" s="282">
        <f t="shared" si="90"/>
        <v>2250</v>
      </c>
      <c r="F284" s="282">
        <f t="shared" si="90"/>
        <v>2264</v>
      </c>
      <c r="G284" s="282">
        <f t="shared" si="90"/>
        <v>2262</v>
      </c>
      <c r="H284" s="282">
        <f t="shared" si="90"/>
        <v>2270</v>
      </c>
      <c r="I284" s="282">
        <f t="shared" si="90"/>
        <v>2268</v>
      </c>
      <c r="J284" s="282">
        <f t="shared" si="90"/>
        <v>2152</v>
      </c>
      <c r="K284" s="282">
        <f t="shared" si="90"/>
        <v>2164</v>
      </c>
      <c r="L284" s="282">
        <f t="shared" si="90"/>
        <v>2270</v>
      </c>
      <c r="M284" s="282">
        <f t="shared" si="90"/>
        <v>2264</v>
      </c>
      <c r="N284" s="282">
        <f t="shared" si="90"/>
        <v>2268</v>
      </c>
      <c r="O284" s="282">
        <f t="shared" si="90"/>
        <v>2252</v>
      </c>
      <c r="P284" s="282">
        <f t="shared" si="90"/>
        <v>2118</v>
      </c>
      <c r="Q284" s="264"/>
      <c r="R284" s="281"/>
      <c r="S284" s="281"/>
      <c r="T284" s="281"/>
      <c r="U284" s="281"/>
      <c r="V284" s="283"/>
      <c r="W284" s="247"/>
      <c r="X284" s="270"/>
      <c r="Y284" s="271"/>
      <c r="Z284" s="278"/>
      <c r="AA284" s="278"/>
      <c r="AB284" s="278"/>
      <c r="AC284" s="278"/>
      <c r="AD284" s="279"/>
      <c r="AE284" s="279"/>
    </row>
    <row r="285" spans="1:31">
      <c r="A285" s="248">
        <v>43580</v>
      </c>
      <c r="B285" s="268" t="s">
        <v>76</v>
      </c>
      <c r="C285" s="269" t="s">
        <v>77</v>
      </c>
      <c r="D285" s="123">
        <v>2833</v>
      </c>
      <c r="E285" s="123">
        <v>2765</v>
      </c>
      <c r="F285" s="123">
        <v>2732</v>
      </c>
      <c r="G285" s="123">
        <v>2725</v>
      </c>
      <c r="H285" s="123">
        <v>2746</v>
      </c>
      <c r="I285" s="123">
        <v>2793</v>
      </c>
      <c r="J285" s="123">
        <v>2874</v>
      </c>
      <c r="K285" s="123">
        <v>2850</v>
      </c>
      <c r="L285" s="123">
        <v>2779</v>
      </c>
      <c r="M285" s="123">
        <v>2743</v>
      </c>
      <c r="N285" s="123">
        <v>2731</v>
      </c>
      <c r="O285" s="123">
        <v>2760</v>
      </c>
      <c r="P285" s="123">
        <v>2823</v>
      </c>
      <c r="Q285" s="269">
        <f>IF((P286=""),"",MAX(D287:P287))</f>
        <v>2278</v>
      </c>
      <c r="R285" s="269">
        <f>IF(P286="","",MIN(D287:P287))</f>
        <v>2152</v>
      </c>
      <c r="S285" s="269">
        <f>IF((P287=""),"",AVERAGE(D287:P287))</f>
        <v>2231.6923076923076</v>
      </c>
      <c r="T285" s="269">
        <f>IF((P286=""),"",STDEV(D287:P287))</f>
        <v>49.630945681406978</v>
      </c>
      <c r="U285" s="269">
        <f>IF((P286=""),"",((Q285-R285)/(Q285+R285))*100)</f>
        <v>2.8442437923250563</v>
      </c>
      <c r="V285" s="228" t="str">
        <f>IF(P286="","",IF(U285&lt;7.2,IF(S285&gt;AB285,IF(S285&lt;AC285,"Pass","Fail"),"Fail"),"Fail"))</f>
        <v>Pass</v>
      </c>
      <c r="W285" s="253">
        <v>121</v>
      </c>
      <c r="X285" s="122" t="s">
        <v>158</v>
      </c>
      <c r="Y285" s="271"/>
      <c r="Z285" s="272">
        <v>1600</v>
      </c>
      <c r="AA285" s="272">
        <v>2600</v>
      </c>
      <c r="AB285" s="273">
        <v>1900</v>
      </c>
      <c r="AC285" s="273">
        <v>2250</v>
      </c>
      <c r="AD285" s="274">
        <v>10</v>
      </c>
      <c r="AE285" s="274">
        <v>3.6</v>
      </c>
    </row>
    <row r="286" spans="1:31">
      <c r="A286" s="275"/>
      <c r="B286" s="276"/>
      <c r="C286" s="276" t="s">
        <v>78</v>
      </c>
      <c r="D286" s="123">
        <v>1757</v>
      </c>
      <c r="E286" s="123">
        <v>1638</v>
      </c>
      <c r="F286" s="123">
        <v>1603</v>
      </c>
      <c r="G286" s="123">
        <v>1599</v>
      </c>
      <c r="H286" s="123">
        <v>1612</v>
      </c>
      <c r="I286" s="123">
        <v>1654</v>
      </c>
      <c r="J286" s="123">
        <v>1788</v>
      </c>
      <c r="K286" s="123">
        <v>1765</v>
      </c>
      <c r="L286" s="123">
        <v>1641</v>
      </c>
      <c r="M286" s="123">
        <v>1611</v>
      </c>
      <c r="N286" s="123">
        <v>1600</v>
      </c>
      <c r="O286" s="123">
        <v>1633</v>
      </c>
      <c r="P286" s="123">
        <v>1747</v>
      </c>
      <c r="Q286" s="276"/>
      <c r="R286" s="276"/>
      <c r="S286" s="276"/>
      <c r="T286" s="276"/>
      <c r="U286" s="276"/>
      <c r="V286" s="277"/>
      <c r="W286" s="238"/>
      <c r="X286" s="270"/>
      <c r="Y286" s="271"/>
      <c r="Z286" s="278"/>
      <c r="AA286" s="278"/>
      <c r="AB286" s="278"/>
      <c r="AC286" s="278"/>
      <c r="AD286" s="279"/>
      <c r="AE286" s="279"/>
    </row>
    <row r="287" spans="1:31" ht="32.25" thickBot="1">
      <c r="A287" s="280"/>
      <c r="B287" s="281"/>
      <c r="C287" s="243" t="s">
        <v>221</v>
      </c>
      <c r="D287" s="282">
        <f t="shared" ref="D287:P287" si="91">IF(((D285="")*AND(D286="")),"",(D285-D286)*2)</f>
        <v>2152</v>
      </c>
      <c r="E287" s="282">
        <f t="shared" si="91"/>
        <v>2254</v>
      </c>
      <c r="F287" s="282">
        <f t="shared" si="91"/>
        <v>2258</v>
      </c>
      <c r="G287" s="282">
        <f t="shared" si="91"/>
        <v>2252</v>
      </c>
      <c r="H287" s="282">
        <f t="shared" si="91"/>
        <v>2268</v>
      </c>
      <c r="I287" s="282">
        <f t="shared" si="91"/>
        <v>2278</v>
      </c>
      <c r="J287" s="282">
        <f t="shared" si="91"/>
        <v>2172</v>
      </c>
      <c r="K287" s="282">
        <f t="shared" si="91"/>
        <v>2170</v>
      </c>
      <c r="L287" s="282">
        <f t="shared" si="91"/>
        <v>2276</v>
      </c>
      <c r="M287" s="282">
        <f t="shared" si="91"/>
        <v>2264</v>
      </c>
      <c r="N287" s="282">
        <f t="shared" si="91"/>
        <v>2262</v>
      </c>
      <c r="O287" s="282">
        <f t="shared" si="91"/>
        <v>2254</v>
      </c>
      <c r="P287" s="282">
        <f t="shared" si="91"/>
        <v>2152</v>
      </c>
      <c r="Q287" s="264"/>
      <c r="R287" s="281"/>
      <c r="S287" s="281"/>
      <c r="T287" s="281"/>
      <c r="U287" s="281"/>
      <c r="V287" s="283"/>
      <c r="W287" s="247"/>
      <c r="X287" s="270"/>
      <c r="Y287" s="271"/>
      <c r="Z287" s="278"/>
      <c r="AA287" s="278"/>
      <c r="AB287" s="278"/>
      <c r="AC287" s="278"/>
      <c r="AD287" s="279"/>
      <c r="AE287" s="279"/>
    </row>
    <row r="288" spans="1:31">
      <c r="A288" s="248">
        <v>43585</v>
      </c>
      <c r="B288" s="268" t="s">
        <v>76</v>
      </c>
      <c r="C288" s="269" t="s">
        <v>77</v>
      </c>
      <c r="D288" s="123">
        <v>2835</v>
      </c>
      <c r="E288" s="123">
        <v>2756</v>
      </c>
      <c r="F288" s="123">
        <v>2725</v>
      </c>
      <c r="G288" s="123">
        <v>2718</v>
      </c>
      <c r="H288" s="123">
        <v>2741</v>
      </c>
      <c r="I288" s="123">
        <v>2789</v>
      </c>
      <c r="J288" s="123">
        <v>2873</v>
      </c>
      <c r="K288" s="123">
        <v>2826</v>
      </c>
      <c r="L288" s="123">
        <v>2760</v>
      </c>
      <c r="M288" s="123">
        <v>2726</v>
      </c>
      <c r="N288" s="123">
        <v>2725</v>
      </c>
      <c r="O288" s="123">
        <v>2762</v>
      </c>
      <c r="P288" s="123">
        <v>2812</v>
      </c>
      <c r="Q288" s="269">
        <f>IF((P289=""),"",MAX(D290:P290))</f>
        <v>2228</v>
      </c>
      <c r="R288" s="269">
        <f>IF(P289="","",MIN(D290:P290))</f>
        <v>2100</v>
      </c>
      <c r="S288" s="269">
        <f>IF((P290=""),"",AVERAGE(D290:P290))</f>
        <v>2183.2307692307691</v>
      </c>
      <c r="T288" s="269">
        <f>IF((P289=""),"",STDEV(D290:P290))</f>
        <v>46.529836030504569</v>
      </c>
      <c r="U288" s="269">
        <f>IF((P289=""),"",((Q288-R288)/(Q288+R288))*100)</f>
        <v>2.957486136783734</v>
      </c>
      <c r="V288" s="228" t="str">
        <f>IF(P289="","",IF(U288&lt;7.2,IF(S288&gt;AB288,IF(S288&lt;AC288,"Pass","Fail"),"Fail"),"Fail"))</f>
        <v>Pass</v>
      </c>
      <c r="W288" s="253">
        <v>1340</v>
      </c>
      <c r="X288" s="270"/>
      <c r="Y288" s="271"/>
      <c r="Z288" s="272">
        <v>1600</v>
      </c>
      <c r="AA288" s="272">
        <v>2600</v>
      </c>
      <c r="AB288" s="273">
        <v>1900</v>
      </c>
      <c r="AC288" s="273">
        <v>2250</v>
      </c>
      <c r="AD288" s="274">
        <v>10</v>
      </c>
      <c r="AE288" s="274">
        <v>3.6</v>
      </c>
    </row>
    <row r="289" spans="1:31">
      <c r="A289" s="275"/>
      <c r="B289" s="276"/>
      <c r="C289" s="276" t="s">
        <v>78</v>
      </c>
      <c r="D289" s="123">
        <v>1778</v>
      </c>
      <c r="E289" s="123">
        <v>1656</v>
      </c>
      <c r="F289" s="123">
        <v>1620</v>
      </c>
      <c r="G289" s="123">
        <v>1615</v>
      </c>
      <c r="H289" s="123">
        <v>1631</v>
      </c>
      <c r="I289" s="123">
        <v>1675</v>
      </c>
      <c r="J289" s="123">
        <v>1813</v>
      </c>
      <c r="K289" s="123">
        <v>1757</v>
      </c>
      <c r="L289" s="123">
        <v>1650</v>
      </c>
      <c r="M289" s="123">
        <v>1624</v>
      </c>
      <c r="N289" s="123">
        <v>1621</v>
      </c>
      <c r="O289" s="123">
        <v>1655</v>
      </c>
      <c r="P289" s="123">
        <v>1762</v>
      </c>
      <c r="Q289" s="276"/>
      <c r="R289" s="276"/>
      <c r="S289" s="276"/>
      <c r="T289" s="276"/>
      <c r="U289" s="276"/>
      <c r="V289" s="277"/>
      <c r="W289" s="238"/>
      <c r="X289" s="270"/>
      <c r="Y289" s="271"/>
      <c r="Z289" s="278"/>
      <c r="AA289" s="278"/>
      <c r="AB289" s="278"/>
      <c r="AC289" s="278"/>
      <c r="AD289" s="279"/>
      <c r="AE289" s="279"/>
    </row>
    <row r="290" spans="1:31" ht="32.25" thickBot="1">
      <c r="A290" s="280"/>
      <c r="B290" s="281"/>
      <c r="C290" s="243" t="s">
        <v>221</v>
      </c>
      <c r="D290" s="282">
        <f t="shared" ref="D290:P290" si="92">IF(((D288="")*AND(D289="")),"",(D288-D289)*2)</f>
        <v>2114</v>
      </c>
      <c r="E290" s="282">
        <f t="shared" si="92"/>
        <v>2200</v>
      </c>
      <c r="F290" s="282">
        <f t="shared" si="92"/>
        <v>2210</v>
      </c>
      <c r="G290" s="282">
        <f t="shared" si="92"/>
        <v>2206</v>
      </c>
      <c r="H290" s="282">
        <f t="shared" si="92"/>
        <v>2220</v>
      </c>
      <c r="I290" s="282">
        <f t="shared" si="92"/>
        <v>2228</v>
      </c>
      <c r="J290" s="282">
        <f t="shared" si="92"/>
        <v>2120</v>
      </c>
      <c r="K290" s="282">
        <f t="shared" si="92"/>
        <v>2138</v>
      </c>
      <c r="L290" s="282">
        <f t="shared" si="92"/>
        <v>2220</v>
      </c>
      <c r="M290" s="282">
        <f t="shared" si="92"/>
        <v>2204</v>
      </c>
      <c r="N290" s="282">
        <f t="shared" si="92"/>
        <v>2208</v>
      </c>
      <c r="O290" s="282">
        <f t="shared" si="92"/>
        <v>2214</v>
      </c>
      <c r="P290" s="282">
        <f t="shared" si="92"/>
        <v>2100</v>
      </c>
      <c r="Q290" s="264"/>
      <c r="R290" s="281"/>
      <c r="S290" s="281"/>
      <c r="T290" s="281"/>
      <c r="U290" s="281"/>
      <c r="V290" s="283"/>
      <c r="W290" s="247"/>
      <c r="X290" s="270"/>
      <c r="Y290" s="271"/>
      <c r="Z290" s="278"/>
      <c r="AA290" s="278"/>
      <c r="AB290" s="278"/>
      <c r="AC290" s="278"/>
      <c r="AD290" s="279"/>
      <c r="AE290" s="279"/>
    </row>
    <row r="291" spans="1:31">
      <c r="A291" s="248">
        <v>43588</v>
      </c>
      <c r="B291" s="268" t="s">
        <v>76</v>
      </c>
      <c r="C291" s="269" t="s">
        <v>77</v>
      </c>
      <c r="D291" s="123">
        <v>2781.45</v>
      </c>
      <c r="E291" s="123">
        <v>2711.3</v>
      </c>
      <c r="F291" s="123">
        <v>2703.73</v>
      </c>
      <c r="G291" s="123">
        <v>2720.24</v>
      </c>
      <c r="H291" s="123">
        <v>2814.53</v>
      </c>
      <c r="I291" s="123">
        <v>2780.92</v>
      </c>
      <c r="J291" s="123">
        <v>2713.92</v>
      </c>
      <c r="K291" s="123">
        <v>2715.89</v>
      </c>
      <c r="L291" s="123">
        <v>2774.69</v>
      </c>
      <c r="M291" s="123">
        <v>2718.89</v>
      </c>
      <c r="N291" s="123">
        <v>2723.92</v>
      </c>
      <c r="O291" s="123">
        <v>2726.59</v>
      </c>
      <c r="P291" s="123">
        <v>2713.39</v>
      </c>
      <c r="Q291" s="269">
        <f>IF((P292=""),"",MAX(D293:P293))</f>
        <v>2170.1799999999998</v>
      </c>
      <c r="R291" s="269">
        <f>IF(P292="","",MIN(D293:P293))</f>
        <v>2123.1</v>
      </c>
      <c r="S291" s="269">
        <f>IF((P293=""),"",AVERAGE(D293:P293))</f>
        <v>2154.5292307692307</v>
      </c>
      <c r="T291" s="269">
        <f>IF((P292=""),"",STDEV(D293:P293))</f>
        <v>14.168562889685566</v>
      </c>
      <c r="U291" s="269">
        <f>IF((P292=""),"",((Q291-R291)/(Q291+R291))*100)</f>
        <v>1.0965974732605359</v>
      </c>
      <c r="V291" s="228" t="str">
        <f>IF(P292="","",IF(U291&lt;7.2,IF(S291&gt;AB291,IF(S291&lt;AC291,"Pass","Fail"),"Fail"),"Fail"))</f>
        <v>Pass</v>
      </c>
      <c r="W291" s="253">
        <v>1340</v>
      </c>
      <c r="X291" s="270"/>
      <c r="Y291" s="271"/>
      <c r="Z291" s="272">
        <v>1600</v>
      </c>
      <c r="AA291" s="272">
        <v>2600</v>
      </c>
      <c r="AB291" s="273">
        <v>1900</v>
      </c>
      <c r="AC291" s="273">
        <v>2250</v>
      </c>
      <c r="AD291" s="274">
        <v>10</v>
      </c>
      <c r="AE291" s="274">
        <v>3.6</v>
      </c>
    </row>
    <row r="292" spans="1:31">
      <c r="A292" s="275"/>
      <c r="B292" s="276"/>
      <c r="C292" s="276" t="s">
        <v>78</v>
      </c>
      <c r="D292" s="123">
        <v>1716.52</v>
      </c>
      <c r="E292" s="123">
        <v>1631.8</v>
      </c>
      <c r="F292" s="123">
        <v>1626.14</v>
      </c>
      <c r="G292" s="123">
        <v>1636.78</v>
      </c>
      <c r="H292" s="123">
        <v>1739.79</v>
      </c>
      <c r="I292" s="123">
        <v>1704.82</v>
      </c>
      <c r="J292" s="123">
        <v>1637.27</v>
      </c>
      <c r="K292" s="123">
        <v>1630.8</v>
      </c>
      <c r="L292" s="123">
        <v>1713.14</v>
      </c>
      <c r="M292" s="123">
        <v>1638.6</v>
      </c>
      <c r="N292" s="123">
        <v>1638.85</v>
      </c>
      <c r="O292" s="123">
        <v>1648.86</v>
      </c>
      <c r="P292" s="123">
        <v>1631.65</v>
      </c>
      <c r="Q292" s="276"/>
      <c r="R292" s="276"/>
      <c r="S292" s="276"/>
      <c r="T292" s="276"/>
      <c r="U292" s="276"/>
      <c r="V292" s="277"/>
      <c r="W292" s="238"/>
      <c r="X292" s="270"/>
      <c r="Y292" s="271"/>
      <c r="Z292" s="278"/>
      <c r="AA292" s="278"/>
      <c r="AB292" s="278"/>
      <c r="AC292" s="278"/>
      <c r="AD292" s="279"/>
      <c r="AE292" s="279"/>
    </row>
    <row r="293" spans="1:31" ht="32.25" thickBot="1">
      <c r="A293" s="280"/>
      <c r="B293" s="281"/>
      <c r="C293" s="243" t="s">
        <v>221</v>
      </c>
      <c r="D293" s="282">
        <f t="shared" ref="D293:P293" si="93">IF(((D291="")*AND(D292="")),"",(D291-D292)*2)</f>
        <v>2129.8599999999997</v>
      </c>
      <c r="E293" s="282">
        <f t="shared" si="93"/>
        <v>2159.0000000000005</v>
      </c>
      <c r="F293" s="282">
        <f t="shared" si="93"/>
        <v>2155.1799999999998</v>
      </c>
      <c r="G293" s="282">
        <f t="shared" si="93"/>
        <v>2166.9199999999996</v>
      </c>
      <c r="H293" s="282">
        <f t="shared" si="93"/>
        <v>2149.4800000000005</v>
      </c>
      <c r="I293" s="282">
        <f t="shared" si="93"/>
        <v>2152.2000000000003</v>
      </c>
      <c r="J293" s="282">
        <f t="shared" si="93"/>
        <v>2153.3000000000002</v>
      </c>
      <c r="K293" s="282">
        <f t="shared" si="93"/>
        <v>2170.1799999999998</v>
      </c>
      <c r="L293" s="282">
        <f t="shared" si="93"/>
        <v>2123.1</v>
      </c>
      <c r="M293" s="282">
        <f t="shared" si="93"/>
        <v>2160.58</v>
      </c>
      <c r="N293" s="282">
        <f t="shared" si="93"/>
        <v>2170.1400000000003</v>
      </c>
      <c r="O293" s="282">
        <f t="shared" si="93"/>
        <v>2155.4600000000005</v>
      </c>
      <c r="P293" s="282">
        <f t="shared" si="93"/>
        <v>2163.4799999999996</v>
      </c>
      <c r="Q293" s="264"/>
      <c r="R293" s="281"/>
      <c r="S293" s="281"/>
      <c r="T293" s="281"/>
      <c r="U293" s="281"/>
      <c r="V293" s="283"/>
      <c r="W293" s="247"/>
      <c r="X293" s="270"/>
      <c r="Y293" s="271"/>
      <c r="Z293" s="278"/>
      <c r="AA293" s="278"/>
      <c r="AB293" s="278"/>
      <c r="AC293" s="278"/>
      <c r="AD293" s="279"/>
      <c r="AE293" s="279"/>
    </row>
    <row r="294" spans="1:31">
      <c r="A294" s="248">
        <v>43591</v>
      </c>
      <c r="B294" s="268" t="s">
        <v>76</v>
      </c>
      <c r="C294" s="269" t="s">
        <v>77</v>
      </c>
      <c r="D294" s="123">
        <v>2778.39</v>
      </c>
      <c r="E294" s="123">
        <v>2723.78</v>
      </c>
      <c r="F294" s="123">
        <v>2722.26</v>
      </c>
      <c r="G294" s="123">
        <v>2732.54</v>
      </c>
      <c r="H294" s="123">
        <v>2814.7</v>
      </c>
      <c r="I294" s="123">
        <v>2822.21</v>
      </c>
      <c r="J294" s="123">
        <v>2731.52</v>
      </c>
      <c r="K294" s="123">
        <v>2721.8</v>
      </c>
      <c r="L294" s="123">
        <v>2784.06</v>
      </c>
      <c r="M294" s="123">
        <v>2741.16</v>
      </c>
      <c r="N294" s="123">
        <v>2731.01</v>
      </c>
      <c r="O294" s="123">
        <v>2747.23</v>
      </c>
      <c r="P294" s="123">
        <v>2734.54</v>
      </c>
      <c r="Q294" s="269">
        <f>IF((P295=""),"",MAX(D296:P296))</f>
        <v>2175.8599999999997</v>
      </c>
      <c r="R294" s="269">
        <f>IF(P295="","",MIN(D296:P296))</f>
        <v>2112.3399999999997</v>
      </c>
      <c r="S294" s="269">
        <f>IF((P296=""),"",AVERAGE(D296:P296))</f>
        <v>2156.395384615385</v>
      </c>
      <c r="T294" s="269">
        <f>IF((P295=""),"",STDEV(D296:P296))</f>
        <v>20.357857048072241</v>
      </c>
      <c r="U294" s="269">
        <f>IF((P295=""),"",((Q294-R294)/(Q294+R294))*100)</f>
        <v>1.4812741943006389</v>
      </c>
      <c r="V294" s="228" t="str">
        <f>IF(P295="","",IF(U294&lt;7.2,IF(S294&gt;AB294,IF(S294&lt;AC294,"Pass","Fail"),"Fail"),"Fail"))</f>
        <v>Pass</v>
      </c>
      <c r="W294" s="284" t="s">
        <v>159</v>
      </c>
      <c r="X294" s="270"/>
      <c r="Y294" s="271"/>
      <c r="Z294" s="272">
        <v>1600</v>
      </c>
      <c r="AA294" s="272">
        <v>2600</v>
      </c>
      <c r="AB294" s="273">
        <v>1900</v>
      </c>
      <c r="AC294" s="273">
        <v>2250</v>
      </c>
      <c r="AD294" s="274">
        <v>10</v>
      </c>
      <c r="AE294" s="274">
        <v>3.6</v>
      </c>
    </row>
    <row r="295" spans="1:31">
      <c r="A295" s="275"/>
      <c r="B295" s="276"/>
      <c r="C295" s="276" t="s">
        <v>78</v>
      </c>
      <c r="D295" s="123">
        <v>1722.22</v>
      </c>
      <c r="E295" s="123">
        <v>1645.93</v>
      </c>
      <c r="F295" s="123">
        <v>1640.69</v>
      </c>
      <c r="G295" s="123">
        <v>1645.24</v>
      </c>
      <c r="H295" s="123">
        <v>1732.8</v>
      </c>
      <c r="I295" s="123">
        <v>1745.44</v>
      </c>
      <c r="J295" s="123">
        <v>1652.18</v>
      </c>
      <c r="K295" s="123">
        <v>1642.5</v>
      </c>
      <c r="L295" s="123">
        <v>1726.87</v>
      </c>
      <c r="M295" s="123">
        <v>1653.23</v>
      </c>
      <c r="N295" s="123">
        <v>1647.51</v>
      </c>
      <c r="O295" s="123">
        <v>1666.26</v>
      </c>
      <c r="P295" s="123">
        <v>1647.76</v>
      </c>
      <c r="Q295" s="276"/>
      <c r="R295" s="276"/>
      <c r="S295" s="276"/>
      <c r="T295" s="276"/>
      <c r="U295" s="276"/>
      <c r="V295" s="277"/>
      <c r="W295" s="238"/>
      <c r="X295" s="270"/>
      <c r="Y295" s="271"/>
      <c r="Z295" s="278"/>
      <c r="AA295" s="278"/>
      <c r="AB295" s="278"/>
      <c r="AC295" s="278"/>
      <c r="AD295" s="279"/>
      <c r="AE295" s="279"/>
    </row>
    <row r="296" spans="1:31" ht="32.25" thickBot="1">
      <c r="A296" s="280"/>
      <c r="B296" s="281"/>
      <c r="C296" s="243" t="s">
        <v>221</v>
      </c>
      <c r="D296" s="282">
        <f t="shared" ref="D296:P296" si="94">IF(((D294="")*AND(D295="")),"",(D294-D295)*2)</f>
        <v>2112.3399999999997</v>
      </c>
      <c r="E296" s="282">
        <f t="shared" si="94"/>
        <v>2155.7000000000003</v>
      </c>
      <c r="F296" s="282">
        <f t="shared" si="94"/>
        <v>2163.1400000000003</v>
      </c>
      <c r="G296" s="282">
        <f t="shared" si="94"/>
        <v>2174.6</v>
      </c>
      <c r="H296" s="282">
        <f t="shared" si="94"/>
        <v>2163.7999999999997</v>
      </c>
      <c r="I296" s="282">
        <f t="shared" si="94"/>
        <v>2153.54</v>
      </c>
      <c r="J296" s="282">
        <f t="shared" si="94"/>
        <v>2158.6799999999998</v>
      </c>
      <c r="K296" s="282">
        <f t="shared" si="94"/>
        <v>2158.6000000000004</v>
      </c>
      <c r="L296" s="282">
        <f t="shared" si="94"/>
        <v>2114.38</v>
      </c>
      <c r="M296" s="282">
        <f t="shared" si="94"/>
        <v>2175.8599999999997</v>
      </c>
      <c r="N296" s="282">
        <f t="shared" si="94"/>
        <v>2167.0000000000005</v>
      </c>
      <c r="O296" s="282">
        <f t="shared" si="94"/>
        <v>2161.94</v>
      </c>
      <c r="P296" s="282">
        <f t="shared" si="94"/>
        <v>2173.56</v>
      </c>
      <c r="Q296" s="264"/>
      <c r="R296" s="281"/>
      <c r="S296" s="281"/>
      <c r="T296" s="281"/>
      <c r="U296" s="281"/>
      <c r="V296" s="283"/>
      <c r="W296" s="247"/>
      <c r="X296" s="270"/>
      <c r="Y296" s="271"/>
      <c r="Z296" s="278"/>
      <c r="AA296" s="278"/>
      <c r="AB296" s="278"/>
      <c r="AC296" s="278"/>
      <c r="AD296" s="279"/>
      <c r="AE296" s="279"/>
    </row>
    <row r="297" spans="1:31">
      <c r="A297" s="248">
        <v>43598</v>
      </c>
      <c r="B297" s="268" t="s">
        <v>76</v>
      </c>
      <c r="C297" s="269" t="s">
        <v>77</v>
      </c>
      <c r="D297" s="123">
        <v>2781.21</v>
      </c>
      <c r="E297" s="123">
        <v>2716.55</v>
      </c>
      <c r="F297" s="123">
        <v>2712.96</v>
      </c>
      <c r="G297" s="123">
        <v>2723.2</v>
      </c>
      <c r="H297" s="123">
        <v>2815.84</v>
      </c>
      <c r="I297" s="123">
        <v>2804.83</v>
      </c>
      <c r="J297" s="123">
        <v>2722.69</v>
      </c>
      <c r="K297" s="123">
        <v>2712.72</v>
      </c>
      <c r="L297" s="123">
        <v>2771.63</v>
      </c>
      <c r="M297" s="123">
        <v>2728.22</v>
      </c>
      <c r="N297" s="123">
        <v>2730.65</v>
      </c>
      <c r="O297" s="123">
        <v>2736.39</v>
      </c>
      <c r="P297" s="123">
        <v>2717.33</v>
      </c>
      <c r="Q297" s="269">
        <f>IF((P298=""),"",MAX(D299:P299))</f>
        <v>2250.42</v>
      </c>
      <c r="R297" s="269">
        <f>IF(P298="","",MIN(D299:P299))</f>
        <v>2065.2600000000002</v>
      </c>
      <c r="S297" s="269">
        <f>IF((P299=""),"",AVERAGE(D299:P299))</f>
        <v>2115.6492307692311</v>
      </c>
      <c r="T297" s="269">
        <f>IF((P298=""),"",STDEV(D299:P299))</f>
        <v>43.177943918459597</v>
      </c>
      <c r="U297" s="269">
        <f>IF((P298=""),"",((Q297-R297)/(Q297+R297))*100)</f>
        <v>4.2904015126237312</v>
      </c>
      <c r="V297" s="228" t="str">
        <f>IF(P298="","",IF(U297&lt;7.2,IF(S297&gt;AB297,IF(S297&lt;AC297,"Pass","Fail"),"Fail"),"Fail"))</f>
        <v>Pass</v>
      </c>
      <c r="W297" s="284">
        <v>1335</v>
      </c>
      <c r="X297" s="270" t="s">
        <v>160</v>
      </c>
      <c r="Y297" s="271"/>
      <c r="Z297" s="272">
        <v>1600</v>
      </c>
      <c r="AA297" s="272">
        <v>2600</v>
      </c>
      <c r="AB297" s="273">
        <v>1900</v>
      </c>
      <c r="AC297" s="273">
        <v>2250</v>
      </c>
      <c r="AD297" s="274">
        <v>10</v>
      </c>
      <c r="AE297" s="274">
        <v>3.6</v>
      </c>
    </row>
    <row r="298" spans="1:31">
      <c r="A298" s="275"/>
      <c r="B298" s="276"/>
      <c r="C298" s="276" t="s">
        <v>78</v>
      </c>
      <c r="D298" s="123">
        <v>1656</v>
      </c>
      <c r="E298" s="123">
        <v>1659.36</v>
      </c>
      <c r="F298" s="123">
        <v>1657.1</v>
      </c>
      <c r="G298" s="123">
        <v>1667.7</v>
      </c>
      <c r="H298" s="123">
        <v>1768.96</v>
      </c>
      <c r="I298" s="123">
        <v>1755.04</v>
      </c>
      <c r="J298" s="123">
        <v>1668.06</v>
      </c>
      <c r="K298" s="123">
        <v>1657.65</v>
      </c>
      <c r="L298" s="123">
        <v>1739</v>
      </c>
      <c r="M298" s="123">
        <v>1671.76</v>
      </c>
      <c r="N298" s="123">
        <v>1667.7</v>
      </c>
      <c r="O298" s="123">
        <v>1681.72</v>
      </c>
      <c r="P298" s="123">
        <v>1672.45</v>
      </c>
      <c r="Q298" s="276"/>
      <c r="R298" s="276"/>
      <c r="S298" s="276"/>
      <c r="T298" s="276"/>
      <c r="U298" s="276"/>
      <c r="V298" s="277"/>
      <c r="W298" s="238"/>
      <c r="X298" s="270"/>
      <c r="Y298" s="271"/>
      <c r="Z298" s="278"/>
      <c r="AA298" s="278"/>
      <c r="AB298" s="278"/>
      <c r="AC298" s="278"/>
      <c r="AD298" s="279"/>
      <c r="AE298" s="279"/>
    </row>
    <row r="299" spans="1:31" ht="32.25" thickBot="1">
      <c r="A299" s="280"/>
      <c r="B299" s="281"/>
      <c r="C299" s="243" t="s">
        <v>221</v>
      </c>
      <c r="D299" s="282">
        <f t="shared" ref="D299:P299" si="95">IF(((D297="")*AND(D298="")),"",(D297-D298)*2)</f>
        <v>2250.42</v>
      </c>
      <c r="E299" s="282">
        <f t="shared" si="95"/>
        <v>2114.3800000000006</v>
      </c>
      <c r="F299" s="282">
        <f t="shared" si="95"/>
        <v>2111.7200000000003</v>
      </c>
      <c r="G299" s="282">
        <f t="shared" si="95"/>
        <v>2110.9999999999995</v>
      </c>
      <c r="H299" s="282">
        <f t="shared" si="95"/>
        <v>2093.7600000000002</v>
      </c>
      <c r="I299" s="282">
        <f t="shared" si="95"/>
        <v>2099.58</v>
      </c>
      <c r="J299" s="282">
        <f t="shared" si="95"/>
        <v>2109.2600000000002</v>
      </c>
      <c r="K299" s="282">
        <f t="shared" si="95"/>
        <v>2110.1399999999994</v>
      </c>
      <c r="L299" s="282">
        <f t="shared" si="95"/>
        <v>2065.2600000000002</v>
      </c>
      <c r="M299" s="282">
        <f t="shared" si="95"/>
        <v>2112.9199999999996</v>
      </c>
      <c r="N299" s="282">
        <f t="shared" si="95"/>
        <v>2125.9</v>
      </c>
      <c r="O299" s="282">
        <f t="shared" si="95"/>
        <v>2109.3399999999997</v>
      </c>
      <c r="P299" s="282">
        <f t="shared" si="95"/>
        <v>2089.7599999999998</v>
      </c>
      <c r="Q299" s="264"/>
      <c r="R299" s="281"/>
      <c r="S299" s="281"/>
      <c r="T299" s="281"/>
      <c r="U299" s="281"/>
      <c r="V299" s="283"/>
      <c r="W299" s="247"/>
      <c r="X299" s="270"/>
      <c r="Y299" s="271"/>
      <c r="Z299" s="278"/>
      <c r="AA299" s="278"/>
      <c r="AB299" s="278"/>
      <c r="AC299" s="278"/>
      <c r="AD299" s="279"/>
      <c r="AE299" s="279"/>
    </row>
    <row r="300" spans="1:31">
      <c r="A300" s="248">
        <v>43601</v>
      </c>
      <c r="B300" s="268" t="s">
        <v>76</v>
      </c>
      <c r="C300" s="269" t="s">
        <v>77</v>
      </c>
      <c r="D300" s="123">
        <v>2787.53</v>
      </c>
      <c r="E300" s="123">
        <v>2727.14</v>
      </c>
      <c r="F300" s="123">
        <v>2728.6</v>
      </c>
      <c r="G300" s="123">
        <v>2738.26</v>
      </c>
      <c r="H300" s="123">
        <v>2827.72</v>
      </c>
      <c r="I300" s="123">
        <v>2822.5</v>
      </c>
      <c r="J300" s="123">
        <v>2743.53</v>
      </c>
      <c r="K300" s="123">
        <v>2731.05</v>
      </c>
      <c r="L300" s="123">
        <v>2786.27</v>
      </c>
      <c r="M300" s="123">
        <v>2740.57</v>
      </c>
      <c r="N300" s="123">
        <v>2741.02</v>
      </c>
      <c r="O300" s="123">
        <v>2760.58</v>
      </c>
      <c r="P300" s="123">
        <v>2734.52</v>
      </c>
      <c r="Q300" s="269">
        <f>IF((P301=""),"",MAX(D302:P302))</f>
        <v>2106.56</v>
      </c>
      <c r="R300" s="269">
        <f>IF(P301="","",MIN(D302:P302))</f>
        <v>2054.5600000000004</v>
      </c>
      <c r="S300" s="269">
        <f>IF((P302=""),"",AVERAGE(D302:P302))</f>
        <v>2084.9123076923074</v>
      </c>
      <c r="T300" s="269">
        <f>IF((P301=""),"",STDEV(D302:P302))</f>
        <v>16.166062267316903</v>
      </c>
      <c r="U300" s="269">
        <f>IF((P301=""),"",((Q300-R300)/(Q300+R300))*100)</f>
        <v>1.2496635521205719</v>
      </c>
      <c r="V300" s="228" t="str">
        <f>IF(P301="","",IF(U300&lt;7.2,IF(S300&gt;AB300,IF(S300&lt;AC300,"Pass","Fail"),"Fail"),"Fail"))</f>
        <v>Pass</v>
      </c>
      <c r="W300" s="284">
        <v>74</v>
      </c>
      <c r="X300" s="270"/>
      <c r="Y300" s="271"/>
      <c r="Z300" s="272">
        <v>1600</v>
      </c>
      <c r="AA300" s="272">
        <v>2600</v>
      </c>
      <c r="AB300" s="273">
        <v>1900</v>
      </c>
      <c r="AC300" s="273">
        <v>2250</v>
      </c>
      <c r="AD300" s="274">
        <v>10</v>
      </c>
      <c r="AE300" s="274">
        <v>3.6</v>
      </c>
    </row>
    <row r="301" spans="1:31">
      <c r="A301" s="275"/>
      <c r="B301" s="276"/>
      <c r="C301" s="276" t="s">
        <v>78</v>
      </c>
      <c r="D301" s="123">
        <v>1760.25</v>
      </c>
      <c r="E301" s="123">
        <v>1687.41</v>
      </c>
      <c r="F301" s="123">
        <v>1685.45</v>
      </c>
      <c r="G301" s="123">
        <v>1696.11</v>
      </c>
      <c r="H301" s="123">
        <v>1784.41</v>
      </c>
      <c r="I301" s="123">
        <v>1769.22</v>
      </c>
      <c r="J301" s="123">
        <v>1694.71</v>
      </c>
      <c r="K301" s="123">
        <v>1685.63</v>
      </c>
      <c r="L301" s="123">
        <v>1756.65</v>
      </c>
      <c r="M301" s="123">
        <v>1702.32</v>
      </c>
      <c r="N301" s="123">
        <v>1689.66</v>
      </c>
      <c r="O301" s="123">
        <v>1708.52</v>
      </c>
      <c r="P301" s="123">
        <v>1697.02</v>
      </c>
      <c r="Q301" s="276"/>
      <c r="R301" s="276"/>
      <c r="S301" s="276"/>
      <c r="T301" s="276"/>
      <c r="U301" s="276"/>
      <c r="V301" s="277"/>
      <c r="W301" s="238"/>
      <c r="X301" s="270"/>
      <c r="Y301" s="271"/>
      <c r="Z301" s="278"/>
      <c r="AA301" s="278"/>
      <c r="AB301" s="278"/>
      <c r="AC301" s="278"/>
      <c r="AD301" s="279"/>
      <c r="AE301" s="279"/>
    </row>
    <row r="302" spans="1:31" ht="32.25" thickBot="1">
      <c r="A302" s="280"/>
      <c r="B302" s="281"/>
      <c r="C302" s="243" t="s">
        <v>221</v>
      </c>
      <c r="D302" s="282">
        <f t="shared" ref="D302:P302" si="96">IF(((D300="")*AND(D301="")),"",(D300-D301)*2)</f>
        <v>2054.5600000000004</v>
      </c>
      <c r="E302" s="282">
        <f t="shared" si="96"/>
        <v>2079.4599999999996</v>
      </c>
      <c r="F302" s="282">
        <f t="shared" si="96"/>
        <v>2086.2999999999997</v>
      </c>
      <c r="G302" s="282">
        <f t="shared" si="96"/>
        <v>2084.3000000000006</v>
      </c>
      <c r="H302" s="282">
        <f t="shared" si="96"/>
        <v>2086.6199999999994</v>
      </c>
      <c r="I302" s="282">
        <f t="shared" si="96"/>
        <v>2106.56</v>
      </c>
      <c r="J302" s="282">
        <f t="shared" si="96"/>
        <v>2097.6400000000003</v>
      </c>
      <c r="K302" s="282">
        <f t="shared" si="96"/>
        <v>2090.84</v>
      </c>
      <c r="L302" s="282">
        <f t="shared" si="96"/>
        <v>2059.2399999999998</v>
      </c>
      <c r="M302" s="282">
        <f t="shared" si="96"/>
        <v>2076.5000000000005</v>
      </c>
      <c r="N302" s="282">
        <f t="shared" si="96"/>
        <v>2102.7199999999998</v>
      </c>
      <c r="O302" s="282">
        <f t="shared" si="96"/>
        <v>2104.12</v>
      </c>
      <c r="P302" s="282">
        <f t="shared" si="96"/>
        <v>2075</v>
      </c>
      <c r="Q302" s="264"/>
      <c r="R302" s="281"/>
      <c r="S302" s="281"/>
      <c r="T302" s="281"/>
      <c r="U302" s="281"/>
      <c r="V302" s="283"/>
      <c r="W302" s="247"/>
      <c r="X302" s="270"/>
      <c r="Y302" s="271"/>
      <c r="Z302" s="278"/>
      <c r="AA302" s="278"/>
      <c r="AB302" s="278"/>
      <c r="AC302" s="278"/>
      <c r="AD302" s="279"/>
      <c r="AE302" s="279"/>
    </row>
    <row r="303" spans="1:31">
      <c r="A303" s="248">
        <v>43603</v>
      </c>
      <c r="B303" s="268" t="s">
        <v>76</v>
      </c>
      <c r="C303" s="269" t="s">
        <v>77</v>
      </c>
      <c r="D303" s="123">
        <v>2841.61</v>
      </c>
      <c r="E303" s="123">
        <v>2749.43</v>
      </c>
      <c r="F303" s="123">
        <v>2735.49</v>
      </c>
      <c r="G303" s="123">
        <v>2741.86</v>
      </c>
      <c r="H303" s="123">
        <v>2816.82</v>
      </c>
      <c r="I303" s="123">
        <v>2805.02</v>
      </c>
      <c r="J303" s="123">
        <v>2746.15</v>
      </c>
      <c r="K303" s="123">
        <v>2746.9</v>
      </c>
      <c r="L303" s="123">
        <v>2812.16</v>
      </c>
      <c r="M303" s="123">
        <v>2761.01</v>
      </c>
      <c r="N303" s="123">
        <v>2748.76</v>
      </c>
      <c r="O303" s="123">
        <v>2746.2</v>
      </c>
      <c r="P303" s="123">
        <v>2761.75</v>
      </c>
      <c r="Q303" s="269">
        <f>IF((P304=""),"",MAX(D305:P305))</f>
        <v>2114.5000000000005</v>
      </c>
      <c r="R303" s="269">
        <f>IF(P304="","",MIN(D305:P305))</f>
        <v>2052.44</v>
      </c>
      <c r="S303" s="269">
        <f>IF((P305=""),"",AVERAGE(D305:P305))</f>
        <v>2090.7938461538465</v>
      </c>
      <c r="T303" s="269">
        <f>IF((P304=""),"",STDEV(D305:P305))</f>
        <v>15.774169570567837</v>
      </c>
      <c r="U303" s="269">
        <f>IF((P304=""),"",((Q303-R303)/(Q303+R303))*100)</f>
        <v>1.4893422991451855</v>
      </c>
      <c r="V303" s="228" t="str">
        <f>IF(P304="","",IF(U303&lt;7.2,IF(S303&gt;AB303,IF(S303&lt;AC303,"Pass","Fail"),"Fail"),"Fail"))</f>
        <v>Pass</v>
      </c>
      <c r="W303" s="284">
        <v>1335</v>
      </c>
      <c r="X303" s="270"/>
      <c r="Y303" s="271"/>
      <c r="Z303" s="272">
        <v>1600</v>
      </c>
      <c r="AA303" s="272">
        <v>2600</v>
      </c>
      <c r="AB303" s="273">
        <v>1900</v>
      </c>
      <c r="AC303" s="273">
        <v>2250</v>
      </c>
      <c r="AD303" s="274">
        <v>10</v>
      </c>
      <c r="AE303" s="274">
        <v>3.6</v>
      </c>
    </row>
    <row r="304" spans="1:31">
      <c r="A304" s="275"/>
      <c r="B304" s="276"/>
      <c r="C304" s="276" t="s">
        <v>78</v>
      </c>
      <c r="D304" s="123">
        <v>1815.39</v>
      </c>
      <c r="E304" s="123">
        <v>1706.49</v>
      </c>
      <c r="F304" s="123">
        <v>1695.06</v>
      </c>
      <c r="G304" s="123">
        <v>1692.27</v>
      </c>
      <c r="H304" s="123">
        <v>1773.57</v>
      </c>
      <c r="I304" s="123">
        <v>1760.3</v>
      </c>
      <c r="J304" s="123">
        <v>1697.45</v>
      </c>
      <c r="K304" s="123">
        <v>1695.14</v>
      </c>
      <c r="L304" s="123">
        <v>1775.25</v>
      </c>
      <c r="M304" s="123">
        <v>1710.89</v>
      </c>
      <c r="N304" s="123">
        <v>1691.51</v>
      </c>
      <c r="O304" s="123">
        <v>1694.7</v>
      </c>
      <c r="P304" s="123">
        <v>1714.98</v>
      </c>
      <c r="Q304" s="276"/>
      <c r="R304" s="276"/>
      <c r="S304" s="276"/>
      <c r="T304" s="276"/>
      <c r="U304" s="276"/>
      <c r="V304" s="277"/>
      <c r="W304" s="238"/>
      <c r="X304" s="270"/>
      <c r="Y304" s="271"/>
      <c r="Z304" s="278"/>
      <c r="AA304" s="278"/>
      <c r="AB304" s="278"/>
      <c r="AC304" s="278"/>
      <c r="AD304" s="279"/>
      <c r="AE304" s="279"/>
    </row>
    <row r="305" spans="1:32" ht="32.25" thickBot="1">
      <c r="A305" s="280"/>
      <c r="B305" s="281"/>
      <c r="C305" s="243" t="s">
        <v>221</v>
      </c>
      <c r="D305" s="282">
        <f t="shared" ref="D305:P305" si="97">IF(((D303="")*AND(D304="")),"",(D303-D304)*2)</f>
        <v>2052.44</v>
      </c>
      <c r="E305" s="282">
        <f t="shared" si="97"/>
        <v>2085.8799999999997</v>
      </c>
      <c r="F305" s="282">
        <f t="shared" si="97"/>
        <v>2080.8599999999997</v>
      </c>
      <c r="G305" s="282">
        <f t="shared" si="97"/>
        <v>2099.1800000000003</v>
      </c>
      <c r="H305" s="282">
        <f t="shared" si="97"/>
        <v>2086.5000000000005</v>
      </c>
      <c r="I305" s="282">
        <f t="shared" si="97"/>
        <v>2089.44</v>
      </c>
      <c r="J305" s="282">
        <f t="shared" si="97"/>
        <v>2097.4</v>
      </c>
      <c r="K305" s="282">
        <f t="shared" si="97"/>
        <v>2103.52</v>
      </c>
      <c r="L305" s="282">
        <f t="shared" si="97"/>
        <v>2073.8199999999997</v>
      </c>
      <c r="M305" s="282">
        <f t="shared" si="97"/>
        <v>2100.2400000000002</v>
      </c>
      <c r="N305" s="282">
        <f t="shared" si="97"/>
        <v>2114.5000000000005</v>
      </c>
      <c r="O305" s="282">
        <f t="shared" si="97"/>
        <v>2102.9999999999995</v>
      </c>
      <c r="P305" s="282">
        <f t="shared" si="97"/>
        <v>2093.54</v>
      </c>
      <c r="Q305" s="264"/>
      <c r="R305" s="281"/>
      <c r="S305" s="281"/>
      <c r="T305" s="281"/>
      <c r="U305" s="281"/>
      <c r="V305" s="283"/>
      <c r="W305" s="247"/>
      <c r="X305" s="270"/>
      <c r="Y305" s="271"/>
      <c r="Z305" s="278"/>
      <c r="AA305" s="278"/>
      <c r="AB305" s="278"/>
      <c r="AC305" s="278"/>
      <c r="AD305" s="279"/>
      <c r="AE305" s="279"/>
    </row>
    <row r="306" spans="1:32">
      <c r="A306" s="248">
        <v>43605</v>
      </c>
      <c r="B306" s="268" t="s">
        <v>76</v>
      </c>
      <c r="C306" s="269" t="s">
        <v>77</v>
      </c>
      <c r="D306" s="123">
        <v>2794.31</v>
      </c>
      <c r="E306" s="123">
        <v>2729.19</v>
      </c>
      <c r="F306" s="123">
        <v>2733.41</v>
      </c>
      <c r="G306" s="123">
        <v>2743.58</v>
      </c>
      <c r="H306" s="123">
        <v>2837.07</v>
      </c>
      <c r="I306" s="123">
        <v>2792.92</v>
      </c>
      <c r="J306" s="123">
        <v>2737.03</v>
      </c>
      <c r="K306" s="123">
        <v>2735.12</v>
      </c>
      <c r="L306" s="123">
        <v>2807.25</v>
      </c>
      <c r="M306" s="123">
        <v>2738.51</v>
      </c>
      <c r="N306" s="123">
        <v>2751.15</v>
      </c>
      <c r="O306" s="123">
        <v>2751.58</v>
      </c>
      <c r="P306" s="123">
        <v>2737.22</v>
      </c>
      <c r="Q306" s="269">
        <f>IF((P307=""),"",MAX(D308:P308))</f>
        <v>2128.2799999999997</v>
      </c>
      <c r="R306" s="269">
        <f>IF(P307="","",MIN(D308:P308))</f>
        <v>2081.4</v>
      </c>
      <c r="S306" s="269">
        <f>IF((P308=""),"",AVERAGE(D308:P308))</f>
        <v>2114.1569230769228</v>
      </c>
      <c r="T306" s="269">
        <f>IF((P307=""),"",STDEV(D308:P308))</f>
        <v>14.750714889237956</v>
      </c>
      <c r="U306" s="269">
        <f>IF((P307=""),"",((Q306-R306)/(Q306+R306))*100)</f>
        <v>1.1136238383915082</v>
      </c>
      <c r="V306" s="228" t="str">
        <f>IF(P307="","",IF(U306&lt;7.2,IF(S306&gt;AB306,IF(S306&lt;AC306,"Pass","Fail"),"Fail"),"Fail"))</f>
        <v>Pass</v>
      </c>
      <c r="W306" s="284">
        <v>102</v>
      </c>
      <c r="X306" s="270" t="s">
        <v>161</v>
      </c>
      <c r="Y306" s="271"/>
      <c r="Z306" s="272">
        <v>1600</v>
      </c>
      <c r="AA306" s="272">
        <v>2600</v>
      </c>
      <c r="AB306" s="273">
        <v>1900</v>
      </c>
      <c r="AC306" s="273">
        <v>2250</v>
      </c>
      <c r="AD306" s="274">
        <v>10</v>
      </c>
      <c r="AE306" s="274">
        <v>3.6</v>
      </c>
    </row>
    <row r="307" spans="1:32">
      <c r="A307" s="275"/>
      <c r="B307" s="276"/>
      <c r="C307" s="276" t="s">
        <v>78</v>
      </c>
      <c r="D307" s="123">
        <v>1753.61</v>
      </c>
      <c r="E307" s="123">
        <v>1676.98</v>
      </c>
      <c r="F307" s="123">
        <v>1671.38</v>
      </c>
      <c r="G307" s="123">
        <v>1682.49</v>
      </c>
      <c r="H307" s="123">
        <v>1775.49</v>
      </c>
      <c r="I307" s="123">
        <v>1741.25</v>
      </c>
      <c r="J307" s="123">
        <v>1674.82</v>
      </c>
      <c r="K307" s="123">
        <v>1670.98</v>
      </c>
      <c r="L307" s="123">
        <v>1758.87</v>
      </c>
      <c r="M307" s="123">
        <v>1686.61</v>
      </c>
      <c r="N307" s="123">
        <v>1687.42</v>
      </c>
      <c r="O307" s="123">
        <v>1687.75</v>
      </c>
      <c r="P307" s="123">
        <v>1678.67</v>
      </c>
      <c r="Q307" s="276"/>
      <c r="R307" s="276"/>
      <c r="S307" s="276"/>
      <c r="T307" s="276"/>
      <c r="U307" s="276"/>
      <c r="V307" s="277"/>
      <c r="W307" s="238"/>
      <c r="X307" s="270"/>
      <c r="Y307" s="271"/>
      <c r="Z307" s="271"/>
      <c r="AA307" s="278"/>
      <c r="AB307" s="278"/>
      <c r="AC307" s="278"/>
      <c r="AD307" s="278"/>
      <c r="AE307" s="279"/>
      <c r="AF307" s="279"/>
    </row>
    <row r="308" spans="1:32" ht="32.25" thickBot="1">
      <c r="A308" s="280"/>
      <c r="B308" s="281"/>
      <c r="C308" s="243" t="s">
        <v>221</v>
      </c>
      <c r="D308" s="282">
        <f t="shared" ref="D308:P308" si="98">IF(((D306="")*AND(D307="")),"",(D306-D307)*2)</f>
        <v>2081.4</v>
      </c>
      <c r="E308" s="282">
        <f t="shared" si="98"/>
        <v>2104.42</v>
      </c>
      <c r="F308" s="282">
        <f t="shared" si="98"/>
        <v>2124.0599999999995</v>
      </c>
      <c r="G308" s="282">
        <f t="shared" si="98"/>
        <v>2122.1799999999998</v>
      </c>
      <c r="H308" s="282">
        <f t="shared" si="98"/>
        <v>2123.1600000000003</v>
      </c>
      <c r="I308" s="282">
        <f t="shared" si="98"/>
        <v>2103.34</v>
      </c>
      <c r="J308" s="282">
        <f t="shared" si="98"/>
        <v>2124.4200000000005</v>
      </c>
      <c r="K308" s="282">
        <f t="shared" si="98"/>
        <v>2128.2799999999997</v>
      </c>
      <c r="L308" s="282">
        <f t="shared" si="98"/>
        <v>2096.7600000000002</v>
      </c>
      <c r="M308" s="282">
        <f t="shared" si="98"/>
        <v>2103.8000000000006</v>
      </c>
      <c r="N308" s="282">
        <f t="shared" si="98"/>
        <v>2127.46</v>
      </c>
      <c r="O308" s="282">
        <f t="shared" si="98"/>
        <v>2127.66</v>
      </c>
      <c r="P308" s="282">
        <f t="shared" si="98"/>
        <v>2117.0999999999995</v>
      </c>
      <c r="Q308" s="264"/>
      <c r="R308" s="281"/>
      <c r="S308" s="281"/>
      <c r="T308" s="281"/>
      <c r="U308" s="281"/>
      <c r="V308" s="283"/>
      <c r="W308" s="247"/>
      <c r="X308" s="270"/>
      <c r="Y308" s="271"/>
      <c r="Z308" s="271"/>
      <c r="AA308" s="278"/>
      <c r="AB308" s="278"/>
      <c r="AC308" s="278"/>
      <c r="AD308" s="278"/>
      <c r="AE308" s="279"/>
      <c r="AF308" s="279"/>
    </row>
    <row r="309" spans="1:32">
      <c r="A309" s="248">
        <v>43608</v>
      </c>
      <c r="B309" s="268" t="s">
        <v>76</v>
      </c>
      <c r="C309" s="269" t="s">
        <v>77</v>
      </c>
      <c r="D309" s="123">
        <v>2807.08</v>
      </c>
      <c r="E309" s="123">
        <v>2746.5</v>
      </c>
      <c r="F309" s="123">
        <v>2734.86</v>
      </c>
      <c r="G309" s="123">
        <v>2741.61</v>
      </c>
      <c r="H309" s="123">
        <v>2804.66</v>
      </c>
      <c r="I309" s="123">
        <v>2851.16</v>
      </c>
      <c r="J309" s="123">
        <v>2754.36</v>
      </c>
      <c r="K309" s="123">
        <v>2740.42</v>
      </c>
      <c r="L309" s="123">
        <v>2814.09</v>
      </c>
      <c r="M309" s="123">
        <v>2767.53</v>
      </c>
      <c r="N309" s="123">
        <v>2752.24</v>
      </c>
      <c r="O309" s="123">
        <v>2763.62</v>
      </c>
      <c r="P309" s="123">
        <v>2752.65</v>
      </c>
      <c r="Q309" s="269">
        <f>IF((P310=""),"",MAX(D311:P311))</f>
        <v>2171.3799999999997</v>
      </c>
      <c r="R309" s="269">
        <f>IF(P310="","",MIN(D311:P311))</f>
        <v>2105.7799999999997</v>
      </c>
      <c r="S309" s="269">
        <f>IF((P311=""),"",AVERAGE(D311:P311))</f>
        <v>2142.0076923076927</v>
      </c>
      <c r="T309" s="269">
        <f>IF((P310=""),"",STDEV(D311:P311))</f>
        <v>17.580313873689263</v>
      </c>
      <c r="U309" s="269">
        <f>IF((P310=""),"",((Q309-R309)/(Q309+R309))*100)</f>
        <v>1.5337279877301739</v>
      </c>
      <c r="V309" s="228" t="str">
        <f>IF(P310="","",IF(U309&lt;7.2,IF(S309&gt;AB309,IF(S309&lt;AC309,"Pass","Fail"),"Fail"),"Fail"))</f>
        <v>Pass</v>
      </c>
      <c r="W309" s="284">
        <v>1159</v>
      </c>
      <c r="X309" s="270" t="s">
        <v>169</v>
      </c>
      <c r="Y309" s="271"/>
      <c r="Z309" s="272">
        <v>1600</v>
      </c>
      <c r="AA309" s="272">
        <v>2600</v>
      </c>
      <c r="AB309" s="273">
        <v>1900</v>
      </c>
      <c r="AC309" s="273">
        <v>2250</v>
      </c>
      <c r="AD309" s="274">
        <v>10</v>
      </c>
      <c r="AE309" s="274">
        <v>3.6</v>
      </c>
    </row>
    <row r="310" spans="1:32">
      <c r="A310" s="275"/>
      <c r="B310" s="276"/>
      <c r="C310" s="276" t="s">
        <v>78</v>
      </c>
      <c r="D310" s="123">
        <v>1754.19</v>
      </c>
      <c r="E310" s="123">
        <v>1677.9</v>
      </c>
      <c r="F310" s="123">
        <v>1666.74</v>
      </c>
      <c r="G310" s="123">
        <v>1666.22</v>
      </c>
      <c r="H310" s="123">
        <v>1733.9</v>
      </c>
      <c r="I310" s="123">
        <v>1765.47</v>
      </c>
      <c r="J310" s="123">
        <v>1681.05</v>
      </c>
      <c r="K310" s="123">
        <v>1672.11</v>
      </c>
      <c r="L310" s="123">
        <v>1756.59</v>
      </c>
      <c r="M310" s="123">
        <v>1693.41</v>
      </c>
      <c r="N310" s="123">
        <v>1670.14</v>
      </c>
      <c r="O310" s="123">
        <v>1687.92</v>
      </c>
      <c r="P310" s="123">
        <v>1682.09</v>
      </c>
      <c r="Q310" s="276"/>
      <c r="R310" s="276"/>
      <c r="S310" s="276"/>
      <c r="T310" s="276"/>
      <c r="U310" s="276"/>
      <c r="V310" s="277"/>
      <c r="W310" s="238"/>
      <c r="X310" s="270"/>
      <c r="Y310" s="271"/>
    </row>
    <row r="311" spans="1:32" ht="32.25" thickBot="1">
      <c r="A311" s="290"/>
      <c r="B311" s="281"/>
      <c r="C311" s="243" t="s">
        <v>221</v>
      </c>
      <c r="D311" s="282">
        <f t="shared" ref="D311:P311" si="99">IF(((D309="")*AND(D310="")),"",(D309-D310)*2)</f>
        <v>2105.7799999999997</v>
      </c>
      <c r="E311" s="282">
        <f t="shared" si="99"/>
        <v>2137.1999999999998</v>
      </c>
      <c r="F311" s="282">
        <f t="shared" si="99"/>
        <v>2136.2400000000002</v>
      </c>
      <c r="G311" s="282">
        <f t="shared" si="99"/>
        <v>2150.7800000000002</v>
      </c>
      <c r="H311" s="282">
        <f t="shared" si="99"/>
        <v>2141.5199999999995</v>
      </c>
      <c r="I311" s="282">
        <f t="shared" si="99"/>
        <v>2171.3799999999997</v>
      </c>
      <c r="J311" s="282">
        <f t="shared" si="99"/>
        <v>2146.6200000000003</v>
      </c>
      <c r="K311" s="282">
        <f t="shared" si="99"/>
        <v>2136.6200000000003</v>
      </c>
      <c r="L311" s="282">
        <f t="shared" si="99"/>
        <v>2115.0000000000005</v>
      </c>
      <c r="M311" s="282">
        <f t="shared" si="99"/>
        <v>2148.2400000000002</v>
      </c>
      <c r="N311" s="282">
        <f t="shared" si="99"/>
        <v>2164.1999999999994</v>
      </c>
      <c r="O311" s="282">
        <f t="shared" si="99"/>
        <v>2151.3999999999996</v>
      </c>
      <c r="P311" s="282">
        <f t="shared" si="99"/>
        <v>2141.1200000000003</v>
      </c>
      <c r="Q311" s="264"/>
      <c r="R311" s="281"/>
      <c r="S311" s="281"/>
      <c r="T311" s="281"/>
      <c r="U311" s="281"/>
      <c r="V311" s="283"/>
      <c r="W311" s="247"/>
      <c r="X311" s="270"/>
      <c r="Y311" s="271"/>
    </row>
    <row r="312" spans="1:32">
      <c r="A312" s="291">
        <v>43612</v>
      </c>
      <c r="B312" s="268" t="s">
        <v>76</v>
      </c>
      <c r="C312" s="269" t="s">
        <v>77</v>
      </c>
      <c r="D312" s="123">
        <v>2814.14</v>
      </c>
      <c r="E312" s="123">
        <v>2747.81</v>
      </c>
      <c r="F312" s="123">
        <v>2744.99</v>
      </c>
      <c r="G312" s="123">
        <v>2760.86</v>
      </c>
      <c r="H312" s="123">
        <v>2849.47</v>
      </c>
      <c r="I312" s="123">
        <v>2818.35</v>
      </c>
      <c r="J312" s="123">
        <v>2750.82</v>
      </c>
      <c r="K312" s="123">
        <v>2743.15</v>
      </c>
      <c r="L312" s="123">
        <v>2811.66</v>
      </c>
      <c r="M312" s="123">
        <v>2756.45</v>
      </c>
      <c r="N312" s="123">
        <v>2763.65</v>
      </c>
      <c r="O312" s="123">
        <v>2769.1</v>
      </c>
      <c r="P312" s="123">
        <v>2755.73</v>
      </c>
      <c r="Q312" s="269">
        <f>IF((P313=""),"",MAX(D314:P314))</f>
        <v>2101.8399999999997</v>
      </c>
      <c r="R312" s="269">
        <f>IF(P313="","",MIN(D314:P314))</f>
        <v>2041.06</v>
      </c>
      <c r="S312" s="269">
        <f>IF((P314=""),"",AVERAGE(D314:P314))</f>
        <v>2075.6892307692301</v>
      </c>
      <c r="T312" s="269">
        <f>IF((P313=""),"",STDEV(D314:P314))</f>
        <v>15.293472715256932</v>
      </c>
      <c r="U312" s="269">
        <f>IF((P313=""),"",((Q312-R312)/(Q312+R312))*100)</f>
        <v>1.4670882715006337</v>
      </c>
      <c r="V312" s="228" t="str">
        <f>IF(P313="","",IF(U312&lt;7.2,IF(S312&gt;AB312,IF(S312&lt;AC312,"Pass","Fail"),"Fail"),"Fail"))</f>
        <v>Pass</v>
      </c>
      <c r="W312" s="284">
        <v>74</v>
      </c>
      <c r="X312" s="292" t="s">
        <v>170</v>
      </c>
      <c r="Y312" s="271"/>
      <c r="Z312" s="272">
        <v>1600</v>
      </c>
      <c r="AA312" s="272">
        <v>2600</v>
      </c>
      <c r="AB312" s="273">
        <v>1900</v>
      </c>
      <c r="AC312" s="273">
        <v>2250</v>
      </c>
      <c r="AD312" s="274">
        <v>10</v>
      </c>
      <c r="AE312" s="274">
        <v>3.6</v>
      </c>
    </row>
    <row r="313" spans="1:32">
      <c r="A313" s="293"/>
      <c r="B313" s="276"/>
      <c r="C313" s="276" t="s">
        <v>78</v>
      </c>
      <c r="D313" s="123">
        <v>1793.61</v>
      </c>
      <c r="E313" s="123">
        <v>1706.99</v>
      </c>
      <c r="F313" s="123">
        <v>1708.38</v>
      </c>
      <c r="G313" s="123">
        <v>1720.92</v>
      </c>
      <c r="H313" s="123">
        <v>1798.55</v>
      </c>
      <c r="I313" s="123">
        <v>1779.16</v>
      </c>
      <c r="J313" s="123">
        <v>1710.81</v>
      </c>
      <c r="K313" s="123">
        <v>1712.47</v>
      </c>
      <c r="L313" s="123">
        <v>1775.21</v>
      </c>
      <c r="M313" s="123">
        <v>1721.32</v>
      </c>
      <c r="N313" s="123">
        <v>1714.24</v>
      </c>
      <c r="O313" s="123">
        <v>1735.13</v>
      </c>
      <c r="P313" s="123">
        <v>1717.41</v>
      </c>
      <c r="Q313" s="276"/>
      <c r="R313" s="276"/>
      <c r="S313" s="276"/>
      <c r="T313" s="276"/>
      <c r="U313" s="276"/>
      <c r="V313" s="277"/>
      <c r="W313" s="238"/>
      <c r="X313" s="292"/>
      <c r="Y313" s="271"/>
    </row>
    <row r="314" spans="1:32" ht="32.25" thickBot="1">
      <c r="A314" s="294"/>
      <c r="B314" s="281"/>
      <c r="C314" s="243" t="s">
        <v>221</v>
      </c>
      <c r="D314" s="282">
        <f t="shared" ref="D314:P314" si="100">IF(((D312="")*AND(D313="")),"",(D312-D313)*2)</f>
        <v>2041.06</v>
      </c>
      <c r="E314" s="282">
        <f t="shared" si="100"/>
        <v>2081.64</v>
      </c>
      <c r="F314" s="282">
        <f t="shared" si="100"/>
        <v>2073.2199999999993</v>
      </c>
      <c r="G314" s="282">
        <f t="shared" si="100"/>
        <v>2079.88</v>
      </c>
      <c r="H314" s="282">
        <f t="shared" si="100"/>
        <v>2101.8399999999997</v>
      </c>
      <c r="I314" s="282">
        <f t="shared" si="100"/>
        <v>2078.3799999999997</v>
      </c>
      <c r="J314" s="282">
        <f t="shared" si="100"/>
        <v>2080.0200000000004</v>
      </c>
      <c r="K314" s="282">
        <f t="shared" si="100"/>
        <v>2061.36</v>
      </c>
      <c r="L314" s="282">
        <f t="shared" si="100"/>
        <v>2072.8999999999996</v>
      </c>
      <c r="M314" s="282">
        <f t="shared" si="100"/>
        <v>2070.2599999999998</v>
      </c>
      <c r="N314" s="282">
        <f t="shared" si="100"/>
        <v>2098.8200000000002</v>
      </c>
      <c r="O314" s="282">
        <f t="shared" si="100"/>
        <v>2067.9399999999996</v>
      </c>
      <c r="P314" s="282">
        <f t="shared" si="100"/>
        <v>2076.64</v>
      </c>
      <c r="Q314" s="264"/>
      <c r="R314" s="281"/>
      <c r="S314" s="281"/>
      <c r="T314" s="281"/>
      <c r="U314" s="281"/>
      <c r="V314" s="283"/>
      <c r="W314" s="247"/>
      <c r="X314" s="292"/>
      <c r="Y314" s="271"/>
    </row>
    <row r="315" spans="1:32">
      <c r="A315" s="291">
        <v>43616</v>
      </c>
      <c r="B315" s="268" t="s">
        <v>76</v>
      </c>
      <c r="C315" s="269" t="s">
        <v>77</v>
      </c>
      <c r="D315" s="123">
        <v>2824.74</v>
      </c>
      <c r="E315" s="123">
        <v>2759.15</v>
      </c>
      <c r="F315" s="123">
        <v>2757.43</v>
      </c>
      <c r="G315" s="123">
        <v>2763.36</v>
      </c>
      <c r="H315" s="123">
        <v>2825.5</v>
      </c>
      <c r="I315" s="123">
        <v>2855.55</v>
      </c>
      <c r="J315" s="123">
        <v>2773.55</v>
      </c>
      <c r="K315" s="123">
        <v>2759.56</v>
      </c>
      <c r="L315" s="123">
        <v>2825.16</v>
      </c>
      <c r="M315" s="123">
        <v>2772.93</v>
      </c>
      <c r="N315" s="123">
        <v>2770.36</v>
      </c>
      <c r="O315" s="123">
        <v>2779.12</v>
      </c>
      <c r="P315" s="123">
        <v>2765.27</v>
      </c>
      <c r="Q315" s="269">
        <f>IF((P316=""),"",MAX(D317:P317))</f>
        <v>2107.86</v>
      </c>
      <c r="R315" s="269">
        <f>IF(P316="","",MIN(D317:P317))</f>
        <v>2031.8799999999997</v>
      </c>
      <c r="S315" s="269">
        <f>IF((P317=""),"",AVERAGE(D317:P317))</f>
        <v>2062.936923076923</v>
      </c>
      <c r="T315" s="269">
        <f>IF((P316=""),"",STDEV(D317:P317))</f>
        <v>21.906248493909857</v>
      </c>
      <c r="U315" s="269">
        <f>IF((P316=""),"",((Q315-R315)/(Q315+R315))*100)</f>
        <v>1.8353809659543954</v>
      </c>
      <c r="V315" s="228" t="str">
        <f>IF(P316="","",IF(U315&lt;7.2,IF(S315&gt;AB315,IF(S315&lt;AC315,"Pass","Fail"),"Fail"),"Fail"))</f>
        <v>Pass</v>
      </c>
      <c r="W315" s="284">
        <v>1340</v>
      </c>
      <c r="X315" s="122" t="s">
        <v>171</v>
      </c>
      <c r="Y315" s="271"/>
      <c r="Z315" s="272">
        <v>1600</v>
      </c>
      <c r="AA315" s="272">
        <v>2600</v>
      </c>
      <c r="AB315" s="273">
        <v>1900</v>
      </c>
      <c r="AC315" s="273">
        <v>2250</v>
      </c>
      <c r="AD315" s="274">
        <v>10</v>
      </c>
      <c r="AE315" s="274">
        <v>3.6</v>
      </c>
    </row>
    <row r="316" spans="1:32">
      <c r="A316" s="293"/>
      <c r="B316" s="276"/>
      <c r="C316" s="276" t="s">
        <v>78</v>
      </c>
      <c r="D316" s="123">
        <v>1802.09</v>
      </c>
      <c r="E316" s="123">
        <v>1742.21</v>
      </c>
      <c r="F316" s="123">
        <v>1725.47</v>
      </c>
      <c r="G316" s="123">
        <v>1727.14</v>
      </c>
      <c r="H316" s="123">
        <v>1771.57</v>
      </c>
      <c r="I316" s="123">
        <v>1820.67</v>
      </c>
      <c r="J316" s="123">
        <v>1738.51</v>
      </c>
      <c r="K316" s="123">
        <v>1723.52</v>
      </c>
      <c r="L316" s="123">
        <v>1809.22</v>
      </c>
      <c r="M316" s="123">
        <v>1750.42</v>
      </c>
      <c r="N316" s="123">
        <v>1728.65</v>
      </c>
      <c r="O316" s="123">
        <v>1739.81</v>
      </c>
      <c r="P316" s="123">
        <v>1743.31</v>
      </c>
      <c r="Q316" s="276"/>
      <c r="R316" s="276"/>
      <c r="S316" s="276"/>
      <c r="T316" s="276"/>
      <c r="U316" s="276"/>
      <c r="V316" s="277"/>
      <c r="W316" s="238"/>
      <c r="Y316" s="271"/>
    </row>
    <row r="317" spans="1:32" ht="32.25" thickBot="1">
      <c r="A317" s="294"/>
      <c r="B317" s="281"/>
      <c r="C317" s="243" t="s">
        <v>221</v>
      </c>
      <c r="D317" s="282">
        <f t="shared" ref="D317:P317" si="101">IF(((D315="")*AND(D316="")),"",(D315-D316)*2)</f>
        <v>2045.2999999999997</v>
      </c>
      <c r="E317" s="282">
        <f t="shared" si="101"/>
        <v>2033.88</v>
      </c>
      <c r="F317" s="282">
        <f t="shared" si="101"/>
        <v>2063.9199999999996</v>
      </c>
      <c r="G317" s="282">
        <f t="shared" si="101"/>
        <v>2072.44</v>
      </c>
      <c r="H317" s="282">
        <f t="shared" si="101"/>
        <v>2107.86</v>
      </c>
      <c r="I317" s="282">
        <f t="shared" si="101"/>
        <v>2069.7600000000002</v>
      </c>
      <c r="J317" s="282">
        <f t="shared" si="101"/>
        <v>2070.0800000000004</v>
      </c>
      <c r="K317" s="282">
        <f t="shared" si="101"/>
        <v>2072.08</v>
      </c>
      <c r="L317" s="282">
        <f t="shared" si="101"/>
        <v>2031.8799999999997</v>
      </c>
      <c r="M317" s="282">
        <f t="shared" si="101"/>
        <v>2045.0199999999995</v>
      </c>
      <c r="N317" s="282">
        <f t="shared" si="101"/>
        <v>2083.42</v>
      </c>
      <c r="O317" s="282">
        <f t="shared" si="101"/>
        <v>2078.62</v>
      </c>
      <c r="P317" s="282">
        <f t="shared" si="101"/>
        <v>2043.92</v>
      </c>
      <c r="Q317" s="264"/>
      <c r="R317" s="281"/>
      <c r="S317" s="281"/>
      <c r="T317" s="281"/>
      <c r="U317" s="281"/>
      <c r="V317" s="283"/>
      <c r="W317" s="247"/>
      <c r="Y317" s="271"/>
    </row>
    <row r="318" spans="1:32">
      <c r="A318" s="291">
        <v>43619</v>
      </c>
      <c r="B318" s="268" t="s">
        <v>76</v>
      </c>
      <c r="C318" s="269" t="s">
        <v>77</v>
      </c>
      <c r="D318" s="123">
        <v>2823.55</v>
      </c>
      <c r="E318" s="123">
        <v>2765.85</v>
      </c>
      <c r="F318" s="123">
        <v>2760.85</v>
      </c>
      <c r="G318" s="123">
        <v>2771.81</v>
      </c>
      <c r="H318" s="123">
        <v>2832.33</v>
      </c>
      <c r="I318" s="123">
        <v>2864.07</v>
      </c>
      <c r="J318" s="123">
        <v>2775.58</v>
      </c>
      <c r="K318" s="123">
        <v>2762.65</v>
      </c>
      <c r="L318" s="123">
        <v>2825.93</v>
      </c>
      <c r="M318" s="123">
        <v>2778.05</v>
      </c>
      <c r="N318" s="123">
        <v>2770.33</v>
      </c>
      <c r="O318" s="123">
        <v>2785.55</v>
      </c>
      <c r="P318" s="123">
        <v>2774.05</v>
      </c>
      <c r="Q318" s="269">
        <f>IF((P319=""),"",MAX(D320:P320))</f>
        <v>2184.1799999999998</v>
      </c>
      <c r="R318" s="269">
        <f>IF(P319="","",MIN(D320:P320))</f>
        <v>2107.7200000000003</v>
      </c>
      <c r="S318" s="269">
        <f>IF((P320=""),"",AVERAGE(D320:P320))</f>
        <v>2140.8630769230776</v>
      </c>
      <c r="T318" s="269">
        <f>IF((P319=""),"",STDEV(D320:P320))</f>
        <v>19.518864116803886</v>
      </c>
      <c r="U318" s="269">
        <f>IF((P319=""),"",((Q318-R318)/(Q318+R318))*100)</f>
        <v>1.7814953750087279</v>
      </c>
      <c r="V318" s="228" t="str">
        <f>IF(P319="","",IF(U318&lt;7.2,IF(S318&gt;AB318,IF(S318&lt;AC318,"Pass","Fail"),"Fail"),"Fail"))</f>
        <v>Pass</v>
      </c>
      <c r="W318" s="284">
        <v>1159</v>
      </c>
      <c r="X318" s="122" t="s">
        <v>176</v>
      </c>
      <c r="Y318" s="271"/>
      <c r="Z318" s="272">
        <v>1600</v>
      </c>
      <c r="AA318" s="272">
        <v>2600</v>
      </c>
      <c r="AB318" s="273">
        <v>1900</v>
      </c>
      <c r="AC318" s="273">
        <v>2250</v>
      </c>
      <c r="AD318" s="274">
        <v>10</v>
      </c>
      <c r="AE318" s="274">
        <v>3.6</v>
      </c>
    </row>
    <row r="319" spans="1:32">
      <c r="A319" s="293"/>
      <c r="B319" s="276"/>
      <c r="C319" s="276" t="s">
        <v>78</v>
      </c>
      <c r="D319" s="123">
        <v>1769.69</v>
      </c>
      <c r="E319" s="123">
        <v>1700.24</v>
      </c>
      <c r="F319" s="123">
        <v>1690.22</v>
      </c>
      <c r="G319" s="123">
        <v>1691.64</v>
      </c>
      <c r="H319" s="123">
        <v>1740.24</v>
      </c>
      <c r="I319" s="123">
        <v>1789.63</v>
      </c>
      <c r="J319" s="123">
        <v>1705.45</v>
      </c>
      <c r="K319" s="123">
        <v>1690.44</v>
      </c>
      <c r="L319" s="123">
        <v>1769.16</v>
      </c>
      <c r="M319" s="123">
        <v>1713.26</v>
      </c>
      <c r="N319" s="123">
        <v>1693.96</v>
      </c>
      <c r="O319" s="123">
        <v>1714.64</v>
      </c>
      <c r="P319" s="123">
        <v>1706.42</v>
      </c>
      <c r="Q319" s="276"/>
      <c r="R319" s="276"/>
      <c r="S319" s="276"/>
      <c r="T319" s="276"/>
      <c r="U319" s="276"/>
      <c r="V319" s="277"/>
      <c r="W319" s="238"/>
      <c r="Y319" s="271"/>
    </row>
    <row r="320" spans="1:32" ht="32.25" thickBot="1">
      <c r="A320" s="294"/>
      <c r="B320" s="281"/>
      <c r="C320" s="243" t="s">
        <v>221</v>
      </c>
      <c r="D320" s="282">
        <f t="shared" ref="D320:P320" si="102">IF(((D318="")*AND(D319="")),"",(D318-D319)*2)</f>
        <v>2107.7200000000003</v>
      </c>
      <c r="E320" s="282">
        <f t="shared" si="102"/>
        <v>2131.2199999999998</v>
      </c>
      <c r="F320" s="282">
        <f t="shared" si="102"/>
        <v>2141.2599999999998</v>
      </c>
      <c r="G320" s="282">
        <f t="shared" si="102"/>
        <v>2160.3399999999997</v>
      </c>
      <c r="H320" s="282">
        <f t="shared" si="102"/>
        <v>2184.1799999999998</v>
      </c>
      <c r="I320" s="282">
        <f t="shared" si="102"/>
        <v>2148.88</v>
      </c>
      <c r="J320" s="282">
        <f t="shared" si="102"/>
        <v>2140.2599999999998</v>
      </c>
      <c r="K320" s="282">
        <f t="shared" si="102"/>
        <v>2144.42</v>
      </c>
      <c r="L320" s="282">
        <f t="shared" si="102"/>
        <v>2113.5399999999995</v>
      </c>
      <c r="M320" s="282">
        <f t="shared" si="102"/>
        <v>2129.5800000000004</v>
      </c>
      <c r="N320" s="282">
        <f t="shared" si="102"/>
        <v>2152.7399999999998</v>
      </c>
      <c r="O320" s="282">
        <f t="shared" si="102"/>
        <v>2141.8200000000002</v>
      </c>
      <c r="P320" s="282">
        <f t="shared" si="102"/>
        <v>2135.2600000000002</v>
      </c>
      <c r="Q320" s="264"/>
      <c r="R320" s="281"/>
      <c r="S320" s="281"/>
      <c r="T320" s="281"/>
      <c r="U320" s="281"/>
      <c r="V320" s="283"/>
      <c r="W320" s="247"/>
      <c r="Y320" s="271"/>
    </row>
    <row r="321" spans="1:31">
      <c r="A321" s="291">
        <v>43623</v>
      </c>
      <c r="B321" s="268" t="s">
        <v>76</v>
      </c>
      <c r="C321" s="269" t="s">
        <v>77</v>
      </c>
      <c r="D321" s="123">
        <v>2833.31</v>
      </c>
      <c r="E321" s="123">
        <v>2764.56</v>
      </c>
      <c r="F321" s="123">
        <v>2764.36</v>
      </c>
      <c r="G321" s="123">
        <v>2777.1</v>
      </c>
      <c r="H321" s="123">
        <v>2860.67</v>
      </c>
      <c r="I321" s="123">
        <v>2838.25</v>
      </c>
      <c r="J321" s="123">
        <v>2771.93</v>
      </c>
      <c r="K321" s="123">
        <v>2765.67</v>
      </c>
      <c r="L321" s="123">
        <v>2825.73</v>
      </c>
      <c r="M321" s="123">
        <v>2774.58</v>
      </c>
      <c r="N321" s="123">
        <v>2779.14</v>
      </c>
      <c r="O321" s="123">
        <v>2786.31</v>
      </c>
      <c r="P321" s="123">
        <v>2766.12</v>
      </c>
      <c r="Q321" s="269">
        <f>IF((P322=""),"",MAX(D323:P323))</f>
        <v>2212.3000000000002</v>
      </c>
      <c r="R321" s="269">
        <f>IF(P322="","",MIN(D323:P323))</f>
        <v>2137.3599999999997</v>
      </c>
      <c r="S321" s="269">
        <f>IF((P323=""),"",AVERAGE(D323:P323))</f>
        <v>2171.3584615384616</v>
      </c>
      <c r="T321" s="269">
        <f>IF((P322=""),"",STDEV(D323:P323))</f>
        <v>21.585321341965209</v>
      </c>
      <c r="U321" s="269">
        <f>IF((P322=""),"",((Q321-R321)/(Q321+R321))*100)</f>
        <v>1.7228932836129838</v>
      </c>
      <c r="V321" s="228" t="str">
        <f>IF(P322="","",IF(U321&lt;7.2,IF(S321&gt;AB321,IF(S321&lt;AC321,"Pass","Fail"),"Fail"),"Fail"))</f>
        <v>Pass</v>
      </c>
      <c r="W321" s="284" t="s">
        <v>177</v>
      </c>
      <c r="X321" s="122" t="s">
        <v>178</v>
      </c>
      <c r="Y321" s="271"/>
      <c r="Z321" s="272">
        <v>1600</v>
      </c>
      <c r="AA321" s="272">
        <v>2600</v>
      </c>
      <c r="AB321" s="273">
        <v>1900</v>
      </c>
      <c r="AC321" s="273">
        <v>2250</v>
      </c>
      <c r="AD321" s="274">
        <v>10</v>
      </c>
      <c r="AE321" s="274">
        <v>3.6</v>
      </c>
    </row>
    <row r="322" spans="1:31">
      <c r="A322" s="293"/>
      <c r="B322" s="276"/>
      <c r="C322" s="276" t="s">
        <v>78</v>
      </c>
      <c r="D322" s="123">
        <v>1764.63</v>
      </c>
      <c r="E322" s="123">
        <v>1689.82</v>
      </c>
      <c r="F322" s="123">
        <v>1681.84</v>
      </c>
      <c r="G322" s="123">
        <v>1682.46</v>
      </c>
      <c r="H322" s="123">
        <v>1754.52</v>
      </c>
      <c r="I322" s="123">
        <v>1749.02</v>
      </c>
      <c r="J322" s="123">
        <v>1687.32</v>
      </c>
      <c r="K322" s="123">
        <v>1680.6</v>
      </c>
      <c r="L322" s="123">
        <v>1753.26</v>
      </c>
      <c r="M322" s="123">
        <v>1689.16</v>
      </c>
      <c r="N322" s="123">
        <v>1682.78</v>
      </c>
      <c r="O322" s="123">
        <v>1690.02</v>
      </c>
      <c r="P322" s="123">
        <v>1688.47</v>
      </c>
      <c r="Q322" s="276"/>
      <c r="R322" s="276"/>
      <c r="S322" s="276"/>
      <c r="T322" s="276"/>
      <c r="U322" s="276"/>
      <c r="V322" s="277"/>
      <c r="W322" s="238"/>
      <c r="Y322" s="271"/>
    </row>
    <row r="323" spans="1:31" ht="32.25" thickBot="1">
      <c r="A323" s="294"/>
      <c r="B323" s="281"/>
      <c r="C323" s="243" t="s">
        <v>221</v>
      </c>
      <c r="D323" s="282">
        <f t="shared" ref="D323:P323" si="103">IF(((D321="")*AND(D322="")),"",(D321-D322)*2)</f>
        <v>2137.3599999999997</v>
      </c>
      <c r="E323" s="282">
        <f t="shared" si="103"/>
        <v>2149.48</v>
      </c>
      <c r="F323" s="282">
        <f t="shared" si="103"/>
        <v>2165.0400000000004</v>
      </c>
      <c r="G323" s="282">
        <f t="shared" si="103"/>
        <v>2189.2799999999997</v>
      </c>
      <c r="H323" s="282">
        <f t="shared" si="103"/>
        <v>2212.3000000000002</v>
      </c>
      <c r="I323" s="282">
        <f t="shared" si="103"/>
        <v>2178.46</v>
      </c>
      <c r="J323" s="282">
        <f t="shared" si="103"/>
        <v>2169.2199999999998</v>
      </c>
      <c r="K323" s="282">
        <f t="shared" si="103"/>
        <v>2170.1400000000003</v>
      </c>
      <c r="L323" s="282">
        <f t="shared" si="103"/>
        <v>2144.94</v>
      </c>
      <c r="M323" s="282">
        <f t="shared" si="103"/>
        <v>2170.8399999999997</v>
      </c>
      <c r="N323" s="282">
        <f t="shared" si="103"/>
        <v>2192.7199999999998</v>
      </c>
      <c r="O323" s="282">
        <f t="shared" si="103"/>
        <v>2192.58</v>
      </c>
      <c r="P323" s="282">
        <f t="shared" si="103"/>
        <v>2155.2999999999997</v>
      </c>
      <c r="Q323" s="264"/>
      <c r="R323" s="281"/>
      <c r="S323" s="281"/>
      <c r="T323" s="281"/>
      <c r="U323" s="281"/>
      <c r="V323" s="283"/>
      <c r="W323" s="247"/>
      <c r="Y323" s="271"/>
    </row>
    <row r="324" spans="1:31">
      <c r="A324" s="248">
        <v>43627</v>
      </c>
      <c r="B324" s="268" t="s">
        <v>76</v>
      </c>
      <c r="C324" s="269" t="s">
        <v>77</v>
      </c>
      <c r="D324" s="123">
        <v>2833.01</v>
      </c>
      <c r="E324" s="123">
        <v>2766.96</v>
      </c>
      <c r="F324" s="123">
        <v>2769.27</v>
      </c>
      <c r="G324" s="123">
        <v>2777.98</v>
      </c>
      <c r="H324" s="123">
        <v>2863.23</v>
      </c>
      <c r="I324" s="123">
        <v>2830.77</v>
      </c>
      <c r="J324" s="123">
        <v>2773.35</v>
      </c>
      <c r="K324" s="123">
        <v>2770.56</v>
      </c>
      <c r="L324" s="123">
        <v>2831.56</v>
      </c>
      <c r="M324" s="123">
        <v>2775.22</v>
      </c>
      <c r="N324" s="123">
        <v>2781.05</v>
      </c>
      <c r="O324" s="123">
        <v>2788.79</v>
      </c>
      <c r="P324" s="123">
        <v>2776.14</v>
      </c>
      <c r="Q324" s="269">
        <f>IF((P325=""),"",MAX(D326:P326))</f>
        <v>2214.02</v>
      </c>
      <c r="R324" s="269">
        <f>IF(P325="","",MIN(D326:P326))</f>
        <v>2126.3600000000006</v>
      </c>
      <c r="S324" s="269">
        <f>IF((P326=""),"",AVERAGE(D326:P326))</f>
        <v>2162.8553846153841</v>
      </c>
      <c r="T324" s="269">
        <f>IF((P325=""),"",STDEV(D326:P326))</f>
        <v>21.040226795111817</v>
      </c>
      <c r="U324" s="269">
        <f>IF((P325=""),"",((Q324-R324)/(Q324+R324))*100)</f>
        <v>2.0196388334661797</v>
      </c>
      <c r="V324" s="228" t="str">
        <f>IF(P325="","",IF(U324&lt;7.2,IF(S324&gt;AB324,IF(S324&lt;AC324,"Pass","Fail"),"Fail"),"Fail"))</f>
        <v>Pass</v>
      </c>
      <c r="W324" s="284">
        <v>121</v>
      </c>
      <c r="X324" s="122" t="s">
        <v>179</v>
      </c>
      <c r="Y324" s="271"/>
      <c r="Z324" s="272">
        <v>1600</v>
      </c>
      <c r="AA324" s="272">
        <v>2600</v>
      </c>
      <c r="AB324" s="273">
        <v>1900</v>
      </c>
      <c r="AC324" s="273">
        <v>2250</v>
      </c>
      <c r="AD324" s="274">
        <v>10</v>
      </c>
      <c r="AE324" s="274">
        <v>3.6</v>
      </c>
    </row>
    <row r="325" spans="1:31">
      <c r="A325" s="293"/>
      <c r="B325" s="276"/>
      <c r="C325" s="276" t="s">
        <v>78</v>
      </c>
      <c r="D325" s="123">
        <v>1769.83</v>
      </c>
      <c r="E325" s="123">
        <v>1691.43</v>
      </c>
      <c r="F325" s="123">
        <v>1691.6</v>
      </c>
      <c r="G325" s="123">
        <v>1692.32</v>
      </c>
      <c r="H325" s="123">
        <v>1756.22</v>
      </c>
      <c r="I325" s="123">
        <v>1749.86</v>
      </c>
      <c r="J325" s="123">
        <v>1693.41</v>
      </c>
      <c r="K325" s="123">
        <v>1688.01</v>
      </c>
      <c r="L325" s="123">
        <v>1759.84</v>
      </c>
      <c r="M325" s="123">
        <v>1697.68</v>
      </c>
      <c r="N325" s="123">
        <v>1691.73</v>
      </c>
      <c r="O325" s="123">
        <v>1698.41</v>
      </c>
      <c r="P325" s="123">
        <v>1698.99</v>
      </c>
      <c r="Q325" s="276"/>
      <c r="R325" s="276"/>
      <c r="S325" s="276"/>
      <c r="T325" s="276"/>
      <c r="U325" s="276"/>
      <c r="V325" s="277"/>
      <c r="W325" s="238"/>
      <c r="Y325" s="271"/>
    </row>
    <row r="326" spans="1:31" ht="32.25" thickBot="1">
      <c r="A326" s="294"/>
      <c r="B326" s="281"/>
      <c r="C326" s="243" t="s">
        <v>221</v>
      </c>
      <c r="D326" s="282">
        <f t="shared" ref="D326:P326" si="104">IF(((D324="")*AND(D325="")),"",(D324-D325)*2)</f>
        <v>2126.3600000000006</v>
      </c>
      <c r="E326" s="282">
        <f t="shared" si="104"/>
        <v>2151.06</v>
      </c>
      <c r="F326" s="282">
        <f t="shared" si="104"/>
        <v>2155.34</v>
      </c>
      <c r="G326" s="282">
        <f t="shared" si="104"/>
        <v>2171.3200000000002</v>
      </c>
      <c r="H326" s="282">
        <f t="shared" si="104"/>
        <v>2214.02</v>
      </c>
      <c r="I326" s="282">
        <f t="shared" si="104"/>
        <v>2161.8200000000002</v>
      </c>
      <c r="J326" s="282">
        <f t="shared" si="104"/>
        <v>2159.8799999999997</v>
      </c>
      <c r="K326" s="282">
        <f t="shared" si="104"/>
        <v>2165.1</v>
      </c>
      <c r="L326" s="282">
        <f t="shared" si="104"/>
        <v>2143.44</v>
      </c>
      <c r="M326" s="282">
        <f t="shared" si="104"/>
        <v>2155.0799999999995</v>
      </c>
      <c r="N326" s="282">
        <f t="shared" si="104"/>
        <v>2178.6400000000003</v>
      </c>
      <c r="O326" s="282">
        <f t="shared" si="104"/>
        <v>2180.7599999999998</v>
      </c>
      <c r="P326" s="282">
        <f t="shared" si="104"/>
        <v>2154.2999999999997</v>
      </c>
      <c r="Q326" s="264"/>
      <c r="R326" s="281"/>
      <c r="S326" s="281"/>
      <c r="T326" s="281"/>
      <c r="U326" s="281"/>
      <c r="V326" s="283"/>
      <c r="W326" s="247"/>
      <c r="Y326" s="271"/>
    </row>
    <row r="327" spans="1:31">
      <c r="A327" s="248">
        <v>43633</v>
      </c>
      <c r="B327" s="268" t="s">
        <v>76</v>
      </c>
      <c r="C327" s="269" t="s">
        <v>77</v>
      </c>
      <c r="D327" s="123">
        <v>2835.16</v>
      </c>
      <c r="E327" s="123">
        <v>2765.71</v>
      </c>
      <c r="F327" s="123">
        <v>2765.49</v>
      </c>
      <c r="G327" s="123">
        <v>2778.17</v>
      </c>
      <c r="H327" s="123">
        <v>2860.04</v>
      </c>
      <c r="I327" s="123">
        <v>2819.62</v>
      </c>
      <c r="J327" s="123">
        <v>2768.68</v>
      </c>
      <c r="K327" s="123">
        <v>2771.63</v>
      </c>
      <c r="L327" s="123">
        <v>2826.5</v>
      </c>
      <c r="M327" s="123">
        <v>2775.09</v>
      </c>
      <c r="N327" s="123">
        <v>2781.78</v>
      </c>
      <c r="O327" s="123">
        <v>2786.44</v>
      </c>
      <c r="P327" s="123">
        <v>2775.25</v>
      </c>
      <c r="Q327" s="269">
        <f>IF((P328=""),"",MAX(D329:P329))</f>
        <v>2190.08</v>
      </c>
      <c r="R327" s="269">
        <f>IF(P328="","",MIN(D329:P329))</f>
        <v>2106.4199999999996</v>
      </c>
      <c r="S327" s="269">
        <f>IF((P329=""),"",AVERAGE(D329:P329))</f>
        <v>2132.2507692307695</v>
      </c>
      <c r="T327" s="269">
        <f>IF((P328=""),"",STDEV(D329:P329))</f>
        <v>21.216758494775849</v>
      </c>
      <c r="U327" s="269">
        <f>IF((P328=""),"",((Q327-R327)/(Q327+R327))*100)</f>
        <v>1.9471662981496638</v>
      </c>
      <c r="V327" s="228" t="str">
        <f>IF(P328="","",IF(U327&lt;7.2,IF(S327&gt;AB327,IF(S327&lt;AC327,"Pass","Fail"),"Fail"),"Fail"))</f>
        <v>Pass</v>
      </c>
      <c r="W327" s="284">
        <v>1340</v>
      </c>
      <c r="X327" s="122" t="s">
        <v>180</v>
      </c>
      <c r="Y327" s="271"/>
      <c r="Z327" s="272">
        <v>1600</v>
      </c>
      <c r="AA327" s="272">
        <v>2600</v>
      </c>
      <c r="AB327" s="273">
        <v>1900</v>
      </c>
      <c r="AC327" s="273">
        <v>2250</v>
      </c>
      <c r="AD327" s="274">
        <v>10</v>
      </c>
      <c r="AE327" s="274">
        <v>3.6</v>
      </c>
    </row>
    <row r="328" spans="1:31">
      <c r="A328" s="293"/>
      <c r="B328" s="276"/>
      <c r="C328" s="276" t="s">
        <v>78</v>
      </c>
      <c r="D328" s="123">
        <v>1781.95</v>
      </c>
      <c r="E328" s="123">
        <v>1707.8</v>
      </c>
      <c r="F328" s="123">
        <v>1698.35</v>
      </c>
      <c r="G328" s="123">
        <v>1705.67</v>
      </c>
      <c r="H328" s="123">
        <v>1765</v>
      </c>
      <c r="I328" s="123">
        <v>1761.54</v>
      </c>
      <c r="J328" s="123">
        <v>1708.76</v>
      </c>
      <c r="K328" s="123">
        <v>1705.86</v>
      </c>
      <c r="L328" s="123">
        <v>1766.96</v>
      </c>
      <c r="M328" s="123">
        <v>1712.85</v>
      </c>
      <c r="N328" s="123">
        <v>1707.27</v>
      </c>
      <c r="O328" s="123">
        <v>1717.95</v>
      </c>
      <c r="P328" s="123">
        <v>1709.97</v>
      </c>
      <c r="Q328" s="276"/>
      <c r="R328" s="276"/>
      <c r="S328" s="276"/>
      <c r="T328" s="276"/>
      <c r="U328" s="276"/>
      <c r="V328" s="277"/>
      <c r="W328" s="238"/>
      <c r="Y328" s="271"/>
    </row>
    <row r="329" spans="1:31" ht="32.25" thickBot="1">
      <c r="A329" s="294"/>
      <c r="B329" s="281"/>
      <c r="C329" s="243" t="s">
        <v>221</v>
      </c>
      <c r="D329" s="282">
        <f t="shared" ref="D329:P329" si="105">IF(((D327="")*AND(D328="")),"",(D327-D328)*2)</f>
        <v>2106.4199999999996</v>
      </c>
      <c r="E329" s="282">
        <f t="shared" si="105"/>
        <v>2115.8200000000002</v>
      </c>
      <c r="F329" s="282">
        <f t="shared" si="105"/>
        <v>2134.2799999999997</v>
      </c>
      <c r="G329" s="282">
        <f t="shared" si="105"/>
        <v>2145</v>
      </c>
      <c r="H329" s="282">
        <f t="shared" si="105"/>
        <v>2190.08</v>
      </c>
      <c r="I329" s="282">
        <f t="shared" si="105"/>
        <v>2116.16</v>
      </c>
      <c r="J329" s="282">
        <f t="shared" si="105"/>
        <v>2119.8399999999997</v>
      </c>
      <c r="K329" s="282">
        <f t="shared" si="105"/>
        <v>2131.5400000000004</v>
      </c>
      <c r="L329" s="282">
        <f t="shared" si="105"/>
        <v>2119.08</v>
      </c>
      <c r="M329" s="282">
        <f t="shared" si="105"/>
        <v>2124.4800000000005</v>
      </c>
      <c r="N329" s="282">
        <f t="shared" si="105"/>
        <v>2149.0200000000004</v>
      </c>
      <c r="O329" s="282">
        <f t="shared" si="105"/>
        <v>2136.98</v>
      </c>
      <c r="P329" s="282">
        <f t="shared" si="105"/>
        <v>2130.56</v>
      </c>
      <c r="Q329" s="264"/>
      <c r="R329" s="281"/>
      <c r="S329" s="281"/>
      <c r="T329" s="281"/>
      <c r="U329" s="281"/>
      <c r="V329" s="283"/>
      <c r="W329" s="247"/>
      <c r="Y329" s="271"/>
    </row>
    <row r="330" spans="1:31">
      <c r="A330" s="248">
        <v>43637</v>
      </c>
      <c r="B330" s="268" t="s">
        <v>76</v>
      </c>
      <c r="C330" s="269" t="s">
        <v>77</v>
      </c>
      <c r="D330" s="123">
        <v>2826.64</v>
      </c>
      <c r="E330" s="123">
        <v>2763.01</v>
      </c>
      <c r="F330" s="123">
        <v>2763.31</v>
      </c>
      <c r="G330" s="123">
        <v>2772.7</v>
      </c>
      <c r="H330" s="123">
        <v>2859.41</v>
      </c>
      <c r="I330" s="123">
        <v>2826.68</v>
      </c>
      <c r="J330" s="123">
        <v>2768.78</v>
      </c>
      <c r="K330" s="123">
        <v>2769.76</v>
      </c>
      <c r="L330" s="123">
        <v>2822.69</v>
      </c>
      <c r="M330" s="123">
        <v>2772.62</v>
      </c>
      <c r="N330" s="123">
        <v>2783.92</v>
      </c>
      <c r="O330" s="123">
        <v>2778.26</v>
      </c>
      <c r="P330" s="123">
        <v>2771.56</v>
      </c>
      <c r="Q330" s="269">
        <f>IF((P331=""),"",MAX(D332:P332))</f>
        <v>2100.66</v>
      </c>
      <c r="R330" s="269">
        <f>IF(P331="","",MIN(D332:P332))</f>
        <v>2015.2000000000003</v>
      </c>
      <c r="S330" s="269">
        <f>IF((P332=""),"",AVERAGE(D332:P332))</f>
        <v>2045.936923076923</v>
      </c>
      <c r="T330" s="269">
        <f>IF((P331=""),"",STDEV(D332:P332))</f>
        <v>20.81196426121884</v>
      </c>
      <c r="U330" s="269">
        <f>IF((P331=""),"",((Q330-R330)/(Q330+R330))*100)</f>
        <v>2.0763582823516731</v>
      </c>
      <c r="V330" s="228" t="str">
        <f>IF(P331="","",IF(U330&lt;7.2,IF(S330&gt;AB330,IF(S330&lt;AC330,"Pass","Fail"),"Fail"),"Fail"))</f>
        <v>Pass</v>
      </c>
      <c r="W330" s="284">
        <v>1335</v>
      </c>
      <c r="X330" s="122" t="s">
        <v>181</v>
      </c>
      <c r="Y330" s="271"/>
      <c r="Z330" s="272">
        <v>1600</v>
      </c>
      <c r="AA330" s="272">
        <v>2600</v>
      </c>
      <c r="AB330" s="273">
        <v>1900</v>
      </c>
      <c r="AC330" s="273">
        <v>2250</v>
      </c>
      <c r="AD330" s="274">
        <v>10</v>
      </c>
      <c r="AE330" s="274">
        <v>3.6</v>
      </c>
    </row>
    <row r="331" spans="1:31">
      <c r="A331" s="293"/>
      <c r="B331" s="276"/>
      <c r="C331" s="276" t="s">
        <v>78</v>
      </c>
      <c r="D331" s="123">
        <v>1803.61</v>
      </c>
      <c r="E331" s="123">
        <v>1749.79</v>
      </c>
      <c r="F331" s="123">
        <v>1745.78</v>
      </c>
      <c r="G331" s="123">
        <v>1749.5</v>
      </c>
      <c r="H331" s="123">
        <v>1809.08</v>
      </c>
      <c r="I331" s="123">
        <v>1799.23</v>
      </c>
      <c r="J331" s="123">
        <v>1751.08</v>
      </c>
      <c r="K331" s="123">
        <v>1747.17</v>
      </c>
      <c r="L331" s="123">
        <v>1815.09</v>
      </c>
      <c r="M331" s="123">
        <v>1742.96</v>
      </c>
      <c r="N331" s="123">
        <v>1758.98</v>
      </c>
      <c r="O331" s="123">
        <v>1751.16</v>
      </c>
      <c r="P331" s="123">
        <v>1757.32</v>
      </c>
      <c r="Q331" s="276"/>
      <c r="R331" s="276"/>
      <c r="S331" s="276"/>
      <c r="T331" s="276"/>
      <c r="U331" s="276"/>
      <c r="V331" s="277"/>
      <c r="W331" s="238"/>
      <c r="Y331" s="271"/>
    </row>
    <row r="332" spans="1:31" ht="32.25" thickBot="1">
      <c r="A332" s="294"/>
      <c r="B332" s="281"/>
      <c r="C332" s="243" t="s">
        <v>221</v>
      </c>
      <c r="D332" s="282">
        <f t="shared" ref="D332:P332" si="106">IF(((D330="")*AND(D331="")),"",(D330-D331)*2)</f>
        <v>2046.06</v>
      </c>
      <c r="E332" s="282">
        <f t="shared" si="106"/>
        <v>2026.4400000000005</v>
      </c>
      <c r="F332" s="282">
        <f t="shared" si="106"/>
        <v>2035.06</v>
      </c>
      <c r="G332" s="282">
        <f t="shared" si="106"/>
        <v>2046.3999999999996</v>
      </c>
      <c r="H332" s="282">
        <f t="shared" si="106"/>
        <v>2100.66</v>
      </c>
      <c r="I332" s="282">
        <f t="shared" si="106"/>
        <v>2054.8999999999996</v>
      </c>
      <c r="J332" s="282">
        <f t="shared" si="106"/>
        <v>2035.4000000000005</v>
      </c>
      <c r="K332" s="282">
        <f t="shared" si="106"/>
        <v>2045.1800000000003</v>
      </c>
      <c r="L332" s="282">
        <f t="shared" si="106"/>
        <v>2015.2000000000003</v>
      </c>
      <c r="M332" s="282">
        <f t="shared" si="106"/>
        <v>2059.3199999999997</v>
      </c>
      <c r="N332" s="282">
        <f t="shared" si="106"/>
        <v>2049.88</v>
      </c>
      <c r="O332" s="282">
        <f t="shared" si="106"/>
        <v>2054.2000000000003</v>
      </c>
      <c r="P332" s="282">
        <f t="shared" si="106"/>
        <v>2028.48</v>
      </c>
      <c r="Q332" s="264"/>
      <c r="R332" s="281"/>
      <c r="S332" s="281"/>
      <c r="T332" s="281"/>
      <c r="U332" s="281"/>
      <c r="V332" s="283"/>
      <c r="W332" s="247"/>
      <c r="Y332" s="271"/>
    </row>
    <row r="333" spans="1:31">
      <c r="A333" s="291">
        <v>43640</v>
      </c>
      <c r="B333" s="268" t="s">
        <v>76</v>
      </c>
      <c r="C333" s="269" t="s">
        <v>77</v>
      </c>
      <c r="D333" s="123">
        <v>2836.46</v>
      </c>
      <c r="E333" s="123">
        <v>2770.88</v>
      </c>
      <c r="F333" s="123">
        <v>2767</v>
      </c>
      <c r="G333" s="123">
        <v>2776.32</v>
      </c>
      <c r="H333" s="123">
        <v>2861.28</v>
      </c>
      <c r="I333" s="123">
        <v>2825.22</v>
      </c>
      <c r="J333" s="123">
        <v>2775.91</v>
      </c>
      <c r="K333" s="123">
        <v>2773.25</v>
      </c>
      <c r="L333" s="123">
        <v>2827.93</v>
      </c>
      <c r="M333" s="123">
        <v>2776.32</v>
      </c>
      <c r="N333" s="123">
        <v>2788.62</v>
      </c>
      <c r="O333" s="123">
        <v>2783.19</v>
      </c>
      <c r="P333" s="123">
        <v>2772.35</v>
      </c>
      <c r="Q333" s="269">
        <f>IF((P334=""),"",MAX(D335:P335))</f>
        <v>2177.8200000000006</v>
      </c>
      <c r="R333" s="269">
        <f>IF(P334="","",MIN(D335:P335))</f>
        <v>2099.7200000000003</v>
      </c>
      <c r="S333" s="269">
        <f>IF((P335=""),"",AVERAGE(D335:P335))</f>
        <v>2124.7923076923075</v>
      </c>
      <c r="T333" s="269">
        <f>IF((P334=""),"",STDEV(D335:P335))</f>
        <v>20.544020279165707</v>
      </c>
      <c r="U333" s="269">
        <f>IF((P334=""),"",((Q333-R333)/(Q333+R333))*100)</f>
        <v>1.8258157726169795</v>
      </c>
      <c r="V333" s="228" t="str">
        <f>IF(P334="","",IF(U333&lt;7.2,IF(S333&gt;AB333,IF(S333&lt;AC333,"Pass","Fail"),"Fail"),"Fail"))</f>
        <v>Pass</v>
      </c>
      <c r="W333" s="284" t="s">
        <v>182</v>
      </c>
      <c r="X333" s="122" t="s">
        <v>184</v>
      </c>
      <c r="Y333" s="271"/>
      <c r="Z333" s="272">
        <v>1600</v>
      </c>
      <c r="AA333" s="272">
        <v>2600</v>
      </c>
      <c r="AB333" s="273">
        <v>1900</v>
      </c>
      <c r="AC333" s="273">
        <v>2250</v>
      </c>
      <c r="AD333" s="274">
        <v>10</v>
      </c>
      <c r="AE333" s="274">
        <v>3.6</v>
      </c>
    </row>
    <row r="334" spans="1:31">
      <c r="A334" s="293"/>
      <c r="B334" s="276"/>
      <c r="C334" s="276" t="s">
        <v>78</v>
      </c>
      <c r="D334" s="123">
        <v>1786.6</v>
      </c>
      <c r="E334" s="123">
        <v>1712.68</v>
      </c>
      <c r="F334" s="123">
        <v>1713.34</v>
      </c>
      <c r="G334" s="123">
        <v>1715.4</v>
      </c>
      <c r="H334" s="123">
        <v>1772.37</v>
      </c>
      <c r="I334" s="123">
        <v>1760.26</v>
      </c>
      <c r="J334" s="123">
        <v>1717.56</v>
      </c>
      <c r="K334" s="123">
        <v>1709.27</v>
      </c>
      <c r="L334" s="123">
        <v>1770.61</v>
      </c>
      <c r="M334" s="123">
        <v>1717.2</v>
      </c>
      <c r="N334" s="123">
        <v>1711.99</v>
      </c>
      <c r="O334" s="123">
        <v>1719.7</v>
      </c>
      <c r="P334" s="123">
        <v>1716.6</v>
      </c>
      <c r="Q334" s="276"/>
      <c r="R334" s="276"/>
      <c r="S334" s="276"/>
      <c r="T334" s="276"/>
      <c r="U334" s="276"/>
      <c r="V334" s="277"/>
      <c r="W334" s="238"/>
      <c r="Y334" s="271"/>
    </row>
    <row r="335" spans="1:31" ht="32.25" thickBot="1">
      <c r="A335" s="294"/>
      <c r="B335" s="281"/>
      <c r="C335" s="243" t="s">
        <v>221</v>
      </c>
      <c r="D335" s="282">
        <f t="shared" ref="D335:P335" si="107">IF(((D333="")*AND(D334="")),"",(D333-D334)*2)</f>
        <v>2099.7200000000003</v>
      </c>
      <c r="E335" s="282">
        <f t="shared" si="107"/>
        <v>2116.4</v>
      </c>
      <c r="F335" s="282">
        <f t="shared" si="107"/>
        <v>2107.3200000000002</v>
      </c>
      <c r="G335" s="282">
        <f t="shared" si="107"/>
        <v>2121.84</v>
      </c>
      <c r="H335" s="282">
        <f t="shared" si="107"/>
        <v>2177.8200000000006</v>
      </c>
      <c r="I335" s="282">
        <f t="shared" si="107"/>
        <v>2129.9199999999996</v>
      </c>
      <c r="J335" s="282">
        <f t="shared" si="107"/>
        <v>2116.6999999999998</v>
      </c>
      <c r="K335" s="282">
        <f t="shared" si="107"/>
        <v>2127.96</v>
      </c>
      <c r="L335" s="282">
        <f t="shared" si="107"/>
        <v>2114.64</v>
      </c>
      <c r="M335" s="282">
        <f t="shared" si="107"/>
        <v>2118.2400000000002</v>
      </c>
      <c r="N335" s="282">
        <f t="shared" si="107"/>
        <v>2153.2599999999998</v>
      </c>
      <c r="O335" s="282">
        <f t="shared" si="107"/>
        <v>2126.98</v>
      </c>
      <c r="P335" s="282">
        <f t="shared" si="107"/>
        <v>2111.5</v>
      </c>
      <c r="Q335" s="264"/>
      <c r="R335" s="281"/>
      <c r="S335" s="281"/>
      <c r="T335" s="281"/>
      <c r="U335" s="281"/>
      <c r="V335" s="283"/>
      <c r="W335" s="247"/>
      <c r="Y335" s="271"/>
    </row>
    <row r="336" spans="1:31">
      <c r="A336" s="291">
        <v>43656</v>
      </c>
      <c r="B336" s="268" t="s">
        <v>76</v>
      </c>
      <c r="C336" s="269" t="s">
        <v>77</v>
      </c>
      <c r="D336" s="123">
        <v>2874.98</v>
      </c>
      <c r="E336" s="123">
        <v>2750.91</v>
      </c>
      <c r="F336" s="123">
        <v>2735.95</v>
      </c>
      <c r="G336" s="123">
        <v>2740.17</v>
      </c>
      <c r="H336" s="123">
        <v>2850.29</v>
      </c>
      <c r="I336" s="123">
        <v>2828.98</v>
      </c>
      <c r="J336" s="123">
        <v>2744.5</v>
      </c>
      <c r="K336" s="123">
        <v>2738.9</v>
      </c>
      <c r="L336" s="123">
        <v>2824.44</v>
      </c>
      <c r="M336" s="123">
        <v>2765.89</v>
      </c>
      <c r="N336" s="123">
        <v>2749.36</v>
      </c>
      <c r="O336" s="123">
        <v>2753.17</v>
      </c>
      <c r="P336" s="123">
        <v>2761.94</v>
      </c>
      <c r="Q336" s="269">
        <f>IF((P337=""),"",MAX(D338:P338))</f>
        <v>2194.1799999999998</v>
      </c>
      <c r="R336" s="269">
        <f>IF(P337="","",MIN(D338:P338))</f>
        <v>2135.12</v>
      </c>
      <c r="S336" s="269">
        <f>IF((P338=""),"",AVERAGE(D338:P338))</f>
        <v>2167.1323076923072</v>
      </c>
      <c r="T336" s="269">
        <f>IF((P337=""),"",STDEV(D338:P338))</f>
        <v>17.901012147290405</v>
      </c>
      <c r="U336" s="269">
        <f>IF((P337=""),"",((Q336-R336)/(Q336+R336))*100)</f>
        <v>1.3641928256300084</v>
      </c>
      <c r="V336" s="228" t="str">
        <f>IF(P337="","",IF(U336&lt;7.2,IF(S336&gt;AB336,IF(S336&lt;AC336,"Pass","Fail"),"Fail"),"Fail"))</f>
        <v>Pass</v>
      </c>
      <c r="W336" s="284">
        <v>1428</v>
      </c>
      <c r="Y336" s="271"/>
      <c r="Z336" s="272">
        <v>1600</v>
      </c>
      <c r="AA336" s="272">
        <v>2600</v>
      </c>
      <c r="AB336" s="273">
        <v>1900</v>
      </c>
      <c r="AC336" s="273">
        <v>2250</v>
      </c>
      <c r="AD336" s="274">
        <v>10</v>
      </c>
      <c r="AE336" s="274">
        <v>3.6</v>
      </c>
    </row>
    <row r="337" spans="1:31">
      <c r="A337" s="293"/>
      <c r="B337" s="276"/>
      <c r="C337" s="276" t="s">
        <v>78</v>
      </c>
      <c r="D337" s="123">
        <v>1803.21</v>
      </c>
      <c r="E337" s="123">
        <v>1672.24</v>
      </c>
      <c r="F337" s="123">
        <v>1653.6</v>
      </c>
      <c r="G337" s="123">
        <v>1651.9</v>
      </c>
      <c r="H337" s="123">
        <v>1753.2</v>
      </c>
      <c r="I337" s="123">
        <v>1753.41</v>
      </c>
      <c r="J337" s="123">
        <v>1663.47</v>
      </c>
      <c r="K337" s="123">
        <v>1653.48</v>
      </c>
      <c r="L337" s="123">
        <v>1756.88</v>
      </c>
      <c r="M337" s="123">
        <v>1682.73</v>
      </c>
      <c r="N337" s="123">
        <v>1655.3</v>
      </c>
      <c r="O337" s="123">
        <v>1657.49</v>
      </c>
      <c r="P337" s="123">
        <v>1676.21</v>
      </c>
      <c r="Q337" s="276"/>
      <c r="R337" s="276"/>
      <c r="S337" s="276"/>
      <c r="T337" s="276"/>
      <c r="U337" s="276"/>
      <c r="V337" s="277"/>
      <c r="W337" s="238"/>
      <c r="Y337" s="271"/>
    </row>
    <row r="338" spans="1:31" ht="32.25" thickBot="1">
      <c r="A338" s="294"/>
      <c r="B338" s="281"/>
      <c r="C338" s="243" t="s">
        <v>221</v>
      </c>
      <c r="D338" s="282">
        <f t="shared" ref="D338:P338" si="108">IF(((D336="")*AND(D337="")),"",(D336-D337)*2)</f>
        <v>2143.54</v>
      </c>
      <c r="E338" s="282">
        <f t="shared" si="108"/>
        <v>2157.3399999999997</v>
      </c>
      <c r="F338" s="282">
        <f t="shared" si="108"/>
        <v>2164.6999999999998</v>
      </c>
      <c r="G338" s="282">
        <f t="shared" si="108"/>
        <v>2176.54</v>
      </c>
      <c r="H338" s="282">
        <f t="shared" si="108"/>
        <v>2194.1799999999998</v>
      </c>
      <c r="I338" s="282">
        <f t="shared" si="108"/>
        <v>2151.14</v>
      </c>
      <c r="J338" s="282">
        <f t="shared" si="108"/>
        <v>2162.06</v>
      </c>
      <c r="K338" s="282">
        <f t="shared" si="108"/>
        <v>2170.84</v>
      </c>
      <c r="L338" s="282">
        <f t="shared" si="108"/>
        <v>2135.12</v>
      </c>
      <c r="M338" s="282">
        <f t="shared" si="108"/>
        <v>2166.3199999999997</v>
      </c>
      <c r="N338" s="282">
        <f t="shared" si="108"/>
        <v>2188.1200000000003</v>
      </c>
      <c r="O338" s="282">
        <f t="shared" si="108"/>
        <v>2191.36</v>
      </c>
      <c r="P338" s="282">
        <f t="shared" si="108"/>
        <v>2171.46</v>
      </c>
      <c r="Q338" s="264"/>
      <c r="R338" s="281"/>
      <c r="S338" s="281"/>
      <c r="T338" s="281"/>
      <c r="U338" s="281"/>
      <c r="V338" s="283"/>
      <c r="W338" s="247"/>
      <c r="Y338" s="271"/>
    </row>
    <row r="339" spans="1:31">
      <c r="A339" s="291">
        <v>43661</v>
      </c>
      <c r="B339" s="268" t="s">
        <v>76</v>
      </c>
      <c r="C339" s="269" t="s">
        <v>77</v>
      </c>
      <c r="D339" s="123">
        <v>2887.69</v>
      </c>
      <c r="E339" s="123">
        <v>2765.44</v>
      </c>
      <c r="F339" s="123">
        <v>2746.22</v>
      </c>
      <c r="G339" s="123">
        <v>2750.14</v>
      </c>
      <c r="H339" s="123">
        <v>2859.08</v>
      </c>
      <c r="I339" s="123">
        <v>2844.51</v>
      </c>
      <c r="J339" s="123">
        <v>2755.09</v>
      </c>
      <c r="K339" s="123">
        <v>2751.92</v>
      </c>
      <c r="L339" s="123">
        <v>2831.29</v>
      </c>
      <c r="M339" s="123">
        <v>2775.1</v>
      </c>
      <c r="N339" s="123">
        <v>2757.63</v>
      </c>
      <c r="O339" s="123">
        <v>2762.57</v>
      </c>
      <c r="P339" s="123">
        <v>2774.79</v>
      </c>
      <c r="Q339" s="269">
        <f>IF((P340=""),"",MAX(D341:P341))</f>
        <v>2133.2000000000003</v>
      </c>
      <c r="R339" s="269">
        <f>IF(P340="","",MIN(D341:P341))</f>
        <v>2085.7599999999998</v>
      </c>
      <c r="S339" s="269">
        <f>IF((P341=""),"",AVERAGE(D341:P341))</f>
        <v>2111.9630769230771</v>
      </c>
      <c r="T339" s="269">
        <f>IF((P340=""),"",STDEV(D341:P341))</f>
        <v>14.144619344834183</v>
      </c>
      <c r="U339" s="269">
        <f>IF((P340=""),"",((Q339-R339)/(Q339+R339))*100)</f>
        <v>1.1244477311944296</v>
      </c>
      <c r="V339" s="228" t="str">
        <f>IF(P340="","",IF(U339&lt;7.2,IF(S339&gt;AB339,IF(S339&lt;AC339,"Pass","Fail"),"Fail"),"Fail"))</f>
        <v>Pass</v>
      </c>
      <c r="W339" s="284">
        <v>1159</v>
      </c>
      <c r="X339" s="122" t="s">
        <v>186</v>
      </c>
      <c r="Y339" s="271"/>
      <c r="Z339" s="272">
        <v>1600</v>
      </c>
      <c r="AA339" s="272">
        <v>2600</v>
      </c>
      <c r="AB339" s="273">
        <v>1900</v>
      </c>
      <c r="AC339" s="273">
        <v>2250</v>
      </c>
      <c r="AD339" s="274">
        <v>10</v>
      </c>
      <c r="AE339" s="274">
        <v>3.6</v>
      </c>
    </row>
    <row r="340" spans="1:31">
      <c r="A340" s="293"/>
      <c r="B340" s="276"/>
      <c r="C340" s="276" t="s">
        <v>78</v>
      </c>
      <c r="D340" s="123">
        <v>1834.92</v>
      </c>
      <c r="E340" s="123">
        <v>1710.14</v>
      </c>
      <c r="F340" s="123">
        <v>1695.75</v>
      </c>
      <c r="G340" s="123">
        <v>1689.14</v>
      </c>
      <c r="H340" s="123">
        <v>1792.63</v>
      </c>
      <c r="I340" s="123">
        <v>1794.94</v>
      </c>
      <c r="J340" s="123">
        <v>1700.65</v>
      </c>
      <c r="K340" s="123">
        <v>1697.5</v>
      </c>
      <c r="L340" s="123">
        <v>1788.41</v>
      </c>
      <c r="M340" s="123">
        <v>1720.9</v>
      </c>
      <c r="N340" s="123">
        <v>1691.03</v>
      </c>
      <c r="O340" s="123">
        <v>1697.21</v>
      </c>
      <c r="P340" s="123">
        <v>1720.49</v>
      </c>
      <c r="Q340" s="276"/>
      <c r="R340" s="276"/>
      <c r="S340" s="276"/>
      <c r="T340" s="276"/>
      <c r="U340" s="276"/>
      <c r="V340" s="277"/>
      <c r="W340" s="238"/>
      <c r="Y340" s="271"/>
    </row>
    <row r="341" spans="1:31" ht="32.25" thickBot="1">
      <c r="A341" s="294"/>
      <c r="B341" s="281"/>
      <c r="C341" s="243" t="s">
        <v>221</v>
      </c>
      <c r="D341" s="282">
        <f t="shared" ref="D341:P341" si="109">IF(((D339="")*AND(D340="")),"",(D339-D340)*2)</f>
        <v>2105.54</v>
      </c>
      <c r="E341" s="282">
        <f t="shared" si="109"/>
        <v>2110.6</v>
      </c>
      <c r="F341" s="282">
        <f t="shared" si="109"/>
        <v>2100.9399999999996</v>
      </c>
      <c r="G341" s="282">
        <f t="shared" si="109"/>
        <v>2121.9999999999995</v>
      </c>
      <c r="H341" s="282">
        <f t="shared" si="109"/>
        <v>2132.8999999999996</v>
      </c>
      <c r="I341" s="282">
        <f t="shared" si="109"/>
        <v>2099.1400000000003</v>
      </c>
      <c r="J341" s="282">
        <f t="shared" si="109"/>
        <v>2108.88</v>
      </c>
      <c r="K341" s="282">
        <f t="shared" si="109"/>
        <v>2108.84</v>
      </c>
      <c r="L341" s="282">
        <f t="shared" si="109"/>
        <v>2085.7599999999998</v>
      </c>
      <c r="M341" s="282">
        <f t="shared" si="109"/>
        <v>2108.3999999999996</v>
      </c>
      <c r="N341" s="282">
        <f t="shared" si="109"/>
        <v>2133.2000000000003</v>
      </c>
      <c r="O341" s="282">
        <f t="shared" si="109"/>
        <v>2130.7200000000003</v>
      </c>
      <c r="P341" s="282">
        <f t="shared" si="109"/>
        <v>2108.6</v>
      </c>
      <c r="Q341" s="264"/>
      <c r="R341" s="281"/>
      <c r="S341" s="281"/>
      <c r="T341" s="281"/>
      <c r="U341" s="281"/>
      <c r="V341" s="283"/>
      <c r="W341" s="247"/>
      <c r="Y341" s="271"/>
    </row>
    <row r="342" spans="1:31">
      <c r="A342" s="291">
        <v>43667</v>
      </c>
      <c r="B342" s="268" t="s">
        <v>76</v>
      </c>
      <c r="C342" s="269" t="s">
        <v>77</v>
      </c>
      <c r="D342" s="123">
        <v>2898.28</v>
      </c>
      <c r="E342" s="123">
        <v>2774.5</v>
      </c>
      <c r="F342" s="123">
        <v>2755.73</v>
      </c>
      <c r="G342" s="123">
        <v>2762.02</v>
      </c>
      <c r="H342" s="123">
        <v>2869.3</v>
      </c>
      <c r="I342" s="123">
        <v>2855.59</v>
      </c>
      <c r="J342" s="123">
        <v>2764.23</v>
      </c>
      <c r="K342" s="123">
        <v>2763.54</v>
      </c>
      <c r="L342" s="123">
        <v>2849.51</v>
      </c>
      <c r="M342" s="123">
        <v>2787.36</v>
      </c>
      <c r="N342" s="123">
        <v>2768.83</v>
      </c>
      <c r="O342" s="123">
        <v>2774.67</v>
      </c>
      <c r="P342" s="123">
        <v>2785.24</v>
      </c>
      <c r="Q342" s="269">
        <f>IF((P343=""),"",MAX(D344:P344))</f>
        <v>2163.7400000000002</v>
      </c>
      <c r="R342" s="269">
        <f>IF(P343="","",MIN(D344:P344))</f>
        <v>2119.6799999999998</v>
      </c>
      <c r="S342" s="269">
        <f>IF((P344=""),"",AVERAGE(D344:P344))</f>
        <v>2137.6184615384618</v>
      </c>
      <c r="T342" s="269">
        <f>IF((P343=""),"",STDEV(D344:P344))</f>
        <v>12.245000235575009</v>
      </c>
      <c r="U342" s="269">
        <f>IF((P343=""),"",((Q342-R342)/(Q342+R342))*100)</f>
        <v>1.0286173198052118</v>
      </c>
      <c r="V342" s="228" t="str">
        <f>IF(P343="","",IF(U342&lt;7.2,IF(S342&gt;AB342,IF(S342&lt;AC342,"Pass","Fail"),"Fail"),"Fail"))</f>
        <v>Pass</v>
      </c>
      <c r="W342" s="284"/>
      <c r="Y342" s="271"/>
      <c r="Z342" s="272">
        <v>1600</v>
      </c>
      <c r="AA342" s="272">
        <v>2600</v>
      </c>
      <c r="AB342" s="273">
        <v>1900</v>
      </c>
      <c r="AC342" s="273">
        <v>2250</v>
      </c>
      <c r="AD342" s="274">
        <v>10</v>
      </c>
      <c r="AE342" s="274">
        <v>3.6</v>
      </c>
    </row>
    <row r="343" spans="1:31">
      <c r="A343" s="293"/>
      <c r="B343" s="276"/>
      <c r="C343" s="276" t="s">
        <v>78</v>
      </c>
      <c r="D343" s="123">
        <v>1831.46</v>
      </c>
      <c r="E343" s="123">
        <v>1708.93</v>
      </c>
      <c r="F343" s="123">
        <v>1695.89</v>
      </c>
      <c r="G343" s="123">
        <v>1694.93</v>
      </c>
      <c r="H343" s="123">
        <v>1787.43</v>
      </c>
      <c r="I343" s="123">
        <v>1792.54</v>
      </c>
      <c r="J343" s="123">
        <v>1697.01</v>
      </c>
      <c r="K343" s="123">
        <v>1693.27</v>
      </c>
      <c r="L343" s="123">
        <v>1786.02</v>
      </c>
      <c r="M343" s="123">
        <v>1718.13</v>
      </c>
      <c r="N343" s="123">
        <v>1693.59</v>
      </c>
      <c r="O343" s="123">
        <v>1697.37</v>
      </c>
      <c r="P343" s="123">
        <v>1717.71</v>
      </c>
      <c r="Q343" s="276"/>
      <c r="R343" s="276"/>
      <c r="S343" s="276"/>
      <c r="T343" s="276"/>
      <c r="U343" s="276"/>
      <c r="V343" s="277"/>
      <c r="W343" s="238"/>
      <c r="Y343" s="271"/>
    </row>
    <row r="344" spans="1:31" ht="32.25" thickBot="1">
      <c r="A344" s="294"/>
      <c r="B344" s="281"/>
      <c r="C344" s="243" t="s">
        <v>221</v>
      </c>
      <c r="D344" s="282">
        <f t="shared" ref="D344:P344" si="110">IF(((D342="")*AND(D343="")),"",(D342-D343)*2)</f>
        <v>2133.6400000000003</v>
      </c>
      <c r="E344" s="282">
        <f t="shared" si="110"/>
        <v>2131.14</v>
      </c>
      <c r="F344" s="282">
        <f t="shared" si="110"/>
        <v>2119.6799999999998</v>
      </c>
      <c r="G344" s="282">
        <f t="shared" si="110"/>
        <v>2134.1799999999998</v>
      </c>
      <c r="H344" s="282">
        <f t="shared" si="110"/>
        <v>2163.7400000000002</v>
      </c>
      <c r="I344" s="282">
        <f t="shared" si="110"/>
        <v>2126.1000000000004</v>
      </c>
      <c r="J344" s="282">
        <f t="shared" si="110"/>
        <v>2134.44</v>
      </c>
      <c r="K344" s="282">
        <f t="shared" si="110"/>
        <v>2140.54</v>
      </c>
      <c r="L344" s="282">
        <f t="shared" si="110"/>
        <v>2126.9800000000005</v>
      </c>
      <c r="M344" s="282">
        <f t="shared" si="110"/>
        <v>2138.46</v>
      </c>
      <c r="N344" s="282">
        <f t="shared" si="110"/>
        <v>2150.48</v>
      </c>
      <c r="O344" s="282">
        <f t="shared" si="110"/>
        <v>2154.6000000000004</v>
      </c>
      <c r="P344" s="282">
        <f t="shared" si="110"/>
        <v>2135.0599999999995</v>
      </c>
      <c r="Q344" s="264"/>
      <c r="R344" s="281"/>
      <c r="S344" s="281"/>
      <c r="T344" s="281"/>
      <c r="U344" s="281"/>
      <c r="V344" s="283"/>
      <c r="W344" s="247"/>
      <c r="Y344" s="271"/>
    </row>
    <row r="345" spans="1:31">
      <c r="A345" s="291">
        <v>43671</v>
      </c>
      <c r="B345" s="268" t="s">
        <v>76</v>
      </c>
      <c r="C345" s="269" t="s">
        <v>77</v>
      </c>
      <c r="D345" s="123">
        <v>2888.85</v>
      </c>
      <c r="E345" s="123">
        <v>2764.1</v>
      </c>
      <c r="F345" s="123">
        <v>2750.16</v>
      </c>
      <c r="G345" s="123">
        <v>2756.99</v>
      </c>
      <c r="H345" s="123">
        <v>2855.95</v>
      </c>
      <c r="I345" s="123">
        <v>2864.77</v>
      </c>
      <c r="J345" s="123">
        <v>2759.11</v>
      </c>
      <c r="K345" s="123">
        <v>2757.23</v>
      </c>
      <c r="L345" s="123">
        <v>2841.53</v>
      </c>
      <c r="M345" s="123">
        <v>2783.46</v>
      </c>
      <c r="N345" s="123">
        <v>2767.86</v>
      </c>
      <c r="O345" s="123">
        <v>2767.74</v>
      </c>
      <c r="P345" s="123">
        <v>2770.84</v>
      </c>
      <c r="Q345" s="269">
        <f>IF((P346=""),"",MAX(D347:P347))</f>
        <v>2150.8599999999997</v>
      </c>
      <c r="R345" s="269">
        <f>IF(P346="","",MIN(D347:P347))</f>
        <v>2089.9200000000005</v>
      </c>
      <c r="S345" s="269">
        <f>IF((P347=""),"",AVERAGE(D347:P347))</f>
        <v>2125.2784615384617</v>
      </c>
      <c r="T345" s="269">
        <f>IF((P346=""),"",STDEV(D347:P347))</f>
        <v>16.874095455338971</v>
      </c>
      <c r="U345" s="269">
        <f>IF((P346=""),"",((Q345-R345)/(Q345+R345))*100)</f>
        <v>1.4369997972070971</v>
      </c>
      <c r="V345" s="228" t="str">
        <f>IF(P346="","",IF(U345&lt;7.2,IF(S345&gt;AB345,IF(S345&lt;AC345,"Pass","Fail"),"Fail"),"Fail"))</f>
        <v>Pass</v>
      </c>
      <c r="W345" s="284">
        <v>1159</v>
      </c>
      <c r="X345" s="122" t="s">
        <v>189</v>
      </c>
      <c r="Y345" s="271"/>
      <c r="Z345" s="272">
        <v>1600</v>
      </c>
      <c r="AA345" s="272">
        <v>2600</v>
      </c>
      <c r="AB345" s="273">
        <v>1900</v>
      </c>
      <c r="AC345" s="273">
        <v>2250</v>
      </c>
      <c r="AD345" s="274">
        <v>10</v>
      </c>
      <c r="AE345" s="274">
        <v>3.6</v>
      </c>
    </row>
    <row r="346" spans="1:31">
      <c r="A346" s="293"/>
      <c r="B346" s="276"/>
      <c r="C346" s="276" t="s">
        <v>78</v>
      </c>
      <c r="D346" s="123">
        <v>1826.18</v>
      </c>
      <c r="E346" s="123">
        <v>1703.56</v>
      </c>
      <c r="F346" s="123">
        <v>1691.12</v>
      </c>
      <c r="G346" s="123">
        <v>1687.83</v>
      </c>
      <c r="H346" s="123">
        <v>1780.52</v>
      </c>
      <c r="I346" s="123">
        <v>1806.92</v>
      </c>
      <c r="J346" s="123">
        <v>1700.87</v>
      </c>
      <c r="K346" s="123">
        <v>1690.57</v>
      </c>
      <c r="L346" s="123">
        <v>1796.57</v>
      </c>
      <c r="M346" s="123">
        <v>1723.3</v>
      </c>
      <c r="N346" s="123">
        <v>1693.69</v>
      </c>
      <c r="O346" s="123">
        <v>1697.26</v>
      </c>
      <c r="P346" s="123">
        <v>1715.89</v>
      </c>
      <c r="Q346" s="276"/>
      <c r="R346" s="276"/>
      <c r="S346" s="276"/>
      <c r="T346" s="276"/>
      <c r="U346" s="276"/>
      <c r="V346" s="277"/>
      <c r="W346" s="238"/>
      <c r="Y346" s="271"/>
    </row>
    <row r="347" spans="1:31" ht="32.25" thickBot="1">
      <c r="A347" s="294"/>
      <c r="B347" s="281"/>
      <c r="C347" s="243" t="s">
        <v>221</v>
      </c>
      <c r="D347" s="282">
        <f t="shared" ref="D347:P347" si="111">IF(((D345="")*AND(D346="")),"",(D345-D346)*2)</f>
        <v>2125.3399999999997</v>
      </c>
      <c r="E347" s="282">
        <f t="shared" si="111"/>
        <v>2121.08</v>
      </c>
      <c r="F347" s="282">
        <f t="shared" si="111"/>
        <v>2118.08</v>
      </c>
      <c r="G347" s="282">
        <f t="shared" si="111"/>
        <v>2138.3199999999997</v>
      </c>
      <c r="H347" s="282">
        <f t="shared" si="111"/>
        <v>2150.8599999999997</v>
      </c>
      <c r="I347" s="282">
        <f t="shared" si="111"/>
        <v>2115.6999999999998</v>
      </c>
      <c r="J347" s="282">
        <f t="shared" si="111"/>
        <v>2116.4800000000005</v>
      </c>
      <c r="K347" s="282">
        <f t="shared" si="111"/>
        <v>2133.3200000000002</v>
      </c>
      <c r="L347" s="282">
        <f t="shared" si="111"/>
        <v>2089.9200000000005</v>
      </c>
      <c r="M347" s="282">
        <f t="shared" si="111"/>
        <v>2120.3200000000002</v>
      </c>
      <c r="N347" s="282">
        <f t="shared" si="111"/>
        <v>2148.34</v>
      </c>
      <c r="O347" s="282">
        <f t="shared" si="111"/>
        <v>2140.9599999999996</v>
      </c>
      <c r="P347" s="282">
        <f t="shared" si="111"/>
        <v>2109.9</v>
      </c>
      <c r="Q347" s="264"/>
      <c r="R347" s="281"/>
      <c r="S347" s="281"/>
      <c r="T347" s="281"/>
      <c r="U347" s="281"/>
      <c r="V347" s="283"/>
      <c r="W347" s="247"/>
      <c r="Y347" s="271"/>
    </row>
    <row r="348" spans="1:31">
      <c r="A348" s="291">
        <v>43674</v>
      </c>
      <c r="B348" s="268" t="s">
        <v>76</v>
      </c>
      <c r="C348" s="269" t="s">
        <v>77</v>
      </c>
      <c r="D348" s="123">
        <v>2880.14</v>
      </c>
      <c r="E348" s="123">
        <v>2776.49</v>
      </c>
      <c r="F348" s="123">
        <v>2773.78</v>
      </c>
      <c r="G348" s="123">
        <v>2788.38</v>
      </c>
      <c r="H348" s="123">
        <v>2904.02</v>
      </c>
      <c r="I348" s="123">
        <v>2854.96</v>
      </c>
      <c r="J348" s="123">
        <v>2779.78</v>
      </c>
      <c r="K348" s="123">
        <v>2782.05</v>
      </c>
      <c r="L348" s="123">
        <v>2863.55</v>
      </c>
      <c r="M348" s="123">
        <v>2786.82</v>
      </c>
      <c r="N348" s="123">
        <v>2795.03</v>
      </c>
      <c r="O348" s="123">
        <v>2798.77</v>
      </c>
      <c r="P348" s="123">
        <v>2789.98</v>
      </c>
      <c r="Q348" s="269">
        <f>IF((P349=""),"",MAX(D350:P350))</f>
        <v>2218.3200000000002</v>
      </c>
      <c r="R348" s="269">
        <f>IF(P349="","",MIN(D350:P350))</f>
        <v>2138.7200000000003</v>
      </c>
      <c r="S348" s="269">
        <f>IF((P350=""),"",AVERAGE(D350:P350))</f>
        <v>2173.6000000000004</v>
      </c>
      <c r="T348" s="269">
        <f>IF((P349=""),"",STDEV(D350:P350))</f>
        <v>19.499399990769039</v>
      </c>
      <c r="U348" s="269">
        <f>IF((P349=""),"",((Q348-R348)/(Q348+R348))*100)</f>
        <v>1.8269283733911073</v>
      </c>
      <c r="V348" s="228" t="str">
        <f>IF(P349="","",IF(U348&lt;7.2,IF(S348&gt;AB348,IF(S348&lt;AC348,"Pass","Fail"),"Fail"),"Fail"))</f>
        <v>Pass</v>
      </c>
      <c r="W348" s="284">
        <v>1340</v>
      </c>
      <c r="X348" s="122" t="s">
        <v>190</v>
      </c>
      <c r="Y348" s="271"/>
      <c r="Z348" s="272">
        <v>1600</v>
      </c>
      <c r="AA348" s="272">
        <v>2600</v>
      </c>
      <c r="AB348" s="273">
        <v>1900</v>
      </c>
      <c r="AC348" s="273">
        <v>2250</v>
      </c>
      <c r="AD348" s="274">
        <v>10</v>
      </c>
      <c r="AE348" s="274">
        <v>3.6</v>
      </c>
    </row>
    <row r="349" spans="1:31">
      <c r="A349" s="293"/>
      <c r="B349" s="276"/>
      <c r="C349" s="276" t="s">
        <v>78</v>
      </c>
      <c r="D349" s="123">
        <v>1794.98</v>
      </c>
      <c r="E349" s="123">
        <v>1701.76</v>
      </c>
      <c r="F349" s="123">
        <v>1688.61</v>
      </c>
      <c r="G349" s="123">
        <v>1695.99</v>
      </c>
      <c r="H349" s="123">
        <v>1794.86</v>
      </c>
      <c r="I349" s="123">
        <v>1774.95</v>
      </c>
      <c r="J349" s="123">
        <v>1689.56</v>
      </c>
      <c r="K349" s="123">
        <v>1691.1</v>
      </c>
      <c r="L349" s="123">
        <v>1794.19</v>
      </c>
      <c r="M349" s="123">
        <v>1701.86</v>
      </c>
      <c r="N349" s="123">
        <v>1699.72</v>
      </c>
      <c r="O349" s="123">
        <v>1713.37</v>
      </c>
      <c r="P349" s="123">
        <v>1704.4</v>
      </c>
      <c r="Q349" s="276"/>
      <c r="R349" s="276"/>
      <c r="S349" s="276"/>
      <c r="T349" s="276"/>
      <c r="U349" s="276"/>
      <c r="V349" s="277"/>
      <c r="W349" s="238"/>
      <c r="Y349" s="271"/>
    </row>
    <row r="350" spans="1:31" ht="32.25" thickBot="1">
      <c r="A350" s="294"/>
      <c r="B350" s="281"/>
      <c r="C350" s="243" t="s">
        <v>221</v>
      </c>
      <c r="D350" s="282">
        <f t="shared" ref="D350:P350" si="112">IF(((D348="")*AND(D349="")),"",(D348-D349)*2)</f>
        <v>2170.3199999999997</v>
      </c>
      <c r="E350" s="282">
        <f t="shared" si="112"/>
        <v>2149.4599999999996</v>
      </c>
      <c r="F350" s="282">
        <f t="shared" si="112"/>
        <v>2170.3400000000006</v>
      </c>
      <c r="G350" s="282">
        <f t="shared" si="112"/>
        <v>2184.7800000000002</v>
      </c>
      <c r="H350" s="282">
        <f t="shared" si="112"/>
        <v>2218.3200000000002</v>
      </c>
      <c r="I350" s="282">
        <f t="shared" si="112"/>
        <v>2160.02</v>
      </c>
      <c r="J350" s="282">
        <f t="shared" si="112"/>
        <v>2180.4400000000005</v>
      </c>
      <c r="K350" s="282">
        <f t="shared" si="112"/>
        <v>2181.9000000000005</v>
      </c>
      <c r="L350" s="282">
        <f t="shared" si="112"/>
        <v>2138.7200000000003</v>
      </c>
      <c r="M350" s="282">
        <f t="shared" si="112"/>
        <v>2169.9200000000005</v>
      </c>
      <c r="N350" s="282">
        <f t="shared" si="112"/>
        <v>2190.6200000000003</v>
      </c>
      <c r="O350" s="282">
        <f t="shared" si="112"/>
        <v>2170.8000000000002</v>
      </c>
      <c r="P350" s="282">
        <f t="shared" si="112"/>
        <v>2171.16</v>
      </c>
      <c r="Q350" s="264"/>
      <c r="R350" s="281"/>
      <c r="S350" s="281"/>
      <c r="T350" s="281"/>
      <c r="U350" s="281"/>
      <c r="V350" s="283"/>
      <c r="W350" s="247"/>
      <c r="Y350" s="271"/>
    </row>
    <row r="351" spans="1:31">
      <c r="A351" s="291">
        <v>43678</v>
      </c>
      <c r="B351" s="268" t="s">
        <v>76</v>
      </c>
      <c r="C351" s="269" t="s">
        <v>77</v>
      </c>
      <c r="D351" s="123">
        <v>2867.75</v>
      </c>
      <c r="E351" s="123">
        <v>2778.14</v>
      </c>
      <c r="F351" s="123">
        <v>2771.63</v>
      </c>
      <c r="G351" s="123">
        <v>2784.59</v>
      </c>
      <c r="H351" s="123">
        <v>2889.25</v>
      </c>
      <c r="I351" s="123">
        <v>2848.75</v>
      </c>
      <c r="J351" s="123">
        <v>2779.24</v>
      </c>
      <c r="K351" s="123">
        <v>2780.2</v>
      </c>
      <c r="L351" s="123">
        <v>2858.37</v>
      </c>
      <c r="M351" s="123">
        <v>2779.64</v>
      </c>
      <c r="N351" s="123">
        <v>2792.92</v>
      </c>
      <c r="O351" s="123">
        <v>2792.71</v>
      </c>
      <c r="P351" s="123">
        <v>2786.91</v>
      </c>
      <c r="Q351" s="269">
        <f>IF((P352=""),"",MAX(D353:P353))</f>
        <v>2185.9</v>
      </c>
      <c r="R351" s="269">
        <f>IF(P352="","",MIN(D353:P353))</f>
        <v>2101.7199999999998</v>
      </c>
      <c r="S351" s="269">
        <f>IF((P353=""),"",AVERAGE(D353:P353))</f>
        <v>2127.6015384615384</v>
      </c>
      <c r="T351" s="269">
        <f>IF((P352=""),"",STDEV(D353:P353))</f>
        <v>23.032690480472198</v>
      </c>
      <c r="U351" s="269">
        <f>IF((P352=""),"",((Q351-R351)/(Q351+R351))*100)</f>
        <v>1.9633269739389287</v>
      </c>
      <c r="V351" s="228" t="str">
        <f>IF(P352="","",IF(U351&lt;7.2,IF(S351&gt;AB351,IF(S351&lt;AC351,"Pass","Fail"),"Fail"),"Fail"))</f>
        <v>Pass</v>
      </c>
      <c r="W351" s="284">
        <v>1159</v>
      </c>
      <c r="X351" s="122" t="s">
        <v>191</v>
      </c>
      <c r="Y351" s="271"/>
      <c r="Z351" s="272">
        <v>1600</v>
      </c>
      <c r="AA351" s="272">
        <v>2600</v>
      </c>
      <c r="AB351" s="273">
        <v>1900</v>
      </c>
      <c r="AC351" s="273">
        <v>2250</v>
      </c>
      <c r="AD351" s="274">
        <v>10</v>
      </c>
      <c r="AE351" s="274">
        <v>3.6</v>
      </c>
    </row>
    <row r="352" spans="1:31">
      <c r="A352" s="293"/>
      <c r="B352" s="276"/>
      <c r="C352" s="276" t="s">
        <v>78</v>
      </c>
      <c r="D352" s="123">
        <v>1814.41</v>
      </c>
      <c r="E352" s="123">
        <v>1718.98</v>
      </c>
      <c r="F352" s="123">
        <v>1706.92</v>
      </c>
      <c r="G352" s="123">
        <v>1718.26</v>
      </c>
      <c r="H352" s="123">
        <v>1796.3</v>
      </c>
      <c r="I352" s="123">
        <v>1797.76</v>
      </c>
      <c r="J352" s="123">
        <v>1713.64</v>
      </c>
      <c r="K352" s="123">
        <v>1713.41</v>
      </c>
      <c r="L352" s="123">
        <v>1807.51</v>
      </c>
      <c r="M352" s="123">
        <v>1722.65</v>
      </c>
      <c r="N352" s="123">
        <v>1717.45</v>
      </c>
      <c r="O352" s="123">
        <v>1723.42</v>
      </c>
      <c r="P352" s="123">
        <v>1729.98</v>
      </c>
      <c r="Q352" s="276"/>
      <c r="R352" s="276"/>
      <c r="S352" s="276"/>
      <c r="T352" s="276"/>
      <c r="U352" s="276"/>
      <c r="V352" s="277"/>
      <c r="W352" s="238"/>
      <c r="Y352" s="271"/>
    </row>
    <row r="353" spans="1:31" ht="32.25" thickBot="1">
      <c r="A353" s="294"/>
      <c r="B353" s="281"/>
      <c r="C353" s="243" t="s">
        <v>221</v>
      </c>
      <c r="D353" s="282">
        <f t="shared" ref="D353:P353" si="113">IF(((D351="")*AND(D352="")),"",(D351-D352)*2)</f>
        <v>2106.6799999999998</v>
      </c>
      <c r="E353" s="282">
        <f t="shared" si="113"/>
        <v>2118.3199999999997</v>
      </c>
      <c r="F353" s="282">
        <f t="shared" si="113"/>
        <v>2129.42</v>
      </c>
      <c r="G353" s="282">
        <f t="shared" si="113"/>
        <v>2132.6600000000003</v>
      </c>
      <c r="H353" s="282">
        <f t="shared" si="113"/>
        <v>2185.9</v>
      </c>
      <c r="I353" s="282">
        <f t="shared" si="113"/>
        <v>2101.98</v>
      </c>
      <c r="J353" s="282">
        <f t="shared" si="113"/>
        <v>2131.1999999999994</v>
      </c>
      <c r="K353" s="282">
        <f t="shared" si="113"/>
        <v>2133.5799999999995</v>
      </c>
      <c r="L353" s="282">
        <f t="shared" si="113"/>
        <v>2101.7199999999998</v>
      </c>
      <c r="M353" s="282">
        <f t="shared" si="113"/>
        <v>2113.9799999999996</v>
      </c>
      <c r="N353" s="282">
        <f t="shared" si="113"/>
        <v>2150.94</v>
      </c>
      <c r="O353" s="282">
        <f t="shared" si="113"/>
        <v>2138.58</v>
      </c>
      <c r="P353" s="282">
        <f t="shared" si="113"/>
        <v>2113.8599999999997</v>
      </c>
      <c r="Q353" s="264"/>
      <c r="R353" s="281"/>
      <c r="S353" s="281"/>
      <c r="T353" s="281"/>
      <c r="U353" s="281"/>
      <c r="V353" s="283"/>
      <c r="W353" s="247"/>
      <c r="Y353" s="271"/>
    </row>
    <row r="354" spans="1:31">
      <c r="A354" s="291">
        <v>43681</v>
      </c>
      <c r="B354" s="268" t="s">
        <v>76</v>
      </c>
      <c r="C354" s="269" t="s">
        <v>77</v>
      </c>
      <c r="D354" s="123">
        <v>2876.47</v>
      </c>
      <c r="E354" s="123">
        <v>2778.89</v>
      </c>
      <c r="F354" s="123">
        <v>2771.68</v>
      </c>
      <c r="G354" s="123">
        <v>2791.04</v>
      </c>
      <c r="H354" s="123">
        <v>2891.09</v>
      </c>
      <c r="I354" s="123">
        <v>2848.65</v>
      </c>
      <c r="J354" s="123">
        <v>2777.93</v>
      </c>
      <c r="K354" s="123">
        <v>2781.91</v>
      </c>
      <c r="L354" s="123">
        <v>2861.21</v>
      </c>
      <c r="M354" s="123">
        <v>2788.63</v>
      </c>
      <c r="N354" s="123">
        <v>2798.62</v>
      </c>
      <c r="O354" s="123">
        <v>2797.61</v>
      </c>
      <c r="P354" s="123">
        <v>2783.69</v>
      </c>
      <c r="Q354" s="269">
        <f>IF((P355=""),"",MAX(D356:P356))</f>
        <v>1989.4800000000005</v>
      </c>
      <c r="R354" s="269">
        <f>IF(P355="","",MIN(D356:P356))</f>
        <v>1923.4999999999995</v>
      </c>
      <c r="S354" s="269">
        <f>IF((P356=""),"",AVERAGE(D356:P356))</f>
        <v>1947.9461538461537</v>
      </c>
      <c r="T354" s="269">
        <f>IF((P355=""),"",STDEV(D356:P356))</f>
        <v>20.71584318762725</v>
      </c>
      <c r="U354" s="269">
        <f>IF((P355=""),"",((Q354-R354)/(Q354+R354))*100)</f>
        <v>1.6861829091894394</v>
      </c>
      <c r="V354" s="228" t="str">
        <f>IF(P355="","",IF(U354&lt;7.2,IF(S354&gt;AB354,IF(S354&lt;AC354,"Pass","Fail"),"Fail"),"Fail"))</f>
        <v>Pass</v>
      </c>
      <c r="W354" s="284">
        <v>1335</v>
      </c>
      <c r="X354" s="122" t="s">
        <v>192</v>
      </c>
      <c r="Y354" s="271"/>
      <c r="Z354" s="272">
        <v>1600</v>
      </c>
      <c r="AA354" s="272">
        <v>2600</v>
      </c>
      <c r="AB354" s="273">
        <v>1900</v>
      </c>
      <c r="AC354" s="273">
        <v>2250</v>
      </c>
      <c r="AD354" s="274">
        <v>10</v>
      </c>
      <c r="AE354" s="274">
        <v>3.6</v>
      </c>
    </row>
    <row r="355" spans="1:31">
      <c r="A355" s="293"/>
      <c r="B355" s="276"/>
      <c r="C355" s="276" t="s">
        <v>78</v>
      </c>
      <c r="D355" s="123">
        <v>1890.44</v>
      </c>
      <c r="E355" s="123">
        <v>1812.56</v>
      </c>
      <c r="F355" s="123">
        <v>1809.93</v>
      </c>
      <c r="G355" s="123">
        <v>1816.76</v>
      </c>
      <c r="H355" s="123">
        <v>1896.35</v>
      </c>
      <c r="I355" s="123">
        <v>1865.71</v>
      </c>
      <c r="J355" s="123">
        <v>1811.12</v>
      </c>
      <c r="K355" s="123">
        <v>1817.58</v>
      </c>
      <c r="L355" s="123">
        <v>1883.7</v>
      </c>
      <c r="M355" s="123">
        <v>1822.79</v>
      </c>
      <c r="N355" s="123">
        <v>1819.12</v>
      </c>
      <c r="O355" s="123">
        <v>1818.19</v>
      </c>
      <c r="P355" s="123">
        <v>1821.52</v>
      </c>
      <c r="Q355" s="276"/>
      <c r="R355" s="276"/>
      <c r="S355" s="276"/>
      <c r="T355" s="276"/>
      <c r="U355" s="276"/>
      <c r="V355" s="277"/>
      <c r="W355" s="238"/>
      <c r="Y355" s="271"/>
    </row>
    <row r="356" spans="1:31" ht="32.25" thickBot="1">
      <c r="A356" s="294"/>
      <c r="B356" s="281"/>
      <c r="C356" s="243" t="s">
        <v>221</v>
      </c>
      <c r="D356" s="282">
        <f t="shared" ref="D356:P356" si="114">IF(((D354="")*AND(D355="")),"",(D354-D355)*2)</f>
        <v>1972.0599999999995</v>
      </c>
      <c r="E356" s="282">
        <f t="shared" si="114"/>
        <v>1932.6599999999999</v>
      </c>
      <c r="F356" s="282">
        <f t="shared" si="114"/>
        <v>1923.4999999999995</v>
      </c>
      <c r="G356" s="282">
        <f t="shared" si="114"/>
        <v>1948.56</v>
      </c>
      <c r="H356" s="282">
        <f t="shared" si="114"/>
        <v>1989.4800000000005</v>
      </c>
      <c r="I356" s="282">
        <f t="shared" si="114"/>
        <v>1965.88</v>
      </c>
      <c r="J356" s="282">
        <f t="shared" si="114"/>
        <v>1933.62</v>
      </c>
      <c r="K356" s="282">
        <f t="shared" si="114"/>
        <v>1928.6599999999999</v>
      </c>
      <c r="L356" s="282">
        <f t="shared" si="114"/>
        <v>1955.02</v>
      </c>
      <c r="M356" s="282">
        <f t="shared" si="114"/>
        <v>1931.6800000000003</v>
      </c>
      <c r="N356" s="282">
        <f t="shared" si="114"/>
        <v>1959</v>
      </c>
      <c r="O356" s="282">
        <f t="shared" si="114"/>
        <v>1958.8400000000001</v>
      </c>
      <c r="P356" s="282">
        <f t="shared" si="114"/>
        <v>1924.3400000000001</v>
      </c>
      <c r="Q356" s="264"/>
      <c r="R356" s="281"/>
      <c r="S356" s="281"/>
      <c r="T356" s="281"/>
      <c r="U356" s="281"/>
      <c r="V356" s="283"/>
      <c r="W356" s="247"/>
      <c r="Y356" s="271"/>
    </row>
    <row r="357" spans="1:31">
      <c r="A357" s="248">
        <v>43685</v>
      </c>
      <c r="B357" s="268" t="s">
        <v>76</v>
      </c>
      <c r="C357" s="269" t="s">
        <v>77</v>
      </c>
      <c r="D357" s="123">
        <v>2866.16</v>
      </c>
      <c r="E357" s="123">
        <v>2778.58</v>
      </c>
      <c r="F357" s="123">
        <v>2774.66</v>
      </c>
      <c r="G357" s="123">
        <v>2782.78</v>
      </c>
      <c r="H357" s="123">
        <v>2883.24</v>
      </c>
      <c r="I357" s="123">
        <v>2846.89</v>
      </c>
      <c r="J357" s="123">
        <v>2779.54</v>
      </c>
      <c r="K357" s="123">
        <v>2778.49</v>
      </c>
      <c r="L357" s="123">
        <v>2853.56</v>
      </c>
      <c r="M357" s="123">
        <v>2783.26</v>
      </c>
      <c r="N357" s="123">
        <v>2797.36</v>
      </c>
      <c r="O357" s="123">
        <v>2798.21</v>
      </c>
      <c r="P357" s="123">
        <v>2790.77</v>
      </c>
      <c r="Q357" s="269">
        <f>IF((P358=""),"",MAX(D359:P359))</f>
        <v>2107.6599999999994</v>
      </c>
      <c r="R357" s="269">
        <f>IF(P358="","",MIN(D359:P359))</f>
        <v>2029.8399999999997</v>
      </c>
      <c r="S357" s="269">
        <f>IF((P359=""),"",AVERAGE(D359:P359))</f>
        <v>2062.6846153846154</v>
      </c>
      <c r="T357" s="269">
        <f>IF((P358=""),"",STDEV(D359:P359))</f>
        <v>21.874778709503424</v>
      </c>
      <c r="U357" s="269">
        <f>IF((P358=""),"",((Q357-R357)/(Q357+R357))*100)</f>
        <v>1.8808459214501445</v>
      </c>
      <c r="V357" s="228" t="str">
        <f>IF(P358="","",IF(U357&lt;7.2,IF(S357&gt;AB357,IF(S357&lt;AC357,"Pass","Fail"),"Fail"),"Fail"))</f>
        <v>Pass</v>
      </c>
      <c r="W357" s="284">
        <v>121</v>
      </c>
      <c r="Y357" s="271"/>
      <c r="Z357" s="272">
        <v>1600</v>
      </c>
      <c r="AA357" s="272">
        <v>2600</v>
      </c>
      <c r="AB357" s="273">
        <v>1900</v>
      </c>
      <c r="AC357" s="273">
        <v>2250</v>
      </c>
      <c r="AD357" s="274">
        <v>10</v>
      </c>
      <c r="AE357" s="274">
        <v>3.6</v>
      </c>
    </row>
    <row r="358" spans="1:31">
      <c r="A358" s="293"/>
      <c r="B358" s="276"/>
      <c r="C358" s="276" t="s">
        <v>78</v>
      </c>
      <c r="D358" s="123">
        <v>1848.5</v>
      </c>
      <c r="E358" s="123">
        <v>1750.56</v>
      </c>
      <c r="F358" s="123">
        <v>1747.99</v>
      </c>
      <c r="G358" s="123">
        <v>1749</v>
      </c>
      <c r="H358" s="123">
        <v>1829.41</v>
      </c>
      <c r="I358" s="123">
        <v>1811.79</v>
      </c>
      <c r="J358" s="123">
        <v>1748.76</v>
      </c>
      <c r="K358" s="123">
        <v>1748.55</v>
      </c>
      <c r="L358" s="123">
        <v>1838.64</v>
      </c>
      <c r="M358" s="123">
        <v>1754.19</v>
      </c>
      <c r="N358" s="123">
        <v>1756.82</v>
      </c>
      <c r="O358" s="123">
        <v>1752.03</v>
      </c>
      <c r="P358" s="123">
        <v>1769.81</v>
      </c>
      <c r="Q358" s="276"/>
      <c r="R358" s="276"/>
      <c r="S358" s="276"/>
      <c r="T358" s="276"/>
      <c r="U358" s="276"/>
      <c r="V358" s="277"/>
      <c r="W358" s="238"/>
      <c r="Y358" s="271"/>
    </row>
    <row r="359" spans="1:31" ht="32.25" thickBot="1">
      <c r="A359" s="294"/>
      <c r="B359" s="281"/>
      <c r="C359" s="243" t="s">
        <v>221</v>
      </c>
      <c r="D359" s="282">
        <f t="shared" ref="D359:P359" si="115">IF(((D357="")*AND(D358="")),"",(D357-D358)*2)</f>
        <v>2035.3199999999997</v>
      </c>
      <c r="E359" s="282">
        <f t="shared" si="115"/>
        <v>2056.04</v>
      </c>
      <c r="F359" s="282">
        <f t="shared" si="115"/>
        <v>2053.3399999999997</v>
      </c>
      <c r="G359" s="282">
        <f t="shared" si="115"/>
        <v>2067.5600000000004</v>
      </c>
      <c r="H359" s="282">
        <f t="shared" si="115"/>
        <v>2107.6599999999994</v>
      </c>
      <c r="I359" s="282">
        <f t="shared" si="115"/>
        <v>2070.1999999999998</v>
      </c>
      <c r="J359" s="282">
        <f t="shared" si="115"/>
        <v>2061.56</v>
      </c>
      <c r="K359" s="282">
        <f t="shared" si="115"/>
        <v>2059.8799999999997</v>
      </c>
      <c r="L359" s="282">
        <f t="shared" si="115"/>
        <v>2029.8399999999997</v>
      </c>
      <c r="M359" s="282">
        <f t="shared" si="115"/>
        <v>2058.1400000000003</v>
      </c>
      <c r="N359" s="282">
        <f t="shared" si="115"/>
        <v>2081.0800000000004</v>
      </c>
      <c r="O359" s="282">
        <f t="shared" si="115"/>
        <v>2092.36</v>
      </c>
      <c r="P359" s="282">
        <f t="shared" si="115"/>
        <v>2041.92</v>
      </c>
      <c r="Q359" s="264"/>
      <c r="R359" s="281"/>
      <c r="S359" s="281"/>
      <c r="T359" s="281"/>
      <c r="U359" s="281"/>
      <c r="V359" s="283"/>
      <c r="W359" s="247"/>
      <c r="Y359" s="271"/>
    </row>
    <row r="360" spans="1:31">
      <c r="A360" s="248">
        <v>43690</v>
      </c>
      <c r="B360" s="268" t="s">
        <v>76</v>
      </c>
      <c r="C360" s="269" t="s">
        <v>77</v>
      </c>
      <c r="D360">
        <v>2871.36</v>
      </c>
      <c r="E360">
        <v>2774.81</v>
      </c>
      <c r="F360">
        <v>2776.53</v>
      </c>
      <c r="G360">
        <v>2784</v>
      </c>
      <c r="H360">
        <v>2886.15</v>
      </c>
      <c r="I360">
        <v>2841.53</v>
      </c>
      <c r="J360">
        <v>2775.05</v>
      </c>
      <c r="K360">
        <v>2776.12</v>
      </c>
      <c r="L360">
        <v>2853.94</v>
      </c>
      <c r="M360">
        <v>2781.11</v>
      </c>
      <c r="N360">
        <v>2796.39</v>
      </c>
      <c r="O360">
        <v>2800.16</v>
      </c>
      <c r="P360">
        <v>2790.07</v>
      </c>
      <c r="Q360" s="269">
        <f>IF((P361=""),"",MAX(D362:P362))</f>
        <v>2132.6600000000003</v>
      </c>
      <c r="R360" s="269">
        <f>IF(P361="","",MIN(D362:P362))</f>
        <v>2063.6200000000003</v>
      </c>
      <c r="S360" s="269">
        <f>IF((P362=""),"",AVERAGE(D362:P362))</f>
        <v>2086.7430769230768</v>
      </c>
      <c r="T360" s="269">
        <f>IF((P361=""),"",STDEV(D362:P362))</f>
        <v>22.851456330182863</v>
      </c>
      <c r="U360" s="269">
        <f>IF((P361=""),"",((Q360-R360)/(Q360+R360))*100)</f>
        <v>1.6452667600827389</v>
      </c>
      <c r="V360" s="228" t="str">
        <f>IF(P361="","",IF(U360&lt;7.2,IF(S360&gt;AB360,IF(S360&lt;AC360,"Pass","Fail"),"Fail"),"Fail"))</f>
        <v>Pass</v>
      </c>
      <c r="W360" s="284" t="s">
        <v>205</v>
      </c>
      <c r="X360" s="380" t="s">
        <v>206</v>
      </c>
      <c r="Y360" s="271"/>
      <c r="Z360" s="272">
        <v>1600</v>
      </c>
      <c r="AA360" s="272">
        <v>2600</v>
      </c>
      <c r="AB360" s="273">
        <v>1900</v>
      </c>
      <c r="AC360" s="273">
        <v>2250</v>
      </c>
      <c r="AD360" s="274">
        <v>10</v>
      </c>
      <c r="AE360" s="274">
        <v>3.6</v>
      </c>
    </row>
    <row r="361" spans="1:31">
      <c r="A361" s="293"/>
      <c r="B361" s="276"/>
      <c r="C361" s="276" t="s">
        <v>78</v>
      </c>
      <c r="D361">
        <v>1838.94</v>
      </c>
      <c r="E361">
        <v>1738.85</v>
      </c>
      <c r="F361">
        <v>1725.78</v>
      </c>
      <c r="G361">
        <v>1730.81</v>
      </c>
      <c r="H361">
        <v>1819.82</v>
      </c>
      <c r="I361">
        <v>1809.72</v>
      </c>
      <c r="J361">
        <v>1739.77</v>
      </c>
      <c r="K361">
        <v>1737.83</v>
      </c>
      <c r="L361">
        <v>1819</v>
      </c>
      <c r="M361">
        <v>1744.05</v>
      </c>
      <c r="N361">
        <v>1737.87</v>
      </c>
      <c r="O361">
        <v>1747</v>
      </c>
      <c r="P361">
        <v>1753.95</v>
      </c>
      <c r="Q361" s="276"/>
      <c r="R361" s="276"/>
      <c r="S361" s="276"/>
      <c r="T361" s="276"/>
      <c r="U361" s="276"/>
      <c r="V361" s="277"/>
      <c r="W361" s="238"/>
      <c r="Y361" s="271"/>
    </row>
    <row r="362" spans="1:31" ht="32.25" thickBot="1">
      <c r="A362" s="294"/>
      <c r="B362" s="281"/>
      <c r="C362" s="243" t="s">
        <v>221</v>
      </c>
      <c r="D362" s="282">
        <f t="shared" ref="D362:P362" si="116">IF(((D360="")*AND(D361="")),"",(D360-D361)*2)</f>
        <v>2064.84</v>
      </c>
      <c r="E362" s="282">
        <f t="shared" si="116"/>
        <v>2071.92</v>
      </c>
      <c r="F362" s="282">
        <f t="shared" si="116"/>
        <v>2101.5000000000005</v>
      </c>
      <c r="G362" s="282">
        <f t="shared" si="116"/>
        <v>2106.38</v>
      </c>
      <c r="H362" s="282">
        <f t="shared" si="116"/>
        <v>2132.6600000000003</v>
      </c>
      <c r="I362" s="282">
        <f t="shared" si="116"/>
        <v>2063.6200000000003</v>
      </c>
      <c r="J362" s="282">
        <f t="shared" si="116"/>
        <v>2070.5600000000004</v>
      </c>
      <c r="K362" s="282">
        <f t="shared" si="116"/>
        <v>2076.58</v>
      </c>
      <c r="L362" s="282">
        <f t="shared" si="116"/>
        <v>2069.88</v>
      </c>
      <c r="M362" s="282">
        <f t="shared" si="116"/>
        <v>2074.1200000000003</v>
      </c>
      <c r="N362" s="282">
        <f t="shared" si="116"/>
        <v>2117.04</v>
      </c>
      <c r="O362" s="282">
        <f t="shared" si="116"/>
        <v>2106.3199999999997</v>
      </c>
      <c r="P362" s="282">
        <f t="shared" si="116"/>
        <v>2072.2400000000002</v>
      </c>
      <c r="Q362" s="264"/>
      <c r="R362" s="281"/>
      <c r="S362" s="281"/>
      <c r="T362" s="281"/>
      <c r="U362" s="281"/>
      <c r="V362" s="283"/>
      <c r="W362" s="247"/>
      <c r="Y362" s="271"/>
    </row>
    <row r="363" spans="1:31">
      <c r="A363" s="248">
        <v>43694</v>
      </c>
      <c r="B363" s="268" t="s">
        <v>76</v>
      </c>
      <c r="C363" s="269" t="s">
        <v>77</v>
      </c>
      <c r="D363">
        <v>3132.4</v>
      </c>
      <c r="E363">
        <v>2992.53</v>
      </c>
      <c r="F363">
        <v>2967.39</v>
      </c>
      <c r="G363">
        <v>2972.68</v>
      </c>
      <c r="H363">
        <v>3077.02</v>
      </c>
      <c r="I363">
        <v>3072.53</v>
      </c>
      <c r="J363">
        <v>2979.54</v>
      </c>
      <c r="K363">
        <v>2976</v>
      </c>
      <c r="L363">
        <v>3056.41</v>
      </c>
      <c r="M363">
        <v>3003.23</v>
      </c>
      <c r="N363">
        <v>2980.37</v>
      </c>
      <c r="O363">
        <v>2982.32</v>
      </c>
      <c r="P363">
        <v>3003.52</v>
      </c>
      <c r="Q363" s="269">
        <f>IF((P364=""),"",MAX(D365:P365))</f>
        <v>2270.44</v>
      </c>
      <c r="R363" s="269">
        <f>IF(P364="","",MIN(D365:P365))</f>
        <v>2157.08</v>
      </c>
      <c r="S363" s="269">
        <f>IF((P365=""),"",AVERAGE(D365:P365))</f>
        <v>2190.1307692307691</v>
      </c>
      <c r="T363" s="269">
        <f>IF((P364=""),"",STDEV(D365:P365))</f>
        <v>27.526211284742931</v>
      </c>
      <c r="U363" s="269">
        <f>IF((P364=""),"",((Q363-R363)/(Q363+R363))*100)</f>
        <v>2.5603498120844201</v>
      </c>
      <c r="V363" s="228" t="str">
        <f>IF(P364="","",IF(U363&lt;7.2,IF(S363&gt;AB363,IF(S363&lt;AC363,"Pass","Fail"),"Fail"),"Fail"))</f>
        <v>Pass</v>
      </c>
      <c r="W363" s="284">
        <v>64</v>
      </c>
      <c r="X363" s="122" t="s">
        <v>208</v>
      </c>
      <c r="Y363" s="271"/>
      <c r="Z363" s="272">
        <v>1600</v>
      </c>
      <c r="AA363" s="272">
        <v>2600</v>
      </c>
      <c r="AB363" s="273">
        <v>1900</v>
      </c>
      <c r="AC363" s="273">
        <v>2250</v>
      </c>
      <c r="AD363" s="274">
        <v>10</v>
      </c>
      <c r="AE363" s="274">
        <v>3.6</v>
      </c>
    </row>
    <row r="364" spans="1:31">
      <c r="A364" s="293"/>
      <c r="B364" s="276"/>
      <c r="C364" s="276" t="s">
        <v>78</v>
      </c>
      <c r="D364">
        <v>2044.02</v>
      </c>
      <c r="E364">
        <v>1899.77</v>
      </c>
      <c r="F364">
        <v>1888.85</v>
      </c>
      <c r="G364">
        <v>1880.46</v>
      </c>
      <c r="H364">
        <v>1941.8</v>
      </c>
      <c r="I364">
        <v>1968.48</v>
      </c>
      <c r="J364">
        <v>1891.88</v>
      </c>
      <c r="K364">
        <v>1890.8</v>
      </c>
      <c r="L364">
        <v>1956.56</v>
      </c>
      <c r="M364">
        <v>1914.76</v>
      </c>
      <c r="N364">
        <v>1881.6</v>
      </c>
      <c r="O364">
        <v>1890.93</v>
      </c>
      <c r="P364">
        <v>1910.18</v>
      </c>
      <c r="Q364" s="276"/>
      <c r="R364" s="276"/>
      <c r="S364" s="276"/>
      <c r="T364" s="276"/>
      <c r="U364" s="276"/>
      <c r="V364" s="277"/>
      <c r="W364" s="238"/>
      <c r="Y364" s="271"/>
    </row>
    <row r="365" spans="1:31" ht="32.25" thickBot="1">
      <c r="A365" s="294"/>
      <c r="B365" s="281"/>
      <c r="C365" s="243" t="s">
        <v>221</v>
      </c>
      <c r="D365" s="282">
        <f t="shared" ref="D365:P365" si="117">IF(((D363="")*AND(D364="")),"",(D363-D364)*2)</f>
        <v>2176.7600000000002</v>
      </c>
      <c r="E365" s="282">
        <f t="shared" si="117"/>
        <v>2185.5200000000004</v>
      </c>
      <c r="F365" s="282">
        <f t="shared" si="117"/>
        <v>2157.08</v>
      </c>
      <c r="G365" s="282">
        <f t="shared" si="117"/>
        <v>2184.4399999999996</v>
      </c>
      <c r="H365" s="282">
        <f t="shared" si="117"/>
        <v>2270.44</v>
      </c>
      <c r="I365" s="282">
        <f t="shared" si="117"/>
        <v>2208.1000000000004</v>
      </c>
      <c r="J365" s="282">
        <f t="shared" si="117"/>
        <v>2175.3199999999997</v>
      </c>
      <c r="K365" s="282">
        <f t="shared" si="117"/>
        <v>2170.4</v>
      </c>
      <c r="L365" s="282">
        <f t="shared" si="117"/>
        <v>2199.6999999999998</v>
      </c>
      <c r="M365" s="282">
        <f t="shared" si="117"/>
        <v>2176.94</v>
      </c>
      <c r="N365" s="282">
        <f t="shared" si="117"/>
        <v>2197.54</v>
      </c>
      <c r="O365" s="282">
        <f t="shared" si="117"/>
        <v>2182.7800000000002</v>
      </c>
      <c r="P365" s="282">
        <f t="shared" si="117"/>
        <v>2186.6799999999998</v>
      </c>
      <c r="Q365" s="264"/>
      <c r="R365" s="281"/>
      <c r="S365" s="281"/>
      <c r="T365" s="281"/>
      <c r="U365" s="281"/>
      <c r="V365" s="283"/>
      <c r="W365" s="247"/>
      <c r="Y365" s="271"/>
    </row>
    <row r="366" spans="1:31">
      <c r="A366" s="291">
        <v>43697</v>
      </c>
      <c r="B366" s="268" t="s">
        <v>76</v>
      </c>
      <c r="C366" s="269" t="s">
        <v>77</v>
      </c>
      <c r="D366">
        <v>3085.91</v>
      </c>
      <c r="E366">
        <v>2980.27</v>
      </c>
      <c r="F366">
        <v>2968.27</v>
      </c>
      <c r="G366">
        <v>2976.45</v>
      </c>
      <c r="H366">
        <v>3069.64</v>
      </c>
      <c r="I366">
        <v>3131.46</v>
      </c>
      <c r="J366">
        <v>2991.18</v>
      </c>
      <c r="K366">
        <v>2971.98</v>
      </c>
      <c r="L366">
        <v>3068.94</v>
      </c>
      <c r="M366">
        <v>3006.65</v>
      </c>
      <c r="N366">
        <v>2982.62</v>
      </c>
      <c r="O366">
        <v>2998.6</v>
      </c>
      <c r="P366">
        <v>2980.88</v>
      </c>
      <c r="Q366" s="269">
        <f>IF((P367=""),"",MAX(D368:P368))</f>
        <v>2230.16</v>
      </c>
      <c r="R366" s="269">
        <f>IF(P367="","",MIN(D368:P368))</f>
        <v>2131.6</v>
      </c>
      <c r="S366" s="269">
        <f>IF((P368=""),"",AVERAGE(D368:P368))</f>
        <v>2160.1615384615384</v>
      </c>
      <c r="T366" s="269">
        <f>IF((P367=""),"",STDEV(D368:P368))</f>
        <v>27.553152828110832</v>
      </c>
      <c r="U366" s="269">
        <f>IF((P367=""),"",((Q366-R366)/(Q366+R366))*100)</f>
        <v>2.2596383111404559</v>
      </c>
      <c r="V366" s="228" t="str">
        <f>IF(P367="","",IF(U366&lt;7.2,IF(S366&gt;AB366,IF(S366&lt;AC366,"Pass","Fail"),"Fail"),"Fail"))</f>
        <v>Pass</v>
      </c>
      <c r="W366" s="284">
        <v>1340</v>
      </c>
      <c r="Y366" s="271"/>
      <c r="Z366" s="272">
        <v>1600</v>
      </c>
      <c r="AA366" s="272">
        <v>2600</v>
      </c>
      <c r="AB366" s="273">
        <v>1900</v>
      </c>
      <c r="AC366" s="273">
        <v>2250</v>
      </c>
      <c r="AD366" s="274">
        <v>10</v>
      </c>
      <c r="AE366" s="274">
        <v>3.6</v>
      </c>
    </row>
    <row r="367" spans="1:31">
      <c r="A367" s="293"/>
      <c r="B367" s="276"/>
      <c r="C367" s="276" t="s">
        <v>78</v>
      </c>
      <c r="D367">
        <v>2015.91</v>
      </c>
      <c r="E367">
        <v>1905.35</v>
      </c>
      <c r="F367">
        <v>1902.47</v>
      </c>
      <c r="G367">
        <v>1896.9</v>
      </c>
      <c r="H367">
        <v>1954.56</v>
      </c>
      <c r="I367">
        <v>2032.1</v>
      </c>
      <c r="J367">
        <v>1914.06</v>
      </c>
      <c r="K367">
        <v>1903.95</v>
      </c>
      <c r="L367">
        <v>1997.98</v>
      </c>
      <c r="M367">
        <v>1928.55</v>
      </c>
      <c r="N367">
        <v>1899.3</v>
      </c>
      <c r="O367">
        <v>1912.27</v>
      </c>
      <c r="P367">
        <v>1908.4</v>
      </c>
      <c r="Q367" s="276"/>
      <c r="R367" s="276"/>
      <c r="S367" s="276"/>
      <c r="T367" s="276"/>
      <c r="U367" s="276"/>
      <c r="V367" s="277"/>
      <c r="W367" s="238"/>
      <c r="Y367" s="271"/>
    </row>
    <row r="368" spans="1:31" ht="32.25" thickBot="1">
      <c r="A368" s="294"/>
      <c r="B368" s="281"/>
      <c r="C368" s="243" t="s">
        <v>221</v>
      </c>
      <c r="D368" s="282">
        <f t="shared" ref="D368:P368" si="118">IF(((D366="")*AND(D367="")),"",(D366-D367)*2)</f>
        <v>2139.9999999999995</v>
      </c>
      <c r="E368" s="282">
        <f t="shared" si="118"/>
        <v>2149.84</v>
      </c>
      <c r="F368" s="282">
        <f t="shared" si="118"/>
        <v>2131.6</v>
      </c>
      <c r="G368" s="282">
        <f t="shared" si="118"/>
        <v>2159.0999999999995</v>
      </c>
      <c r="H368" s="282">
        <f t="shared" si="118"/>
        <v>2230.16</v>
      </c>
      <c r="I368" s="282">
        <f t="shared" si="118"/>
        <v>2198.7200000000003</v>
      </c>
      <c r="J368" s="282">
        <f t="shared" si="118"/>
        <v>2154.2399999999998</v>
      </c>
      <c r="K368" s="282">
        <f t="shared" si="118"/>
        <v>2136.06</v>
      </c>
      <c r="L368" s="282">
        <f t="shared" si="118"/>
        <v>2141.92</v>
      </c>
      <c r="M368" s="282">
        <f t="shared" si="118"/>
        <v>2156.2000000000003</v>
      </c>
      <c r="N368" s="282">
        <f t="shared" si="118"/>
        <v>2166.64</v>
      </c>
      <c r="O368" s="282">
        <f t="shared" si="118"/>
        <v>2172.66</v>
      </c>
      <c r="P368" s="282">
        <f t="shared" si="118"/>
        <v>2144.96</v>
      </c>
      <c r="Q368" s="264"/>
      <c r="R368" s="281"/>
      <c r="S368" s="281"/>
      <c r="T368" s="281"/>
      <c r="U368" s="281"/>
      <c r="V368" s="283"/>
      <c r="W368" s="247"/>
      <c r="Y368" s="271"/>
    </row>
    <row r="369" spans="1:31">
      <c r="A369" s="115">
        <v>43700</v>
      </c>
      <c r="B369" s="268" t="s">
        <v>76</v>
      </c>
      <c r="C369" s="269" t="s">
        <v>77</v>
      </c>
      <c r="D369">
        <v>3071.41</v>
      </c>
      <c r="E369">
        <v>2979.62</v>
      </c>
      <c r="F369">
        <v>2969.13</v>
      </c>
      <c r="G369">
        <v>2980.75</v>
      </c>
      <c r="H369">
        <v>3075.52</v>
      </c>
      <c r="I369">
        <v>3127.85</v>
      </c>
      <c r="J369">
        <v>2990.27</v>
      </c>
      <c r="K369">
        <v>2975.15</v>
      </c>
      <c r="L369">
        <v>3076.17</v>
      </c>
      <c r="M369">
        <v>3007.48</v>
      </c>
      <c r="N369">
        <v>2981.52</v>
      </c>
      <c r="O369">
        <v>2999.02</v>
      </c>
      <c r="P369">
        <v>2981.48</v>
      </c>
      <c r="Q369" s="269">
        <f>IF((P370=""),"",MAX(D371:P371))</f>
        <v>2263.62</v>
      </c>
      <c r="R369" s="269">
        <f>IF(P370="","",MIN(D371:P371))</f>
        <v>2169.2799999999997</v>
      </c>
      <c r="S369" s="269">
        <f>IF((P371=""),"",AVERAGE(D371:P371))</f>
        <v>2206.4184615384611</v>
      </c>
      <c r="T369" s="269">
        <f>IF((P370=""),"",STDEV(D371:P371))</f>
        <v>27.166606292209106</v>
      </c>
      <c r="U369" s="269">
        <f>IF((P370=""),"",((Q369-R369)/(Q369+R369))*100)</f>
        <v>2.1281779422048808</v>
      </c>
      <c r="V369" s="228" t="str">
        <f>IF(P370="","",IF(U369&lt;7.2,IF(S369&gt;AB369,IF(S369&lt;AC369,"Pass","Fail"),"Fail"),"Fail"))</f>
        <v>Pass</v>
      </c>
      <c r="W369" s="284">
        <v>1340</v>
      </c>
      <c r="X369" s="380" t="s">
        <v>209</v>
      </c>
      <c r="Y369" s="271"/>
      <c r="Z369" s="272">
        <v>1600</v>
      </c>
      <c r="AA369" s="272">
        <v>2600</v>
      </c>
      <c r="AB369" s="273">
        <v>1900</v>
      </c>
      <c r="AC369" s="273">
        <v>2250</v>
      </c>
      <c r="AD369" s="274">
        <v>10</v>
      </c>
      <c r="AE369" s="274">
        <v>3.6</v>
      </c>
    </row>
    <row r="370" spans="1:31">
      <c r="A370" s="293"/>
      <c r="B370" s="276"/>
      <c r="C370" s="276" t="s">
        <v>78</v>
      </c>
      <c r="D370">
        <v>1959.03</v>
      </c>
      <c r="E370">
        <v>1894.98</v>
      </c>
      <c r="F370">
        <v>1883.75</v>
      </c>
      <c r="G370">
        <v>1879.49</v>
      </c>
      <c r="H370">
        <v>1943.71</v>
      </c>
      <c r="I370">
        <v>2012.04</v>
      </c>
      <c r="J370">
        <v>1890.77</v>
      </c>
      <c r="K370">
        <v>1878.1</v>
      </c>
      <c r="L370">
        <v>1960.81</v>
      </c>
      <c r="M370">
        <v>1904.83</v>
      </c>
      <c r="N370">
        <v>1875.81</v>
      </c>
      <c r="O370">
        <v>1895.31</v>
      </c>
      <c r="P370">
        <v>1895.02</v>
      </c>
      <c r="Q370" s="276"/>
      <c r="R370" s="276"/>
      <c r="S370" s="276"/>
      <c r="T370" s="276"/>
      <c r="U370" s="276"/>
      <c r="V370" s="277"/>
      <c r="W370" s="238"/>
      <c r="Y370" s="271"/>
    </row>
    <row r="371" spans="1:31" ht="32.25" thickBot="1">
      <c r="A371" s="294"/>
      <c r="B371" s="281"/>
      <c r="C371" s="243" t="s">
        <v>221</v>
      </c>
      <c r="D371" s="282">
        <f t="shared" ref="D371:P371" si="119">IF(((D369="")*AND(D370="")),"",(D369-D370)*2)</f>
        <v>2224.7599999999998</v>
      </c>
      <c r="E371" s="282">
        <f t="shared" si="119"/>
        <v>2169.2799999999997</v>
      </c>
      <c r="F371" s="282">
        <f t="shared" si="119"/>
        <v>2170.7600000000002</v>
      </c>
      <c r="G371" s="282">
        <f t="shared" si="119"/>
        <v>2202.52</v>
      </c>
      <c r="H371" s="282">
        <f t="shared" si="119"/>
        <v>2263.62</v>
      </c>
      <c r="I371" s="282">
        <f t="shared" si="119"/>
        <v>2231.62</v>
      </c>
      <c r="J371" s="282">
        <f t="shared" si="119"/>
        <v>2199</v>
      </c>
      <c r="K371" s="282">
        <f t="shared" si="119"/>
        <v>2194.1000000000004</v>
      </c>
      <c r="L371" s="282">
        <f t="shared" si="119"/>
        <v>2230.7200000000003</v>
      </c>
      <c r="M371" s="282">
        <f t="shared" si="119"/>
        <v>2205.3000000000002</v>
      </c>
      <c r="N371" s="282">
        <f t="shared" si="119"/>
        <v>2211.42</v>
      </c>
      <c r="O371" s="282">
        <f t="shared" si="119"/>
        <v>2207.42</v>
      </c>
      <c r="P371" s="282">
        <f t="shared" si="119"/>
        <v>2172.92</v>
      </c>
      <c r="Q371" s="264"/>
      <c r="R371" s="281"/>
      <c r="S371" s="281"/>
      <c r="T371" s="281"/>
      <c r="U371" s="281"/>
      <c r="V371" s="283"/>
      <c r="W371" s="247"/>
      <c r="Y371" s="271"/>
    </row>
    <row r="372" spans="1:31">
      <c r="A372" s="291">
        <v>43704</v>
      </c>
      <c r="B372" s="268" t="s">
        <v>76</v>
      </c>
      <c r="C372" s="269" t="s">
        <v>77</v>
      </c>
      <c r="D372">
        <v>3085.45</v>
      </c>
      <c r="E372">
        <v>2980.67</v>
      </c>
      <c r="F372">
        <v>2970.86</v>
      </c>
      <c r="G372">
        <v>2977.49</v>
      </c>
      <c r="H372">
        <v>3070.44</v>
      </c>
      <c r="I372">
        <v>3129.62</v>
      </c>
      <c r="J372">
        <v>2991.62</v>
      </c>
      <c r="K372">
        <v>2971.45</v>
      </c>
      <c r="L372">
        <v>3069.55</v>
      </c>
      <c r="M372">
        <v>3007.74</v>
      </c>
      <c r="N372">
        <v>2983.06</v>
      </c>
      <c r="O372">
        <v>2998.35</v>
      </c>
      <c r="P372">
        <v>2981.87</v>
      </c>
      <c r="Q372" s="269">
        <f>IF((P373=""),"",MAX(D374:P374))</f>
        <v>2122.38</v>
      </c>
      <c r="R372" s="269">
        <f>IF(P373="","",MIN(D374:P374))</f>
        <v>2062.12</v>
      </c>
      <c r="S372" s="269">
        <f>IF((P374=""),"",AVERAGE(D374:P374))</f>
        <v>2093.5492307692307</v>
      </c>
      <c r="T372" s="269">
        <f>IF((P373=""),"",STDEV(D374:P374))</f>
        <v>19.547377684972769</v>
      </c>
      <c r="U372" s="269">
        <f>IF((P373=""),"",((Q372-R372)/(Q372+R372))*100)</f>
        <v>1.4400764726968627</v>
      </c>
      <c r="V372" s="228" t="str">
        <f>IF(P373="","",IF(U372&lt;7.2,IF(S372&gt;AB372,IF(S372&lt;AC372,"Pass","Fail"),"Fail"),"Fail"))</f>
        <v>Pass</v>
      </c>
      <c r="W372" s="284">
        <v>1428</v>
      </c>
      <c r="X372" s="122" t="s">
        <v>210</v>
      </c>
      <c r="Y372" s="271"/>
      <c r="Z372" s="272">
        <v>1600</v>
      </c>
      <c r="AA372" s="272">
        <v>2600</v>
      </c>
      <c r="AB372" s="273">
        <v>1900</v>
      </c>
      <c r="AC372" s="273">
        <v>2250</v>
      </c>
      <c r="AD372" s="274">
        <v>10</v>
      </c>
      <c r="AE372" s="274">
        <v>3.6</v>
      </c>
    </row>
    <row r="373" spans="1:31">
      <c r="A373" s="293"/>
      <c r="B373" s="276"/>
      <c r="C373" s="276" t="s">
        <v>78</v>
      </c>
      <c r="D373">
        <v>2035.8</v>
      </c>
      <c r="E373">
        <v>1932.54</v>
      </c>
      <c r="F373">
        <v>1933.13</v>
      </c>
      <c r="G373">
        <v>1926.34</v>
      </c>
      <c r="H373">
        <v>2009.25</v>
      </c>
      <c r="I373">
        <v>2098.56</v>
      </c>
      <c r="J373">
        <v>1943.46</v>
      </c>
      <c r="K373">
        <v>1931.37</v>
      </c>
      <c r="L373">
        <v>2036.24</v>
      </c>
      <c r="M373">
        <v>1951.32</v>
      </c>
      <c r="N373">
        <v>1931.22</v>
      </c>
      <c r="O373">
        <v>1938.26</v>
      </c>
      <c r="P373">
        <v>1942.61</v>
      </c>
      <c r="Q373" s="276"/>
      <c r="R373" s="276"/>
      <c r="S373" s="276"/>
      <c r="T373" s="276"/>
      <c r="U373" s="276"/>
      <c r="V373" s="277"/>
      <c r="W373" s="238"/>
      <c r="Y373" s="271"/>
    </row>
    <row r="374" spans="1:31" ht="32.25" thickBot="1">
      <c r="A374" s="294"/>
      <c r="B374" s="281"/>
      <c r="C374" s="243" t="s">
        <v>221</v>
      </c>
      <c r="D374" s="282">
        <f t="shared" ref="D374:P374" si="120">IF(((D372="")*AND(D373="")),"",(D372-D373)*2)</f>
        <v>2099.2999999999997</v>
      </c>
      <c r="E374" s="282">
        <f t="shared" si="120"/>
        <v>2096.2600000000002</v>
      </c>
      <c r="F374" s="282">
        <f t="shared" si="120"/>
        <v>2075.46</v>
      </c>
      <c r="G374" s="282">
        <f t="shared" si="120"/>
        <v>2102.2999999999997</v>
      </c>
      <c r="H374" s="282">
        <f t="shared" si="120"/>
        <v>2122.38</v>
      </c>
      <c r="I374" s="282">
        <f t="shared" si="120"/>
        <v>2062.12</v>
      </c>
      <c r="J374" s="282">
        <f t="shared" si="120"/>
        <v>2096.3199999999997</v>
      </c>
      <c r="K374" s="282">
        <f t="shared" si="120"/>
        <v>2080.16</v>
      </c>
      <c r="L374" s="282">
        <f t="shared" si="120"/>
        <v>2066.6200000000003</v>
      </c>
      <c r="M374" s="282">
        <f t="shared" si="120"/>
        <v>2112.8399999999997</v>
      </c>
      <c r="N374" s="282">
        <f t="shared" si="120"/>
        <v>2103.6799999999998</v>
      </c>
      <c r="O374" s="282">
        <f t="shared" si="120"/>
        <v>2120.1799999999998</v>
      </c>
      <c r="P374" s="282">
        <f t="shared" si="120"/>
        <v>2078.52</v>
      </c>
      <c r="Q374" s="264"/>
      <c r="R374" s="281"/>
      <c r="S374" s="281"/>
      <c r="T374" s="281"/>
      <c r="U374" s="281"/>
      <c r="V374" s="283"/>
      <c r="W374" s="247"/>
      <c r="Y374" s="271"/>
    </row>
    <row r="375" spans="1:31">
      <c r="A375" s="291">
        <v>43710</v>
      </c>
      <c r="B375" s="268" t="s">
        <v>76</v>
      </c>
      <c r="C375" s="269" t="s">
        <v>77</v>
      </c>
      <c r="D375">
        <v>3067.33</v>
      </c>
      <c r="E375">
        <v>2953.36</v>
      </c>
      <c r="F375">
        <v>2968.51</v>
      </c>
      <c r="G375">
        <v>2973.41</v>
      </c>
      <c r="H375">
        <v>3069.31</v>
      </c>
      <c r="I375">
        <v>3131.2</v>
      </c>
      <c r="J375">
        <v>2991.3</v>
      </c>
      <c r="K375">
        <v>2971.98</v>
      </c>
      <c r="L375">
        <v>3075.69</v>
      </c>
      <c r="M375">
        <v>2986.11</v>
      </c>
      <c r="N375">
        <v>2973.29</v>
      </c>
      <c r="O375">
        <v>3007.44</v>
      </c>
      <c r="P375">
        <v>2983.14</v>
      </c>
      <c r="Q375" s="269">
        <f>IF((P376=""),"",MAX(D377:P377))</f>
        <v>2233.88</v>
      </c>
      <c r="R375" s="269">
        <f>IF(P376="","",MIN(D377:P377))</f>
        <v>2104.94</v>
      </c>
      <c r="S375" s="269">
        <f>IF((P377=""),"",AVERAGE(D377:P377))</f>
        <v>2174.5446153846156</v>
      </c>
      <c r="T375" s="269">
        <f>IF((P376=""),"",STDEV(D377:P377))</f>
        <v>38.364196115515533</v>
      </c>
      <c r="U375" s="269">
        <f>IF((P376=""),"",((Q375-R375)/(Q375+R375))*100)</f>
        <v>2.9717757362600903</v>
      </c>
      <c r="V375" s="228" t="str">
        <f>IF(P376="","",IF(U375&lt;7.2,IF(S375&gt;AB375,IF(S375&lt;AC375,"Pass","Fail"),"Fail"),"Fail"))</f>
        <v>Pass</v>
      </c>
      <c r="W375" s="284">
        <v>1428</v>
      </c>
      <c r="X375" s="380" t="s">
        <v>211</v>
      </c>
      <c r="Y375" s="271"/>
      <c r="Z375" s="272">
        <v>1600</v>
      </c>
      <c r="AA375" s="272">
        <v>2600</v>
      </c>
      <c r="AB375" s="273">
        <v>1900</v>
      </c>
      <c r="AC375" s="273">
        <v>2250</v>
      </c>
      <c r="AD375" s="274">
        <v>10</v>
      </c>
      <c r="AE375" s="274">
        <v>3.6</v>
      </c>
    </row>
    <row r="376" spans="1:31">
      <c r="A376" s="293"/>
      <c r="B376" s="276"/>
      <c r="C376" s="276" t="s">
        <v>78</v>
      </c>
      <c r="D376">
        <v>1970.92</v>
      </c>
      <c r="E376">
        <v>1900.89</v>
      </c>
      <c r="F376">
        <v>1901.81</v>
      </c>
      <c r="G376">
        <v>1876.35</v>
      </c>
      <c r="H376">
        <v>1952.37</v>
      </c>
      <c r="I376">
        <v>2041.02</v>
      </c>
      <c r="J376">
        <v>1902.21</v>
      </c>
      <c r="K376">
        <v>1887.36</v>
      </c>
      <c r="L376">
        <v>1968.67</v>
      </c>
      <c r="M376">
        <v>1917.09</v>
      </c>
      <c r="N376">
        <v>1892.8</v>
      </c>
      <c r="O376">
        <v>1894.15</v>
      </c>
      <c r="P376">
        <v>1911.89</v>
      </c>
      <c r="Q376" s="276"/>
      <c r="R376" s="276"/>
      <c r="S376" s="276"/>
      <c r="T376" s="276"/>
      <c r="U376" s="276"/>
      <c r="V376" s="277"/>
      <c r="W376" s="238"/>
      <c r="Y376" s="271"/>
    </row>
    <row r="377" spans="1:31" ht="32.25" thickBot="1">
      <c r="A377" s="294"/>
      <c r="B377" s="281"/>
      <c r="C377" s="243" t="s">
        <v>221</v>
      </c>
      <c r="D377" s="282">
        <f t="shared" ref="D377:P377" si="121">IF(((D375="")*AND(D376="")),"",(D375-D376)*2)</f>
        <v>2192.8199999999997</v>
      </c>
      <c r="E377" s="282">
        <f t="shared" si="121"/>
        <v>2104.94</v>
      </c>
      <c r="F377" s="282">
        <f t="shared" si="121"/>
        <v>2133.4000000000005</v>
      </c>
      <c r="G377" s="282">
        <f t="shared" si="121"/>
        <v>2194.12</v>
      </c>
      <c r="H377" s="282">
        <f t="shared" si="121"/>
        <v>2233.88</v>
      </c>
      <c r="I377" s="282">
        <f t="shared" si="121"/>
        <v>2180.3599999999997</v>
      </c>
      <c r="J377" s="282">
        <f t="shared" si="121"/>
        <v>2178.1800000000003</v>
      </c>
      <c r="K377" s="282">
        <f t="shared" si="121"/>
        <v>2169.2400000000002</v>
      </c>
      <c r="L377" s="282">
        <f t="shared" si="121"/>
        <v>2214.04</v>
      </c>
      <c r="M377" s="282">
        <f t="shared" si="121"/>
        <v>2138.0400000000004</v>
      </c>
      <c r="N377" s="282">
        <f t="shared" si="121"/>
        <v>2160.98</v>
      </c>
      <c r="O377" s="282">
        <f t="shared" si="121"/>
        <v>2226.58</v>
      </c>
      <c r="P377" s="282">
        <f t="shared" si="121"/>
        <v>2142.4999999999995</v>
      </c>
      <c r="Q377" s="264"/>
      <c r="R377" s="281"/>
      <c r="S377" s="281"/>
      <c r="T377" s="281"/>
      <c r="U377" s="281"/>
      <c r="V377" s="283"/>
      <c r="W377" s="247"/>
      <c r="Y377" s="271"/>
    </row>
    <row r="378" spans="1:31">
      <c r="A378" s="291">
        <v>43712</v>
      </c>
      <c r="B378" s="268" t="s">
        <v>76</v>
      </c>
      <c r="C378" s="269" t="s">
        <v>77</v>
      </c>
      <c r="D378">
        <v>3080.61</v>
      </c>
      <c r="E378">
        <v>2980.8</v>
      </c>
      <c r="F378">
        <v>2972.7</v>
      </c>
      <c r="G378">
        <v>2977.98</v>
      </c>
      <c r="H378">
        <v>3071</v>
      </c>
      <c r="I378">
        <v>3129.45</v>
      </c>
      <c r="J378">
        <v>2995.73</v>
      </c>
      <c r="K378">
        <v>2972</v>
      </c>
      <c r="L378">
        <v>3062.74</v>
      </c>
      <c r="M378">
        <v>3004.84</v>
      </c>
      <c r="N378">
        <v>2982.11</v>
      </c>
      <c r="O378">
        <v>3000.23</v>
      </c>
      <c r="P378">
        <v>2981.63</v>
      </c>
      <c r="Q378" s="269">
        <f>IF((P379=""),"",MAX(D380:P380))</f>
        <v>2236.3200000000002</v>
      </c>
      <c r="R378" s="269">
        <f>IF(P379="","",MIN(D380:P380))</f>
        <v>2152.5200000000004</v>
      </c>
      <c r="S378" s="269">
        <f>IF((P380=""),"",AVERAGE(D380:P380))</f>
        <v>2180.9815384615385</v>
      </c>
      <c r="T378" s="269">
        <f>IF((P379=""),"",STDEV(D380:P380))</f>
        <v>22.081715605961406</v>
      </c>
      <c r="U378" s="269">
        <f>IF((P379=""),"",((Q378-R378)/(Q378+R378))*100)</f>
        <v>1.9093883577437256</v>
      </c>
      <c r="V378" s="228" t="str">
        <f>IF(P379="","",IF(U378&lt;7.2,IF(S378&gt;AB378,IF(S378&lt;AC378,"Pass","Fail"),"Fail"),"Fail"))</f>
        <v>Pass</v>
      </c>
      <c r="W378" s="284">
        <v>1428</v>
      </c>
      <c r="X378" s="380" t="s">
        <v>212</v>
      </c>
      <c r="Y378" s="271"/>
      <c r="Z378" s="272">
        <v>1600</v>
      </c>
      <c r="AA378" s="272">
        <v>2600</v>
      </c>
      <c r="AB378" s="273">
        <v>1900</v>
      </c>
      <c r="AC378" s="273">
        <v>2250</v>
      </c>
      <c r="AD378" s="274">
        <v>10</v>
      </c>
      <c r="AE378" s="274">
        <v>3.6</v>
      </c>
    </row>
    <row r="379" spans="1:31">
      <c r="A379" s="293"/>
      <c r="B379" s="276"/>
      <c r="C379" s="276" t="s">
        <v>78</v>
      </c>
      <c r="D379">
        <v>1993.86</v>
      </c>
      <c r="E379">
        <v>1899.86</v>
      </c>
      <c r="F379">
        <v>1891.07</v>
      </c>
      <c r="G379">
        <v>1886.52</v>
      </c>
      <c r="H379">
        <v>1952.84</v>
      </c>
      <c r="I379">
        <v>2028.01</v>
      </c>
      <c r="J379">
        <v>1906.75</v>
      </c>
      <c r="K379">
        <v>1891.27</v>
      </c>
      <c r="L379">
        <v>1967.82</v>
      </c>
      <c r="M379">
        <v>1919.84</v>
      </c>
      <c r="N379">
        <v>1887.82</v>
      </c>
      <c r="O379">
        <v>1904.41</v>
      </c>
      <c r="P379">
        <v>1905.37</v>
      </c>
      <c r="Q379" s="276"/>
      <c r="R379" s="276"/>
      <c r="S379" s="276"/>
      <c r="T379" s="276"/>
      <c r="U379" s="276"/>
      <c r="V379" s="277"/>
      <c r="W379" s="238"/>
      <c r="Y379" s="271"/>
    </row>
    <row r="380" spans="1:31" ht="32.25" thickBot="1">
      <c r="A380" s="294"/>
      <c r="B380" s="281"/>
      <c r="C380" s="243" t="s">
        <v>221</v>
      </c>
      <c r="D380" s="282">
        <f t="shared" ref="D380:P380" si="122">IF(((D378="")*AND(D379="")),"",(D378-D379)*2)</f>
        <v>2173.5000000000005</v>
      </c>
      <c r="E380" s="282">
        <f t="shared" si="122"/>
        <v>2161.8800000000006</v>
      </c>
      <c r="F380" s="282">
        <f t="shared" si="122"/>
        <v>2163.2599999999998</v>
      </c>
      <c r="G380" s="282">
        <f t="shared" si="122"/>
        <v>2182.92</v>
      </c>
      <c r="H380" s="282">
        <f t="shared" si="122"/>
        <v>2236.3200000000002</v>
      </c>
      <c r="I380" s="282">
        <f t="shared" si="122"/>
        <v>2202.8799999999997</v>
      </c>
      <c r="J380" s="282">
        <f t="shared" si="122"/>
        <v>2177.96</v>
      </c>
      <c r="K380" s="282">
        <f t="shared" si="122"/>
        <v>2161.46</v>
      </c>
      <c r="L380" s="282">
        <f t="shared" si="122"/>
        <v>2189.8399999999997</v>
      </c>
      <c r="M380" s="282">
        <f t="shared" si="122"/>
        <v>2170.0000000000005</v>
      </c>
      <c r="N380" s="282">
        <f t="shared" si="122"/>
        <v>2188.5800000000004</v>
      </c>
      <c r="O380" s="282">
        <f t="shared" si="122"/>
        <v>2191.64</v>
      </c>
      <c r="P380" s="282">
        <f t="shared" si="122"/>
        <v>2152.5200000000004</v>
      </c>
      <c r="Q380" s="264"/>
      <c r="R380" s="281"/>
      <c r="S380" s="281"/>
      <c r="T380" s="281"/>
      <c r="U380" s="281"/>
      <c r="V380" s="283"/>
      <c r="W380" s="247"/>
      <c r="Y380" s="271"/>
    </row>
    <row r="381" spans="1:31">
      <c r="A381" s="291">
        <v>43715</v>
      </c>
      <c r="B381" s="268" t="s">
        <v>76</v>
      </c>
      <c r="C381" s="269" t="s">
        <v>77</v>
      </c>
      <c r="D381">
        <v>3056.21</v>
      </c>
      <c r="E381">
        <v>2981.4</v>
      </c>
      <c r="F381">
        <v>2970.78</v>
      </c>
      <c r="G381">
        <v>2978.81</v>
      </c>
      <c r="H381">
        <v>3066.52</v>
      </c>
      <c r="I381">
        <v>3126.31</v>
      </c>
      <c r="J381">
        <v>2991.08</v>
      </c>
      <c r="K381">
        <v>2968.92</v>
      </c>
      <c r="L381">
        <v>3061.93</v>
      </c>
      <c r="M381">
        <v>3004.15</v>
      </c>
      <c r="N381">
        <v>2979.55</v>
      </c>
      <c r="O381">
        <v>3001.61</v>
      </c>
      <c r="P381">
        <v>2977.56</v>
      </c>
      <c r="Q381" s="269">
        <f>IF((P382=""),"",MAX(D383:P383))</f>
        <v>2282.88</v>
      </c>
      <c r="R381" s="269">
        <f>IF(P382="","",MIN(D383:P383))</f>
        <v>2200.6200000000003</v>
      </c>
      <c r="S381" s="269">
        <f>IF((P383=""),"",AVERAGE(D383:P383))</f>
        <v>2224.3261538461547</v>
      </c>
      <c r="T381" s="269">
        <f>IF((P382=""),"",STDEV(D383:P383))</f>
        <v>22.54468952194782</v>
      </c>
      <c r="U381" s="269">
        <f>IF((P382=""),"",((Q381-R381)/(Q381+R381))*100)</f>
        <v>1.8347273335563681</v>
      </c>
      <c r="V381" s="228" t="str">
        <f>IF(P382="","",IF(U381&lt;7.2,IF(S381&gt;AB381,IF(S381&lt;AC381,"Pass","Fail"),"Fail"),"Fail"))</f>
        <v>Pass</v>
      </c>
      <c r="W381" s="284">
        <v>1335</v>
      </c>
      <c r="X381" s="380" t="s">
        <v>213</v>
      </c>
      <c r="Y381" s="271"/>
      <c r="Z381" s="272">
        <v>1600</v>
      </c>
      <c r="AA381" s="272">
        <v>2600</v>
      </c>
      <c r="AB381" s="273">
        <v>1900</v>
      </c>
      <c r="AC381" s="273">
        <v>2250</v>
      </c>
      <c r="AD381" s="274">
        <v>10</v>
      </c>
      <c r="AE381" s="274">
        <v>3.6</v>
      </c>
    </row>
    <row r="382" spans="1:31">
      <c r="A382" s="293"/>
      <c r="B382" s="276"/>
      <c r="C382" s="276" t="s">
        <v>78</v>
      </c>
      <c r="D382">
        <v>1946.23</v>
      </c>
      <c r="E382">
        <v>1875.44</v>
      </c>
      <c r="F382">
        <v>1870.47</v>
      </c>
      <c r="G382">
        <v>1873.87</v>
      </c>
      <c r="H382">
        <v>1925.08</v>
      </c>
      <c r="I382">
        <v>2001.29</v>
      </c>
      <c r="J382">
        <v>1882.04</v>
      </c>
      <c r="K382">
        <v>1866.01</v>
      </c>
      <c r="L382">
        <v>1940.83</v>
      </c>
      <c r="M382">
        <v>1897.2</v>
      </c>
      <c r="N382">
        <v>1866.72</v>
      </c>
      <c r="O382">
        <v>1888.25</v>
      </c>
      <c r="P382">
        <v>1873.28</v>
      </c>
      <c r="Q382" s="276"/>
      <c r="R382" s="276"/>
      <c r="S382" s="276"/>
      <c r="T382" s="276"/>
      <c r="U382" s="276"/>
      <c r="V382" s="277"/>
      <c r="W382" s="238"/>
      <c r="Y382" s="271"/>
    </row>
    <row r="383" spans="1:31" ht="32.25" thickBot="1">
      <c r="A383" s="294"/>
      <c r="B383" s="281"/>
      <c r="C383" s="243" t="s">
        <v>221</v>
      </c>
      <c r="D383" s="282">
        <f t="shared" ref="D383:P383" si="123">IF(((D381="")*AND(D382="")),"",(D381-D382)*2)</f>
        <v>2219.96</v>
      </c>
      <c r="E383" s="282">
        <f t="shared" si="123"/>
        <v>2211.92</v>
      </c>
      <c r="F383" s="282">
        <f t="shared" si="123"/>
        <v>2200.6200000000003</v>
      </c>
      <c r="G383" s="282">
        <f t="shared" si="123"/>
        <v>2209.88</v>
      </c>
      <c r="H383" s="282">
        <f t="shared" si="123"/>
        <v>2282.88</v>
      </c>
      <c r="I383" s="282">
        <f t="shared" si="123"/>
        <v>2250.04</v>
      </c>
      <c r="J383" s="282">
        <f t="shared" si="123"/>
        <v>2218.08</v>
      </c>
      <c r="K383" s="282">
        <f t="shared" si="123"/>
        <v>2205.8200000000002</v>
      </c>
      <c r="L383" s="282">
        <f t="shared" si="123"/>
        <v>2242.1999999999998</v>
      </c>
      <c r="M383" s="282">
        <f t="shared" si="123"/>
        <v>2213.9</v>
      </c>
      <c r="N383" s="282">
        <f t="shared" si="123"/>
        <v>2225.6600000000003</v>
      </c>
      <c r="O383" s="282">
        <f t="shared" si="123"/>
        <v>2226.7200000000003</v>
      </c>
      <c r="P383" s="282">
        <f t="shared" si="123"/>
        <v>2208.56</v>
      </c>
      <c r="Q383" s="264"/>
      <c r="R383" s="281"/>
      <c r="S383" s="281"/>
      <c r="T383" s="281"/>
      <c r="U383" s="281"/>
      <c r="V383" s="283"/>
      <c r="W383" s="247"/>
      <c r="Y383" s="271"/>
    </row>
    <row r="384" spans="1:31">
      <c r="A384" s="291">
        <v>43719</v>
      </c>
      <c r="B384" s="268" t="s">
        <v>76</v>
      </c>
      <c r="C384" s="269" t="s">
        <v>77</v>
      </c>
      <c r="D384">
        <v>3074.48</v>
      </c>
      <c r="E384">
        <v>2960.23</v>
      </c>
      <c r="F384">
        <v>2956.03</v>
      </c>
      <c r="G384">
        <v>2980.32</v>
      </c>
      <c r="H384">
        <v>3127.6</v>
      </c>
      <c r="I384">
        <v>3075.48</v>
      </c>
      <c r="J384">
        <v>2971.4</v>
      </c>
      <c r="K384">
        <v>2962.77</v>
      </c>
      <c r="L384">
        <v>3075.76</v>
      </c>
      <c r="M384">
        <v>2971.55</v>
      </c>
      <c r="N384">
        <v>2988.3</v>
      </c>
      <c r="O384">
        <v>2996.47</v>
      </c>
      <c r="P384">
        <v>2968.85</v>
      </c>
      <c r="Q384" s="269">
        <f>IF((P385=""),"",MAX(D386:P386))</f>
        <v>2236.8999999999996</v>
      </c>
      <c r="R384" s="269">
        <f>IF(P385="","",MIN(D386:P386))</f>
        <v>2140.8000000000002</v>
      </c>
      <c r="S384" s="269">
        <f>IF((P386=""),"",AVERAGE(D386:P386))</f>
        <v>2187.6569230769228</v>
      </c>
      <c r="T384" s="269">
        <f>IF((P385=""),"",STDEV(D386:P386))</f>
        <v>32.98009283002272</v>
      </c>
      <c r="U384" s="269">
        <f>IF((P385=""),"",((Q384-R384)/(Q384+R384))*100)</f>
        <v>2.1952166662859369</v>
      </c>
      <c r="V384" s="228" t="str">
        <f>IF(P385="","",IF(U384&lt;7.2,IF(S384&gt;AB384,IF(S384&lt;AC384,"Pass","Fail"),"Fail"),"Fail"))</f>
        <v>Pass</v>
      </c>
      <c r="W384" s="284">
        <v>74</v>
      </c>
      <c r="Y384" s="271"/>
      <c r="Z384" s="272">
        <v>1600</v>
      </c>
      <c r="AA384" s="272">
        <v>2600</v>
      </c>
      <c r="AB384" s="273">
        <v>1900</v>
      </c>
      <c r="AC384" s="273">
        <v>2250</v>
      </c>
      <c r="AD384" s="274">
        <v>10</v>
      </c>
      <c r="AE384" s="274">
        <v>3.6</v>
      </c>
    </row>
    <row r="385" spans="1:31">
      <c r="A385" s="293"/>
      <c r="B385" s="276"/>
      <c r="C385" s="276" t="s">
        <v>78</v>
      </c>
      <c r="D385">
        <v>1963.18</v>
      </c>
      <c r="E385">
        <v>1889.83</v>
      </c>
      <c r="F385">
        <v>1880.71</v>
      </c>
      <c r="G385">
        <v>1884.19</v>
      </c>
      <c r="H385">
        <v>2009.15</v>
      </c>
      <c r="I385">
        <v>1967.14</v>
      </c>
      <c r="J385">
        <v>1881.1</v>
      </c>
      <c r="K385">
        <v>1883.14</v>
      </c>
      <c r="L385">
        <v>1961.16</v>
      </c>
      <c r="M385">
        <v>1892.98</v>
      </c>
      <c r="N385">
        <v>1889.23</v>
      </c>
      <c r="O385">
        <v>1895.63</v>
      </c>
      <c r="P385">
        <v>1892.03</v>
      </c>
      <c r="Q385" s="276"/>
      <c r="R385" s="276"/>
      <c r="S385" s="276"/>
      <c r="T385" s="276"/>
      <c r="U385" s="276"/>
      <c r="V385" s="277"/>
      <c r="W385" s="238"/>
      <c r="Y385" s="271"/>
    </row>
    <row r="386" spans="1:31" ht="32.25" thickBot="1">
      <c r="A386" s="294"/>
      <c r="B386" s="281"/>
      <c r="C386" s="243" t="s">
        <v>221</v>
      </c>
      <c r="D386" s="282">
        <f t="shared" ref="D386:P386" si="124">IF(((D384="")*AND(D385="")),"",(D384-D385)*2)</f>
        <v>2222.6</v>
      </c>
      <c r="E386" s="282">
        <f t="shared" si="124"/>
        <v>2140.8000000000002</v>
      </c>
      <c r="F386" s="282">
        <f t="shared" si="124"/>
        <v>2150.6400000000003</v>
      </c>
      <c r="G386" s="282">
        <f t="shared" si="124"/>
        <v>2192.2600000000002</v>
      </c>
      <c r="H386" s="282">
        <f t="shared" si="124"/>
        <v>2236.8999999999996</v>
      </c>
      <c r="I386" s="282">
        <f t="shared" si="124"/>
        <v>2216.6799999999998</v>
      </c>
      <c r="J386" s="282">
        <f t="shared" si="124"/>
        <v>2180.6000000000004</v>
      </c>
      <c r="K386" s="282">
        <f t="shared" si="124"/>
        <v>2159.2599999999998</v>
      </c>
      <c r="L386" s="282">
        <f t="shared" si="124"/>
        <v>2229.2000000000003</v>
      </c>
      <c r="M386" s="282">
        <f t="shared" si="124"/>
        <v>2157.1400000000003</v>
      </c>
      <c r="N386" s="282">
        <f t="shared" si="124"/>
        <v>2198.1400000000003</v>
      </c>
      <c r="O386" s="282">
        <f t="shared" si="124"/>
        <v>2201.6799999999994</v>
      </c>
      <c r="P386" s="282">
        <f t="shared" si="124"/>
        <v>2153.64</v>
      </c>
      <c r="Q386" s="264"/>
      <c r="R386" s="281"/>
      <c r="S386" s="281"/>
      <c r="T386" s="281"/>
      <c r="U386" s="281"/>
      <c r="V386" s="283"/>
      <c r="W386" s="247"/>
      <c r="Y386" s="271"/>
    </row>
    <row r="387" spans="1:31">
      <c r="A387" s="115">
        <v>43724</v>
      </c>
      <c r="B387" s="268" t="s">
        <v>76</v>
      </c>
      <c r="C387" s="269" t="s">
        <v>77</v>
      </c>
      <c r="D387">
        <v>1969.41</v>
      </c>
      <c r="E387">
        <v>1883.09</v>
      </c>
      <c r="F387">
        <v>1870.68</v>
      </c>
      <c r="G387">
        <v>1888.42</v>
      </c>
      <c r="H387">
        <v>2000.73</v>
      </c>
      <c r="I387">
        <v>1973.97</v>
      </c>
      <c r="J387">
        <v>1891.03</v>
      </c>
      <c r="K387">
        <v>1881.12</v>
      </c>
      <c r="L387">
        <v>1980.44</v>
      </c>
      <c r="M387">
        <v>1897.82</v>
      </c>
      <c r="N387">
        <v>1886.91</v>
      </c>
      <c r="O387">
        <v>1901.39</v>
      </c>
      <c r="P387">
        <v>1891.82</v>
      </c>
      <c r="Q387" s="269">
        <f>IF((P388=""),"",MAX(D389:P389))</f>
        <v>2066.5</v>
      </c>
      <c r="R387" s="269">
        <f>IF(P388="","",MIN(D389:P389))</f>
        <v>1909.42</v>
      </c>
      <c r="S387" s="269">
        <f>IF((P389=""),"",AVERAGE(D389:P389))</f>
        <v>2023.5615384615387</v>
      </c>
      <c r="T387" s="269">
        <f>IF((P388=""),"",STDEV(D389:P389))</f>
        <v>52.817520111883603</v>
      </c>
      <c r="U387" s="269">
        <f>IF((P388=""),"",((Q387-R387)/(Q387+R387))*100)</f>
        <v>3.9507837179822514</v>
      </c>
      <c r="V387" s="228" t="str">
        <f>IF(P388="","",IF(U387&lt;7.2,IF(S387&gt;AB387,IF(S387&lt;AC387,"Pass","Fail"),"Fail"),"Fail"))</f>
        <v>Pass</v>
      </c>
      <c r="W387" s="284">
        <v>121</v>
      </c>
      <c r="X387" s="122" t="s">
        <v>214</v>
      </c>
      <c r="Y387" s="382" t="s">
        <v>215</v>
      </c>
      <c r="Z387" s="272">
        <v>1600</v>
      </c>
      <c r="AA387" s="272">
        <v>2600</v>
      </c>
      <c r="AB387" s="273">
        <v>1900</v>
      </c>
      <c r="AC387" s="273">
        <v>2250</v>
      </c>
      <c r="AD387" s="274">
        <v>10</v>
      </c>
      <c r="AE387" s="274">
        <v>3.6</v>
      </c>
    </row>
    <row r="388" spans="1:31">
      <c r="A388" s="293"/>
      <c r="B388" s="276"/>
      <c r="C388" s="276" t="s">
        <v>78</v>
      </c>
      <c r="D388">
        <v>1014.7</v>
      </c>
      <c r="E388">
        <v>860.02</v>
      </c>
      <c r="F388">
        <v>853.94</v>
      </c>
      <c r="G388">
        <v>858.78</v>
      </c>
      <c r="H388">
        <v>1010.09</v>
      </c>
      <c r="I388">
        <v>993.5</v>
      </c>
      <c r="J388">
        <v>860.83</v>
      </c>
      <c r="K388">
        <v>847.87</v>
      </c>
      <c r="L388">
        <v>1003</v>
      </c>
      <c r="M388">
        <v>865.63</v>
      </c>
      <c r="N388">
        <v>858.67</v>
      </c>
      <c r="O388">
        <v>874.19</v>
      </c>
      <c r="P388">
        <v>862.46</v>
      </c>
      <c r="Q388" s="276"/>
      <c r="R388" s="276"/>
      <c r="S388" s="276"/>
      <c r="T388" s="276"/>
      <c r="U388" s="276"/>
      <c r="V388" s="277"/>
      <c r="W388" s="238"/>
      <c r="Y388" s="271"/>
    </row>
    <row r="389" spans="1:31" ht="32.25" thickBot="1">
      <c r="A389" s="294"/>
      <c r="B389" s="281"/>
      <c r="C389" s="243" t="s">
        <v>221</v>
      </c>
      <c r="D389" s="282">
        <f t="shared" ref="D389:P389" si="125">IF(((D387="")*AND(D388="")),"",(D387-D388)*2)</f>
        <v>1909.42</v>
      </c>
      <c r="E389" s="282">
        <f t="shared" si="125"/>
        <v>2046.1399999999999</v>
      </c>
      <c r="F389" s="282">
        <f t="shared" si="125"/>
        <v>2033.48</v>
      </c>
      <c r="G389" s="282">
        <f t="shared" si="125"/>
        <v>2059.2800000000002</v>
      </c>
      <c r="H389" s="282">
        <f t="shared" si="125"/>
        <v>1981.28</v>
      </c>
      <c r="I389" s="282">
        <f t="shared" si="125"/>
        <v>1960.94</v>
      </c>
      <c r="J389" s="282">
        <f t="shared" si="125"/>
        <v>2060.3999999999996</v>
      </c>
      <c r="K389" s="282">
        <f t="shared" si="125"/>
        <v>2066.5</v>
      </c>
      <c r="L389" s="282">
        <f t="shared" si="125"/>
        <v>1954.88</v>
      </c>
      <c r="M389" s="282">
        <f t="shared" si="125"/>
        <v>2064.38</v>
      </c>
      <c r="N389" s="282">
        <f t="shared" si="125"/>
        <v>2056.4800000000005</v>
      </c>
      <c r="O389" s="282">
        <f t="shared" si="125"/>
        <v>2054.4</v>
      </c>
      <c r="P389" s="282">
        <f t="shared" si="125"/>
        <v>2058.7199999999998</v>
      </c>
      <c r="Q389" s="264"/>
      <c r="R389" s="281"/>
      <c r="S389" s="281"/>
      <c r="T389" s="281"/>
      <c r="U389" s="281"/>
      <c r="V389" s="283"/>
      <c r="W389" s="247"/>
      <c r="Y389" s="271"/>
    </row>
    <row r="390" spans="1:31">
      <c r="A390" s="291">
        <v>43727</v>
      </c>
      <c r="B390" s="268" t="s">
        <v>76</v>
      </c>
      <c r="C390" s="269" t="s">
        <v>77</v>
      </c>
      <c r="D390">
        <v>3126.54</v>
      </c>
      <c r="E390">
        <v>2982.63</v>
      </c>
      <c r="F390">
        <v>2957.22</v>
      </c>
      <c r="G390">
        <v>2962.35</v>
      </c>
      <c r="H390">
        <v>3071.97</v>
      </c>
      <c r="I390">
        <v>3065.53</v>
      </c>
      <c r="J390">
        <v>2966.82</v>
      </c>
      <c r="K390">
        <v>2970.7</v>
      </c>
      <c r="L390">
        <v>3060.4</v>
      </c>
      <c r="M390">
        <v>2992.4</v>
      </c>
      <c r="N390">
        <v>2974.09</v>
      </c>
      <c r="O390">
        <v>2971.57</v>
      </c>
      <c r="P390">
        <v>2995.76</v>
      </c>
      <c r="Q390" s="269">
        <f>IF((P391=""),"",MAX(D392:P392))</f>
        <v>2209.5199999999995</v>
      </c>
      <c r="R390" s="269">
        <f>IF(P391="","",MIN(D392:P392))</f>
        <v>2114.3999999999996</v>
      </c>
      <c r="S390" s="269">
        <f>IF((P392=""),"",AVERAGE(D392:P392))</f>
        <v>2143.0615384615385</v>
      </c>
      <c r="T390" s="269">
        <f>IF((P391=""),"",STDEV(D392:P392))</f>
        <v>27.705605283093238</v>
      </c>
      <c r="U390" s="269">
        <f>IF((P391=""),"",((Q390-R390)/(Q390+R390))*100)</f>
        <v>2.1998556865066865</v>
      </c>
      <c r="V390" s="228" t="str">
        <f>IF(P391="","",IF(U390&lt;7.2,IF(S390&gt;AB390,IF(S390&lt;AC390,"Pass","Fail"),"Fail"),"Fail"))</f>
        <v>Pass</v>
      </c>
      <c r="W390" s="284">
        <v>1159</v>
      </c>
      <c r="X390" s="380" t="s">
        <v>216</v>
      </c>
      <c r="Y390" s="271"/>
      <c r="Z390" s="272">
        <v>1600</v>
      </c>
      <c r="AA390" s="272">
        <v>2600</v>
      </c>
      <c r="AB390" s="273">
        <v>1900</v>
      </c>
      <c r="AC390" s="273">
        <v>2250</v>
      </c>
      <c r="AD390" s="274">
        <v>10</v>
      </c>
      <c r="AE390" s="274">
        <v>3.6</v>
      </c>
    </row>
    <row r="391" spans="1:31">
      <c r="A391" s="293"/>
      <c r="B391" s="276"/>
      <c r="C391" s="276" t="s">
        <v>78</v>
      </c>
      <c r="D391">
        <v>2069.34</v>
      </c>
      <c r="E391">
        <v>1906.04</v>
      </c>
      <c r="F391">
        <v>1899.52</v>
      </c>
      <c r="G391">
        <v>1893.66</v>
      </c>
      <c r="H391">
        <v>1967.21</v>
      </c>
      <c r="I391">
        <v>1971.47</v>
      </c>
      <c r="J391">
        <v>1904.08</v>
      </c>
      <c r="K391">
        <v>1906.07</v>
      </c>
      <c r="L391">
        <v>1998.96</v>
      </c>
      <c r="M391">
        <v>1919.2</v>
      </c>
      <c r="N391">
        <v>1903.43</v>
      </c>
      <c r="O391">
        <v>1899.39</v>
      </c>
      <c r="P391">
        <v>1929.71</v>
      </c>
      <c r="Q391" s="276"/>
      <c r="R391" s="276"/>
      <c r="S391" s="276"/>
      <c r="T391" s="276"/>
      <c r="U391" s="276"/>
      <c r="V391" s="277"/>
      <c r="W391" s="238"/>
      <c r="Y391" s="271"/>
    </row>
    <row r="392" spans="1:31" ht="32.25" thickBot="1">
      <c r="A392" s="294"/>
      <c r="B392" s="281"/>
      <c r="C392" s="243" t="s">
        <v>221</v>
      </c>
      <c r="D392" s="282">
        <f t="shared" ref="D392:P392" si="126">IF(((D390="")*AND(D391="")),"",(D390-D391)*2)</f>
        <v>2114.3999999999996</v>
      </c>
      <c r="E392" s="282">
        <f t="shared" si="126"/>
        <v>2153.1800000000003</v>
      </c>
      <c r="F392" s="282">
        <f t="shared" si="126"/>
        <v>2115.3999999999996</v>
      </c>
      <c r="G392" s="282">
        <f t="shared" si="126"/>
        <v>2137.3799999999997</v>
      </c>
      <c r="H392" s="282">
        <f t="shared" si="126"/>
        <v>2209.5199999999995</v>
      </c>
      <c r="I392" s="282">
        <f t="shared" si="126"/>
        <v>2188.1200000000003</v>
      </c>
      <c r="J392" s="282">
        <f t="shared" si="126"/>
        <v>2125.4800000000005</v>
      </c>
      <c r="K392" s="282">
        <f t="shared" si="126"/>
        <v>2129.2599999999998</v>
      </c>
      <c r="L392" s="282">
        <f t="shared" si="126"/>
        <v>2122.88</v>
      </c>
      <c r="M392" s="282">
        <f t="shared" si="126"/>
        <v>2146.4</v>
      </c>
      <c r="N392" s="282">
        <f t="shared" si="126"/>
        <v>2141.3200000000002</v>
      </c>
      <c r="O392" s="282">
        <f t="shared" si="126"/>
        <v>2144.36</v>
      </c>
      <c r="P392" s="282">
        <f t="shared" si="126"/>
        <v>2132.1000000000004</v>
      </c>
      <c r="Q392" s="264"/>
      <c r="R392" s="281"/>
      <c r="S392" s="281"/>
      <c r="T392" s="281"/>
      <c r="U392" s="281"/>
      <c r="V392" s="283"/>
      <c r="W392" s="247"/>
      <c r="Y392" s="271"/>
    </row>
    <row r="393" spans="1:31">
      <c r="A393" s="291">
        <v>43732</v>
      </c>
      <c r="B393" s="268" t="s">
        <v>76</v>
      </c>
      <c r="C393" s="269" t="s">
        <v>77</v>
      </c>
      <c r="D393">
        <v>3135.44</v>
      </c>
      <c r="E393">
        <v>2993.42</v>
      </c>
      <c r="F393">
        <v>2967.87</v>
      </c>
      <c r="G393">
        <v>2970.62</v>
      </c>
      <c r="H393">
        <v>3081.41</v>
      </c>
      <c r="I393">
        <v>3072.74</v>
      </c>
      <c r="J393">
        <v>2977.85</v>
      </c>
      <c r="K393">
        <v>2978.8</v>
      </c>
      <c r="L393">
        <v>3066.85</v>
      </c>
      <c r="M393">
        <v>3000.87</v>
      </c>
      <c r="N393">
        <v>2980.9</v>
      </c>
      <c r="O393">
        <v>2981.17</v>
      </c>
      <c r="P393">
        <v>3005.18</v>
      </c>
      <c r="Q393" s="269">
        <f>IF((P394=""),"",MAX(D395:P395))</f>
        <v>2241.1799999999998</v>
      </c>
      <c r="R393" s="269">
        <f>IF(P394="","",MIN(D395:P395))</f>
        <v>2148.9400000000005</v>
      </c>
      <c r="S393" s="269">
        <f>IF((P395=""),"",AVERAGE(D395:P395))</f>
        <v>2184.3430769230772</v>
      </c>
      <c r="T393" s="269">
        <f>IF((P394=""),"",STDEV(D395:P395))</f>
        <v>21.017135621763138</v>
      </c>
      <c r="U393" s="269">
        <f>IF((P394=""),"",((Q393-R393)/(Q393+R393))*100)</f>
        <v>2.1010815194117543</v>
      </c>
      <c r="V393" s="228" t="str">
        <f>IF(P394="","",IF(U393&lt;7.2,IF(S393&gt;AB393,IF(S393&lt;AC393,"Pass","Fail"),"Fail"),"Fail"))</f>
        <v>Pass</v>
      </c>
      <c r="W393" s="284">
        <v>1335</v>
      </c>
      <c r="Y393" s="271"/>
      <c r="Z393" s="272">
        <v>1600</v>
      </c>
      <c r="AA393" s="272">
        <v>2600</v>
      </c>
      <c r="AB393" s="273">
        <v>1900</v>
      </c>
      <c r="AC393" s="273">
        <v>2250</v>
      </c>
      <c r="AD393" s="274">
        <v>10</v>
      </c>
      <c r="AE393" s="274">
        <v>3.6</v>
      </c>
    </row>
    <row r="394" spans="1:31">
      <c r="A394" s="293"/>
      <c r="B394" s="276"/>
      <c r="C394" s="276" t="s">
        <v>78</v>
      </c>
      <c r="D394">
        <v>2060.9699999999998</v>
      </c>
      <c r="E394">
        <v>1901.79</v>
      </c>
      <c r="F394">
        <v>1885.66</v>
      </c>
      <c r="G394">
        <v>1876.82</v>
      </c>
      <c r="H394">
        <v>1960.82</v>
      </c>
      <c r="I394">
        <v>1972.92</v>
      </c>
      <c r="J394">
        <v>1889.08</v>
      </c>
      <c r="K394">
        <v>1889.85</v>
      </c>
      <c r="L394">
        <v>1976.59</v>
      </c>
      <c r="M394">
        <v>1911.94</v>
      </c>
      <c r="N394">
        <v>1886.75</v>
      </c>
      <c r="O394">
        <v>1887.53</v>
      </c>
      <c r="P394">
        <v>1914.17</v>
      </c>
      <c r="Q394" s="276"/>
      <c r="R394" s="276"/>
      <c r="S394" s="276"/>
      <c r="T394" s="276"/>
      <c r="U394" s="276"/>
      <c r="V394" s="277"/>
      <c r="W394" s="238"/>
      <c r="Y394" s="271"/>
    </row>
    <row r="395" spans="1:31" ht="32.25" thickBot="1">
      <c r="A395" s="294"/>
      <c r="B395" s="281"/>
      <c r="C395" s="243" t="s">
        <v>221</v>
      </c>
      <c r="D395" s="282">
        <f t="shared" ref="D395:P395" si="127">IF(((D393="")*AND(D394="")),"",(D393-D394)*2)</f>
        <v>2148.9400000000005</v>
      </c>
      <c r="E395" s="282">
        <f t="shared" si="127"/>
        <v>2183.2600000000002</v>
      </c>
      <c r="F395" s="282">
        <f t="shared" si="127"/>
        <v>2164.4199999999996</v>
      </c>
      <c r="G395" s="282">
        <f t="shared" si="127"/>
        <v>2187.6</v>
      </c>
      <c r="H395" s="282">
        <f t="shared" si="127"/>
        <v>2241.1799999999998</v>
      </c>
      <c r="I395" s="282">
        <f t="shared" si="127"/>
        <v>2199.6399999999994</v>
      </c>
      <c r="J395" s="282">
        <f t="shared" si="127"/>
        <v>2177.54</v>
      </c>
      <c r="K395" s="282">
        <f t="shared" si="127"/>
        <v>2177.9000000000005</v>
      </c>
      <c r="L395" s="282">
        <f t="shared" si="127"/>
        <v>2180.52</v>
      </c>
      <c r="M395" s="282">
        <f t="shared" si="127"/>
        <v>2177.8599999999997</v>
      </c>
      <c r="N395" s="282">
        <f t="shared" si="127"/>
        <v>2188.3000000000002</v>
      </c>
      <c r="O395" s="282">
        <f t="shared" si="127"/>
        <v>2187.2800000000002</v>
      </c>
      <c r="P395" s="282">
        <f t="shared" si="127"/>
        <v>2182.0199999999995</v>
      </c>
      <c r="Q395" s="264"/>
      <c r="R395" s="281"/>
      <c r="S395" s="281"/>
      <c r="T395" s="281"/>
      <c r="U395" s="281"/>
      <c r="V395" s="283"/>
      <c r="W395" s="247"/>
      <c r="Y395" s="271"/>
    </row>
    <row r="396" spans="1:31" ht="18.75">
      <c r="A396" s="115">
        <v>43734</v>
      </c>
      <c r="B396" s="268" t="s">
        <v>76</v>
      </c>
      <c r="C396" s="269" t="s">
        <v>77</v>
      </c>
      <c r="D396">
        <v>3131.72</v>
      </c>
      <c r="E396">
        <v>2989.33</v>
      </c>
      <c r="F396">
        <v>2964.7</v>
      </c>
      <c r="G396">
        <v>2965.89</v>
      </c>
      <c r="H396">
        <v>3078.6</v>
      </c>
      <c r="I396">
        <v>3066.17</v>
      </c>
      <c r="J396">
        <v>2974.82</v>
      </c>
      <c r="K396">
        <v>2974.35</v>
      </c>
      <c r="L396">
        <v>3063.19</v>
      </c>
      <c r="M396">
        <v>2996.25</v>
      </c>
      <c r="N396">
        <v>2977.01</v>
      </c>
      <c r="O396">
        <v>2975.29</v>
      </c>
      <c r="P396">
        <v>3001.48</v>
      </c>
      <c r="Q396" s="269">
        <f>IF((P397=""),"",MAX(D398:P398))</f>
        <v>1970.1400000000003</v>
      </c>
      <c r="R396" s="269">
        <f>IF(P397="","",MIN(D398:P398))</f>
        <v>1887.1800000000003</v>
      </c>
      <c r="S396" s="269">
        <f>IF((P398=""),"",AVERAGE(D398:P398))</f>
        <v>1937.6092307692309</v>
      </c>
      <c r="T396" s="269">
        <f>IF((P397=""),"",STDEV(D398:P398))</f>
        <v>22.525465019816494</v>
      </c>
      <c r="U396" s="269">
        <f>IF((P397=""),"",((Q396-R396)/(Q396+R396))*100)</f>
        <v>2.1507160411892201</v>
      </c>
      <c r="V396" s="228" t="str">
        <f>IF(P397="","",IF(U396&lt;7.2,IF(S396&gt;AB396,IF(S396&lt;AC396,"Pass","Fail"),"Fail"),"Fail"))</f>
        <v>Pass</v>
      </c>
      <c r="W396" s="284" t="s">
        <v>138</v>
      </c>
      <c r="X396" s="122" t="s">
        <v>217</v>
      </c>
      <c r="Y396" s="386" t="s">
        <v>218</v>
      </c>
      <c r="Z396" s="272">
        <v>1600</v>
      </c>
      <c r="AA396" s="272">
        <v>2600</v>
      </c>
      <c r="AB396" s="273">
        <v>1900</v>
      </c>
      <c r="AC396" s="273">
        <v>2250</v>
      </c>
      <c r="AD396" s="274">
        <v>10</v>
      </c>
      <c r="AE396" s="274">
        <v>3.6</v>
      </c>
    </row>
    <row r="397" spans="1:31">
      <c r="A397" s="293"/>
      <c r="B397" s="276"/>
      <c r="C397" s="276" t="s">
        <v>78</v>
      </c>
      <c r="D397">
        <v>2173.96</v>
      </c>
      <c r="E397">
        <v>2024.3</v>
      </c>
      <c r="F397">
        <v>1985.07</v>
      </c>
      <c r="G397">
        <v>2000.31</v>
      </c>
      <c r="H397">
        <v>2115.7199999999998</v>
      </c>
      <c r="I397">
        <v>2122.58</v>
      </c>
      <c r="J397">
        <v>2001.21</v>
      </c>
      <c r="K397">
        <v>2001.35</v>
      </c>
      <c r="L397">
        <v>2078.12</v>
      </c>
      <c r="M397">
        <v>2032.32</v>
      </c>
      <c r="N397">
        <v>1993</v>
      </c>
      <c r="O397">
        <v>2001.68</v>
      </c>
      <c r="P397">
        <v>2034.72</v>
      </c>
      <c r="Q397" s="276"/>
      <c r="R397" s="276"/>
      <c r="S397" s="276"/>
      <c r="T397" s="276"/>
      <c r="U397" s="276"/>
      <c r="V397" s="277"/>
      <c r="W397" s="238"/>
      <c r="Y397" s="271"/>
    </row>
    <row r="398" spans="1:31" ht="32.25" thickBot="1">
      <c r="A398" s="294"/>
      <c r="B398" s="281"/>
      <c r="C398" s="243" t="s">
        <v>221</v>
      </c>
      <c r="D398" s="282">
        <f t="shared" ref="D398:P398" si="128">IF(((D396="")*AND(D397="")),"",(D396-D397)*2)</f>
        <v>1915.5199999999995</v>
      </c>
      <c r="E398" s="282">
        <f t="shared" si="128"/>
        <v>1930.06</v>
      </c>
      <c r="F398" s="282">
        <f t="shared" si="128"/>
        <v>1959.2599999999998</v>
      </c>
      <c r="G398" s="282">
        <f t="shared" si="128"/>
        <v>1931.1599999999999</v>
      </c>
      <c r="H398" s="282">
        <f t="shared" si="128"/>
        <v>1925.7600000000002</v>
      </c>
      <c r="I398" s="282">
        <f t="shared" si="128"/>
        <v>1887.1800000000003</v>
      </c>
      <c r="J398" s="282">
        <f t="shared" si="128"/>
        <v>1947.2200000000003</v>
      </c>
      <c r="K398" s="282">
        <f t="shared" si="128"/>
        <v>1946</v>
      </c>
      <c r="L398" s="282">
        <f t="shared" si="128"/>
        <v>1970.1400000000003</v>
      </c>
      <c r="M398" s="282">
        <f t="shared" si="128"/>
        <v>1927.8600000000001</v>
      </c>
      <c r="N398" s="282">
        <f t="shared" si="128"/>
        <v>1968.0200000000004</v>
      </c>
      <c r="O398" s="282">
        <f t="shared" si="128"/>
        <v>1947.2199999999998</v>
      </c>
      <c r="P398" s="282">
        <f t="shared" si="128"/>
        <v>1933.52</v>
      </c>
      <c r="Q398" s="264"/>
      <c r="R398" s="281"/>
      <c r="S398" s="281"/>
      <c r="T398" s="281"/>
      <c r="U398" s="281"/>
      <c r="V398" s="283"/>
      <c r="W398" s="247"/>
      <c r="Y398" s="271"/>
    </row>
    <row r="399" spans="1:31">
      <c r="A399" s="115">
        <v>43738</v>
      </c>
      <c r="B399" s="268" t="s">
        <v>76</v>
      </c>
      <c r="C399" s="269" t="s">
        <v>77</v>
      </c>
      <c r="D399">
        <v>3134.94</v>
      </c>
      <c r="E399">
        <v>2992.95</v>
      </c>
      <c r="F399">
        <v>2968.81</v>
      </c>
      <c r="G399">
        <v>2975.44</v>
      </c>
      <c r="H399">
        <v>3079.42</v>
      </c>
      <c r="I399">
        <v>3067.64</v>
      </c>
      <c r="J399">
        <v>2979.62</v>
      </c>
      <c r="K399">
        <v>2983.58</v>
      </c>
      <c r="L399">
        <v>3067.38</v>
      </c>
      <c r="M399">
        <v>3004.31</v>
      </c>
      <c r="N399">
        <v>2982.03</v>
      </c>
      <c r="O399">
        <v>2983.48</v>
      </c>
      <c r="P399">
        <v>3009.3</v>
      </c>
      <c r="Q399" s="269">
        <f>IF((P400=""),"",MAX(D401:P401))</f>
        <v>1979.6599999999999</v>
      </c>
      <c r="R399" s="269">
        <f>IF(P400="","",MIN(D401:P401))</f>
        <v>1895.3199999999997</v>
      </c>
      <c r="S399" s="269">
        <f>IF((P401=""),"",AVERAGE(D401:P401))</f>
        <v>1951.8492307692306</v>
      </c>
      <c r="T399" s="269">
        <f>IF((P400=""),"",STDEV(D401:P401))</f>
        <v>23.199250872078768</v>
      </c>
      <c r="U399" s="269">
        <f>IF((P400=""),"",((Q399-R399)/(Q399+R399))*100)</f>
        <v>2.1765273627218762</v>
      </c>
      <c r="V399" s="228" t="str">
        <f>IF(P400="","",IF(U399&lt;7.2,IF(S399&gt;AB399,IF(S399&lt;AC399,"Pass","Fail"),"Fail"),"Fail"))</f>
        <v>Pass</v>
      </c>
      <c r="W399" s="284">
        <v>121</v>
      </c>
      <c r="X399" s="122" t="s">
        <v>219</v>
      </c>
      <c r="Y399" s="271"/>
      <c r="Z399" s="272">
        <v>1600</v>
      </c>
      <c r="AA399" s="272">
        <v>2600</v>
      </c>
      <c r="AB399" s="273">
        <v>1900</v>
      </c>
      <c r="AC399" s="273">
        <v>2250</v>
      </c>
      <c r="AD399" s="274">
        <v>10</v>
      </c>
      <c r="AE399" s="274">
        <v>3.6</v>
      </c>
    </row>
    <row r="400" spans="1:31">
      <c r="A400" s="293"/>
      <c r="B400" s="276"/>
      <c r="C400" s="276" t="s">
        <v>78</v>
      </c>
      <c r="D400">
        <v>2165.5300000000002</v>
      </c>
      <c r="E400">
        <v>2012.69</v>
      </c>
      <c r="F400">
        <v>1979.32</v>
      </c>
      <c r="G400">
        <v>1995.41</v>
      </c>
      <c r="H400">
        <v>2113.0700000000002</v>
      </c>
      <c r="I400">
        <v>2119.98</v>
      </c>
      <c r="J400">
        <v>2011.17</v>
      </c>
      <c r="K400">
        <v>1993.75</v>
      </c>
      <c r="L400">
        <v>2082.46</v>
      </c>
      <c r="M400">
        <v>2033.04</v>
      </c>
      <c r="N400">
        <v>1996.12</v>
      </c>
      <c r="O400">
        <v>2008.9</v>
      </c>
      <c r="P400">
        <v>2030.44</v>
      </c>
      <c r="Q400" s="276"/>
      <c r="R400" s="276"/>
      <c r="S400" s="276"/>
      <c r="T400" s="276"/>
      <c r="U400" s="276"/>
      <c r="V400" s="277"/>
      <c r="W400" s="238"/>
      <c r="Y400" s="271"/>
    </row>
    <row r="401" spans="1:31" ht="32.25" thickBot="1">
      <c r="A401" s="294"/>
      <c r="B401" s="281"/>
      <c r="C401" s="243" t="s">
        <v>221</v>
      </c>
      <c r="D401" s="282">
        <f t="shared" ref="D401:P401" si="129">IF(((D399="")*AND(D400="")),"",(D399-D400)*2)</f>
        <v>1938.8199999999997</v>
      </c>
      <c r="E401" s="282">
        <f t="shared" si="129"/>
        <v>1960.5199999999995</v>
      </c>
      <c r="F401" s="282">
        <f t="shared" si="129"/>
        <v>1978.98</v>
      </c>
      <c r="G401" s="282">
        <f t="shared" si="129"/>
        <v>1960.06</v>
      </c>
      <c r="H401" s="282">
        <f t="shared" si="129"/>
        <v>1932.6999999999998</v>
      </c>
      <c r="I401" s="282">
        <f t="shared" si="129"/>
        <v>1895.3199999999997</v>
      </c>
      <c r="J401" s="282">
        <f t="shared" si="129"/>
        <v>1936.8999999999996</v>
      </c>
      <c r="K401" s="282">
        <f t="shared" si="129"/>
        <v>1979.6599999999999</v>
      </c>
      <c r="L401" s="282">
        <f t="shared" si="129"/>
        <v>1969.8400000000001</v>
      </c>
      <c r="M401" s="282">
        <f t="shared" si="129"/>
        <v>1942.54</v>
      </c>
      <c r="N401" s="282">
        <f t="shared" si="129"/>
        <v>1971.8200000000006</v>
      </c>
      <c r="O401" s="282">
        <f t="shared" si="129"/>
        <v>1949.1599999999999</v>
      </c>
      <c r="P401" s="282">
        <f t="shared" si="129"/>
        <v>1957.7200000000003</v>
      </c>
      <c r="Q401" s="264"/>
      <c r="R401" s="281"/>
      <c r="S401" s="281"/>
      <c r="T401" s="281"/>
      <c r="U401" s="281"/>
      <c r="V401" s="283"/>
      <c r="W401" s="247"/>
      <c r="Y401" s="271"/>
    </row>
    <row r="402" spans="1:31">
      <c r="A402" s="291">
        <v>43752</v>
      </c>
      <c r="B402" s="268" t="s">
        <v>76</v>
      </c>
      <c r="C402" s="269" t="s">
        <v>77</v>
      </c>
      <c r="D402">
        <v>3167.82</v>
      </c>
      <c r="E402">
        <v>3038.03</v>
      </c>
      <c r="F402">
        <v>3011.1</v>
      </c>
      <c r="G402">
        <v>3008.86</v>
      </c>
      <c r="H402">
        <v>3062.89</v>
      </c>
      <c r="I402">
        <v>3142.74</v>
      </c>
      <c r="J402">
        <v>3028.92</v>
      </c>
      <c r="K402">
        <v>3012.56</v>
      </c>
      <c r="L402">
        <v>3075.17</v>
      </c>
      <c r="M402">
        <v>3058.84</v>
      </c>
      <c r="N402">
        <v>3011.27</v>
      </c>
      <c r="O402">
        <v>3024.21</v>
      </c>
      <c r="P402">
        <v>3038.85</v>
      </c>
      <c r="Q402" s="269">
        <f>IF((P403=""),"",MAX(D404:P404))</f>
        <v>1905.8400000000001</v>
      </c>
      <c r="R402" s="269">
        <f>IF(P403="","",MIN(D404:P404))</f>
        <v>1813.3599999999997</v>
      </c>
      <c r="S402" s="269">
        <f>IF((P404=""),"",AVERAGE(D404:P404))</f>
        <v>1871.7338461538461</v>
      </c>
      <c r="T402" s="269">
        <f>IF((P403=""),"",STDEV(D404:P404))</f>
        <v>26.702186408127009</v>
      </c>
      <c r="U402" s="269">
        <f>IF((P403=""),"",((Q402-R402)/(Q402+R402))*100)</f>
        <v>2.4865562486556376</v>
      </c>
      <c r="V402" s="228" t="str">
        <f>IF(P403="","",IF(U402&lt;7.2,IF(S402&gt;AB402,IF(S402&lt;AC402,"Pass","Fail"),"Fail"),"Fail"))</f>
        <v>Fail</v>
      </c>
      <c r="W402" s="284">
        <v>1428</v>
      </c>
      <c r="X402" s="380" t="s">
        <v>220</v>
      </c>
      <c r="Y402" s="271"/>
      <c r="Z402" s="272">
        <v>1600</v>
      </c>
      <c r="AA402" s="272">
        <v>2600</v>
      </c>
      <c r="AB402" s="273">
        <v>1900</v>
      </c>
      <c r="AC402" s="273">
        <v>2250</v>
      </c>
      <c r="AD402" s="274">
        <v>10</v>
      </c>
      <c r="AE402" s="274">
        <v>3.6</v>
      </c>
    </row>
    <row r="403" spans="1:31">
      <c r="A403" s="293"/>
      <c r="B403" s="276"/>
      <c r="C403" s="276" t="s">
        <v>78</v>
      </c>
      <c r="D403">
        <v>2232.52</v>
      </c>
      <c r="E403">
        <v>2103.52</v>
      </c>
      <c r="F403">
        <v>2059.46</v>
      </c>
      <c r="G403">
        <v>2062.19</v>
      </c>
      <c r="H403">
        <v>2132.41</v>
      </c>
      <c r="I403">
        <v>2236.06</v>
      </c>
      <c r="J403">
        <v>2103.56</v>
      </c>
      <c r="K403">
        <v>2069.29</v>
      </c>
      <c r="L403">
        <v>2125.16</v>
      </c>
      <c r="M403">
        <v>2138.13</v>
      </c>
      <c r="N403">
        <v>2058.35</v>
      </c>
      <c r="O403">
        <v>2090.13</v>
      </c>
      <c r="P403">
        <v>2104.21</v>
      </c>
      <c r="Q403" s="276"/>
      <c r="R403" s="276"/>
      <c r="S403" s="276"/>
      <c r="T403" s="276"/>
      <c r="U403" s="276"/>
      <c r="V403" s="277"/>
      <c r="W403" s="238"/>
      <c r="Y403" s="271"/>
    </row>
    <row r="404" spans="1:31" ht="32.25" thickBot="1">
      <c r="A404" s="294"/>
      <c r="B404" s="281"/>
      <c r="C404" s="243" t="s">
        <v>221</v>
      </c>
      <c r="D404" s="282">
        <f t="shared" ref="D404:P404" si="130">IF(((D402="")*AND(D403="")),"",(D402-D403)*2)</f>
        <v>1870.6000000000004</v>
      </c>
      <c r="E404" s="282">
        <f t="shared" si="130"/>
        <v>1869.0200000000004</v>
      </c>
      <c r="F404" s="282">
        <f t="shared" si="130"/>
        <v>1903.2799999999997</v>
      </c>
      <c r="G404" s="282">
        <f t="shared" si="130"/>
        <v>1893.3400000000001</v>
      </c>
      <c r="H404" s="282">
        <f t="shared" si="130"/>
        <v>1860.96</v>
      </c>
      <c r="I404" s="282">
        <f t="shared" si="130"/>
        <v>1813.3599999999997</v>
      </c>
      <c r="J404" s="282">
        <f t="shared" si="130"/>
        <v>1850.7200000000003</v>
      </c>
      <c r="K404" s="282">
        <f t="shared" si="130"/>
        <v>1886.54</v>
      </c>
      <c r="L404" s="282">
        <f t="shared" si="130"/>
        <v>1900.0200000000004</v>
      </c>
      <c r="M404" s="282">
        <f t="shared" si="130"/>
        <v>1841.42</v>
      </c>
      <c r="N404" s="282">
        <f t="shared" si="130"/>
        <v>1905.8400000000001</v>
      </c>
      <c r="O404" s="282">
        <f t="shared" si="130"/>
        <v>1868.1599999999999</v>
      </c>
      <c r="P404" s="282">
        <f t="shared" si="130"/>
        <v>1869.2799999999997</v>
      </c>
      <c r="Q404" s="264"/>
      <c r="R404" s="281"/>
      <c r="S404" s="281"/>
      <c r="T404" s="281"/>
      <c r="U404" s="281"/>
      <c r="V404" s="283"/>
      <c r="W404" s="247"/>
      <c r="Y404" s="271"/>
    </row>
    <row r="405" spans="1:31" ht="18.75">
      <c r="A405" s="248">
        <v>43756</v>
      </c>
      <c r="B405" s="268" t="s">
        <v>76</v>
      </c>
      <c r="C405" s="269" t="s">
        <v>77</v>
      </c>
      <c r="D405">
        <v>3133.93</v>
      </c>
      <c r="E405">
        <v>3026.56</v>
      </c>
      <c r="F405">
        <v>3004.14</v>
      </c>
      <c r="G405">
        <v>3005.9</v>
      </c>
      <c r="H405">
        <v>3076.32</v>
      </c>
      <c r="I405">
        <v>3156.87</v>
      </c>
      <c r="J405">
        <v>3030.48</v>
      </c>
      <c r="K405">
        <v>2998.15</v>
      </c>
      <c r="L405">
        <v>3061.86</v>
      </c>
      <c r="M405">
        <v>3050.79</v>
      </c>
      <c r="N405">
        <v>3005.05</v>
      </c>
      <c r="O405">
        <v>3030.68</v>
      </c>
      <c r="P405">
        <v>3017.77</v>
      </c>
      <c r="Q405" s="269">
        <f>IF((P406=""),"",MAX(D407:P407))</f>
        <v>2260.1000000000004</v>
      </c>
      <c r="R405" s="269">
        <f>IF(P406="","",MIN(D407:P407))</f>
        <v>2180.7999999999997</v>
      </c>
      <c r="S405" s="269">
        <f>IF((P407=""),"",AVERAGE(D407:P407))</f>
        <v>2217.8123076923071</v>
      </c>
      <c r="T405" s="269">
        <f>IF((P406=""),"",STDEV(D407:P407))</f>
        <v>22.105417945926909</v>
      </c>
      <c r="U405" s="269">
        <f>IF((P406=""),"",((Q405-R405)/(Q405+R405))*100)</f>
        <v>1.7856740750748865</v>
      </c>
      <c r="V405" s="228" t="str">
        <f>IF(P406="","",IF(U405&lt;7.2,IF(S405&gt;AB405,IF(S405&lt;AC405,"Pass","Fail"),"Fail"),"Fail"))</f>
        <v>Pass</v>
      </c>
      <c r="W405" s="284">
        <v>1428</v>
      </c>
      <c r="X405" s="122" t="s">
        <v>244</v>
      </c>
      <c r="Y405" s="386" t="s">
        <v>245</v>
      </c>
      <c r="Z405" s="272">
        <v>1600</v>
      </c>
      <c r="AA405" s="272">
        <v>2600</v>
      </c>
      <c r="AB405" s="273">
        <v>1900</v>
      </c>
      <c r="AC405" s="273">
        <v>2250</v>
      </c>
      <c r="AD405" s="274">
        <v>10</v>
      </c>
      <c r="AE405" s="274">
        <v>3.6</v>
      </c>
    </row>
    <row r="406" spans="1:31">
      <c r="A406" s="293"/>
      <c r="B406" s="276"/>
      <c r="C406" s="276" t="s">
        <v>78</v>
      </c>
      <c r="D406">
        <v>2043.53</v>
      </c>
      <c r="E406">
        <v>1919.23</v>
      </c>
      <c r="F406">
        <v>1897.52</v>
      </c>
      <c r="G406">
        <v>1892.45</v>
      </c>
      <c r="H406">
        <v>1946.27</v>
      </c>
      <c r="I406">
        <v>2062.61</v>
      </c>
      <c r="J406">
        <v>1925.66</v>
      </c>
      <c r="K406">
        <v>1900.31</v>
      </c>
      <c r="L406">
        <v>1953.23</v>
      </c>
      <c r="M406">
        <v>1936.8</v>
      </c>
      <c r="N406">
        <v>1891.95</v>
      </c>
      <c r="O406">
        <v>1906.03</v>
      </c>
      <c r="P406">
        <v>1907.13</v>
      </c>
      <c r="Q406" s="276"/>
      <c r="R406" s="276"/>
      <c r="S406" s="276"/>
      <c r="T406" s="276"/>
      <c r="U406" s="276"/>
      <c r="V406" s="277"/>
      <c r="W406" s="238"/>
      <c r="Y406" s="271"/>
    </row>
    <row r="407" spans="1:31" ht="32.25" thickBot="1">
      <c r="A407" s="294"/>
      <c r="B407" s="281"/>
      <c r="C407" s="243" t="s">
        <v>221</v>
      </c>
      <c r="D407" s="282">
        <f t="shared" ref="D407:P407" si="131">IF(((D405="")*AND(D406="")),"",(D405-D406)*2)</f>
        <v>2180.7999999999997</v>
      </c>
      <c r="E407" s="282">
        <f t="shared" si="131"/>
        <v>2214.66</v>
      </c>
      <c r="F407" s="282">
        <f t="shared" si="131"/>
        <v>2213.2399999999998</v>
      </c>
      <c r="G407" s="282">
        <f t="shared" si="131"/>
        <v>2226.9</v>
      </c>
      <c r="H407" s="282">
        <f t="shared" si="131"/>
        <v>2260.1000000000004</v>
      </c>
      <c r="I407" s="282">
        <f t="shared" si="131"/>
        <v>2188.5199999999995</v>
      </c>
      <c r="J407" s="282">
        <f t="shared" si="131"/>
        <v>2209.64</v>
      </c>
      <c r="K407" s="282">
        <f t="shared" si="131"/>
        <v>2195.6800000000003</v>
      </c>
      <c r="L407" s="282">
        <f t="shared" si="131"/>
        <v>2217.2600000000002</v>
      </c>
      <c r="M407" s="282">
        <f t="shared" si="131"/>
        <v>2227.98</v>
      </c>
      <c r="N407" s="282">
        <f t="shared" si="131"/>
        <v>2226.2000000000003</v>
      </c>
      <c r="O407" s="282">
        <f t="shared" si="131"/>
        <v>2249.2999999999997</v>
      </c>
      <c r="P407" s="282">
        <f t="shared" si="131"/>
        <v>2221.2799999999997</v>
      </c>
      <c r="Q407" s="264"/>
      <c r="R407" s="281"/>
      <c r="S407" s="281"/>
      <c r="T407" s="281"/>
      <c r="U407" s="281"/>
      <c r="V407" s="283"/>
      <c r="W407" s="247"/>
      <c r="Y407" s="271"/>
    </row>
    <row r="408" spans="1:31">
      <c r="A408" s="248">
        <v>43760</v>
      </c>
      <c r="B408" s="268" t="s">
        <v>76</v>
      </c>
      <c r="C408" s="269" t="s">
        <v>77</v>
      </c>
      <c r="D408">
        <v>3191.46</v>
      </c>
      <c r="E408">
        <v>3063.18</v>
      </c>
      <c r="F408">
        <v>3033.58</v>
      </c>
      <c r="G408">
        <v>3026.58</v>
      </c>
      <c r="H408">
        <v>3078.8</v>
      </c>
      <c r="I408">
        <v>3163.8</v>
      </c>
      <c r="J408">
        <v>3054.7</v>
      </c>
      <c r="K408">
        <v>3033.66</v>
      </c>
      <c r="L408">
        <v>3094.12</v>
      </c>
      <c r="M408">
        <v>3083.9</v>
      </c>
      <c r="N408">
        <v>3031.01</v>
      </c>
      <c r="O408">
        <v>3046.63</v>
      </c>
      <c r="P408">
        <v>3062.97</v>
      </c>
      <c r="Q408" s="269">
        <f>IF((P409=""),"",MAX(D410:P410))</f>
        <v>2260.5000000000005</v>
      </c>
      <c r="R408" s="269">
        <f>IF(P409="","",MIN(D410:P410))</f>
        <v>2154.5</v>
      </c>
      <c r="S408" s="269">
        <f>IF((P410=""),"",AVERAGE(D410:P410))</f>
        <v>2227.7753846153846</v>
      </c>
      <c r="T408" s="269">
        <f>IF((P409=""),"",STDEV(D410:P410))</f>
        <v>27.63359206213357</v>
      </c>
      <c r="U408" s="269">
        <f>IF((P409=""),"",((Q408-R408)/(Q408+R408))*100)</f>
        <v>2.4009060022650157</v>
      </c>
      <c r="V408" s="228" t="str">
        <f>IF(P409="","",IF(U408&lt;7.2,IF(S408&gt;AB408,IF(S408&lt;AC408,"Pass","Fail"),"Fail"),"Fail"))</f>
        <v>Pass</v>
      </c>
      <c r="W408" s="284">
        <v>1335</v>
      </c>
      <c r="X408" s="122" t="s">
        <v>246</v>
      </c>
      <c r="Y408" s="271"/>
      <c r="Z408" s="272">
        <v>1600</v>
      </c>
      <c r="AA408" s="272">
        <v>2600</v>
      </c>
      <c r="AB408" s="273">
        <v>1900</v>
      </c>
      <c r="AC408" s="273">
        <v>2250</v>
      </c>
      <c r="AD408" s="274">
        <v>10</v>
      </c>
      <c r="AE408" s="274">
        <v>3.6</v>
      </c>
    </row>
    <row r="409" spans="1:31">
      <c r="A409" s="293"/>
      <c r="B409" s="276"/>
      <c r="C409" s="276" t="s">
        <v>78</v>
      </c>
      <c r="D409">
        <v>2114.21</v>
      </c>
      <c r="E409">
        <v>1947.66</v>
      </c>
      <c r="F409">
        <v>1921.44</v>
      </c>
      <c r="G409">
        <v>1913.79</v>
      </c>
      <c r="H409">
        <v>1948.55</v>
      </c>
      <c r="I409">
        <v>2058.59</v>
      </c>
      <c r="J409">
        <v>1934.17</v>
      </c>
      <c r="K409">
        <v>1915.12</v>
      </c>
      <c r="L409">
        <v>1988.24</v>
      </c>
      <c r="M409">
        <v>1977.94</v>
      </c>
      <c r="N409">
        <v>1906.46</v>
      </c>
      <c r="O409">
        <v>1921.25</v>
      </c>
      <c r="P409">
        <v>1936.43</v>
      </c>
      <c r="Q409" s="276"/>
      <c r="R409" s="276"/>
      <c r="S409" s="276"/>
      <c r="T409" s="276"/>
      <c r="U409" s="276"/>
      <c r="V409" s="277"/>
      <c r="W409" s="238"/>
      <c r="Y409" s="271"/>
    </row>
    <row r="410" spans="1:31" ht="32.25" thickBot="1">
      <c r="A410" s="294"/>
      <c r="B410" s="281"/>
      <c r="C410" s="243" t="s">
        <v>221</v>
      </c>
      <c r="D410" s="282">
        <f t="shared" ref="D410:P410" si="132">IF(((D408="")*AND(D409="")),"",(D408-D409)*2)</f>
        <v>2154.5</v>
      </c>
      <c r="E410" s="282">
        <f t="shared" si="132"/>
        <v>2231.0399999999995</v>
      </c>
      <c r="F410" s="282">
        <f t="shared" si="132"/>
        <v>2224.2799999999997</v>
      </c>
      <c r="G410" s="282">
        <f t="shared" si="132"/>
        <v>2225.58</v>
      </c>
      <c r="H410" s="282">
        <f t="shared" si="132"/>
        <v>2260.5000000000005</v>
      </c>
      <c r="I410" s="282">
        <f t="shared" si="132"/>
        <v>2210.42</v>
      </c>
      <c r="J410" s="282">
        <f t="shared" si="132"/>
        <v>2241.0599999999995</v>
      </c>
      <c r="K410" s="282">
        <f t="shared" si="132"/>
        <v>2237.08</v>
      </c>
      <c r="L410" s="282">
        <f t="shared" si="132"/>
        <v>2211.7599999999998</v>
      </c>
      <c r="M410" s="282">
        <f t="shared" si="132"/>
        <v>2211.92</v>
      </c>
      <c r="N410" s="282">
        <f t="shared" si="132"/>
        <v>2249.1000000000004</v>
      </c>
      <c r="O410" s="282">
        <f t="shared" si="132"/>
        <v>2250.7600000000002</v>
      </c>
      <c r="P410" s="282">
        <f t="shared" si="132"/>
        <v>2253.0799999999995</v>
      </c>
      <c r="Q410" s="264"/>
      <c r="R410" s="281"/>
      <c r="S410" s="281"/>
      <c r="T410" s="281"/>
      <c r="U410" s="281"/>
      <c r="V410" s="283"/>
      <c r="W410" s="247"/>
      <c r="Y410" s="271"/>
    </row>
    <row r="411" spans="1:31">
      <c r="A411" s="291">
        <v>43766</v>
      </c>
      <c r="B411" s="268" t="s">
        <v>76</v>
      </c>
      <c r="C411" s="269" t="s">
        <v>77</v>
      </c>
      <c r="D411">
        <v>3141.66</v>
      </c>
      <c r="E411">
        <v>3036.82</v>
      </c>
      <c r="F411">
        <v>3018.63</v>
      </c>
      <c r="G411">
        <v>3017.96</v>
      </c>
      <c r="H411">
        <v>3093.01</v>
      </c>
      <c r="I411">
        <v>3171.54</v>
      </c>
      <c r="J411">
        <v>3044.67</v>
      </c>
      <c r="K411">
        <v>3013.68</v>
      </c>
      <c r="L411">
        <v>3074.87</v>
      </c>
      <c r="M411">
        <v>3065.93</v>
      </c>
      <c r="N411">
        <v>3019.26</v>
      </c>
      <c r="O411">
        <v>3048.16</v>
      </c>
      <c r="P411">
        <v>3029.86</v>
      </c>
      <c r="Q411" s="269">
        <f>IF((P412=""),"",MAX(D413:P413))</f>
        <v>2287.0600000000004</v>
      </c>
      <c r="R411" s="269">
        <f>IF(P412="","",MIN(D413:P413))</f>
        <v>2182</v>
      </c>
      <c r="S411" s="269">
        <f>IF((P413=""),"",AVERAGE(D413:P413))</f>
        <v>2247.5523076923082</v>
      </c>
      <c r="T411" s="269">
        <f>IF((P412=""),"",STDEV(D413:P413))</f>
        <v>29.554598670327156</v>
      </c>
      <c r="U411" s="269">
        <f>IF((P412=""),"",((Q411-R411)/(Q411+R411))*100)</f>
        <v>2.3508299284413363</v>
      </c>
      <c r="V411" s="228" t="str">
        <f>IF(P412="","",IF(U411&lt;7.2,IF(S411&gt;AB411,IF(S411&lt;AC411,"Pass","Fail"),"Fail"),"Fail"))</f>
        <v>Pass</v>
      </c>
      <c r="W411" s="284">
        <v>1428</v>
      </c>
      <c r="X411" s="122" t="s">
        <v>247</v>
      </c>
      <c r="Y411" s="271"/>
      <c r="Z411" s="272">
        <v>1600</v>
      </c>
      <c r="AA411" s="272">
        <v>2600</v>
      </c>
      <c r="AB411" s="273">
        <v>1900</v>
      </c>
      <c r="AC411" s="273">
        <v>2250</v>
      </c>
      <c r="AD411" s="274">
        <v>10</v>
      </c>
      <c r="AE411" s="274">
        <v>3.6</v>
      </c>
    </row>
    <row r="412" spans="1:31">
      <c r="A412" s="293"/>
      <c r="B412" s="276"/>
      <c r="C412" s="276" t="s">
        <v>78</v>
      </c>
      <c r="D412">
        <v>2050.66</v>
      </c>
      <c r="E412">
        <v>1915.08</v>
      </c>
      <c r="F412">
        <v>1899.43</v>
      </c>
      <c r="G412">
        <v>1893.82</v>
      </c>
      <c r="H412">
        <v>1949.48</v>
      </c>
      <c r="I412">
        <v>2070.5</v>
      </c>
      <c r="J412">
        <v>1917.31</v>
      </c>
      <c r="K412">
        <v>1886.26</v>
      </c>
      <c r="L412">
        <v>1952.81</v>
      </c>
      <c r="M412">
        <v>1927.33</v>
      </c>
      <c r="N412">
        <v>1887.31</v>
      </c>
      <c r="O412">
        <v>1907.46</v>
      </c>
      <c r="P412">
        <v>1909.51</v>
      </c>
      <c r="Q412" s="276"/>
      <c r="R412" s="276"/>
      <c r="S412" s="276"/>
      <c r="T412" s="276"/>
      <c r="U412" s="276"/>
      <c r="V412" s="277"/>
      <c r="W412" s="238"/>
      <c r="Y412" s="271"/>
    </row>
    <row r="413" spans="1:31" ht="32.25" thickBot="1">
      <c r="A413" s="294"/>
      <c r="B413" s="281"/>
      <c r="C413" s="243" t="s">
        <v>221</v>
      </c>
      <c r="D413" s="282">
        <f t="shared" ref="D413:P413" si="133">IF(((D411="")*AND(D412="")),"",(D411-D412)*2)</f>
        <v>2182</v>
      </c>
      <c r="E413" s="282">
        <f t="shared" si="133"/>
        <v>2243.4800000000005</v>
      </c>
      <c r="F413" s="282">
        <f t="shared" si="133"/>
        <v>2238.4</v>
      </c>
      <c r="G413" s="282">
        <f t="shared" si="133"/>
        <v>2248.2800000000002</v>
      </c>
      <c r="H413" s="282">
        <f t="shared" si="133"/>
        <v>2287.0600000000004</v>
      </c>
      <c r="I413" s="282">
        <f t="shared" si="133"/>
        <v>2202.08</v>
      </c>
      <c r="J413" s="282">
        <f t="shared" si="133"/>
        <v>2254.7200000000003</v>
      </c>
      <c r="K413" s="282">
        <f t="shared" si="133"/>
        <v>2254.8399999999997</v>
      </c>
      <c r="L413" s="282">
        <f t="shared" si="133"/>
        <v>2244.12</v>
      </c>
      <c r="M413" s="282">
        <f t="shared" si="133"/>
        <v>2277.1999999999998</v>
      </c>
      <c r="N413" s="282">
        <f t="shared" si="133"/>
        <v>2263.9000000000005</v>
      </c>
      <c r="O413" s="282">
        <f t="shared" si="133"/>
        <v>2281.3999999999996</v>
      </c>
      <c r="P413" s="282">
        <f t="shared" si="133"/>
        <v>2240.7000000000003</v>
      </c>
      <c r="Q413" s="264"/>
      <c r="R413" s="281"/>
      <c r="S413" s="281"/>
      <c r="T413" s="281"/>
      <c r="U413" s="281"/>
      <c r="V413" s="283"/>
      <c r="W413" s="247"/>
      <c r="Y413" s="271"/>
    </row>
    <row r="414" spans="1:31">
      <c r="A414" s="291">
        <v>43769</v>
      </c>
      <c r="B414" s="268" t="s">
        <v>76</v>
      </c>
      <c r="C414" s="269" t="s">
        <v>77</v>
      </c>
      <c r="D414">
        <v>3214.47</v>
      </c>
      <c r="E414">
        <v>3083.68</v>
      </c>
      <c r="F414">
        <v>3051.88</v>
      </c>
      <c r="G414">
        <v>3042.83</v>
      </c>
      <c r="H414">
        <v>3091.73</v>
      </c>
      <c r="I414">
        <v>3178.76</v>
      </c>
      <c r="J414">
        <v>3071.16</v>
      </c>
      <c r="K414">
        <v>3054.21</v>
      </c>
      <c r="L414">
        <v>3121.83</v>
      </c>
      <c r="M414">
        <v>3102.43</v>
      </c>
      <c r="N414">
        <v>3048.1</v>
      </c>
      <c r="O414">
        <v>3062.11</v>
      </c>
      <c r="P414">
        <v>3083.28</v>
      </c>
      <c r="Q414" s="269">
        <f>IF((P415=""),"",MAX(D416:P416))</f>
        <v>2327.7800000000002</v>
      </c>
      <c r="R414" s="269">
        <f>IF(P415="","",MIN(D416:P416))</f>
        <v>2160.12</v>
      </c>
      <c r="S414" s="269">
        <f>IF((P416=""),"",AVERAGE(D416:P416))</f>
        <v>2275.8107692307694</v>
      </c>
      <c r="T414" s="269">
        <f>IF((P415=""),"",STDEV(D416:P416))</f>
        <v>46.613078004200077</v>
      </c>
      <c r="U414" s="269">
        <f>IF((P415=""),"",((Q414-R414)/(Q414+R414))*100)</f>
        <v>3.735822990708356</v>
      </c>
      <c r="V414" s="228" t="str">
        <f>IF(P415="","",IF(U414&lt;7.2,IF(S414&gt;AB414,IF(S414&lt;AC414,"Pass","Fail"),"Fail"),"Fail"))</f>
        <v>Fail</v>
      </c>
      <c r="W414" s="284">
        <v>1428</v>
      </c>
      <c r="X414" s="380" t="s">
        <v>248</v>
      </c>
      <c r="Y414" s="271"/>
      <c r="Z414" s="272">
        <v>1600</v>
      </c>
      <c r="AA414" s="272">
        <v>2600</v>
      </c>
      <c r="AB414" s="273">
        <v>1900</v>
      </c>
      <c r="AC414" s="273">
        <v>2250</v>
      </c>
      <c r="AD414" s="274">
        <v>10</v>
      </c>
      <c r="AE414" s="274">
        <v>3.6</v>
      </c>
    </row>
    <row r="415" spans="1:31">
      <c r="A415" s="293"/>
      <c r="B415" s="276"/>
      <c r="C415" s="276" t="s">
        <v>78</v>
      </c>
      <c r="D415">
        <v>2134.41</v>
      </c>
      <c r="E415">
        <v>1931.44</v>
      </c>
      <c r="F415">
        <v>1914.98</v>
      </c>
      <c r="G415">
        <v>1895.45</v>
      </c>
      <c r="H415">
        <v>1927.84</v>
      </c>
      <c r="I415">
        <v>2070.15</v>
      </c>
      <c r="J415">
        <v>1916.52</v>
      </c>
      <c r="K415">
        <v>1914.01</v>
      </c>
      <c r="L415">
        <v>2003.95</v>
      </c>
      <c r="M415">
        <v>1965.94</v>
      </c>
      <c r="N415">
        <v>1891.26</v>
      </c>
      <c r="O415">
        <v>1907.93</v>
      </c>
      <c r="P415">
        <v>1939.82</v>
      </c>
      <c r="Q415" s="276"/>
      <c r="R415" s="276"/>
      <c r="S415" s="276"/>
      <c r="T415" s="276"/>
      <c r="U415" s="276"/>
      <c r="V415" s="277"/>
      <c r="W415" s="238"/>
      <c r="Y415" s="271"/>
    </row>
    <row r="416" spans="1:31" ht="32.25" thickBot="1">
      <c r="A416" s="294"/>
      <c r="B416" s="281"/>
      <c r="C416" s="243" t="s">
        <v>221</v>
      </c>
      <c r="D416" s="282">
        <f t="shared" ref="D416:P416" si="134">IF(((D414="")*AND(D415="")),"",(D414-D415)*2)</f>
        <v>2160.12</v>
      </c>
      <c r="E416" s="282">
        <f t="shared" si="134"/>
        <v>2304.4799999999996</v>
      </c>
      <c r="F416" s="282">
        <f t="shared" si="134"/>
        <v>2273.8000000000002</v>
      </c>
      <c r="G416" s="282">
        <f t="shared" si="134"/>
        <v>2294.7599999999998</v>
      </c>
      <c r="H416" s="282">
        <f t="shared" si="134"/>
        <v>2327.7800000000002</v>
      </c>
      <c r="I416" s="282">
        <f t="shared" si="134"/>
        <v>2217.2200000000003</v>
      </c>
      <c r="J416" s="282">
        <f t="shared" si="134"/>
        <v>2309.2799999999997</v>
      </c>
      <c r="K416" s="282">
        <f t="shared" si="134"/>
        <v>2280.4</v>
      </c>
      <c r="L416" s="282">
        <f t="shared" si="134"/>
        <v>2235.7599999999998</v>
      </c>
      <c r="M416" s="282">
        <f t="shared" si="134"/>
        <v>2272.9799999999996</v>
      </c>
      <c r="N416" s="282">
        <f t="shared" si="134"/>
        <v>2313.6799999999998</v>
      </c>
      <c r="O416" s="282">
        <f t="shared" si="134"/>
        <v>2308.36</v>
      </c>
      <c r="P416" s="282">
        <f t="shared" si="134"/>
        <v>2286.9200000000005</v>
      </c>
      <c r="Q416" s="264"/>
      <c r="R416" s="281"/>
      <c r="S416" s="281"/>
      <c r="T416" s="281"/>
      <c r="U416" s="281"/>
      <c r="V416" s="283"/>
      <c r="W416" s="247"/>
      <c r="Y416" s="271"/>
    </row>
    <row r="417" spans="1:31">
      <c r="A417" s="115">
        <v>43773</v>
      </c>
      <c r="B417" s="268" t="s">
        <v>76</v>
      </c>
      <c r="C417" s="269" t="s">
        <v>77</v>
      </c>
      <c r="D417">
        <v>3198.59</v>
      </c>
      <c r="E417">
        <v>3074.06</v>
      </c>
      <c r="F417">
        <v>3046.58</v>
      </c>
      <c r="G417">
        <v>3041.52</v>
      </c>
      <c r="H417">
        <v>3090.7</v>
      </c>
      <c r="I417">
        <v>3184.44</v>
      </c>
      <c r="J417">
        <v>3069.06</v>
      </c>
      <c r="K417">
        <v>3044.72</v>
      </c>
      <c r="L417">
        <v>3090.38</v>
      </c>
      <c r="M417">
        <v>3096.83</v>
      </c>
      <c r="N417">
        <v>3041.71</v>
      </c>
      <c r="O417">
        <v>3063.55</v>
      </c>
      <c r="P417">
        <v>3070.52</v>
      </c>
      <c r="Q417" s="269">
        <f>IF((P418=""),"",MAX(D419:P419))</f>
        <v>2262.6199999999994</v>
      </c>
      <c r="R417" s="269">
        <f>IF(P418="","",MIN(D419:P419))</f>
        <v>2141.9000000000005</v>
      </c>
      <c r="S417" s="269">
        <f>IF((P419=""),"",AVERAGE(D419:P419))</f>
        <v>2226.6707692307691</v>
      </c>
      <c r="T417" s="269">
        <f>IF((P418=""),"",STDEV(D419:P419))</f>
        <v>34.961439344306591</v>
      </c>
      <c r="U417" s="269">
        <f>IF((P418=""),"",((Q417-R417)/(Q417+R417))*100)</f>
        <v>2.7408207931851574</v>
      </c>
      <c r="V417" s="228" t="str">
        <f>IF(P418="","",IF(U417&lt;7.2,IF(S417&gt;AB417,IF(S417&lt;AC417,"Pass","Fail"),"Fail"),"Fail"))</f>
        <v>Pass</v>
      </c>
      <c r="W417" s="284">
        <v>121</v>
      </c>
      <c r="X417" s="122" t="s">
        <v>253</v>
      </c>
      <c r="Y417" s="271"/>
      <c r="Z417" s="272">
        <v>1600</v>
      </c>
      <c r="AA417" s="272">
        <v>2600</v>
      </c>
      <c r="AB417" s="273">
        <v>1900</v>
      </c>
      <c r="AC417" s="273">
        <v>2250</v>
      </c>
      <c r="AD417" s="274">
        <v>10</v>
      </c>
      <c r="AE417" s="274">
        <v>3.6</v>
      </c>
    </row>
    <row r="418" spans="1:31">
      <c r="A418" s="293"/>
      <c r="B418" s="276"/>
      <c r="C418" s="276" t="s">
        <v>78</v>
      </c>
      <c r="D418">
        <v>2127.64</v>
      </c>
      <c r="E418">
        <v>1955.06</v>
      </c>
      <c r="F418">
        <v>1931.78</v>
      </c>
      <c r="G418">
        <v>1915.7</v>
      </c>
      <c r="H418">
        <v>1959.39</v>
      </c>
      <c r="I418">
        <v>2097.94</v>
      </c>
      <c r="J418">
        <v>1949.73</v>
      </c>
      <c r="K418">
        <v>1921.07</v>
      </c>
      <c r="L418">
        <v>1991.84</v>
      </c>
      <c r="M418">
        <v>1979.77</v>
      </c>
      <c r="N418">
        <v>1918.34</v>
      </c>
      <c r="O418">
        <v>1938.33</v>
      </c>
      <c r="P418">
        <v>1952.71</v>
      </c>
      <c r="Q418" s="276"/>
      <c r="R418" s="276"/>
      <c r="S418" s="276"/>
      <c r="T418" s="276"/>
      <c r="U418" s="276"/>
      <c r="V418" s="277"/>
      <c r="W418" s="238"/>
      <c r="Y418" s="271"/>
    </row>
    <row r="419" spans="1:31" ht="32.25" thickBot="1">
      <c r="A419" s="294"/>
      <c r="B419" s="281"/>
      <c r="C419" s="243" t="s">
        <v>221</v>
      </c>
      <c r="D419" s="282">
        <f t="shared" ref="D419:P419" si="135">IF(((D417="")*AND(D418="")),"",(D417-D418)*2)</f>
        <v>2141.9000000000005</v>
      </c>
      <c r="E419" s="282">
        <f t="shared" si="135"/>
        <v>2238</v>
      </c>
      <c r="F419" s="282">
        <f t="shared" si="135"/>
        <v>2229.6</v>
      </c>
      <c r="G419" s="282">
        <f t="shared" si="135"/>
        <v>2251.64</v>
      </c>
      <c r="H419" s="282">
        <f t="shared" si="135"/>
        <v>2262.6199999999994</v>
      </c>
      <c r="I419" s="282">
        <f t="shared" si="135"/>
        <v>2173</v>
      </c>
      <c r="J419" s="282">
        <f t="shared" si="135"/>
        <v>2238.66</v>
      </c>
      <c r="K419" s="282">
        <f t="shared" si="135"/>
        <v>2247.2999999999997</v>
      </c>
      <c r="L419" s="282">
        <f t="shared" si="135"/>
        <v>2197.0800000000004</v>
      </c>
      <c r="M419" s="282">
        <f t="shared" si="135"/>
        <v>2234.12</v>
      </c>
      <c r="N419" s="282">
        <f t="shared" si="135"/>
        <v>2246.7400000000002</v>
      </c>
      <c r="O419" s="282">
        <f t="shared" si="135"/>
        <v>2250.4400000000005</v>
      </c>
      <c r="P419" s="282">
        <f t="shared" si="135"/>
        <v>2235.62</v>
      </c>
      <c r="Q419" s="264"/>
      <c r="R419" s="281"/>
      <c r="S419" s="281"/>
      <c r="T419" s="281"/>
      <c r="U419" s="281"/>
      <c r="V419" s="283"/>
      <c r="W419" s="247"/>
      <c r="Y419" s="271"/>
    </row>
    <row r="420" spans="1:31">
      <c r="A420" s="115">
        <v>43780</v>
      </c>
      <c r="B420" s="268" t="s">
        <v>76</v>
      </c>
      <c r="C420" s="269" t="s">
        <v>77</v>
      </c>
      <c r="D420">
        <v>3208.57</v>
      </c>
      <c r="E420">
        <v>3085.51</v>
      </c>
      <c r="F420">
        <v>3059.3</v>
      </c>
      <c r="G420">
        <v>3056.05</v>
      </c>
      <c r="H420">
        <v>3109.57</v>
      </c>
      <c r="I420">
        <v>3206.9</v>
      </c>
      <c r="J420">
        <v>3084.03</v>
      </c>
      <c r="K420">
        <v>3051.75</v>
      </c>
      <c r="L420">
        <v>3098.83</v>
      </c>
      <c r="M420">
        <v>3110.6</v>
      </c>
      <c r="N420">
        <v>3049.01</v>
      </c>
      <c r="O420">
        <v>3079.09</v>
      </c>
      <c r="P420">
        <v>3077.04</v>
      </c>
      <c r="Q420" s="269">
        <f>IF((P421=""),"",MAX(D422:P422))</f>
        <v>2181.9200000000005</v>
      </c>
      <c r="R420" s="269">
        <f>IF(P421="","",MIN(D422:P422))</f>
        <v>1806.0200000000004</v>
      </c>
      <c r="S420" s="269">
        <f>IF((P422=""),"",AVERAGE(D422:P422))</f>
        <v>2082.107692307693</v>
      </c>
      <c r="T420" s="269">
        <f>IF((P421=""),"",STDEV(D422:P422))</f>
        <v>133.83485110101469</v>
      </c>
      <c r="U420" s="269">
        <f>IF((P421=""),"",((Q420-R420)/(Q420+R420))*100)</f>
        <v>9.4259191462258709</v>
      </c>
      <c r="V420" s="228" t="str">
        <f>IF(P421="","",IF(U420&lt;7.2,IF(S420&gt;AB420,IF(S420&lt;AC420,"Pass","Fail"),"Fail"),"Fail"))</f>
        <v>Fail</v>
      </c>
      <c r="W420" s="284">
        <v>1159</v>
      </c>
      <c r="Y420" s="271"/>
      <c r="Z420" s="272">
        <v>1600</v>
      </c>
      <c r="AA420" s="272">
        <v>2600</v>
      </c>
      <c r="AB420" s="273">
        <v>1900</v>
      </c>
      <c r="AC420" s="273">
        <v>2250</v>
      </c>
      <c r="AD420" s="274">
        <v>10</v>
      </c>
      <c r="AE420" s="274">
        <v>3.6</v>
      </c>
    </row>
    <row r="421" spans="1:31">
      <c r="A421" s="293"/>
      <c r="B421" s="276"/>
      <c r="C421" s="276" t="s">
        <v>78</v>
      </c>
      <c r="D421">
        <v>2305.56</v>
      </c>
      <c r="E421">
        <v>2011.46</v>
      </c>
      <c r="F421">
        <v>1981.63</v>
      </c>
      <c r="G421">
        <v>1966.09</v>
      </c>
      <c r="H421">
        <v>2078.96</v>
      </c>
      <c r="I421">
        <v>2288.92</v>
      </c>
      <c r="J421">
        <v>1999.27</v>
      </c>
      <c r="K421">
        <v>1975.57</v>
      </c>
      <c r="L421">
        <v>2130.89</v>
      </c>
      <c r="M421">
        <v>2048.75</v>
      </c>
      <c r="N421">
        <v>1958.05</v>
      </c>
      <c r="O421">
        <v>1988.47</v>
      </c>
      <c r="P421">
        <v>2008.93</v>
      </c>
      <c r="Q421" s="276"/>
      <c r="R421" s="276"/>
      <c r="S421" s="276"/>
      <c r="T421" s="276"/>
      <c r="U421" s="276"/>
      <c r="V421" s="277"/>
      <c r="W421" s="238"/>
      <c r="Y421" s="271"/>
    </row>
    <row r="422" spans="1:31" ht="32.25" thickBot="1">
      <c r="A422" s="294"/>
      <c r="B422" s="281"/>
      <c r="C422" s="243" t="s">
        <v>221</v>
      </c>
      <c r="D422" s="282">
        <f t="shared" ref="D422:P422" si="136">IF(((D420="")*AND(D421="")),"",(D420-D421)*2)</f>
        <v>1806.0200000000004</v>
      </c>
      <c r="E422" s="282">
        <f t="shared" si="136"/>
        <v>2148.1000000000004</v>
      </c>
      <c r="F422" s="282">
        <f t="shared" si="136"/>
        <v>2155.34</v>
      </c>
      <c r="G422" s="282">
        <f t="shared" si="136"/>
        <v>2179.9200000000005</v>
      </c>
      <c r="H422" s="282">
        <f t="shared" si="136"/>
        <v>2061.2200000000003</v>
      </c>
      <c r="I422" s="282">
        <f t="shared" si="136"/>
        <v>1835.96</v>
      </c>
      <c r="J422" s="282">
        <f t="shared" si="136"/>
        <v>2169.5200000000004</v>
      </c>
      <c r="K422" s="282">
        <f t="shared" si="136"/>
        <v>2152.36</v>
      </c>
      <c r="L422" s="282">
        <f t="shared" si="136"/>
        <v>1935.88</v>
      </c>
      <c r="M422" s="282">
        <f t="shared" si="136"/>
        <v>2123.6999999999998</v>
      </c>
      <c r="N422" s="282">
        <f t="shared" si="136"/>
        <v>2181.9200000000005</v>
      </c>
      <c r="O422" s="282">
        <f t="shared" si="136"/>
        <v>2181.2400000000002</v>
      </c>
      <c r="P422" s="282">
        <f t="shared" si="136"/>
        <v>2136.2199999999998</v>
      </c>
      <c r="Q422" s="264"/>
      <c r="R422" s="281"/>
      <c r="S422" s="281"/>
      <c r="T422" s="281"/>
      <c r="U422" s="281"/>
      <c r="V422" s="283"/>
      <c r="W422" s="247"/>
      <c r="Y422" s="271"/>
    </row>
    <row r="423" spans="1:31">
      <c r="A423" s="115">
        <v>43782</v>
      </c>
      <c r="B423" s="268" t="s">
        <v>76</v>
      </c>
      <c r="C423" s="269" t="s">
        <v>77</v>
      </c>
      <c r="D423">
        <v>3230.01</v>
      </c>
      <c r="E423">
        <v>3062.77</v>
      </c>
      <c r="F423">
        <v>3020.78</v>
      </c>
      <c r="G423">
        <v>3009.65</v>
      </c>
      <c r="H423">
        <v>3052.11</v>
      </c>
      <c r="I423">
        <v>3154.02</v>
      </c>
      <c r="J423">
        <v>3040.2</v>
      </c>
      <c r="K423">
        <v>3033.37</v>
      </c>
      <c r="L423">
        <v>3154.59</v>
      </c>
      <c r="M423">
        <v>3083.16</v>
      </c>
      <c r="N423">
        <v>3022.58</v>
      </c>
      <c r="O423">
        <v>3030.87</v>
      </c>
      <c r="P423">
        <v>3076.46</v>
      </c>
      <c r="Q423" s="269">
        <f>IF((P424=""),"",MAX(D425:P425))</f>
        <v>2160.8199999999997</v>
      </c>
      <c r="R423" s="269">
        <f>IF(P424="","",MIN(D425:P425))</f>
        <v>1857.5200000000004</v>
      </c>
      <c r="S423" s="269">
        <f>IF((P425=""),"",AVERAGE(D425:P425))</f>
        <v>2065.187692307692</v>
      </c>
      <c r="T423" s="269">
        <f>IF((P424=""),"",STDEV(D425:P425))</f>
        <v>114.9132668692526</v>
      </c>
      <c r="U423" s="269">
        <f>IF((P424=""),"",((Q423-R423)/(Q423+R423))*100)</f>
        <v>7.5478929110030331</v>
      </c>
      <c r="V423" s="228" t="str">
        <f>IF(P424="","",IF(U423&lt;7.2,IF(S423&gt;AB423,IF(S423&lt;AC423,"Pass","Fail"),"Fail"),"Fail"))</f>
        <v>Fail</v>
      </c>
      <c r="W423" s="284">
        <v>1340</v>
      </c>
      <c r="Y423" s="271"/>
      <c r="Z423" s="272">
        <v>1600</v>
      </c>
      <c r="AA423" s="272">
        <v>2600</v>
      </c>
      <c r="AB423" s="273">
        <v>1900</v>
      </c>
      <c r="AC423" s="273">
        <v>2250</v>
      </c>
      <c r="AD423" s="274">
        <v>10</v>
      </c>
      <c r="AE423" s="274">
        <v>3.6</v>
      </c>
    </row>
    <row r="424" spans="1:31">
      <c r="A424" s="293"/>
      <c r="B424" s="276"/>
      <c r="C424" s="276" t="s">
        <v>78</v>
      </c>
      <c r="D424">
        <v>2301.25</v>
      </c>
      <c r="E424">
        <v>2007.48</v>
      </c>
      <c r="F424">
        <v>1949.52</v>
      </c>
      <c r="G424">
        <v>1935.04</v>
      </c>
      <c r="H424">
        <v>2041.47</v>
      </c>
      <c r="I424">
        <v>2200.7800000000002</v>
      </c>
      <c r="J424">
        <v>1959.79</v>
      </c>
      <c r="K424">
        <v>1964.25</v>
      </c>
      <c r="L424">
        <v>2224.9299999999998</v>
      </c>
      <c r="M424">
        <v>2032.27</v>
      </c>
      <c r="N424">
        <v>1949.16</v>
      </c>
      <c r="O424">
        <v>1957.99</v>
      </c>
      <c r="P424">
        <v>2022.92</v>
      </c>
      <c r="Q424" s="276"/>
      <c r="R424" s="276"/>
      <c r="S424" s="276"/>
      <c r="T424" s="276"/>
      <c r="U424" s="276"/>
      <c r="V424" s="277"/>
      <c r="W424" s="238"/>
      <c r="Y424" s="271"/>
    </row>
    <row r="425" spans="1:31" ht="32.25" thickBot="1">
      <c r="A425" s="294"/>
      <c r="B425" s="281"/>
      <c r="C425" s="243" t="s">
        <v>221</v>
      </c>
      <c r="D425" s="282">
        <f t="shared" ref="D425:P425" si="137">IF(((D423="")*AND(D424="")),"",(D423-D424)*2)</f>
        <v>1857.5200000000004</v>
      </c>
      <c r="E425" s="282">
        <f t="shared" si="137"/>
        <v>2110.58</v>
      </c>
      <c r="F425" s="282">
        <f t="shared" si="137"/>
        <v>2142.5200000000004</v>
      </c>
      <c r="G425" s="282">
        <f t="shared" si="137"/>
        <v>2149.2200000000003</v>
      </c>
      <c r="H425" s="282">
        <f t="shared" si="137"/>
        <v>2021.2800000000002</v>
      </c>
      <c r="I425" s="282">
        <f t="shared" si="137"/>
        <v>1906.4799999999996</v>
      </c>
      <c r="J425" s="282">
        <f t="shared" si="137"/>
        <v>2160.8199999999997</v>
      </c>
      <c r="K425" s="282">
        <f t="shared" si="137"/>
        <v>2138.2399999999998</v>
      </c>
      <c r="L425" s="282">
        <f t="shared" si="137"/>
        <v>1859.3200000000006</v>
      </c>
      <c r="M425" s="282">
        <f t="shared" si="137"/>
        <v>2101.7799999999997</v>
      </c>
      <c r="N425" s="282">
        <f t="shared" si="137"/>
        <v>2146.8399999999997</v>
      </c>
      <c r="O425" s="282">
        <f t="shared" si="137"/>
        <v>2145.7599999999998</v>
      </c>
      <c r="P425" s="282">
        <f t="shared" si="137"/>
        <v>2107.08</v>
      </c>
      <c r="Q425" s="264"/>
      <c r="R425" s="281"/>
      <c r="S425" s="281"/>
      <c r="T425" s="281"/>
      <c r="U425" s="281"/>
      <c r="V425" s="283"/>
      <c r="W425" s="247"/>
      <c r="Y425" s="271"/>
    </row>
    <row r="426" spans="1:31">
      <c r="A426" s="115">
        <v>43782</v>
      </c>
      <c r="B426" s="268" t="s">
        <v>76</v>
      </c>
      <c r="C426" s="269" t="s">
        <v>77</v>
      </c>
      <c r="D426">
        <v>3209.04</v>
      </c>
      <c r="E426">
        <v>3068.37</v>
      </c>
      <c r="F426">
        <v>3040.02</v>
      </c>
      <c r="G426">
        <v>3040.4</v>
      </c>
      <c r="H426">
        <v>3102.81</v>
      </c>
      <c r="I426">
        <v>3085.15</v>
      </c>
      <c r="J426">
        <v>3029.88</v>
      </c>
      <c r="K426">
        <v>3076.32</v>
      </c>
      <c r="L426">
        <v>3233.84</v>
      </c>
      <c r="M426">
        <v>3060.22</v>
      </c>
      <c r="N426">
        <v>3076.75</v>
      </c>
      <c r="O426">
        <v>3029.29</v>
      </c>
      <c r="P426">
        <v>3104.06</v>
      </c>
      <c r="Q426" s="269">
        <f>IF((P427=""),"",MAX(D428:P428))</f>
        <v>2205.7000000000003</v>
      </c>
      <c r="R426" s="269">
        <f>IF(P427="","",MIN(D428:P428))</f>
        <v>1911.42</v>
      </c>
      <c r="S426" s="269">
        <f>IF((P428=""),"",AVERAGE(D428:P428))</f>
        <v>2109.5338461538463</v>
      </c>
      <c r="T426" s="269">
        <f>IF((P427=""),"",STDEV(D428:P428))</f>
        <v>103.60915480291476</v>
      </c>
      <c r="U426" s="269">
        <f>IF((P427=""),"",((Q426-R426)/(Q426+R426))*100)</f>
        <v>7.1477149075081643</v>
      </c>
      <c r="V426" s="228" t="str">
        <f>IF(P427="","",IF(U426&lt;7.2,IF(S426&gt;AB426,IF(S426&lt;AC426,"Pass","Fail"),"Fail"),"Fail"))</f>
        <v>Pass</v>
      </c>
      <c r="W426" s="284">
        <v>1519</v>
      </c>
      <c r="Y426" s="271"/>
      <c r="Z426" s="272">
        <v>1600</v>
      </c>
      <c r="AA426" s="272">
        <v>2600</v>
      </c>
      <c r="AB426" s="273">
        <v>1900</v>
      </c>
      <c r="AC426" s="273">
        <v>2250</v>
      </c>
      <c r="AD426" s="274">
        <v>10</v>
      </c>
      <c r="AE426" s="274">
        <v>3.6</v>
      </c>
    </row>
    <row r="427" spans="1:31">
      <c r="A427" s="293"/>
      <c r="B427" s="276"/>
      <c r="C427" s="276" t="s">
        <v>78</v>
      </c>
      <c r="D427">
        <v>2245.35</v>
      </c>
      <c r="E427">
        <v>1985.05</v>
      </c>
      <c r="F427">
        <v>1955.24</v>
      </c>
      <c r="G427">
        <v>1937.55</v>
      </c>
      <c r="H427">
        <v>2088.58</v>
      </c>
      <c r="I427">
        <v>2082.44</v>
      </c>
      <c r="J427">
        <v>1942.8</v>
      </c>
      <c r="K427">
        <v>1996.2</v>
      </c>
      <c r="L427">
        <v>2278.13</v>
      </c>
      <c r="M427">
        <v>1984.55</v>
      </c>
      <c r="N427">
        <v>1981.19</v>
      </c>
      <c r="O427">
        <v>1933.52</v>
      </c>
      <c r="P427">
        <v>2033.58</v>
      </c>
      <c r="Q427" s="276"/>
      <c r="R427" s="276"/>
      <c r="S427" s="276"/>
      <c r="T427" s="276"/>
      <c r="U427" s="276"/>
      <c r="V427" s="277"/>
      <c r="W427" s="238"/>
      <c r="Y427" s="271"/>
    </row>
    <row r="428" spans="1:31" ht="32.25" thickBot="1">
      <c r="A428" s="294"/>
      <c r="B428" s="281"/>
      <c r="C428" s="243" t="s">
        <v>221</v>
      </c>
      <c r="D428" s="282">
        <f t="shared" ref="D428:P428" si="138">IF(((D426="")*AND(D427="")),"",(D426-D427)*2)</f>
        <v>1927.38</v>
      </c>
      <c r="E428" s="282">
        <f t="shared" si="138"/>
        <v>2166.64</v>
      </c>
      <c r="F428" s="282">
        <f t="shared" si="138"/>
        <v>2169.56</v>
      </c>
      <c r="G428" s="282">
        <f t="shared" si="138"/>
        <v>2205.7000000000003</v>
      </c>
      <c r="H428" s="282">
        <f t="shared" si="138"/>
        <v>2028.46</v>
      </c>
      <c r="I428" s="282">
        <f t="shared" si="138"/>
        <v>2005.42</v>
      </c>
      <c r="J428" s="282">
        <f t="shared" si="138"/>
        <v>2174.1600000000003</v>
      </c>
      <c r="K428" s="282">
        <f t="shared" si="138"/>
        <v>2160.2400000000002</v>
      </c>
      <c r="L428" s="282">
        <f t="shared" si="138"/>
        <v>1911.42</v>
      </c>
      <c r="M428" s="282">
        <f t="shared" si="138"/>
        <v>2151.3399999999997</v>
      </c>
      <c r="N428" s="282">
        <f t="shared" si="138"/>
        <v>2191.12</v>
      </c>
      <c r="O428" s="282">
        <f t="shared" si="138"/>
        <v>2191.54</v>
      </c>
      <c r="P428" s="282">
        <f t="shared" si="138"/>
        <v>2140.96</v>
      </c>
      <c r="Q428" s="264"/>
      <c r="R428" s="281"/>
      <c r="S428" s="281"/>
      <c r="T428" s="281"/>
      <c r="U428" s="281"/>
      <c r="V428" s="283"/>
      <c r="W428" s="247"/>
      <c r="Y428" s="271"/>
    </row>
    <row r="429" spans="1:31">
      <c r="A429" s="115">
        <v>43786</v>
      </c>
      <c r="B429" s="268" t="s">
        <v>76</v>
      </c>
      <c r="C429" s="269" t="s">
        <v>77</v>
      </c>
      <c r="D429">
        <v>2955.45</v>
      </c>
      <c r="E429">
        <v>2818.56</v>
      </c>
      <c r="F429">
        <v>2797.42</v>
      </c>
      <c r="G429">
        <v>2801.56</v>
      </c>
      <c r="H429">
        <v>2912.66</v>
      </c>
      <c r="I429">
        <v>2896.78</v>
      </c>
      <c r="J429">
        <v>2799.34</v>
      </c>
      <c r="K429">
        <v>2815.88</v>
      </c>
      <c r="L429">
        <v>2938.21</v>
      </c>
      <c r="M429">
        <v>2819.77</v>
      </c>
      <c r="N429">
        <v>2818.74</v>
      </c>
      <c r="O429">
        <v>2812.06</v>
      </c>
      <c r="P429">
        <v>2838</v>
      </c>
      <c r="Q429" s="269">
        <f>IF((P430=""),"",MAX(D431:P431))</f>
        <v>2104.3999999999996</v>
      </c>
      <c r="R429" s="269">
        <f>IF(P430="","",MIN(D431:P431))</f>
        <v>2003.6400000000003</v>
      </c>
      <c r="S429" s="269">
        <f>IF((P431=""),"",AVERAGE(D431:P431))</f>
        <v>2059.623076923077</v>
      </c>
      <c r="T429" s="269">
        <f>IF((P430=""),"",STDEV(D431:P431))</f>
        <v>27.695002974247586</v>
      </c>
      <c r="U429" s="269">
        <f>IF((P430=""),"",((Q429-R429)/(Q429+R429))*100)</f>
        <v>2.4527511903486654</v>
      </c>
      <c r="V429" s="228" t="str">
        <f>IF(P430="","",IF(U429&lt;7.2,IF(S429&gt;AB429,IF(S429&lt;AC429,"Pass","Fail"),"Fail"),"Fail"))</f>
        <v>Pass</v>
      </c>
      <c r="W429" s="284">
        <v>74</v>
      </c>
      <c r="Y429" s="271"/>
      <c r="Z429" s="272">
        <v>1600</v>
      </c>
      <c r="AA429" s="272">
        <v>2600</v>
      </c>
      <c r="AB429" s="273">
        <v>1900</v>
      </c>
      <c r="AC429" s="273">
        <v>2250</v>
      </c>
      <c r="AD429" s="274">
        <v>10</v>
      </c>
      <c r="AE429" s="274">
        <v>3.6</v>
      </c>
    </row>
    <row r="430" spans="1:31">
      <c r="A430" s="293"/>
      <c r="B430" s="276"/>
      <c r="C430" s="276" t="s">
        <v>78</v>
      </c>
      <c r="D430">
        <v>1938.62</v>
      </c>
      <c r="E430">
        <v>1783.65</v>
      </c>
      <c r="F430">
        <v>1763.56</v>
      </c>
      <c r="G430">
        <v>1762.46</v>
      </c>
      <c r="H430">
        <v>1888.35</v>
      </c>
      <c r="I430">
        <v>1894.96</v>
      </c>
      <c r="J430">
        <v>1768.11</v>
      </c>
      <c r="K430">
        <v>1779.18</v>
      </c>
      <c r="L430">
        <v>1929.27</v>
      </c>
      <c r="M430">
        <v>1785.47</v>
      </c>
      <c r="N430">
        <v>1766.54</v>
      </c>
      <c r="O430">
        <v>1768.7</v>
      </c>
      <c r="P430">
        <v>1808.01</v>
      </c>
      <c r="Q430" s="276"/>
      <c r="R430" s="276"/>
      <c r="S430" s="276"/>
      <c r="T430" s="276"/>
      <c r="U430" s="276"/>
      <c r="V430" s="277"/>
      <c r="W430" s="238"/>
      <c r="Y430" s="271"/>
    </row>
    <row r="431" spans="1:31" ht="32.25" thickBot="1">
      <c r="A431" s="294"/>
      <c r="B431" s="281"/>
      <c r="C431" s="243" t="s">
        <v>221</v>
      </c>
      <c r="D431" s="282">
        <f t="shared" ref="D431:P431" si="139">IF(((D429="")*AND(D430="")),"",(D429-D430)*2)</f>
        <v>2033.6599999999999</v>
      </c>
      <c r="E431" s="282">
        <f t="shared" si="139"/>
        <v>2069.8199999999997</v>
      </c>
      <c r="F431" s="282">
        <f t="shared" si="139"/>
        <v>2067.7200000000003</v>
      </c>
      <c r="G431" s="282">
        <f t="shared" si="139"/>
        <v>2078.1999999999998</v>
      </c>
      <c r="H431" s="282">
        <f t="shared" si="139"/>
        <v>2048.62</v>
      </c>
      <c r="I431" s="282">
        <f t="shared" si="139"/>
        <v>2003.6400000000003</v>
      </c>
      <c r="J431" s="282">
        <f t="shared" si="139"/>
        <v>2062.4600000000005</v>
      </c>
      <c r="K431" s="282">
        <f t="shared" si="139"/>
        <v>2073.4</v>
      </c>
      <c r="L431" s="282">
        <f t="shared" si="139"/>
        <v>2017.88</v>
      </c>
      <c r="M431" s="282">
        <f t="shared" si="139"/>
        <v>2068.6</v>
      </c>
      <c r="N431" s="282">
        <f t="shared" si="139"/>
        <v>2104.3999999999996</v>
      </c>
      <c r="O431" s="282">
        <f t="shared" si="139"/>
        <v>2086.7199999999998</v>
      </c>
      <c r="P431" s="282">
        <f t="shared" si="139"/>
        <v>2059.98</v>
      </c>
      <c r="Q431" s="264"/>
      <c r="R431" s="281"/>
      <c r="S431" s="281"/>
      <c r="T431" s="281"/>
      <c r="U431" s="281"/>
      <c r="V431" s="283"/>
      <c r="W431" s="247"/>
      <c r="Y431" s="271"/>
    </row>
    <row r="432" spans="1:31">
      <c r="A432" s="115">
        <v>43787</v>
      </c>
      <c r="B432" s="268" t="s">
        <v>76</v>
      </c>
      <c r="C432" s="269" t="s">
        <v>77</v>
      </c>
      <c r="D432">
        <v>2892.37</v>
      </c>
      <c r="E432">
        <v>2801.94</v>
      </c>
      <c r="F432">
        <v>2792.09</v>
      </c>
      <c r="G432">
        <v>2806.2</v>
      </c>
      <c r="H432">
        <v>2907.51</v>
      </c>
      <c r="I432">
        <v>2912.67</v>
      </c>
      <c r="J432">
        <v>2801.32</v>
      </c>
      <c r="K432">
        <v>2816.83</v>
      </c>
      <c r="L432">
        <v>2960.2</v>
      </c>
      <c r="M432">
        <v>2806.26</v>
      </c>
      <c r="N432">
        <v>2834.24</v>
      </c>
      <c r="O432">
        <v>2810.27</v>
      </c>
      <c r="P432">
        <v>2828.39</v>
      </c>
      <c r="Q432" s="269">
        <f>IF((P433=""),"",MAX(D434:P434))</f>
        <v>2197.0799999999995</v>
      </c>
      <c r="R432" s="269">
        <f>IF(P433="","",MIN(D434:P434))</f>
        <v>2038.9399999999996</v>
      </c>
      <c r="S432" s="269">
        <f>IF((P434=""),"",AVERAGE(D434:P434))</f>
        <v>2138.603076923077</v>
      </c>
      <c r="T432" s="269">
        <f>IF((P433=""),"",STDEV(D434:P434))</f>
        <v>45.724527951748783</v>
      </c>
      <c r="U432" s="269">
        <f>IF((P433=""),"",((Q432-R432)/(Q432+R432))*100)</f>
        <v>3.7332212784642169</v>
      </c>
      <c r="V432" s="228" t="str">
        <f>IF(P433="","",IF(U432&lt;7.2,IF(S432&gt;AB432,IF(S432&lt;AC432,"Pass","Fail"),"Fail"),"Fail"))</f>
        <v>Pass</v>
      </c>
      <c r="W432" s="284">
        <v>64</v>
      </c>
      <c r="Y432" s="271" t="s">
        <v>260</v>
      </c>
      <c r="Z432" s="272">
        <v>1600</v>
      </c>
      <c r="AA432" s="272">
        <v>2600</v>
      </c>
      <c r="AB432" s="273">
        <v>1900</v>
      </c>
      <c r="AC432" s="273">
        <v>2250</v>
      </c>
      <c r="AD432" s="274">
        <v>10</v>
      </c>
      <c r="AE432" s="274">
        <v>3.6</v>
      </c>
    </row>
    <row r="433" spans="1:31">
      <c r="A433" s="293"/>
      <c r="B433" s="276"/>
      <c r="C433" s="276" t="s">
        <v>78</v>
      </c>
      <c r="D433">
        <v>1872.9</v>
      </c>
      <c r="E433">
        <v>1722.52</v>
      </c>
      <c r="F433">
        <v>1716.11</v>
      </c>
      <c r="G433">
        <v>1724.4</v>
      </c>
      <c r="H433">
        <v>1850.25</v>
      </c>
      <c r="I433">
        <v>1874.83</v>
      </c>
      <c r="J433">
        <v>1716.65</v>
      </c>
      <c r="K433">
        <v>1731.01</v>
      </c>
      <c r="L433">
        <v>1916.81</v>
      </c>
      <c r="M433">
        <v>1727.65</v>
      </c>
      <c r="N433">
        <v>1735.7</v>
      </c>
      <c r="O433">
        <v>1726.82</v>
      </c>
      <c r="P433">
        <v>1753.72</v>
      </c>
      <c r="Q433" s="276"/>
      <c r="R433" s="276"/>
      <c r="S433" s="276"/>
      <c r="T433" s="276"/>
      <c r="U433" s="276"/>
      <c r="V433" s="277"/>
      <c r="W433" s="238"/>
      <c r="Y433" s="271"/>
    </row>
    <row r="434" spans="1:31" ht="32.25" thickBot="1">
      <c r="A434" s="294"/>
      <c r="B434" s="281"/>
      <c r="C434" s="243" t="s">
        <v>221</v>
      </c>
      <c r="D434" s="282">
        <f t="shared" ref="D434:P434" si="140">IF(((D432="")*AND(D433="")),"",(D432-D433)*2)</f>
        <v>2038.9399999999996</v>
      </c>
      <c r="E434" s="282">
        <f t="shared" si="140"/>
        <v>2158.84</v>
      </c>
      <c r="F434" s="282">
        <f t="shared" si="140"/>
        <v>2151.9600000000005</v>
      </c>
      <c r="G434" s="282">
        <f t="shared" si="140"/>
        <v>2163.5999999999995</v>
      </c>
      <c r="H434" s="282">
        <f t="shared" si="140"/>
        <v>2114.5200000000004</v>
      </c>
      <c r="I434" s="282">
        <f t="shared" si="140"/>
        <v>2075.6800000000003</v>
      </c>
      <c r="J434" s="282">
        <f t="shared" si="140"/>
        <v>2169.34</v>
      </c>
      <c r="K434" s="282">
        <f t="shared" si="140"/>
        <v>2171.64</v>
      </c>
      <c r="L434" s="282">
        <f t="shared" si="140"/>
        <v>2086.7799999999997</v>
      </c>
      <c r="M434" s="282">
        <f t="shared" si="140"/>
        <v>2157.2200000000003</v>
      </c>
      <c r="N434" s="282">
        <f t="shared" si="140"/>
        <v>2197.0799999999995</v>
      </c>
      <c r="O434" s="282">
        <f t="shared" si="140"/>
        <v>2166.9</v>
      </c>
      <c r="P434" s="282">
        <f t="shared" si="140"/>
        <v>2149.3399999999997</v>
      </c>
      <c r="Q434" s="264"/>
      <c r="R434" s="281"/>
      <c r="S434" s="281"/>
      <c r="T434" s="281"/>
      <c r="U434" s="281"/>
      <c r="V434" s="283"/>
      <c r="W434" s="247"/>
      <c r="Y434" s="271"/>
    </row>
    <row r="435" spans="1:31">
      <c r="A435" s="115">
        <v>43787</v>
      </c>
      <c r="B435" s="268" t="s">
        <v>76</v>
      </c>
      <c r="C435" s="269" t="s">
        <v>77</v>
      </c>
      <c r="D435">
        <v>2885.38</v>
      </c>
      <c r="E435">
        <v>2802.21</v>
      </c>
      <c r="F435">
        <v>2794.39</v>
      </c>
      <c r="G435">
        <v>2807.34</v>
      </c>
      <c r="H435">
        <v>2905.74</v>
      </c>
      <c r="I435">
        <v>2909.03</v>
      </c>
      <c r="J435">
        <v>2798.3</v>
      </c>
      <c r="K435">
        <v>2817.5</v>
      </c>
      <c r="L435">
        <v>2961.33</v>
      </c>
      <c r="M435">
        <v>2806.07</v>
      </c>
      <c r="N435">
        <v>2830.75</v>
      </c>
      <c r="O435">
        <v>2813.38</v>
      </c>
      <c r="P435">
        <v>2829.75</v>
      </c>
      <c r="Q435" s="269">
        <f>IF((P436=""),"",MAX(D437:P437))</f>
        <v>2161.54</v>
      </c>
      <c r="R435" s="269">
        <f>IF(P436="","",MIN(D437:P437))</f>
        <v>2032.5200000000004</v>
      </c>
      <c r="S435" s="269">
        <f>IF((P437=""),"",AVERAGE(D437:P437))</f>
        <v>2122.8676923076932</v>
      </c>
      <c r="T435" s="269">
        <f>IF((P436=""),"",STDEV(D437:P437))</f>
        <v>39.54708125636369</v>
      </c>
      <c r="U435" s="269">
        <f>IF((P436=""),"",((Q435-R435)/(Q435+R435))*100)</f>
        <v>3.0762554660638979</v>
      </c>
      <c r="V435" s="228" t="str">
        <f>IF(P436="","",IF(U435&lt;7.2,IF(S435&gt;AB435,IF(S435&lt;AC435,"Pass","Fail"),"Fail"),"Fail"))</f>
        <v>Pass</v>
      </c>
      <c r="W435" s="284">
        <v>74</v>
      </c>
      <c r="Y435" s="271"/>
      <c r="Z435" s="272">
        <v>1600</v>
      </c>
      <c r="AA435" s="272">
        <v>2600</v>
      </c>
      <c r="AB435" s="273">
        <v>1900</v>
      </c>
      <c r="AC435" s="273">
        <v>2250</v>
      </c>
      <c r="AD435" s="274">
        <v>10</v>
      </c>
      <c r="AE435" s="274">
        <v>3.6</v>
      </c>
    </row>
    <row r="436" spans="1:31">
      <c r="A436" s="293"/>
      <c r="B436" s="276"/>
      <c r="C436" s="276" t="s">
        <v>78</v>
      </c>
      <c r="D436">
        <v>1869.12</v>
      </c>
      <c r="E436">
        <v>1738.99</v>
      </c>
      <c r="F436">
        <v>1727.25</v>
      </c>
      <c r="G436">
        <v>1729.68</v>
      </c>
      <c r="H436">
        <v>1858.65</v>
      </c>
      <c r="I436">
        <v>1873.33</v>
      </c>
      <c r="J436">
        <v>1726.92</v>
      </c>
      <c r="K436">
        <v>1742.03</v>
      </c>
      <c r="L436">
        <v>1917.9</v>
      </c>
      <c r="M436">
        <v>1735.45</v>
      </c>
      <c r="N436">
        <v>1749.98</v>
      </c>
      <c r="O436">
        <v>1733.93</v>
      </c>
      <c r="P436">
        <v>1759.3</v>
      </c>
      <c r="Q436" s="276"/>
      <c r="R436" s="276"/>
      <c r="S436" s="276"/>
      <c r="T436" s="276"/>
      <c r="U436" s="276"/>
      <c r="V436" s="277"/>
      <c r="W436" s="238"/>
      <c r="Y436" s="271"/>
    </row>
    <row r="437" spans="1:31" ht="32.25" thickBot="1">
      <c r="A437" s="294"/>
      <c r="B437" s="281"/>
      <c r="C437" s="243" t="s">
        <v>221</v>
      </c>
      <c r="D437" s="282">
        <f t="shared" ref="D437:P437" si="141">IF(((D435="")*AND(D436="")),"",(D435-D436)*2)</f>
        <v>2032.5200000000004</v>
      </c>
      <c r="E437" s="282">
        <f t="shared" si="141"/>
        <v>2126.44</v>
      </c>
      <c r="F437" s="282">
        <f t="shared" si="141"/>
        <v>2134.2799999999997</v>
      </c>
      <c r="G437" s="282">
        <f t="shared" si="141"/>
        <v>2155.3200000000002</v>
      </c>
      <c r="H437" s="282">
        <f t="shared" si="141"/>
        <v>2094.1799999999994</v>
      </c>
      <c r="I437" s="282">
        <f t="shared" si="141"/>
        <v>2071.4000000000005</v>
      </c>
      <c r="J437" s="282">
        <f t="shared" si="141"/>
        <v>2142.7600000000002</v>
      </c>
      <c r="K437" s="282">
        <f t="shared" si="141"/>
        <v>2150.94</v>
      </c>
      <c r="L437" s="282">
        <f t="shared" si="141"/>
        <v>2086.8599999999997</v>
      </c>
      <c r="M437" s="282">
        <f t="shared" si="141"/>
        <v>2141.2400000000002</v>
      </c>
      <c r="N437" s="282">
        <f t="shared" si="141"/>
        <v>2161.54</v>
      </c>
      <c r="O437" s="282">
        <f t="shared" si="141"/>
        <v>2158.9</v>
      </c>
      <c r="P437" s="282">
        <f t="shared" si="141"/>
        <v>2140.9</v>
      </c>
      <c r="Q437" s="264"/>
      <c r="R437" s="281"/>
      <c r="S437" s="281"/>
      <c r="T437" s="281"/>
      <c r="U437" s="281"/>
      <c r="V437" s="283"/>
      <c r="W437" s="247"/>
      <c r="Y437" s="271"/>
    </row>
    <row r="438" spans="1:31">
      <c r="A438" s="115">
        <v>43789</v>
      </c>
      <c r="B438" s="268" t="s">
        <v>76</v>
      </c>
      <c r="C438" s="269" t="s">
        <v>77</v>
      </c>
      <c r="D438">
        <v>3073.37</v>
      </c>
      <c r="E438">
        <v>2949.14</v>
      </c>
      <c r="F438">
        <v>2943.87</v>
      </c>
      <c r="G438">
        <v>2971.06</v>
      </c>
      <c r="H438">
        <v>3126</v>
      </c>
      <c r="I438">
        <v>3052.08</v>
      </c>
      <c r="J438">
        <v>2953.86</v>
      </c>
      <c r="K438">
        <v>2958.29</v>
      </c>
      <c r="L438">
        <v>3068.22</v>
      </c>
      <c r="M438">
        <v>2956.04</v>
      </c>
      <c r="N438">
        <v>2987.25</v>
      </c>
      <c r="O438">
        <v>2978.23</v>
      </c>
      <c r="P438">
        <v>2963.09</v>
      </c>
      <c r="Q438" s="269">
        <f>IF((P439=""),"",MAX(D440:P440))</f>
        <v>2191.1799999999998</v>
      </c>
      <c r="R438" s="269">
        <f>IF(P439="","",MIN(D440:P440))</f>
        <v>2000.1599999999999</v>
      </c>
      <c r="S438" s="269">
        <f>IF((P440=""),"",AVERAGE(D440:P440))</f>
        <v>2117.4338461538464</v>
      </c>
      <c r="T438" s="269">
        <f>IF((P439=""),"",STDEV(D440:P440))</f>
        <v>55.401580232947289</v>
      </c>
      <c r="U438" s="269">
        <f>IF((P439=""),"",((Q438-R438)/(Q438+R438))*100)</f>
        <v>4.5574923532808125</v>
      </c>
      <c r="V438" s="228" t="str">
        <f>IF(P439="","",IF(U438&lt;7.2,IF(S438&gt;AB438,IF(S438&lt;AC438,"Pass","Fail"),"Fail"),"Fail"))</f>
        <v>Pass</v>
      </c>
      <c r="W438" s="284">
        <v>74</v>
      </c>
      <c r="X438" s="122" t="s">
        <v>255</v>
      </c>
      <c r="Y438" s="271"/>
      <c r="Z438" s="272">
        <v>1600</v>
      </c>
      <c r="AA438" s="272">
        <v>2600</v>
      </c>
      <c r="AB438" s="273">
        <v>1900</v>
      </c>
      <c r="AC438" s="273">
        <v>2250</v>
      </c>
      <c r="AD438" s="274">
        <v>10</v>
      </c>
      <c r="AE438" s="274">
        <v>3.6</v>
      </c>
    </row>
    <row r="439" spans="1:31">
      <c r="A439" s="293"/>
      <c r="B439" s="276"/>
      <c r="C439" s="276" t="s">
        <v>78</v>
      </c>
      <c r="D439">
        <v>2073.29</v>
      </c>
      <c r="E439">
        <v>1886.02</v>
      </c>
      <c r="F439">
        <v>1878.45</v>
      </c>
      <c r="G439">
        <v>1875.47</v>
      </c>
      <c r="H439">
        <v>2080.25</v>
      </c>
      <c r="I439">
        <v>2017</v>
      </c>
      <c r="J439">
        <v>1885.21</v>
      </c>
      <c r="K439">
        <v>1896.38</v>
      </c>
      <c r="L439">
        <v>2047.82</v>
      </c>
      <c r="M439">
        <v>1895.96</v>
      </c>
      <c r="N439">
        <v>1893.63</v>
      </c>
      <c r="O439">
        <v>1892.28</v>
      </c>
      <c r="P439">
        <v>1895.42</v>
      </c>
      <c r="Q439" s="276"/>
      <c r="R439" s="276"/>
      <c r="S439" s="276"/>
      <c r="T439" s="276"/>
      <c r="U439" s="276"/>
      <c r="V439" s="277"/>
      <c r="W439" s="238"/>
      <c r="Y439" s="271"/>
    </row>
    <row r="440" spans="1:31" ht="32.25" thickBot="1">
      <c r="A440" s="294"/>
      <c r="B440" s="281"/>
      <c r="C440" s="243" t="s">
        <v>221</v>
      </c>
      <c r="D440" s="282">
        <f t="shared" ref="D440:P440" si="142">IF(((D438="")*AND(D439="")),"",(D438-D439)*2)</f>
        <v>2000.1599999999999</v>
      </c>
      <c r="E440" s="282">
        <f t="shared" si="142"/>
        <v>2126.2399999999998</v>
      </c>
      <c r="F440" s="282">
        <f t="shared" si="142"/>
        <v>2130.8399999999997</v>
      </c>
      <c r="G440" s="282">
        <f t="shared" si="142"/>
        <v>2191.1799999999998</v>
      </c>
      <c r="H440" s="282">
        <f t="shared" si="142"/>
        <v>2091.5</v>
      </c>
      <c r="I440" s="282">
        <f t="shared" si="142"/>
        <v>2070.16</v>
      </c>
      <c r="J440" s="282">
        <f t="shared" si="142"/>
        <v>2137.3000000000002</v>
      </c>
      <c r="K440" s="282">
        <f t="shared" si="142"/>
        <v>2123.8199999999997</v>
      </c>
      <c r="L440" s="282">
        <f t="shared" si="142"/>
        <v>2040.7999999999997</v>
      </c>
      <c r="M440" s="282">
        <f t="shared" si="142"/>
        <v>2120.16</v>
      </c>
      <c r="N440" s="282">
        <f t="shared" si="142"/>
        <v>2187.2399999999998</v>
      </c>
      <c r="O440" s="282">
        <f t="shared" si="142"/>
        <v>2171.9</v>
      </c>
      <c r="P440" s="282">
        <f t="shared" si="142"/>
        <v>2135.34</v>
      </c>
      <c r="Q440" s="264"/>
      <c r="R440" s="281"/>
      <c r="S440" s="281"/>
      <c r="T440" s="281"/>
      <c r="U440" s="281"/>
      <c r="V440" s="283"/>
      <c r="W440" s="247"/>
      <c r="Y440" s="271"/>
    </row>
    <row r="441" spans="1:31">
      <c r="A441" s="115">
        <v>43792</v>
      </c>
      <c r="B441" s="268" t="s">
        <v>76</v>
      </c>
      <c r="C441" s="269" t="s">
        <v>77</v>
      </c>
      <c r="D441">
        <v>3072.7</v>
      </c>
      <c r="E441">
        <v>2943.45</v>
      </c>
      <c r="F441">
        <v>2937.71</v>
      </c>
      <c r="G441">
        <v>2966.96</v>
      </c>
      <c r="H441">
        <v>3126.89</v>
      </c>
      <c r="I441">
        <v>3045.71</v>
      </c>
      <c r="J441">
        <v>2951.59</v>
      </c>
      <c r="K441">
        <v>2957.66</v>
      </c>
      <c r="L441">
        <v>3059.72</v>
      </c>
      <c r="M441">
        <v>2955.66</v>
      </c>
      <c r="N441">
        <v>2980.79</v>
      </c>
      <c r="O441">
        <v>2978.11</v>
      </c>
      <c r="P441">
        <v>2959.41</v>
      </c>
      <c r="Q441" s="269">
        <f>IF((P442=""),"",MAX(D443:P443))</f>
        <v>2215</v>
      </c>
      <c r="R441" s="269">
        <f>IF(P442="","",MIN(D443:P443))</f>
        <v>2073.3999999999996</v>
      </c>
      <c r="S441" s="269">
        <f>IF((P443=""),"",AVERAGE(D443:P443))</f>
        <v>2153.4184615384615</v>
      </c>
      <c r="T441" s="269">
        <f>IF((P442=""),"",STDEV(D443:P443))</f>
        <v>43.514857586452486</v>
      </c>
      <c r="U441" s="269">
        <f>IF((P442=""),"",((Q441-R441)/(Q441+R441))*100)</f>
        <v>3.3019307900382517</v>
      </c>
      <c r="V441" s="228" t="str">
        <f>IF(P442="","",IF(U441&lt;7.2,IF(S441&gt;AB441,IF(S441&lt;AC441,"Pass","Fail"),"Fail"),"Fail"))</f>
        <v>Pass</v>
      </c>
      <c r="W441" s="284">
        <v>121</v>
      </c>
      <c r="X441" s="122" t="s">
        <v>256</v>
      </c>
      <c r="Y441" s="271"/>
      <c r="Z441" s="272">
        <v>1600</v>
      </c>
      <c r="AA441" s="272">
        <v>2600</v>
      </c>
      <c r="AB441" s="273">
        <v>1900</v>
      </c>
      <c r="AC441" s="273">
        <v>2250</v>
      </c>
      <c r="AD441" s="274">
        <v>10</v>
      </c>
      <c r="AE441" s="274">
        <v>3.6</v>
      </c>
    </row>
    <row r="442" spans="1:31">
      <c r="A442" s="293"/>
      <c r="B442" s="276"/>
      <c r="C442" s="276" t="s">
        <v>78</v>
      </c>
      <c r="D442">
        <v>2036</v>
      </c>
      <c r="E442">
        <v>1866.4</v>
      </c>
      <c r="F442">
        <v>1860.05</v>
      </c>
      <c r="G442">
        <v>1868.33</v>
      </c>
      <c r="H442">
        <v>2055.08</v>
      </c>
      <c r="I442">
        <v>1994.66</v>
      </c>
      <c r="J442">
        <v>1868.51</v>
      </c>
      <c r="K442">
        <v>1866.09</v>
      </c>
      <c r="L442">
        <v>2017.12</v>
      </c>
      <c r="M442">
        <v>1880.33</v>
      </c>
      <c r="N442">
        <v>1873.29</v>
      </c>
      <c r="O442">
        <v>1880.24</v>
      </c>
      <c r="P442">
        <v>1873.04</v>
      </c>
      <c r="Q442" s="276"/>
      <c r="R442" s="276"/>
      <c r="S442" s="276"/>
      <c r="T442" s="276"/>
      <c r="U442" s="276"/>
      <c r="V442" s="277"/>
      <c r="W442" s="238"/>
      <c r="Y442" s="271"/>
    </row>
    <row r="443" spans="1:31" ht="32.25" thickBot="1">
      <c r="A443" s="294"/>
      <c r="B443" s="281"/>
      <c r="C443" s="243" t="s">
        <v>221</v>
      </c>
      <c r="D443" s="282">
        <f t="shared" ref="D443:P443" si="143">IF(((D441="")*AND(D442="")),"",(D441-D442)*2)</f>
        <v>2073.3999999999996</v>
      </c>
      <c r="E443" s="282">
        <f t="shared" si="143"/>
        <v>2154.0999999999995</v>
      </c>
      <c r="F443" s="282">
        <f t="shared" si="143"/>
        <v>2155.3200000000002</v>
      </c>
      <c r="G443" s="282">
        <f t="shared" si="143"/>
        <v>2197.2600000000002</v>
      </c>
      <c r="H443" s="282">
        <f t="shared" si="143"/>
        <v>2143.62</v>
      </c>
      <c r="I443" s="282">
        <f t="shared" si="143"/>
        <v>2102.1</v>
      </c>
      <c r="J443" s="282">
        <f t="shared" si="143"/>
        <v>2166.1600000000003</v>
      </c>
      <c r="K443" s="282">
        <f t="shared" si="143"/>
        <v>2183.14</v>
      </c>
      <c r="L443" s="282">
        <f t="shared" si="143"/>
        <v>2085.1999999999998</v>
      </c>
      <c r="M443" s="282">
        <f t="shared" si="143"/>
        <v>2150.66</v>
      </c>
      <c r="N443" s="282">
        <f t="shared" si="143"/>
        <v>2215</v>
      </c>
      <c r="O443" s="282">
        <f t="shared" si="143"/>
        <v>2195.7400000000002</v>
      </c>
      <c r="P443" s="282">
        <f t="shared" si="143"/>
        <v>2172.7399999999998</v>
      </c>
      <c r="Q443" s="264"/>
      <c r="R443" s="281"/>
      <c r="S443" s="281"/>
      <c r="T443" s="281"/>
      <c r="U443" s="281"/>
      <c r="V443" s="283"/>
      <c r="W443" s="247"/>
      <c r="Y443" s="271"/>
    </row>
    <row r="444" spans="1:31">
      <c r="A444" s="291">
        <v>43795</v>
      </c>
      <c r="B444" s="268" t="s">
        <v>76</v>
      </c>
      <c r="C444" s="269" t="s">
        <v>77</v>
      </c>
      <c r="D444" s="409">
        <v>3078.6</v>
      </c>
      <c r="E444" s="409">
        <v>2995.13</v>
      </c>
      <c r="F444" s="409">
        <v>2960.3</v>
      </c>
      <c r="G444" s="409">
        <v>2951.61</v>
      </c>
      <c r="H444" s="409">
        <v>2977.75</v>
      </c>
      <c r="I444" s="409">
        <v>3037.63</v>
      </c>
      <c r="J444" s="409">
        <v>3131.07</v>
      </c>
      <c r="K444" s="409">
        <v>3061.49</v>
      </c>
      <c r="L444" s="409">
        <v>2998.93</v>
      </c>
      <c r="M444" s="409">
        <v>2960.53</v>
      </c>
      <c r="N444" s="409">
        <v>2964.88</v>
      </c>
      <c r="O444" s="409">
        <v>2996.67</v>
      </c>
      <c r="P444" s="409">
        <v>3071.92</v>
      </c>
      <c r="Q444" s="269">
        <f>IF((P445=""),"",MAX(D446:P446))</f>
        <v>2012.4000000000005</v>
      </c>
      <c r="R444" s="269">
        <f>IF(P445="","",MIN(D446:P446))</f>
        <v>1859.7200000000003</v>
      </c>
      <c r="S444" s="269">
        <f>IF((P446=""),"",AVERAGE(D446:P446))</f>
        <v>1978.409230769231</v>
      </c>
      <c r="T444" s="269">
        <f>IF((P445=""),"",STDEV(D446:P446))</f>
        <v>43.01818887818245</v>
      </c>
      <c r="U444" s="269">
        <f>IF((P445=""),"",((Q444-R444)/(Q444+R444))*100)</f>
        <v>3.9430596159210012</v>
      </c>
      <c r="V444" s="228" t="str">
        <f>IF(P445="","",IF(U444&lt;7.2,IF(S444&gt;AB444,IF(S444&lt;AC444,"Pass","Fail"),"Fail"),"Fail"))</f>
        <v>Pass</v>
      </c>
      <c r="W444" s="284">
        <v>1428</v>
      </c>
      <c r="Y444" s="271"/>
      <c r="Z444" s="272">
        <v>1600</v>
      </c>
      <c r="AA444" s="272">
        <v>2600</v>
      </c>
      <c r="AB444" s="273">
        <v>1900</v>
      </c>
      <c r="AC444" s="273">
        <v>2250</v>
      </c>
      <c r="AD444" s="274">
        <v>10</v>
      </c>
      <c r="AE444" s="274">
        <v>3.6</v>
      </c>
    </row>
    <row r="445" spans="1:31">
      <c r="A445" s="293"/>
      <c r="B445" s="276"/>
      <c r="C445" s="276" t="s">
        <v>78</v>
      </c>
      <c r="D445" s="409">
        <v>2107.25</v>
      </c>
      <c r="E445" s="409">
        <v>1994.95</v>
      </c>
      <c r="F445" s="409">
        <v>1954.1</v>
      </c>
      <c r="G445" s="409">
        <v>1948.1</v>
      </c>
      <c r="H445" s="409">
        <v>1984.01</v>
      </c>
      <c r="I445" s="409">
        <v>2048.84</v>
      </c>
      <c r="J445" s="409">
        <v>2201.21</v>
      </c>
      <c r="K445" s="409">
        <v>2087.38</v>
      </c>
      <c r="L445" s="409">
        <v>1995.34</v>
      </c>
      <c r="M445" s="409">
        <v>1957.66</v>
      </c>
      <c r="N445" s="409">
        <v>1959.13</v>
      </c>
      <c r="O445" s="409">
        <v>1997.32</v>
      </c>
      <c r="P445" s="409">
        <v>2091.56</v>
      </c>
      <c r="Q445" s="276"/>
      <c r="R445" s="276"/>
      <c r="S445" s="276"/>
      <c r="T445" s="276"/>
      <c r="U445" s="276"/>
      <c r="V445" s="277"/>
      <c r="W445" s="238"/>
      <c r="Y445" s="271"/>
    </row>
    <row r="446" spans="1:31" ht="32.25" thickBot="1">
      <c r="A446" s="294"/>
      <c r="B446" s="281"/>
      <c r="C446" s="243" t="s">
        <v>221</v>
      </c>
      <c r="D446" s="282">
        <f t="shared" ref="D446:P446" si="144">IF(((D444="")*AND(D445="")),"",(D444-D445)*2)</f>
        <v>1942.6999999999998</v>
      </c>
      <c r="E446" s="282">
        <f t="shared" si="144"/>
        <v>2000.3600000000001</v>
      </c>
      <c r="F446" s="282">
        <f t="shared" si="144"/>
        <v>2012.4000000000005</v>
      </c>
      <c r="G446" s="282">
        <f t="shared" si="144"/>
        <v>2007.0200000000004</v>
      </c>
      <c r="H446" s="282">
        <f t="shared" si="144"/>
        <v>1987.48</v>
      </c>
      <c r="I446" s="282">
        <f t="shared" si="144"/>
        <v>1977.58</v>
      </c>
      <c r="J446" s="282">
        <f t="shared" si="144"/>
        <v>1859.7200000000003</v>
      </c>
      <c r="K446" s="282">
        <f t="shared" si="144"/>
        <v>1948.2199999999993</v>
      </c>
      <c r="L446" s="282">
        <f t="shared" si="144"/>
        <v>2007.1799999999998</v>
      </c>
      <c r="M446" s="282">
        <f t="shared" si="144"/>
        <v>2005.7400000000002</v>
      </c>
      <c r="N446" s="282">
        <f t="shared" si="144"/>
        <v>2011.5</v>
      </c>
      <c r="O446" s="282">
        <f t="shared" si="144"/>
        <v>1998.7000000000003</v>
      </c>
      <c r="P446" s="282">
        <f t="shared" si="144"/>
        <v>1960.7200000000003</v>
      </c>
      <c r="Q446" s="264"/>
      <c r="R446" s="281"/>
      <c r="S446" s="281"/>
      <c r="T446" s="281"/>
      <c r="U446" s="281"/>
      <c r="V446" s="283"/>
      <c r="W446" s="247"/>
      <c r="Y446" s="271"/>
    </row>
    <row r="447" spans="1:31">
      <c r="A447" s="291">
        <v>43798</v>
      </c>
      <c r="B447" s="268" t="s">
        <v>76</v>
      </c>
      <c r="C447" s="269" t="s">
        <v>77</v>
      </c>
      <c r="D447">
        <v>3069.54</v>
      </c>
      <c r="E447">
        <v>2948.35</v>
      </c>
      <c r="F447">
        <v>2946.92</v>
      </c>
      <c r="G447">
        <v>2973.01</v>
      </c>
      <c r="H447">
        <v>3127.36</v>
      </c>
      <c r="I447">
        <v>3075.68</v>
      </c>
      <c r="J447">
        <v>2962.35</v>
      </c>
      <c r="K447">
        <v>2956.68</v>
      </c>
      <c r="L447">
        <v>3067.56</v>
      </c>
      <c r="M447">
        <v>2965.28</v>
      </c>
      <c r="N447">
        <v>2979.99</v>
      </c>
      <c r="O447">
        <v>2992.3</v>
      </c>
      <c r="P447">
        <v>2966.29</v>
      </c>
      <c r="Q447" s="269">
        <f>IF((P448=""),"",MAX(D449:P449))</f>
        <v>2161.7600000000002</v>
      </c>
      <c r="R447" s="269">
        <f>IF(P448="","",MIN(D449:P449))</f>
        <v>2015.04</v>
      </c>
      <c r="S447" s="269">
        <f>IF((P449=""),"",AVERAGE(D449:P449))</f>
        <v>2100.3123076923075</v>
      </c>
      <c r="T447" s="269">
        <f>IF((P448=""),"",STDEV(D449:P449))</f>
        <v>45.114949139925436</v>
      </c>
      <c r="U447" s="269">
        <f>IF((P448=""),"",((Q447-R447)/(Q447+R447))*100)</f>
        <v>3.512737023558711</v>
      </c>
      <c r="V447" s="228" t="str">
        <f>IF(P448="","",IF(U447&lt;7.2,IF(S447&gt;AB447,IF(S447&lt;AC447,"Pass","Fail"),"Fail"),"Fail"))</f>
        <v>Pass</v>
      </c>
      <c r="W447" s="284" t="s">
        <v>261</v>
      </c>
      <c r="X447" s="381" t="s">
        <v>262</v>
      </c>
      <c r="Y447" s="271"/>
      <c r="Z447" s="272">
        <v>1600</v>
      </c>
      <c r="AA447" s="272">
        <v>2600</v>
      </c>
      <c r="AB447" s="273">
        <v>1900</v>
      </c>
      <c r="AC447" s="273">
        <v>2250</v>
      </c>
      <c r="AD447" s="274">
        <v>10</v>
      </c>
      <c r="AE447" s="274">
        <v>3.6</v>
      </c>
    </row>
    <row r="448" spans="1:31">
      <c r="A448" s="293"/>
      <c r="B448" s="276"/>
      <c r="C448" s="276" t="s">
        <v>78</v>
      </c>
      <c r="D448">
        <v>2062.02</v>
      </c>
      <c r="E448">
        <v>1901.46</v>
      </c>
      <c r="F448">
        <v>1899.54</v>
      </c>
      <c r="G448">
        <v>1905.74</v>
      </c>
      <c r="H448">
        <v>2096.06</v>
      </c>
      <c r="I448">
        <v>2054.4499999999998</v>
      </c>
      <c r="J448">
        <v>1898.08</v>
      </c>
      <c r="K448">
        <v>1896.42</v>
      </c>
      <c r="L448">
        <v>2041.64</v>
      </c>
      <c r="M448">
        <v>1905.96</v>
      </c>
      <c r="N448">
        <v>1903.43</v>
      </c>
      <c r="O448">
        <v>1911.42</v>
      </c>
      <c r="P448">
        <v>1903.06</v>
      </c>
      <c r="Q448" s="276"/>
      <c r="R448" s="276"/>
      <c r="S448" s="276"/>
      <c r="T448" s="276"/>
      <c r="U448" s="276"/>
      <c r="V448" s="277"/>
      <c r="W448" s="238"/>
      <c r="Y448" s="271"/>
    </row>
    <row r="449" spans="1:31" ht="32.25" thickBot="1">
      <c r="A449" s="294"/>
      <c r="B449" s="281"/>
      <c r="C449" s="243" t="s">
        <v>221</v>
      </c>
      <c r="D449" s="282">
        <f t="shared" ref="D449:P449" si="145">IF(((D447="")*AND(D448="")),"",(D447-D448)*2)</f>
        <v>2015.04</v>
      </c>
      <c r="E449" s="282">
        <f t="shared" si="145"/>
        <v>2093.7799999999997</v>
      </c>
      <c r="F449" s="282">
        <f t="shared" si="145"/>
        <v>2094.7600000000002</v>
      </c>
      <c r="G449" s="282">
        <f t="shared" si="145"/>
        <v>2134.5400000000004</v>
      </c>
      <c r="H449" s="282">
        <f t="shared" si="145"/>
        <v>2062.6000000000004</v>
      </c>
      <c r="I449" s="282">
        <f t="shared" si="145"/>
        <v>2042.46</v>
      </c>
      <c r="J449" s="282">
        <f t="shared" si="145"/>
        <v>2128.54</v>
      </c>
      <c r="K449" s="282">
        <f t="shared" si="145"/>
        <v>2120.5199999999995</v>
      </c>
      <c r="L449" s="282">
        <f t="shared" si="145"/>
        <v>2051.8399999999997</v>
      </c>
      <c r="M449" s="282">
        <f t="shared" si="145"/>
        <v>2118.6400000000003</v>
      </c>
      <c r="N449" s="282">
        <f t="shared" si="145"/>
        <v>2153.1199999999994</v>
      </c>
      <c r="O449" s="282">
        <f t="shared" si="145"/>
        <v>2161.7600000000002</v>
      </c>
      <c r="P449" s="282">
        <f t="shared" si="145"/>
        <v>2126.46</v>
      </c>
      <c r="Q449" s="264"/>
      <c r="R449" s="281"/>
      <c r="S449" s="281"/>
      <c r="T449" s="281"/>
      <c r="U449" s="281"/>
      <c r="V449" s="283"/>
      <c r="W449" s="247"/>
      <c r="Y449" s="271"/>
    </row>
    <row r="450" spans="1:31">
      <c r="A450" s="291">
        <v>43801</v>
      </c>
      <c r="B450" s="268" t="s">
        <v>76</v>
      </c>
      <c r="C450" s="269" t="s">
        <v>77</v>
      </c>
      <c r="D450">
        <v>2935.51</v>
      </c>
      <c r="E450">
        <v>2786.19</v>
      </c>
      <c r="F450">
        <v>2762.12</v>
      </c>
      <c r="G450">
        <v>2768.76</v>
      </c>
      <c r="H450">
        <v>2889.41</v>
      </c>
      <c r="I450">
        <v>2884.09</v>
      </c>
      <c r="J450">
        <v>2774.76</v>
      </c>
      <c r="K450">
        <v>2772.1</v>
      </c>
      <c r="L450">
        <v>2866.89</v>
      </c>
      <c r="M450">
        <v>2798.75</v>
      </c>
      <c r="N450">
        <v>2775.11</v>
      </c>
      <c r="O450">
        <v>2781.29</v>
      </c>
      <c r="P450">
        <v>2798.3</v>
      </c>
      <c r="Q450" s="269">
        <f>IF((P451=""),"",MAX(D452:P452))</f>
        <v>2126.7200000000003</v>
      </c>
      <c r="R450" s="269">
        <f>IF(P451="","",MIN(D452:P452))</f>
        <v>2017.06</v>
      </c>
      <c r="S450" s="269">
        <f>IF((P452=""),"",AVERAGE(D452:P452))</f>
        <v>2092.98</v>
      </c>
      <c r="T450" s="269">
        <f>IF((P451=""),"",STDEV(D452:P452))</f>
        <v>33.654831252981445</v>
      </c>
      <c r="U450" s="269">
        <f>IF((P451=""),"",((Q450-R450)/(Q450+R450))*100)</f>
        <v>2.6463760141706434</v>
      </c>
      <c r="V450" s="228" t="str">
        <f>IF(P451="","",IF(U450&lt;7.2,IF(S450&gt;AB450,IF(S450&lt;AC450,"Pass","Fail"),"Fail"),"Fail"))</f>
        <v>Pass</v>
      </c>
      <c r="W450" s="284">
        <v>1335</v>
      </c>
      <c r="X450" s="380" t="s">
        <v>263</v>
      </c>
      <c r="Y450" s="271"/>
      <c r="Z450" s="272">
        <v>1600</v>
      </c>
      <c r="AA450" s="272">
        <v>2600</v>
      </c>
      <c r="AB450" s="273">
        <v>1900</v>
      </c>
      <c r="AC450" s="273">
        <v>2250</v>
      </c>
      <c r="AD450" s="274">
        <v>10</v>
      </c>
      <c r="AE450" s="274">
        <v>3.6</v>
      </c>
    </row>
    <row r="451" spans="1:31">
      <c r="A451" s="293"/>
      <c r="B451" s="276"/>
      <c r="C451" s="276" t="s">
        <v>78</v>
      </c>
      <c r="D451">
        <v>1898.83</v>
      </c>
      <c r="E451">
        <v>1729.91</v>
      </c>
      <c r="F451">
        <v>1709.89</v>
      </c>
      <c r="G451">
        <v>1709.96</v>
      </c>
      <c r="H451">
        <v>1865.86</v>
      </c>
      <c r="I451">
        <v>1856.16</v>
      </c>
      <c r="J451">
        <v>1718.93</v>
      </c>
      <c r="K451">
        <v>1718.04</v>
      </c>
      <c r="L451">
        <v>1858.36</v>
      </c>
      <c r="M451">
        <v>1747.03</v>
      </c>
      <c r="N451">
        <v>1711.75</v>
      </c>
      <c r="O451">
        <v>1724.56</v>
      </c>
      <c r="P451">
        <v>1739.63</v>
      </c>
      <c r="Q451" s="276"/>
      <c r="R451" s="276"/>
      <c r="S451" s="276"/>
      <c r="T451" s="276"/>
      <c r="U451" s="276"/>
      <c r="V451" s="277"/>
      <c r="W451" s="238"/>
      <c r="Y451" s="271"/>
    </row>
    <row r="452" spans="1:31" ht="32.25" thickBot="1">
      <c r="A452" s="294"/>
      <c r="B452" s="281"/>
      <c r="C452" s="243" t="s">
        <v>221</v>
      </c>
      <c r="D452" s="282">
        <f t="shared" ref="D452:P452" si="146">IF(((D450="")*AND(D451="")),"",(D450-D451)*2)</f>
        <v>2073.3600000000006</v>
      </c>
      <c r="E452" s="282">
        <f t="shared" si="146"/>
        <v>2112.56</v>
      </c>
      <c r="F452" s="282">
        <f t="shared" si="146"/>
        <v>2104.4599999999996</v>
      </c>
      <c r="G452" s="282">
        <f t="shared" si="146"/>
        <v>2117.6000000000004</v>
      </c>
      <c r="H452" s="282">
        <f t="shared" si="146"/>
        <v>2047.1</v>
      </c>
      <c r="I452" s="282">
        <f t="shared" si="146"/>
        <v>2055.86</v>
      </c>
      <c r="J452" s="282">
        <f t="shared" si="146"/>
        <v>2111.6600000000003</v>
      </c>
      <c r="K452" s="282">
        <f t="shared" si="146"/>
        <v>2108.12</v>
      </c>
      <c r="L452" s="282">
        <f t="shared" si="146"/>
        <v>2017.06</v>
      </c>
      <c r="M452" s="282">
        <f t="shared" si="146"/>
        <v>2103.44</v>
      </c>
      <c r="N452" s="282">
        <f t="shared" si="146"/>
        <v>2126.7200000000003</v>
      </c>
      <c r="O452" s="282">
        <f t="shared" si="146"/>
        <v>2113.46</v>
      </c>
      <c r="P452" s="282">
        <f t="shared" si="146"/>
        <v>2117.34</v>
      </c>
      <c r="Q452" s="264"/>
      <c r="R452" s="281"/>
      <c r="S452" s="281"/>
      <c r="T452" s="281"/>
      <c r="U452" s="281"/>
      <c r="V452" s="283"/>
      <c r="W452" s="247"/>
      <c r="Y452" s="271"/>
    </row>
    <row r="453" spans="1:31">
      <c r="A453" s="291"/>
      <c r="B453" s="268" t="s">
        <v>76</v>
      </c>
      <c r="C453" s="269" t="s">
        <v>77</v>
      </c>
      <c r="Q453" s="269" t="str">
        <f>IF((P454=""),"",MAX(D455:P455))</f>
        <v/>
      </c>
      <c r="R453" s="269" t="str">
        <f>IF(P454="","",MIN(D455:P455))</f>
        <v/>
      </c>
      <c r="S453" s="269" t="str">
        <f>IF((P455=""),"",AVERAGE(D455:P455))</f>
        <v/>
      </c>
      <c r="T453" s="269" t="str">
        <f>IF((P454=""),"",STDEV(D455:P455))</f>
        <v/>
      </c>
      <c r="U453" s="269" t="str">
        <f>IF((P454=""),"",((Q453-R453)/(Q453+R453))*100)</f>
        <v/>
      </c>
      <c r="V453" s="228" t="str">
        <f>IF(P454="","",IF(U453&lt;7.2,IF(S453&gt;AB453,IF(S453&lt;AC453,"Pass","Fail"),"Fail"),"Fail"))</f>
        <v/>
      </c>
      <c r="W453" s="284"/>
      <c r="Y453" s="271"/>
      <c r="Z453" s="272">
        <v>1600</v>
      </c>
      <c r="AA453" s="272">
        <v>2600</v>
      </c>
      <c r="AB453" s="273">
        <v>1900</v>
      </c>
      <c r="AC453" s="273">
        <v>2250</v>
      </c>
      <c r="AD453" s="274">
        <v>10</v>
      </c>
      <c r="AE453" s="274">
        <v>3.6</v>
      </c>
    </row>
    <row r="454" spans="1:31">
      <c r="A454" s="293"/>
      <c r="B454" s="276"/>
      <c r="C454" s="276" t="s">
        <v>78</v>
      </c>
      <c r="Q454" s="276"/>
      <c r="R454" s="276"/>
      <c r="S454" s="276"/>
      <c r="T454" s="276"/>
      <c r="U454" s="276"/>
      <c r="V454" s="277"/>
      <c r="W454" s="238"/>
      <c r="Y454" s="271"/>
    </row>
    <row r="455" spans="1:31" ht="32.25" thickBot="1">
      <c r="A455" s="294"/>
      <c r="B455" s="281"/>
      <c r="C455" s="243" t="s">
        <v>221</v>
      </c>
      <c r="D455" s="282" t="str">
        <f t="shared" ref="D455:P455" si="147">IF(((D453="")*AND(D454="")),"",(D453-D454)*2)</f>
        <v/>
      </c>
      <c r="E455" s="282" t="str">
        <f t="shared" si="147"/>
        <v/>
      </c>
      <c r="F455" s="282" t="str">
        <f t="shared" si="147"/>
        <v/>
      </c>
      <c r="G455" s="282" t="str">
        <f t="shared" si="147"/>
        <v/>
      </c>
      <c r="H455" s="282" t="str">
        <f t="shared" si="147"/>
        <v/>
      </c>
      <c r="I455" s="282" t="str">
        <f t="shared" si="147"/>
        <v/>
      </c>
      <c r="J455" s="282" t="str">
        <f t="shared" si="147"/>
        <v/>
      </c>
      <c r="K455" s="282" t="str">
        <f t="shared" si="147"/>
        <v/>
      </c>
      <c r="L455" s="282" t="str">
        <f t="shared" si="147"/>
        <v/>
      </c>
      <c r="M455" s="282" t="str">
        <f t="shared" si="147"/>
        <v/>
      </c>
      <c r="N455" s="282" t="str">
        <f t="shared" si="147"/>
        <v/>
      </c>
      <c r="O455" s="282" t="str">
        <f t="shared" si="147"/>
        <v/>
      </c>
      <c r="P455" s="282" t="str">
        <f t="shared" si="147"/>
        <v/>
      </c>
      <c r="Q455" s="264"/>
      <c r="R455" s="281"/>
      <c r="S455" s="281"/>
      <c r="T455" s="281"/>
      <c r="U455" s="281"/>
      <c r="V455" s="283"/>
      <c r="W455" s="247"/>
      <c r="Y455" s="271"/>
    </row>
    <row r="456" spans="1:31">
      <c r="A456" s="291"/>
      <c r="B456" s="268" t="s">
        <v>76</v>
      </c>
      <c r="C456" s="269" t="s">
        <v>77</v>
      </c>
      <c r="Q456" s="269" t="str">
        <f>IF((P457=""),"",MAX(D458:P458))</f>
        <v/>
      </c>
      <c r="R456" s="269" t="str">
        <f>IF(P457="","",MIN(D458:P458))</f>
        <v/>
      </c>
      <c r="S456" s="269" t="str">
        <f>IF((P458=""),"",AVERAGE(D458:P458))</f>
        <v/>
      </c>
      <c r="T456" s="269" t="str">
        <f>IF((P457=""),"",STDEV(D458:P458))</f>
        <v/>
      </c>
      <c r="U456" s="269" t="str">
        <f>IF((P457=""),"",((Q456-R456)/(Q456+R456))*100)</f>
        <v/>
      </c>
      <c r="V456" s="228" t="str">
        <f>IF(P457="","",IF(U456&lt;7.2,IF(S456&gt;AB456,IF(S456&lt;AC456,"Pass","Fail"),"Fail"),"Fail"))</f>
        <v/>
      </c>
      <c r="W456" s="284"/>
      <c r="Y456" s="271"/>
      <c r="Z456" s="272">
        <v>1600</v>
      </c>
      <c r="AA456" s="272">
        <v>2600</v>
      </c>
      <c r="AB456" s="273">
        <v>1900</v>
      </c>
      <c r="AC456" s="273">
        <v>2250</v>
      </c>
      <c r="AD456" s="274">
        <v>10</v>
      </c>
      <c r="AE456" s="274">
        <v>3.6</v>
      </c>
    </row>
    <row r="457" spans="1:31">
      <c r="A457" s="293"/>
      <c r="B457" s="276"/>
      <c r="C457" s="276" t="s">
        <v>78</v>
      </c>
      <c r="Q457" s="276"/>
      <c r="R457" s="276"/>
      <c r="S457" s="276"/>
      <c r="T457" s="276"/>
      <c r="U457" s="276"/>
      <c r="V457" s="277"/>
      <c r="W457" s="238"/>
      <c r="Y457" s="271"/>
    </row>
    <row r="458" spans="1:31" ht="32.25" thickBot="1">
      <c r="A458" s="294"/>
      <c r="B458" s="281"/>
      <c r="C458" s="243" t="s">
        <v>221</v>
      </c>
      <c r="D458" s="282" t="str">
        <f t="shared" ref="D458:P458" si="148">IF(((D456="")*AND(D457="")),"",(D456-D457)*2)</f>
        <v/>
      </c>
      <c r="E458" s="282" t="str">
        <f t="shared" si="148"/>
        <v/>
      </c>
      <c r="F458" s="282" t="str">
        <f t="shared" si="148"/>
        <v/>
      </c>
      <c r="G458" s="282" t="str">
        <f t="shared" si="148"/>
        <v/>
      </c>
      <c r="H458" s="282" t="str">
        <f t="shared" si="148"/>
        <v/>
      </c>
      <c r="I458" s="282" t="str">
        <f t="shared" si="148"/>
        <v/>
      </c>
      <c r="J458" s="282" t="str">
        <f t="shared" si="148"/>
        <v/>
      </c>
      <c r="K458" s="282" t="str">
        <f t="shared" si="148"/>
        <v/>
      </c>
      <c r="L458" s="282" t="str">
        <f t="shared" si="148"/>
        <v/>
      </c>
      <c r="M458" s="282" t="str">
        <f t="shared" si="148"/>
        <v/>
      </c>
      <c r="N458" s="282" t="str">
        <f t="shared" si="148"/>
        <v/>
      </c>
      <c r="O458" s="282" t="str">
        <f t="shared" si="148"/>
        <v/>
      </c>
      <c r="P458" s="282" t="str">
        <f t="shared" si="148"/>
        <v/>
      </c>
      <c r="Q458" s="264"/>
      <c r="R458" s="281"/>
      <c r="S458" s="281"/>
      <c r="T458" s="281"/>
      <c r="U458" s="281"/>
      <c r="V458" s="283"/>
      <c r="W458" s="247"/>
      <c r="Y458" s="271"/>
    </row>
    <row r="459" spans="1:31">
      <c r="A459" s="291"/>
      <c r="B459" s="268" t="s">
        <v>76</v>
      </c>
      <c r="C459" s="269" t="s">
        <v>77</v>
      </c>
      <c r="Q459" s="269" t="str">
        <f>IF((P460=""),"",MAX(D461:P461))</f>
        <v/>
      </c>
      <c r="R459" s="269" t="str">
        <f>IF(P460="","",MIN(D461:P461))</f>
        <v/>
      </c>
      <c r="S459" s="269" t="str">
        <f>IF((P461=""),"",AVERAGE(D461:P461))</f>
        <v/>
      </c>
      <c r="T459" s="269" t="str">
        <f>IF((P460=""),"",STDEV(D461:P461))</f>
        <v/>
      </c>
      <c r="U459" s="269" t="str">
        <f>IF((P460=""),"",((Q459-R459)/(Q459+R459))*100)</f>
        <v/>
      </c>
      <c r="V459" s="228" t="str">
        <f>IF(P460="","",IF(U459&lt;7.2,IF(S459&gt;AB459,IF(S459&lt;AC459,"Pass","Fail"),"Fail"),"Fail"))</f>
        <v/>
      </c>
      <c r="W459" s="284"/>
      <c r="Y459" s="271"/>
      <c r="Z459" s="272">
        <v>1600</v>
      </c>
      <c r="AA459" s="272">
        <v>2600</v>
      </c>
      <c r="AB459" s="273">
        <v>1900</v>
      </c>
      <c r="AC459" s="273">
        <v>2250</v>
      </c>
      <c r="AD459" s="274">
        <v>10</v>
      </c>
      <c r="AE459" s="274">
        <v>3.6</v>
      </c>
    </row>
    <row r="460" spans="1:31">
      <c r="A460" s="293"/>
      <c r="B460" s="276"/>
      <c r="C460" s="276" t="s">
        <v>78</v>
      </c>
      <c r="Q460" s="276"/>
      <c r="R460" s="276"/>
      <c r="S460" s="276"/>
      <c r="T460" s="276"/>
      <c r="U460" s="276"/>
      <c r="V460" s="277"/>
      <c r="W460" s="238"/>
      <c r="Y460" s="271"/>
    </row>
    <row r="461" spans="1:31" ht="32.25" thickBot="1">
      <c r="A461" s="294"/>
      <c r="B461" s="281"/>
      <c r="C461" s="243" t="s">
        <v>221</v>
      </c>
      <c r="D461" s="282" t="str">
        <f t="shared" ref="D461:P461" si="149">IF(((D459="")*AND(D460="")),"",(D459-D460)*2)</f>
        <v/>
      </c>
      <c r="E461" s="282" t="str">
        <f t="shared" si="149"/>
        <v/>
      </c>
      <c r="F461" s="282" t="str">
        <f t="shared" si="149"/>
        <v/>
      </c>
      <c r="G461" s="282" t="str">
        <f t="shared" si="149"/>
        <v/>
      </c>
      <c r="H461" s="282" t="str">
        <f t="shared" si="149"/>
        <v/>
      </c>
      <c r="I461" s="282" t="str">
        <f t="shared" si="149"/>
        <v/>
      </c>
      <c r="J461" s="282" t="str">
        <f t="shared" si="149"/>
        <v/>
      </c>
      <c r="K461" s="282" t="str">
        <f t="shared" si="149"/>
        <v/>
      </c>
      <c r="L461" s="282" t="str">
        <f t="shared" si="149"/>
        <v/>
      </c>
      <c r="M461" s="282" t="str">
        <f t="shared" si="149"/>
        <v/>
      </c>
      <c r="N461" s="282" t="str">
        <f t="shared" si="149"/>
        <v/>
      </c>
      <c r="O461" s="282" t="str">
        <f t="shared" si="149"/>
        <v/>
      </c>
      <c r="P461" s="282" t="str">
        <f t="shared" si="149"/>
        <v/>
      </c>
      <c r="Q461" s="264"/>
      <c r="R461" s="281"/>
      <c r="S461" s="281"/>
      <c r="T461" s="281"/>
      <c r="U461" s="281"/>
      <c r="V461" s="283"/>
      <c r="W461" s="247"/>
      <c r="Y461" s="271"/>
    </row>
    <row r="462" spans="1:31">
      <c r="A462" s="291"/>
      <c r="B462" s="268" t="s">
        <v>76</v>
      </c>
      <c r="C462" s="269" t="s">
        <v>77</v>
      </c>
      <c r="Q462" s="269" t="str">
        <f>IF((P463=""),"",MAX(D464:P464))</f>
        <v/>
      </c>
      <c r="R462" s="269" t="str">
        <f>IF(P463="","",MIN(D464:P464))</f>
        <v/>
      </c>
      <c r="S462" s="269" t="str">
        <f>IF((P464=""),"",AVERAGE(D464:P464))</f>
        <v/>
      </c>
      <c r="T462" s="269" t="str">
        <f>IF((P463=""),"",STDEV(D464:P464))</f>
        <v/>
      </c>
      <c r="U462" s="269" t="str">
        <f>IF((P463=""),"",((Q462-R462)/(Q462+R462))*100)</f>
        <v/>
      </c>
      <c r="V462" s="228" t="str">
        <f>IF(P463="","",IF(U462&lt;7.2,IF(S462&gt;AB462,IF(S462&lt;AC462,"Pass","Fail"),"Fail"),"Fail"))</f>
        <v/>
      </c>
      <c r="W462" s="284"/>
      <c r="Y462" s="271"/>
      <c r="Z462" s="272">
        <v>1600</v>
      </c>
      <c r="AA462" s="272">
        <v>2600</v>
      </c>
      <c r="AB462" s="273">
        <v>1900</v>
      </c>
      <c r="AC462" s="273">
        <v>2250</v>
      </c>
      <c r="AD462" s="274">
        <v>10</v>
      </c>
      <c r="AE462" s="274">
        <v>3.6</v>
      </c>
    </row>
    <row r="463" spans="1:31">
      <c r="A463" s="293"/>
      <c r="B463" s="276"/>
      <c r="C463" s="276" t="s">
        <v>78</v>
      </c>
      <c r="Q463" s="276"/>
      <c r="R463" s="276"/>
      <c r="S463" s="276"/>
      <c r="T463" s="276"/>
      <c r="U463" s="276"/>
      <c r="V463" s="277"/>
      <c r="W463" s="238"/>
      <c r="Y463" s="271"/>
    </row>
    <row r="464" spans="1:31" ht="32.25" thickBot="1">
      <c r="A464" s="294"/>
      <c r="B464" s="281"/>
      <c r="C464" s="243" t="s">
        <v>221</v>
      </c>
      <c r="D464" s="282" t="str">
        <f t="shared" ref="D464:P464" si="150">IF(((D462="")*AND(D463="")),"",(D462-D463)*2)</f>
        <v/>
      </c>
      <c r="E464" s="282" t="str">
        <f t="shared" si="150"/>
        <v/>
      </c>
      <c r="F464" s="282" t="str">
        <f t="shared" si="150"/>
        <v/>
      </c>
      <c r="G464" s="282" t="str">
        <f t="shared" si="150"/>
        <v/>
      </c>
      <c r="H464" s="282" t="str">
        <f t="shared" si="150"/>
        <v/>
      </c>
      <c r="I464" s="282" t="str">
        <f t="shared" si="150"/>
        <v/>
      </c>
      <c r="J464" s="282" t="str">
        <f t="shared" si="150"/>
        <v/>
      </c>
      <c r="K464" s="282" t="str">
        <f t="shared" si="150"/>
        <v/>
      </c>
      <c r="L464" s="282" t="str">
        <f t="shared" si="150"/>
        <v/>
      </c>
      <c r="M464" s="282" t="str">
        <f t="shared" si="150"/>
        <v/>
      </c>
      <c r="N464" s="282" t="str">
        <f t="shared" si="150"/>
        <v/>
      </c>
      <c r="O464" s="282" t="str">
        <f t="shared" si="150"/>
        <v/>
      </c>
      <c r="P464" s="282" t="str">
        <f t="shared" si="150"/>
        <v/>
      </c>
      <c r="Q464" s="264"/>
      <c r="R464" s="281"/>
      <c r="S464" s="281"/>
      <c r="T464" s="281"/>
      <c r="U464" s="281"/>
      <c r="V464" s="283"/>
      <c r="W464" s="247"/>
      <c r="Y464" s="271"/>
    </row>
    <row r="465" spans="1:31">
      <c r="A465" s="291"/>
      <c r="B465" s="268" t="s">
        <v>76</v>
      </c>
      <c r="C465" s="269" t="s">
        <v>77</v>
      </c>
      <c r="Q465" s="269" t="str">
        <f>IF((P466=""),"",MAX(D467:P467))</f>
        <v/>
      </c>
      <c r="R465" s="269" t="str">
        <f>IF(P466="","",MIN(D467:P467))</f>
        <v/>
      </c>
      <c r="S465" s="269" t="str">
        <f>IF((P467=""),"",AVERAGE(D467:P467))</f>
        <v/>
      </c>
      <c r="T465" s="269" t="str">
        <f>IF((P466=""),"",STDEV(D467:P467))</f>
        <v/>
      </c>
      <c r="U465" s="269" t="str">
        <f>IF((P466=""),"",((Q465-R465)/(Q465+R465))*100)</f>
        <v/>
      </c>
      <c r="V465" s="228" t="str">
        <f>IF(P466="","",IF(U465&lt;7.2,IF(S465&gt;AB465,IF(S465&lt;AC465,"Pass","Fail"),"Fail"),"Fail"))</f>
        <v/>
      </c>
      <c r="W465" s="284"/>
      <c r="Y465" s="271"/>
      <c r="Z465" s="272">
        <v>1600</v>
      </c>
      <c r="AA465" s="272">
        <v>2600</v>
      </c>
      <c r="AB465" s="273">
        <v>1900</v>
      </c>
      <c r="AC465" s="273">
        <v>2250</v>
      </c>
      <c r="AD465" s="274">
        <v>10</v>
      </c>
      <c r="AE465" s="274">
        <v>3.6</v>
      </c>
    </row>
    <row r="466" spans="1:31">
      <c r="A466" s="293"/>
      <c r="B466" s="276"/>
      <c r="C466" s="276" t="s">
        <v>78</v>
      </c>
      <c r="Q466" s="276"/>
      <c r="R466" s="276"/>
      <c r="S466" s="276"/>
      <c r="T466" s="276"/>
      <c r="U466" s="276"/>
      <c r="V466" s="277"/>
      <c r="W466" s="238"/>
      <c r="Y466" s="271"/>
    </row>
    <row r="467" spans="1:31" ht="32.25" thickBot="1">
      <c r="A467" s="294"/>
      <c r="B467" s="281"/>
      <c r="C467" s="243" t="s">
        <v>221</v>
      </c>
      <c r="D467" s="282" t="str">
        <f t="shared" ref="D467:P467" si="151">IF(((D465="")*AND(D466="")),"",(D465-D466)*2)</f>
        <v/>
      </c>
      <c r="E467" s="282" t="str">
        <f t="shared" si="151"/>
        <v/>
      </c>
      <c r="F467" s="282" t="str">
        <f t="shared" si="151"/>
        <v/>
      </c>
      <c r="G467" s="282" t="str">
        <f t="shared" si="151"/>
        <v/>
      </c>
      <c r="H467" s="282" t="str">
        <f t="shared" si="151"/>
        <v/>
      </c>
      <c r="I467" s="282" t="str">
        <f t="shared" si="151"/>
        <v/>
      </c>
      <c r="J467" s="282" t="str">
        <f t="shared" si="151"/>
        <v/>
      </c>
      <c r="K467" s="282" t="str">
        <f t="shared" si="151"/>
        <v/>
      </c>
      <c r="L467" s="282" t="str">
        <f t="shared" si="151"/>
        <v/>
      </c>
      <c r="M467" s="282" t="str">
        <f t="shared" si="151"/>
        <v/>
      </c>
      <c r="N467" s="282" t="str">
        <f t="shared" si="151"/>
        <v/>
      </c>
      <c r="O467" s="282" t="str">
        <f t="shared" si="151"/>
        <v/>
      </c>
      <c r="P467" s="282" t="str">
        <f t="shared" si="151"/>
        <v/>
      </c>
      <c r="Q467" s="264"/>
      <c r="R467" s="281"/>
      <c r="S467" s="281"/>
      <c r="T467" s="281"/>
      <c r="U467" s="281"/>
      <c r="V467" s="283"/>
      <c r="W467" s="247"/>
      <c r="Y467" s="271"/>
    </row>
    <row r="468" spans="1:31">
      <c r="A468" s="291"/>
      <c r="B468" s="268" t="s">
        <v>76</v>
      </c>
      <c r="C468" s="269" t="s">
        <v>77</v>
      </c>
      <c r="Q468" s="269" t="str">
        <f>IF((P469=""),"",MAX(D470:P470))</f>
        <v/>
      </c>
      <c r="R468" s="269" t="str">
        <f>IF(P469="","",MIN(D470:P470))</f>
        <v/>
      </c>
      <c r="S468" s="269" t="str">
        <f>IF((P470=""),"",AVERAGE(D470:P470))</f>
        <v/>
      </c>
      <c r="T468" s="269" t="str">
        <f>IF((P469=""),"",STDEV(D470:P470))</f>
        <v/>
      </c>
      <c r="U468" s="269" t="str">
        <f>IF((P469=""),"",((Q468-R468)/(Q468+R468))*100)</f>
        <v/>
      </c>
      <c r="V468" s="228" t="str">
        <f>IF(P469="","",IF(U468&lt;7.2,IF(S468&gt;AB468,IF(S468&lt;AC468,"Pass","Fail"),"Fail"),"Fail"))</f>
        <v/>
      </c>
      <c r="W468" s="284"/>
      <c r="Y468" s="271"/>
      <c r="Z468" s="272">
        <v>1600</v>
      </c>
      <c r="AA468" s="272">
        <v>2600</v>
      </c>
      <c r="AB468" s="273">
        <v>1900</v>
      </c>
      <c r="AC468" s="273">
        <v>2250</v>
      </c>
      <c r="AD468" s="274">
        <v>10</v>
      </c>
      <c r="AE468" s="274">
        <v>3.6</v>
      </c>
    </row>
    <row r="469" spans="1:31">
      <c r="A469" s="293"/>
      <c r="B469" s="276"/>
      <c r="C469" s="276" t="s">
        <v>78</v>
      </c>
      <c r="Q469" s="276"/>
      <c r="R469" s="276"/>
      <c r="S469" s="276"/>
      <c r="T469" s="276"/>
      <c r="U469" s="276"/>
      <c r="V469" s="277"/>
      <c r="W469" s="238"/>
      <c r="Y469" s="271"/>
    </row>
    <row r="470" spans="1:31" ht="32.25" thickBot="1">
      <c r="A470" s="294"/>
      <c r="B470" s="281"/>
      <c r="C470" s="243" t="s">
        <v>221</v>
      </c>
      <c r="D470" s="282" t="str">
        <f t="shared" ref="D470:P470" si="152">IF(((D468="")*AND(D469="")),"",(D468-D469)*2)</f>
        <v/>
      </c>
      <c r="E470" s="282" t="str">
        <f t="shared" si="152"/>
        <v/>
      </c>
      <c r="F470" s="282" t="str">
        <f t="shared" si="152"/>
        <v/>
      </c>
      <c r="G470" s="282" t="str">
        <f t="shared" si="152"/>
        <v/>
      </c>
      <c r="H470" s="282" t="str">
        <f t="shared" si="152"/>
        <v/>
      </c>
      <c r="I470" s="282" t="str">
        <f t="shared" si="152"/>
        <v/>
      </c>
      <c r="J470" s="282" t="str">
        <f t="shared" si="152"/>
        <v/>
      </c>
      <c r="K470" s="282" t="str">
        <f t="shared" si="152"/>
        <v/>
      </c>
      <c r="L470" s="282" t="str">
        <f t="shared" si="152"/>
        <v/>
      </c>
      <c r="M470" s="282" t="str">
        <f t="shared" si="152"/>
        <v/>
      </c>
      <c r="N470" s="282" t="str">
        <f t="shared" si="152"/>
        <v/>
      </c>
      <c r="O470" s="282" t="str">
        <f t="shared" si="152"/>
        <v/>
      </c>
      <c r="P470" s="282" t="str">
        <f t="shared" si="152"/>
        <v/>
      </c>
      <c r="Q470" s="264"/>
      <c r="R470" s="281"/>
      <c r="S470" s="281"/>
      <c r="T470" s="281"/>
      <c r="U470" s="281"/>
      <c r="V470" s="283"/>
      <c r="W470" s="247"/>
      <c r="Y470" s="271"/>
    </row>
    <row r="471" spans="1:31">
      <c r="A471" s="291"/>
      <c r="B471" s="268" t="s">
        <v>76</v>
      </c>
      <c r="C471" s="269" t="s">
        <v>77</v>
      </c>
      <c r="Q471" s="269" t="str">
        <f>IF((P472=""),"",MAX(D473:P473))</f>
        <v/>
      </c>
      <c r="R471" s="269" t="str">
        <f>IF(P472="","",MIN(D473:P473))</f>
        <v/>
      </c>
      <c r="S471" s="269" t="str">
        <f>IF((P473=""),"",AVERAGE(D473:P473))</f>
        <v/>
      </c>
      <c r="T471" s="269" t="str">
        <f>IF((P472=""),"",STDEV(D473:P473))</f>
        <v/>
      </c>
      <c r="U471" s="269" t="str">
        <f>IF((P472=""),"",((Q471-R471)/(Q471+R471))*100)</f>
        <v/>
      </c>
      <c r="V471" s="228" t="str">
        <f>IF(P472="","",IF(U471&lt;7.2,IF(S471&gt;AB471,IF(S471&lt;AC471,"Pass","Fail"),"Fail"),"Fail"))</f>
        <v/>
      </c>
      <c r="W471" s="284"/>
      <c r="Y471" s="271"/>
      <c r="Z471" s="272">
        <v>1600</v>
      </c>
      <c r="AA471" s="272">
        <v>2600</v>
      </c>
      <c r="AB471" s="273">
        <v>1900</v>
      </c>
      <c r="AC471" s="273">
        <v>2250</v>
      </c>
      <c r="AD471" s="274">
        <v>10</v>
      </c>
      <c r="AE471" s="274">
        <v>3.6</v>
      </c>
    </row>
    <row r="472" spans="1:31">
      <c r="A472" s="293"/>
      <c r="B472" s="276"/>
      <c r="C472" s="276" t="s">
        <v>78</v>
      </c>
      <c r="Q472" s="276"/>
      <c r="R472" s="276"/>
      <c r="S472" s="276"/>
      <c r="T472" s="276"/>
      <c r="U472" s="276"/>
      <c r="V472" s="277"/>
      <c r="W472" s="238"/>
      <c r="Y472" s="271"/>
    </row>
    <row r="473" spans="1:31" ht="32.25" thickBot="1">
      <c r="A473" s="294"/>
      <c r="B473" s="281"/>
      <c r="C473" s="243" t="s">
        <v>221</v>
      </c>
      <c r="D473" s="282" t="str">
        <f t="shared" ref="D473:P473" si="153">IF(((D471="")*AND(D472="")),"",(D471-D472)*2)</f>
        <v/>
      </c>
      <c r="E473" s="282" t="str">
        <f t="shared" si="153"/>
        <v/>
      </c>
      <c r="F473" s="282" t="str">
        <f t="shared" si="153"/>
        <v/>
      </c>
      <c r="G473" s="282" t="str">
        <f t="shared" si="153"/>
        <v/>
      </c>
      <c r="H473" s="282" t="str">
        <f t="shared" si="153"/>
        <v/>
      </c>
      <c r="I473" s="282" t="str">
        <f t="shared" si="153"/>
        <v/>
      </c>
      <c r="J473" s="282" t="str">
        <f t="shared" si="153"/>
        <v/>
      </c>
      <c r="K473" s="282" t="str">
        <f t="shared" si="153"/>
        <v/>
      </c>
      <c r="L473" s="282" t="str">
        <f t="shared" si="153"/>
        <v/>
      </c>
      <c r="M473" s="282" t="str">
        <f t="shared" si="153"/>
        <v/>
      </c>
      <c r="N473" s="282" t="str">
        <f t="shared" si="153"/>
        <v/>
      </c>
      <c r="O473" s="282" t="str">
        <f t="shared" si="153"/>
        <v/>
      </c>
      <c r="P473" s="282" t="str">
        <f t="shared" si="153"/>
        <v/>
      </c>
      <c r="Q473" s="264"/>
      <c r="R473" s="281"/>
      <c r="S473" s="281"/>
      <c r="T473" s="281"/>
      <c r="U473" s="281"/>
      <c r="V473" s="283"/>
      <c r="W473" s="247"/>
      <c r="Y473" s="271"/>
    </row>
    <row r="474" spans="1:31">
      <c r="A474" s="291"/>
      <c r="B474" s="268" t="s">
        <v>76</v>
      </c>
      <c r="C474" s="269" t="s">
        <v>77</v>
      </c>
      <c r="Q474" s="269" t="str">
        <f>IF((P475=""),"",MAX(D476:P476))</f>
        <v/>
      </c>
      <c r="R474" s="269" t="str">
        <f>IF(P475="","",MIN(D476:P476))</f>
        <v/>
      </c>
      <c r="S474" s="269" t="str">
        <f>IF((P476=""),"",AVERAGE(D476:P476))</f>
        <v/>
      </c>
      <c r="T474" s="269" t="str">
        <f>IF((P475=""),"",STDEV(D476:P476))</f>
        <v/>
      </c>
      <c r="U474" s="269" t="str">
        <f>IF((P475=""),"",((Q474-R474)/(Q474+R474))*100)</f>
        <v/>
      </c>
      <c r="V474" s="228" t="str">
        <f>IF(P475="","",IF(U474&lt;7.2,IF(S474&gt;AB474,IF(S474&lt;AC474,"Pass","Fail"),"Fail"),"Fail"))</f>
        <v/>
      </c>
      <c r="W474" s="284"/>
      <c r="Y474" s="271"/>
      <c r="Z474" s="272">
        <v>1600</v>
      </c>
      <c r="AA474" s="272">
        <v>2600</v>
      </c>
      <c r="AB474" s="273">
        <v>1900</v>
      </c>
      <c r="AC474" s="273">
        <v>2250</v>
      </c>
      <c r="AD474" s="274">
        <v>10</v>
      </c>
      <c r="AE474" s="274">
        <v>3.6</v>
      </c>
    </row>
    <row r="475" spans="1:31">
      <c r="A475" s="293"/>
      <c r="B475" s="276"/>
      <c r="C475" s="276" t="s">
        <v>78</v>
      </c>
      <c r="Q475" s="276"/>
      <c r="R475" s="276"/>
      <c r="S475" s="276"/>
      <c r="T475" s="276"/>
      <c r="U475" s="276"/>
      <c r="V475" s="277"/>
      <c r="W475" s="238"/>
      <c r="Y475" s="271"/>
    </row>
    <row r="476" spans="1:31" ht="32.25" thickBot="1">
      <c r="A476" s="294"/>
      <c r="B476" s="281"/>
      <c r="C476" s="243" t="s">
        <v>221</v>
      </c>
      <c r="D476" s="282" t="str">
        <f t="shared" ref="D476:P476" si="154">IF(((D474="")*AND(D475="")),"",(D474-D475)*2)</f>
        <v/>
      </c>
      <c r="E476" s="282" t="str">
        <f t="shared" si="154"/>
        <v/>
      </c>
      <c r="F476" s="282" t="str">
        <f t="shared" si="154"/>
        <v/>
      </c>
      <c r="G476" s="282" t="str">
        <f t="shared" si="154"/>
        <v/>
      </c>
      <c r="H476" s="282" t="str">
        <f t="shared" si="154"/>
        <v/>
      </c>
      <c r="I476" s="282" t="str">
        <f t="shared" si="154"/>
        <v/>
      </c>
      <c r="J476" s="282" t="str">
        <f t="shared" si="154"/>
        <v/>
      </c>
      <c r="K476" s="282" t="str">
        <f t="shared" si="154"/>
        <v/>
      </c>
      <c r="L476" s="282" t="str">
        <f t="shared" si="154"/>
        <v/>
      </c>
      <c r="M476" s="282" t="str">
        <f t="shared" si="154"/>
        <v/>
      </c>
      <c r="N476" s="282" t="str">
        <f t="shared" si="154"/>
        <v/>
      </c>
      <c r="O476" s="282" t="str">
        <f t="shared" si="154"/>
        <v/>
      </c>
      <c r="P476" s="282" t="str">
        <f t="shared" si="154"/>
        <v/>
      </c>
      <c r="Q476" s="264"/>
      <c r="R476" s="281"/>
      <c r="S476" s="281"/>
      <c r="T476" s="281"/>
      <c r="U476" s="281"/>
      <c r="V476" s="283"/>
      <c r="W476" s="247"/>
      <c r="Y476" s="271"/>
    </row>
    <row r="477" spans="1:31">
      <c r="A477" s="291"/>
      <c r="B477" s="268" t="s">
        <v>76</v>
      </c>
      <c r="C477" s="269" t="s">
        <v>77</v>
      </c>
      <c r="Q477" s="269" t="str">
        <f>IF((P478=""),"",MAX(D479:P479))</f>
        <v/>
      </c>
      <c r="R477" s="269" t="str">
        <f>IF(P478="","",MIN(D479:P479))</f>
        <v/>
      </c>
      <c r="S477" s="269" t="str">
        <f>IF((P479=""),"",AVERAGE(D479:P479))</f>
        <v/>
      </c>
      <c r="T477" s="269" t="str">
        <f>IF((P478=""),"",STDEV(D479:P479))</f>
        <v/>
      </c>
      <c r="U477" s="269" t="str">
        <f>IF((P478=""),"",((Q477-R477)/(Q477+R477))*100)</f>
        <v/>
      </c>
      <c r="V477" s="228" t="str">
        <f>IF(P478="","",IF(U477&lt;7.2,IF(S477&gt;AB477,IF(S477&lt;AC477,"Pass","Fail"),"Fail"),"Fail"))</f>
        <v/>
      </c>
      <c r="W477" s="284"/>
      <c r="Y477" s="271"/>
      <c r="Z477" s="272">
        <v>1600</v>
      </c>
      <c r="AA477" s="272">
        <v>2600</v>
      </c>
      <c r="AB477" s="273">
        <v>1900</v>
      </c>
      <c r="AC477" s="273">
        <v>2250</v>
      </c>
      <c r="AD477" s="274">
        <v>10</v>
      </c>
      <c r="AE477" s="274">
        <v>3.6</v>
      </c>
    </row>
    <row r="478" spans="1:31">
      <c r="A478" s="293"/>
      <c r="B478" s="276"/>
      <c r="C478" s="276" t="s">
        <v>78</v>
      </c>
      <c r="Q478" s="276"/>
      <c r="R478" s="276"/>
      <c r="S478" s="276"/>
      <c r="T478" s="276"/>
      <c r="U478" s="276"/>
      <c r="V478" s="277"/>
      <c r="W478" s="238"/>
      <c r="Y478" s="271"/>
    </row>
    <row r="479" spans="1:31" ht="32.25" thickBot="1">
      <c r="A479" s="294"/>
      <c r="B479" s="281"/>
      <c r="C479" s="243" t="s">
        <v>221</v>
      </c>
      <c r="D479" s="282" t="str">
        <f t="shared" ref="D479:P479" si="155">IF(((D477="")*AND(D478="")),"",(D477-D478)*2)</f>
        <v/>
      </c>
      <c r="E479" s="282" t="str">
        <f t="shared" si="155"/>
        <v/>
      </c>
      <c r="F479" s="282" t="str">
        <f t="shared" si="155"/>
        <v/>
      </c>
      <c r="G479" s="282" t="str">
        <f t="shared" si="155"/>
        <v/>
      </c>
      <c r="H479" s="282" t="str">
        <f t="shared" si="155"/>
        <v/>
      </c>
      <c r="I479" s="282" t="str">
        <f t="shared" si="155"/>
        <v/>
      </c>
      <c r="J479" s="282" t="str">
        <f t="shared" si="155"/>
        <v/>
      </c>
      <c r="K479" s="282" t="str">
        <f t="shared" si="155"/>
        <v/>
      </c>
      <c r="L479" s="282" t="str">
        <f t="shared" si="155"/>
        <v/>
      </c>
      <c r="M479" s="282" t="str">
        <f t="shared" si="155"/>
        <v/>
      </c>
      <c r="N479" s="282" t="str">
        <f t="shared" si="155"/>
        <v/>
      </c>
      <c r="O479" s="282" t="str">
        <f t="shared" si="155"/>
        <v/>
      </c>
      <c r="P479" s="282" t="str">
        <f t="shared" si="155"/>
        <v/>
      </c>
      <c r="Q479" s="264"/>
      <c r="R479" s="281"/>
      <c r="S479" s="281"/>
      <c r="T479" s="281"/>
      <c r="U479" s="281"/>
      <c r="V479" s="283"/>
      <c r="W479" s="247"/>
      <c r="Y479" s="271"/>
    </row>
    <row r="480" spans="1:31">
      <c r="A480" s="291"/>
      <c r="B480" s="268" t="s">
        <v>76</v>
      </c>
      <c r="C480" s="269" t="s">
        <v>77</v>
      </c>
      <c r="Q480" s="269" t="str">
        <f>IF((P481=""),"",MAX(D482:P482))</f>
        <v/>
      </c>
      <c r="R480" s="269" t="str">
        <f>IF(P481="","",MIN(D482:P482))</f>
        <v/>
      </c>
      <c r="S480" s="269" t="str">
        <f>IF((P482=""),"",AVERAGE(D482:P482))</f>
        <v/>
      </c>
      <c r="T480" s="269" t="str">
        <f>IF((P481=""),"",STDEV(D482:P482))</f>
        <v/>
      </c>
      <c r="U480" s="269" t="str">
        <f>IF((P481=""),"",((Q480-R480)/(Q480+R480))*100)</f>
        <v/>
      </c>
      <c r="V480" s="228" t="str">
        <f>IF(P481="","",IF(U480&lt;7.2,IF(S480&gt;AB480,IF(S480&lt;AC480,"Pass","Fail"),"Fail"),"Fail"))</f>
        <v/>
      </c>
      <c r="W480" s="284"/>
      <c r="Y480" s="271"/>
      <c r="Z480" s="272">
        <v>1600</v>
      </c>
      <c r="AA480" s="272">
        <v>2600</v>
      </c>
      <c r="AB480" s="273">
        <v>1900</v>
      </c>
      <c r="AC480" s="273">
        <v>2250</v>
      </c>
      <c r="AD480" s="274">
        <v>10</v>
      </c>
      <c r="AE480" s="274">
        <v>3.6</v>
      </c>
    </row>
    <row r="481" spans="1:31">
      <c r="A481" s="293"/>
      <c r="B481" s="276"/>
      <c r="C481" s="276" t="s">
        <v>78</v>
      </c>
      <c r="Q481" s="276"/>
      <c r="R481" s="276"/>
      <c r="S481" s="276"/>
      <c r="T481" s="276"/>
      <c r="U481" s="276"/>
      <c r="V481" s="277"/>
      <c r="W481" s="238"/>
      <c r="Y481" s="271"/>
    </row>
    <row r="482" spans="1:31" ht="32.25" thickBot="1">
      <c r="A482" s="294"/>
      <c r="B482" s="281"/>
      <c r="C482" s="243" t="s">
        <v>221</v>
      </c>
      <c r="D482" s="282" t="str">
        <f t="shared" ref="D482:P482" si="156">IF(((D480="")*AND(D481="")),"",(D480-D481)*2)</f>
        <v/>
      </c>
      <c r="E482" s="282" t="str">
        <f t="shared" si="156"/>
        <v/>
      </c>
      <c r="F482" s="282" t="str">
        <f t="shared" si="156"/>
        <v/>
      </c>
      <c r="G482" s="282" t="str">
        <f t="shared" si="156"/>
        <v/>
      </c>
      <c r="H482" s="282" t="str">
        <f t="shared" si="156"/>
        <v/>
      </c>
      <c r="I482" s="282" t="str">
        <f t="shared" si="156"/>
        <v/>
      </c>
      <c r="J482" s="282" t="str">
        <f t="shared" si="156"/>
        <v/>
      </c>
      <c r="K482" s="282" t="str">
        <f t="shared" si="156"/>
        <v/>
      </c>
      <c r="L482" s="282" t="str">
        <f t="shared" si="156"/>
        <v/>
      </c>
      <c r="M482" s="282" t="str">
        <f t="shared" si="156"/>
        <v/>
      </c>
      <c r="N482" s="282" t="str">
        <f t="shared" si="156"/>
        <v/>
      </c>
      <c r="O482" s="282" t="str">
        <f t="shared" si="156"/>
        <v/>
      </c>
      <c r="P482" s="282" t="str">
        <f t="shared" si="156"/>
        <v/>
      </c>
      <c r="Q482" s="264"/>
      <c r="R482" s="281"/>
      <c r="S482" s="281"/>
      <c r="T482" s="281"/>
      <c r="U482" s="281"/>
      <c r="V482" s="283"/>
      <c r="W482" s="247"/>
      <c r="Y482" s="271"/>
    </row>
    <row r="483" spans="1:31">
      <c r="A483" s="291"/>
      <c r="B483" s="268" t="s">
        <v>76</v>
      </c>
      <c r="C483" s="269" t="s">
        <v>77</v>
      </c>
      <c r="Q483" s="269" t="str">
        <f>IF((P484=""),"",MAX(D485:P485))</f>
        <v/>
      </c>
      <c r="R483" s="269" t="str">
        <f>IF(P484="","",MIN(D485:P485))</f>
        <v/>
      </c>
      <c r="S483" s="269" t="str">
        <f>IF((P485=""),"",AVERAGE(D485:P485))</f>
        <v/>
      </c>
      <c r="T483" s="269" t="str">
        <f>IF((P484=""),"",STDEV(D485:P485))</f>
        <v/>
      </c>
      <c r="U483" s="269" t="str">
        <f>IF((P484=""),"",((Q483-R483)/(Q483+R483))*100)</f>
        <v/>
      </c>
      <c r="V483" s="228" t="str">
        <f>IF(P484="","",IF(U483&lt;7.2,IF(S483&gt;AB483,IF(S483&lt;AC483,"Pass","Fail"),"Fail"),"Fail"))</f>
        <v/>
      </c>
      <c r="W483" s="284"/>
      <c r="Y483" s="271"/>
      <c r="Z483" s="272">
        <v>1600</v>
      </c>
      <c r="AA483" s="272">
        <v>2600</v>
      </c>
      <c r="AB483" s="273">
        <v>1900</v>
      </c>
      <c r="AC483" s="273">
        <v>2250</v>
      </c>
      <c r="AD483" s="274">
        <v>10</v>
      </c>
      <c r="AE483" s="274">
        <v>3.6</v>
      </c>
    </row>
    <row r="484" spans="1:31">
      <c r="A484" s="293"/>
      <c r="B484" s="276"/>
      <c r="C484" s="276" t="s">
        <v>78</v>
      </c>
      <c r="Q484" s="276"/>
      <c r="R484" s="276"/>
      <c r="S484" s="276"/>
      <c r="T484" s="276"/>
      <c r="U484" s="276"/>
      <c r="V484" s="277"/>
      <c r="W484" s="238"/>
      <c r="Y484" s="271"/>
    </row>
    <row r="485" spans="1:31" ht="32.25" thickBot="1">
      <c r="A485" s="294"/>
      <c r="B485" s="281"/>
      <c r="C485" s="243" t="s">
        <v>221</v>
      </c>
      <c r="D485" s="282" t="str">
        <f t="shared" ref="D485:P485" si="157">IF(((D483="")*AND(D484="")),"",(D483-D484)*2)</f>
        <v/>
      </c>
      <c r="E485" s="282" t="str">
        <f t="shared" si="157"/>
        <v/>
      </c>
      <c r="F485" s="282" t="str">
        <f t="shared" si="157"/>
        <v/>
      </c>
      <c r="G485" s="282" t="str">
        <f t="shared" si="157"/>
        <v/>
      </c>
      <c r="H485" s="282" t="str">
        <f t="shared" si="157"/>
        <v/>
      </c>
      <c r="I485" s="282" t="str">
        <f t="shared" si="157"/>
        <v/>
      </c>
      <c r="J485" s="282" t="str">
        <f t="shared" si="157"/>
        <v/>
      </c>
      <c r="K485" s="282" t="str">
        <f t="shared" si="157"/>
        <v/>
      </c>
      <c r="L485" s="282" t="str">
        <f t="shared" si="157"/>
        <v/>
      </c>
      <c r="M485" s="282" t="str">
        <f t="shared" si="157"/>
        <v/>
      </c>
      <c r="N485" s="282" t="str">
        <f t="shared" si="157"/>
        <v/>
      </c>
      <c r="O485" s="282" t="str">
        <f t="shared" si="157"/>
        <v/>
      </c>
      <c r="P485" s="282" t="str">
        <f t="shared" si="157"/>
        <v/>
      </c>
      <c r="Q485" s="264"/>
      <c r="R485" s="281"/>
      <c r="S485" s="281"/>
      <c r="T485" s="281"/>
      <c r="U485" s="281"/>
      <c r="V485" s="283"/>
      <c r="W485" s="247"/>
      <c r="Y485" s="271"/>
    </row>
    <row r="486" spans="1:31">
      <c r="A486" s="291"/>
      <c r="B486" s="268" t="s">
        <v>76</v>
      </c>
      <c r="C486" s="269" t="s">
        <v>77</v>
      </c>
      <c r="Q486" s="269" t="str">
        <f>IF((P487=""),"",MAX(D488:P488))</f>
        <v/>
      </c>
      <c r="R486" s="269" t="str">
        <f>IF(P487="","",MIN(D488:P488))</f>
        <v/>
      </c>
      <c r="S486" s="269" t="str">
        <f>IF((P488=""),"",AVERAGE(D488:P488))</f>
        <v/>
      </c>
      <c r="T486" s="269" t="str">
        <f>IF((P487=""),"",STDEV(D488:P488))</f>
        <v/>
      </c>
      <c r="U486" s="269" t="str">
        <f>IF((P487=""),"",((Q486-R486)/(Q486+R486))*100)</f>
        <v/>
      </c>
      <c r="V486" s="228" t="str">
        <f>IF(P487="","",IF(U486&lt;7.2,IF(S486&gt;AB486,IF(S486&lt;AC486,"Pass","Fail"),"Fail"),"Fail"))</f>
        <v/>
      </c>
      <c r="W486" s="284"/>
      <c r="Y486" s="271"/>
      <c r="Z486" s="272">
        <v>1600</v>
      </c>
      <c r="AA486" s="272">
        <v>2600</v>
      </c>
      <c r="AB486" s="273">
        <v>1900</v>
      </c>
      <c r="AC486" s="273">
        <v>2250</v>
      </c>
      <c r="AD486" s="274">
        <v>10</v>
      </c>
      <c r="AE486" s="274">
        <v>3.6</v>
      </c>
    </row>
    <row r="487" spans="1:31">
      <c r="A487" s="293"/>
      <c r="B487" s="276"/>
      <c r="C487" s="276" t="s">
        <v>78</v>
      </c>
      <c r="Q487" s="276"/>
      <c r="R487" s="276"/>
      <c r="S487" s="276"/>
      <c r="T487" s="276"/>
      <c r="U487" s="276"/>
      <c r="V487" s="277"/>
      <c r="W487" s="238"/>
      <c r="Y487" s="271"/>
    </row>
    <row r="488" spans="1:31" ht="32.25" thickBot="1">
      <c r="A488" s="294"/>
      <c r="B488" s="281"/>
      <c r="C488" s="243" t="s">
        <v>221</v>
      </c>
      <c r="D488" s="282" t="str">
        <f t="shared" ref="D488:P488" si="158">IF(((D486="")*AND(D487="")),"",(D486-D487)*2)</f>
        <v/>
      </c>
      <c r="E488" s="282" t="str">
        <f t="shared" si="158"/>
        <v/>
      </c>
      <c r="F488" s="282" t="str">
        <f t="shared" si="158"/>
        <v/>
      </c>
      <c r="G488" s="282" t="str">
        <f t="shared" si="158"/>
        <v/>
      </c>
      <c r="H488" s="282" t="str">
        <f t="shared" si="158"/>
        <v/>
      </c>
      <c r="I488" s="282" t="str">
        <f t="shared" si="158"/>
        <v/>
      </c>
      <c r="J488" s="282" t="str">
        <f t="shared" si="158"/>
        <v/>
      </c>
      <c r="K488" s="282" t="str">
        <f t="shared" si="158"/>
        <v/>
      </c>
      <c r="L488" s="282" t="str">
        <f t="shared" si="158"/>
        <v/>
      </c>
      <c r="M488" s="282" t="str">
        <f t="shared" si="158"/>
        <v/>
      </c>
      <c r="N488" s="282" t="str">
        <f t="shared" si="158"/>
        <v/>
      </c>
      <c r="O488" s="282" t="str">
        <f t="shared" si="158"/>
        <v/>
      </c>
      <c r="P488" s="282" t="str">
        <f t="shared" si="158"/>
        <v/>
      </c>
      <c r="Q488" s="264"/>
      <c r="R488" s="281"/>
      <c r="S488" s="281"/>
      <c r="T488" s="281"/>
      <c r="U488" s="281"/>
      <c r="V488" s="283"/>
      <c r="W488" s="247"/>
      <c r="Y488" s="271"/>
    </row>
    <row r="489" spans="1:31">
      <c r="A489" s="291"/>
      <c r="B489" s="268" t="s">
        <v>76</v>
      </c>
      <c r="C489" s="269" t="s">
        <v>77</v>
      </c>
      <c r="Q489" s="269" t="str">
        <f>IF((P490=""),"",MAX(D491:P491))</f>
        <v/>
      </c>
      <c r="R489" s="269" t="str">
        <f>IF(P490="","",MIN(D491:P491))</f>
        <v/>
      </c>
      <c r="S489" s="269" t="str">
        <f>IF((P491=""),"",AVERAGE(D491:P491))</f>
        <v/>
      </c>
      <c r="T489" s="269" t="str">
        <f>IF((P490=""),"",STDEV(D491:P491))</f>
        <v/>
      </c>
      <c r="U489" s="269" t="str">
        <f>IF((P490=""),"",((Q489-R489)/(Q489+R489))*100)</f>
        <v/>
      </c>
      <c r="V489" s="228" t="str">
        <f>IF(P490="","",IF(U489&lt;7.2,IF(S489&gt;AB489,IF(S489&lt;AC489,"Pass","Fail"),"Fail"),"Fail"))</f>
        <v/>
      </c>
      <c r="W489" s="284"/>
      <c r="Y489" s="271"/>
      <c r="Z489" s="272">
        <v>1600</v>
      </c>
      <c r="AA489" s="272">
        <v>2600</v>
      </c>
      <c r="AB489" s="273">
        <v>1900</v>
      </c>
      <c r="AC489" s="273">
        <v>2250</v>
      </c>
      <c r="AD489" s="274">
        <v>10</v>
      </c>
      <c r="AE489" s="274">
        <v>3.6</v>
      </c>
    </row>
    <row r="490" spans="1:31">
      <c r="A490" s="293"/>
      <c r="B490" s="276"/>
      <c r="C490" s="276" t="s">
        <v>78</v>
      </c>
      <c r="Q490" s="276"/>
      <c r="R490" s="276"/>
      <c r="S490" s="276"/>
      <c r="T490" s="276"/>
      <c r="U490" s="276"/>
      <c r="V490" s="277"/>
      <c r="W490" s="238"/>
      <c r="Y490" s="271"/>
    </row>
    <row r="491" spans="1:31" ht="32.25" thickBot="1">
      <c r="A491" s="294"/>
      <c r="B491" s="281"/>
      <c r="C491" s="243" t="s">
        <v>221</v>
      </c>
      <c r="D491" s="282" t="str">
        <f t="shared" ref="D491:P491" si="159">IF(((D489="")*AND(D490="")),"",(D489-D490)*2)</f>
        <v/>
      </c>
      <c r="E491" s="282" t="str">
        <f t="shared" si="159"/>
        <v/>
      </c>
      <c r="F491" s="282" t="str">
        <f t="shared" si="159"/>
        <v/>
      </c>
      <c r="G491" s="282" t="str">
        <f t="shared" si="159"/>
        <v/>
      </c>
      <c r="H491" s="282" t="str">
        <f t="shared" si="159"/>
        <v/>
      </c>
      <c r="I491" s="282" t="str">
        <f t="shared" si="159"/>
        <v/>
      </c>
      <c r="J491" s="282" t="str">
        <f t="shared" si="159"/>
        <v/>
      </c>
      <c r="K491" s="282" t="str">
        <f t="shared" si="159"/>
        <v/>
      </c>
      <c r="L491" s="282" t="str">
        <f t="shared" si="159"/>
        <v/>
      </c>
      <c r="M491" s="282" t="str">
        <f t="shared" si="159"/>
        <v/>
      </c>
      <c r="N491" s="282" t="str">
        <f t="shared" si="159"/>
        <v/>
      </c>
      <c r="O491" s="282" t="str">
        <f t="shared" si="159"/>
        <v/>
      </c>
      <c r="P491" s="282" t="str">
        <f t="shared" si="159"/>
        <v/>
      </c>
      <c r="Q491" s="264"/>
      <c r="R491" s="281"/>
      <c r="S491" s="281"/>
      <c r="T491" s="281"/>
      <c r="U491" s="281"/>
      <c r="V491" s="283"/>
      <c r="W491" s="247"/>
      <c r="Y491" s="271"/>
    </row>
    <row r="492" spans="1:31">
      <c r="A492" s="291"/>
      <c r="B492" s="268" t="s">
        <v>76</v>
      </c>
      <c r="C492" s="269" t="s">
        <v>77</v>
      </c>
      <c r="Q492" s="269" t="str">
        <f>IF((P493=""),"",MAX(D494:P494))</f>
        <v/>
      </c>
      <c r="R492" s="269" t="str">
        <f>IF(P493="","",MIN(D494:P494))</f>
        <v/>
      </c>
      <c r="S492" s="269" t="str">
        <f>IF((P494=""),"",AVERAGE(D494:P494))</f>
        <v/>
      </c>
      <c r="T492" s="269" t="str">
        <f>IF((P493=""),"",STDEV(D494:P494))</f>
        <v/>
      </c>
      <c r="U492" s="269" t="str">
        <f>IF((P493=""),"",((Q492-R492)/(Q492+R492))*100)</f>
        <v/>
      </c>
      <c r="V492" s="228" t="str">
        <f>IF(P493="","",IF(U492&lt;7.2,IF(S492&gt;AB492,IF(S492&lt;AC492,"Pass","Fail"),"Fail"),"Fail"))</f>
        <v/>
      </c>
      <c r="W492" s="284"/>
      <c r="Y492" s="271"/>
      <c r="Z492" s="272">
        <v>1600</v>
      </c>
      <c r="AA492" s="272">
        <v>2600</v>
      </c>
      <c r="AB492" s="273">
        <v>1900</v>
      </c>
      <c r="AC492" s="273">
        <v>2250</v>
      </c>
      <c r="AD492" s="274">
        <v>10</v>
      </c>
      <c r="AE492" s="274">
        <v>3.6</v>
      </c>
    </row>
    <row r="493" spans="1:31">
      <c r="A493" s="293"/>
      <c r="B493" s="276"/>
      <c r="C493" s="276" t="s">
        <v>78</v>
      </c>
      <c r="Q493" s="276"/>
      <c r="R493" s="276"/>
      <c r="S493" s="276"/>
      <c r="T493" s="276"/>
      <c r="U493" s="276"/>
      <c r="V493" s="277"/>
      <c r="W493" s="238"/>
      <c r="Y493" s="271"/>
    </row>
    <row r="494" spans="1:31" ht="32.25" thickBot="1">
      <c r="A494" s="294"/>
      <c r="B494" s="281"/>
      <c r="C494" s="243" t="s">
        <v>221</v>
      </c>
      <c r="D494" s="282" t="str">
        <f t="shared" ref="D494:P494" si="160">IF(((D492="")*AND(D493="")),"",(D492-D493)*2)</f>
        <v/>
      </c>
      <c r="E494" s="282" t="str">
        <f t="shared" si="160"/>
        <v/>
      </c>
      <c r="F494" s="282" t="str">
        <f t="shared" si="160"/>
        <v/>
      </c>
      <c r="G494" s="282" t="str">
        <f t="shared" si="160"/>
        <v/>
      </c>
      <c r="H494" s="282" t="str">
        <f t="shared" si="160"/>
        <v/>
      </c>
      <c r="I494" s="282" t="str">
        <f t="shared" si="160"/>
        <v/>
      </c>
      <c r="J494" s="282" t="str">
        <f t="shared" si="160"/>
        <v/>
      </c>
      <c r="K494" s="282" t="str">
        <f t="shared" si="160"/>
        <v/>
      </c>
      <c r="L494" s="282" t="str">
        <f t="shared" si="160"/>
        <v/>
      </c>
      <c r="M494" s="282" t="str">
        <f t="shared" si="160"/>
        <v/>
      </c>
      <c r="N494" s="282" t="str">
        <f t="shared" si="160"/>
        <v/>
      </c>
      <c r="O494" s="282" t="str">
        <f t="shared" si="160"/>
        <v/>
      </c>
      <c r="P494" s="282" t="str">
        <f t="shared" si="160"/>
        <v/>
      </c>
      <c r="Q494" s="264"/>
      <c r="R494" s="281"/>
      <c r="S494" s="281"/>
      <c r="T494" s="281"/>
      <c r="U494" s="281"/>
      <c r="V494" s="283"/>
      <c r="W494" s="247"/>
      <c r="Y494" s="271"/>
    </row>
    <row r="495" spans="1:31">
      <c r="A495" s="291"/>
      <c r="B495" s="268" t="s">
        <v>76</v>
      </c>
      <c r="C495" s="269" t="s">
        <v>77</v>
      </c>
      <c r="Q495" s="269" t="str">
        <f>IF((P496=""),"",MAX(D497:P497))</f>
        <v/>
      </c>
      <c r="R495" s="269" t="str">
        <f>IF(P496="","",MIN(D497:P497))</f>
        <v/>
      </c>
      <c r="S495" s="269" t="str">
        <f>IF((P497=""),"",AVERAGE(D497:P497))</f>
        <v/>
      </c>
      <c r="T495" s="269" t="str">
        <f>IF((P496=""),"",STDEV(D497:P497))</f>
        <v/>
      </c>
      <c r="U495" s="269" t="str">
        <f>IF((P496=""),"",((Q495-R495)/(Q495+R495))*100)</f>
        <v/>
      </c>
      <c r="V495" s="228" t="str">
        <f>IF(P496="","",IF(U495&lt;7.2,IF(S495&gt;AB495,IF(S495&lt;AC495,"Pass","Fail"),"Fail"),"Fail"))</f>
        <v/>
      </c>
      <c r="W495" s="284"/>
      <c r="Y495" s="271"/>
      <c r="Z495" s="272">
        <v>1600</v>
      </c>
      <c r="AA495" s="272">
        <v>2600</v>
      </c>
      <c r="AB495" s="273">
        <v>1900</v>
      </c>
      <c r="AC495" s="273">
        <v>2250</v>
      </c>
      <c r="AD495" s="274">
        <v>10</v>
      </c>
      <c r="AE495" s="274">
        <v>3.6</v>
      </c>
    </row>
    <row r="496" spans="1:31">
      <c r="A496" s="293"/>
      <c r="B496" s="276"/>
      <c r="C496" s="276" t="s">
        <v>78</v>
      </c>
      <c r="Q496" s="276"/>
      <c r="R496" s="276"/>
      <c r="S496" s="276"/>
      <c r="T496" s="276"/>
      <c r="U496" s="276"/>
      <c r="V496" s="277"/>
      <c r="W496" s="238"/>
      <c r="Y496" s="271"/>
    </row>
    <row r="497" spans="1:31" ht="32.25" thickBot="1">
      <c r="A497" s="294"/>
      <c r="B497" s="281"/>
      <c r="C497" s="243" t="s">
        <v>221</v>
      </c>
      <c r="D497" s="282" t="str">
        <f t="shared" ref="D497:P497" si="161">IF(((D495="")*AND(D496="")),"",(D495-D496)*2)</f>
        <v/>
      </c>
      <c r="E497" s="282" t="str">
        <f t="shared" si="161"/>
        <v/>
      </c>
      <c r="F497" s="282" t="str">
        <f t="shared" si="161"/>
        <v/>
      </c>
      <c r="G497" s="282" t="str">
        <f t="shared" si="161"/>
        <v/>
      </c>
      <c r="H497" s="282" t="str">
        <f t="shared" si="161"/>
        <v/>
      </c>
      <c r="I497" s="282" t="str">
        <f t="shared" si="161"/>
        <v/>
      </c>
      <c r="J497" s="282" t="str">
        <f t="shared" si="161"/>
        <v/>
      </c>
      <c r="K497" s="282" t="str">
        <f t="shared" si="161"/>
        <v/>
      </c>
      <c r="L497" s="282" t="str">
        <f t="shared" si="161"/>
        <v/>
      </c>
      <c r="M497" s="282" t="str">
        <f t="shared" si="161"/>
        <v/>
      </c>
      <c r="N497" s="282" t="str">
        <f t="shared" si="161"/>
        <v/>
      </c>
      <c r="O497" s="282" t="str">
        <f t="shared" si="161"/>
        <v/>
      </c>
      <c r="P497" s="282" t="str">
        <f t="shared" si="161"/>
        <v/>
      </c>
      <c r="Q497" s="264"/>
      <c r="R497" s="281"/>
      <c r="S497" s="281"/>
      <c r="T497" s="281"/>
      <c r="U497" s="281"/>
      <c r="V497" s="283"/>
      <c r="W497" s="247"/>
      <c r="Y497" s="271"/>
    </row>
    <row r="498" spans="1:31">
      <c r="A498" s="291"/>
      <c r="B498" s="268" t="s">
        <v>76</v>
      </c>
      <c r="C498" s="269" t="s">
        <v>77</v>
      </c>
      <c r="Q498" s="269" t="str">
        <f>IF((P499=""),"",MAX(D500:P500))</f>
        <v/>
      </c>
      <c r="R498" s="269" t="str">
        <f>IF(P499="","",MIN(D500:P500))</f>
        <v/>
      </c>
      <c r="S498" s="269" t="str">
        <f>IF((P500=""),"",AVERAGE(D500:P500))</f>
        <v/>
      </c>
      <c r="T498" s="269" t="str">
        <f>IF((P499=""),"",STDEV(D500:P500))</f>
        <v/>
      </c>
      <c r="U498" s="269" t="str">
        <f>IF((P499=""),"",((Q498-R498)/(Q498+R498))*100)</f>
        <v/>
      </c>
      <c r="V498" s="228" t="str">
        <f>IF(P499="","",IF(U498&lt;7.2,IF(S498&gt;AB498,IF(S498&lt;AC498,"Pass","Fail"),"Fail"),"Fail"))</f>
        <v/>
      </c>
      <c r="W498" s="284"/>
      <c r="Y498" s="271"/>
      <c r="Z498" s="272">
        <v>1600</v>
      </c>
      <c r="AA498" s="272">
        <v>2600</v>
      </c>
      <c r="AB498" s="273">
        <v>1900</v>
      </c>
      <c r="AC498" s="273">
        <v>2250</v>
      </c>
      <c r="AD498" s="274">
        <v>10</v>
      </c>
      <c r="AE498" s="274">
        <v>3.6</v>
      </c>
    </row>
    <row r="499" spans="1:31">
      <c r="A499" s="293"/>
      <c r="B499" s="276"/>
      <c r="C499" s="276" t="s">
        <v>78</v>
      </c>
      <c r="Q499" s="276"/>
      <c r="R499" s="276"/>
      <c r="S499" s="276"/>
      <c r="T499" s="276"/>
      <c r="U499" s="276"/>
      <c r="V499" s="277"/>
      <c r="W499" s="238"/>
      <c r="Y499" s="271"/>
    </row>
    <row r="500" spans="1:31" ht="32.25" thickBot="1">
      <c r="A500" s="294"/>
      <c r="B500" s="281"/>
      <c r="C500" s="243" t="s">
        <v>221</v>
      </c>
      <c r="D500" s="282" t="str">
        <f t="shared" ref="D500:P500" si="162">IF(((D498="")*AND(D499="")),"",(D498-D499)*2)</f>
        <v/>
      </c>
      <c r="E500" s="282" t="str">
        <f t="shared" si="162"/>
        <v/>
      </c>
      <c r="F500" s="282" t="str">
        <f t="shared" si="162"/>
        <v/>
      </c>
      <c r="G500" s="282" t="str">
        <f t="shared" si="162"/>
        <v/>
      </c>
      <c r="H500" s="282" t="str">
        <f t="shared" si="162"/>
        <v/>
      </c>
      <c r="I500" s="282" t="str">
        <f t="shared" si="162"/>
        <v/>
      </c>
      <c r="J500" s="282" t="str">
        <f t="shared" si="162"/>
        <v/>
      </c>
      <c r="K500" s="282" t="str">
        <f t="shared" si="162"/>
        <v/>
      </c>
      <c r="L500" s="282" t="str">
        <f t="shared" si="162"/>
        <v/>
      </c>
      <c r="M500" s="282" t="str">
        <f t="shared" si="162"/>
        <v/>
      </c>
      <c r="N500" s="282" t="str">
        <f t="shared" si="162"/>
        <v/>
      </c>
      <c r="O500" s="282" t="str">
        <f t="shared" si="162"/>
        <v/>
      </c>
      <c r="P500" s="282" t="str">
        <f t="shared" si="162"/>
        <v/>
      </c>
      <c r="Q500" s="264"/>
      <c r="R500" s="281"/>
      <c r="S500" s="281"/>
      <c r="T500" s="281"/>
      <c r="U500" s="281"/>
      <c r="V500" s="283"/>
      <c r="W500" s="247"/>
      <c r="Y500" s="271"/>
    </row>
    <row r="501" spans="1:31">
      <c r="A501" s="291"/>
      <c r="B501" s="268" t="s">
        <v>76</v>
      </c>
      <c r="C501" s="269" t="s">
        <v>77</v>
      </c>
      <c r="Q501" s="269" t="str">
        <f>IF((P502=""),"",MAX(D503:P503))</f>
        <v/>
      </c>
      <c r="R501" s="269" t="str">
        <f>IF(P502="","",MIN(D503:P503))</f>
        <v/>
      </c>
      <c r="S501" s="269" t="str">
        <f>IF((P503=""),"",AVERAGE(D503:P503))</f>
        <v/>
      </c>
      <c r="T501" s="269" t="str">
        <f>IF((P502=""),"",STDEV(D503:P503))</f>
        <v/>
      </c>
      <c r="U501" s="269" t="str">
        <f>IF((P502=""),"",((Q501-R501)/(Q501+R501))*100)</f>
        <v/>
      </c>
      <c r="V501" s="228" t="str">
        <f>IF(P502="","",IF(U501&lt;7.2,IF(S501&gt;AB501,IF(S501&lt;AC501,"Pass","Fail"),"Fail"),"Fail"))</f>
        <v/>
      </c>
      <c r="W501" s="284"/>
      <c r="Y501" s="271"/>
      <c r="Z501" s="272">
        <v>1600</v>
      </c>
      <c r="AA501" s="272">
        <v>2600</v>
      </c>
      <c r="AB501" s="273">
        <v>1900</v>
      </c>
      <c r="AC501" s="273">
        <v>2250</v>
      </c>
      <c r="AD501" s="274">
        <v>10</v>
      </c>
      <c r="AE501" s="274">
        <v>3.6</v>
      </c>
    </row>
    <row r="502" spans="1:31">
      <c r="A502" s="293"/>
      <c r="B502" s="276"/>
      <c r="C502" s="276" t="s">
        <v>78</v>
      </c>
      <c r="Q502" s="276"/>
      <c r="R502" s="276"/>
      <c r="S502" s="276"/>
      <c r="T502" s="276"/>
      <c r="U502" s="276"/>
      <c r="V502" s="277"/>
      <c r="W502" s="238"/>
      <c r="Y502" s="271"/>
    </row>
    <row r="503" spans="1:31" ht="32.25" thickBot="1">
      <c r="A503" s="294"/>
      <c r="B503" s="281"/>
      <c r="C503" s="243" t="s">
        <v>221</v>
      </c>
      <c r="D503" s="282" t="str">
        <f t="shared" ref="D503:P503" si="163">IF(((D501="")*AND(D502="")),"",(D501-D502)*2)</f>
        <v/>
      </c>
      <c r="E503" s="282" t="str">
        <f t="shared" si="163"/>
        <v/>
      </c>
      <c r="F503" s="282" t="str">
        <f t="shared" si="163"/>
        <v/>
      </c>
      <c r="G503" s="282" t="str">
        <f t="shared" si="163"/>
        <v/>
      </c>
      <c r="H503" s="282" t="str">
        <f t="shared" si="163"/>
        <v/>
      </c>
      <c r="I503" s="282" t="str">
        <f t="shared" si="163"/>
        <v/>
      </c>
      <c r="J503" s="282" t="str">
        <f t="shared" si="163"/>
        <v/>
      </c>
      <c r="K503" s="282" t="str">
        <f t="shared" si="163"/>
        <v/>
      </c>
      <c r="L503" s="282" t="str">
        <f t="shared" si="163"/>
        <v/>
      </c>
      <c r="M503" s="282" t="str">
        <f t="shared" si="163"/>
        <v/>
      </c>
      <c r="N503" s="282" t="str">
        <f t="shared" si="163"/>
        <v/>
      </c>
      <c r="O503" s="282" t="str">
        <f t="shared" si="163"/>
        <v/>
      </c>
      <c r="P503" s="282" t="str">
        <f t="shared" si="163"/>
        <v/>
      </c>
      <c r="Q503" s="264"/>
      <c r="R503" s="281"/>
      <c r="S503" s="281"/>
      <c r="T503" s="281"/>
      <c r="U503" s="281"/>
      <c r="V503" s="283"/>
      <c r="W503" s="247"/>
      <c r="Y503" s="271"/>
    </row>
    <row r="504" spans="1:31">
      <c r="A504" s="291"/>
      <c r="B504" s="268" t="s">
        <v>76</v>
      </c>
      <c r="C504" s="269" t="s">
        <v>77</v>
      </c>
      <c r="Q504" s="269" t="str">
        <f>IF((P505=""),"",MAX(D506:P506))</f>
        <v/>
      </c>
      <c r="R504" s="269" t="str">
        <f>IF(P505="","",MIN(D506:P506))</f>
        <v/>
      </c>
      <c r="S504" s="269" t="str">
        <f>IF((P506=""),"",AVERAGE(D506:P506))</f>
        <v/>
      </c>
      <c r="T504" s="269" t="str">
        <f>IF((P505=""),"",STDEV(D506:P506))</f>
        <v/>
      </c>
      <c r="U504" s="269" t="str">
        <f>IF((P505=""),"",((Q504-R504)/(Q504+R504))*100)</f>
        <v/>
      </c>
      <c r="V504" s="228" t="str">
        <f>IF(P505="","",IF(U504&lt;7.2,IF(S504&gt;AB504,IF(S504&lt;AC504,"Pass","Fail"),"Fail"),"Fail"))</f>
        <v/>
      </c>
      <c r="W504" s="284"/>
      <c r="Y504" s="271"/>
      <c r="Z504" s="272">
        <v>1600</v>
      </c>
      <c r="AA504" s="272">
        <v>2600</v>
      </c>
      <c r="AB504" s="273">
        <v>1900</v>
      </c>
      <c r="AC504" s="273">
        <v>2250</v>
      </c>
      <c r="AD504" s="274">
        <v>10</v>
      </c>
      <c r="AE504" s="274">
        <v>3.6</v>
      </c>
    </row>
    <row r="505" spans="1:31">
      <c r="A505" s="293"/>
      <c r="B505" s="276"/>
      <c r="C505" s="276" t="s">
        <v>78</v>
      </c>
      <c r="Q505" s="276"/>
      <c r="R505" s="276"/>
      <c r="S505" s="276"/>
      <c r="T505" s="276"/>
      <c r="U505" s="276"/>
      <c r="V505" s="277"/>
      <c r="W505" s="238"/>
      <c r="Y505" s="271"/>
    </row>
    <row r="506" spans="1:31" ht="32.25" thickBot="1">
      <c r="A506" s="294"/>
      <c r="B506" s="281"/>
      <c r="C506" s="243" t="s">
        <v>221</v>
      </c>
      <c r="D506" s="282" t="str">
        <f t="shared" ref="D506:P506" si="164">IF(((D504="")*AND(D505="")),"",(D504-D505)*2)</f>
        <v/>
      </c>
      <c r="E506" s="282" t="str">
        <f t="shared" si="164"/>
        <v/>
      </c>
      <c r="F506" s="282" t="str">
        <f t="shared" si="164"/>
        <v/>
      </c>
      <c r="G506" s="282" t="str">
        <f t="shared" si="164"/>
        <v/>
      </c>
      <c r="H506" s="282" t="str">
        <f t="shared" si="164"/>
        <v/>
      </c>
      <c r="I506" s="282" t="str">
        <f t="shared" si="164"/>
        <v/>
      </c>
      <c r="J506" s="282" t="str">
        <f t="shared" si="164"/>
        <v/>
      </c>
      <c r="K506" s="282" t="str">
        <f t="shared" si="164"/>
        <v/>
      </c>
      <c r="L506" s="282" t="str">
        <f t="shared" si="164"/>
        <v/>
      </c>
      <c r="M506" s="282" t="str">
        <f t="shared" si="164"/>
        <v/>
      </c>
      <c r="N506" s="282" t="str">
        <f t="shared" si="164"/>
        <v/>
      </c>
      <c r="O506" s="282" t="str">
        <f t="shared" si="164"/>
        <v/>
      </c>
      <c r="P506" s="282" t="str">
        <f t="shared" si="164"/>
        <v/>
      </c>
      <c r="Q506" s="264"/>
      <c r="R506" s="281"/>
      <c r="S506" s="281"/>
      <c r="T506" s="281"/>
      <c r="U506" s="281"/>
      <c r="V506" s="283"/>
      <c r="W506" s="247"/>
      <c r="Y506" s="271"/>
    </row>
    <row r="507" spans="1:31">
      <c r="A507" s="291"/>
      <c r="B507" s="268" t="s">
        <v>76</v>
      </c>
      <c r="C507" s="269" t="s">
        <v>77</v>
      </c>
      <c r="Q507" s="269" t="str">
        <f>IF((P508=""),"",MAX(D509:P509))</f>
        <v/>
      </c>
      <c r="R507" s="269" t="str">
        <f>IF(P508="","",MIN(D509:P509))</f>
        <v/>
      </c>
      <c r="S507" s="269" t="str">
        <f>IF((P509=""),"",AVERAGE(D509:P509))</f>
        <v/>
      </c>
      <c r="T507" s="269" t="str">
        <f>IF((P508=""),"",STDEV(D509:P509))</f>
        <v/>
      </c>
      <c r="U507" s="269" t="str">
        <f>IF((P508=""),"",((Q507-R507)/(Q507+R507))*100)</f>
        <v/>
      </c>
      <c r="V507" s="228" t="str">
        <f>IF(P508="","",IF(U507&lt;7.2,IF(S507&gt;AB507,IF(S507&lt;AC507,"Pass","Fail"),"Fail"),"Fail"))</f>
        <v/>
      </c>
      <c r="W507" s="284"/>
      <c r="Y507" s="271"/>
      <c r="Z507" s="272">
        <v>1600</v>
      </c>
      <c r="AA507" s="272">
        <v>2600</v>
      </c>
      <c r="AB507" s="273">
        <v>1900</v>
      </c>
      <c r="AC507" s="273">
        <v>2250</v>
      </c>
      <c r="AD507" s="274">
        <v>10</v>
      </c>
      <c r="AE507" s="274">
        <v>3.6</v>
      </c>
    </row>
    <row r="508" spans="1:31">
      <c r="A508" s="293"/>
      <c r="B508" s="276"/>
      <c r="C508" s="276" t="s">
        <v>78</v>
      </c>
      <c r="Q508" s="276"/>
      <c r="R508" s="276"/>
      <c r="S508" s="276"/>
      <c r="T508" s="276"/>
      <c r="U508" s="276"/>
      <c r="V508" s="277"/>
      <c r="W508" s="238"/>
      <c r="Y508" s="271"/>
    </row>
    <row r="509" spans="1:31" ht="32.25" thickBot="1">
      <c r="A509" s="294"/>
      <c r="B509" s="281"/>
      <c r="C509" s="243" t="s">
        <v>221</v>
      </c>
      <c r="D509" s="282" t="str">
        <f t="shared" ref="D509:P509" si="165">IF(((D507="")*AND(D508="")),"",(D507-D508)*2)</f>
        <v/>
      </c>
      <c r="E509" s="282" t="str">
        <f t="shared" si="165"/>
        <v/>
      </c>
      <c r="F509" s="282" t="str">
        <f t="shared" si="165"/>
        <v/>
      </c>
      <c r="G509" s="282" t="str">
        <f t="shared" si="165"/>
        <v/>
      </c>
      <c r="H509" s="282" t="str">
        <f t="shared" si="165"/>
        <v/>
      </c>
      <c r="I509" s="282" t="str">
        <f t="shared" si="165"/>
        <v/>
      </c>
      <c r="J509" s="282" t="str">
        <f t="shared" si="165"/>
        <v/>
      </c>
      <c r="K509" s="282" t="str">
        <f t="shared" si="165"/>
        <v/>
      </c>
      <c r="L509" s="282" t="str">
        <f t="shared" si="165"/>
        <v/>
      </c>
      <c r="M509" s="282" t="str">
        <f t="shared" si="165"/>
        <v/>
      </c>
      <c r="N509" s="282" t="str">
        <f t="shared" si="165"/>
        <v/>
      </c>
      <c r="O509" s="282" t="str">
        <f t="shared" si="165"/>
        <v/>
      </c>
      <c r="P509" s="282" t="str">
        <f t="shared" si="165"/>
        <v/>
      </c>
      <c r="Q509" s="264"/>
      <c r="R509" s="281"/>
      <c r="S509" s="281"/>
      <c r="T509" s="281"/>
      <c r="U509" s="281"/>
      <c r="V509" s="283"/>
      <c r="W509" s="247"/>
      <c r="Y509" s="271"/>
    </row>
    <row r="510" spans="1:31">
      <c r="A510" s="291"/>
      <c r="B510" s="268" t="s">
        <v>76</v>
      </c>
      <c r="C510" s="269" t="s">
        <v>77</v>
      </c>
      <c r="Q510" s="269" t="str">
        <f>IF((P511=""),"",MAX(D512:P512))</f>
        <v/>
      </c>
      <c r="R510" s="269" t="str">
        <f>IF(P511="","",MIN(D512:P512))</f>
        <v/>
      </c>
      <c r="S510" s="269" t="str">
        <f>IF((P512=""),"",AVERAGE(D512:P512))</f>
        <v/>
      </c>
      <c r="T510" s="269" t="str">
        <f>IF((P511=""),"",STDEV(D512:P512))</f>
        <v/>
      </c>
      <c r="U510" s="269" t="str">
        <f>IF((P511=""),"",((Q510-R510)/(Q510+R510))*100)</f>
        <v/>
      </c>
      <c r="V510" s="228" t="str">
        <f>IF(P511="","",IF(U510&lt;7.2,IF(S510&gt;AB510,IF(S510&lt;AC510,"Pass","Fail"),"Fail"),"Fail"))</f>
        <v/>
      </c>
      <c r="W510" s="284"/>
      <c r="Y510" s="271"/>
      <c r="Z510" s="272">
        <v>1600</v>
      </c>
      <c r="AA510" s="272">
        <v>2600</v>
      </c>
      <c r="AB510" s="273">
        <v>1900</v>
      </c>
      <c r="AC510" s="273">
        <v>2250</v>
      </c>
      <c r="AD510" s="274">
        <v>10</v>
      </c>
      <c r="AE510" s="274">
        <v>3.6</v>
      </c>
    </row>
    <row r="511" spans="1:31">
      <c r="A511" s="293"/>
      <c r="B511" s="276"/>
      <c r="C511" s="276" t="s">
        <v>78</v>
      </c>
      <c r="Q511" s="276"/>
      <c r="R511" s="276"/>
      <c r="S511" s="276"/>
      <c r="T511" s="276"/>
      <c r="U511" s="276"/>
      <c r="V511" s="277"/>
      <c r="W511" s="238"/>
      <c r="Y511" s="271"/>
    </row>
    <row r="512" spans="1:31" ht="32.25" thickBot="1">
      <c r="A512" s="294"/>
      <c r="B512" s="281"/>
      <c r="C512" s="243" t="s">
        <v>221</v>
      </c>
      <c r="D512" s="282" t="str">
        <f t="shared" ref="D512:P512" si="166">IF(((D510="")*AND(D511="")),"",(D510-D511)*2)</f>
        <v/>
      </c>
      <c r="E512" s="282" t="str">
        <f t="shared" si="166"/>
        <v/>
      </c>
      <c r="F512" s="282" t="str">
        <f t="shared" si="166"/>
        <v/>
      </c>
      <c r="G512" s="282" t="str">
        <f t="shared" si="166"/>
        <v/>
      </c>
      <c r="H512" s="282" t="str">
        <f t="shared" si="166"/>
        <v/>
      </c>
      <c r="I512" s="282" t="str">
        <f t="shared" si="166"/>
        <v/>
      </c>
      <c r="J512" s="282" t="str">
        <f t="shared" si="166"/>
        <v/>
      </c>
      <c r="K512" s="282" t="str">
        <f t="shared" si="166"/>
        <v/>
      </c>
      <c r="L512" s="282" t="str">
        <f t="shared" si="166"/>
        <v/>
      </c>
      <c r="M512" s="282" t="str">
        <f t="shared" si="166"/>
        <v/>
      </c>
      <c r="N512" s="282" t="str">
        <f t="shared" si="166"/>
        <v/>
      </c>
      <c r="O512" s="282" t="str">
        <f t="shared" si="166"/>
        <v/>
      </c>
      <c r="P512" s="282" t="str">
        <f t="shared" si="166"/>
        <v/>
      </c>
      <c r="Q512" s="264"/>
      <c r="R512" s="281"/>
      <c r="S512" s="281"/>
      <c r="T512" s="281"/>
      <c r="U512" s="281"/>
      <c r="V512" s="283"/>
      <c r="W512" s="247"/>
      <c r="Y512" s="271"/>
    </row>
    <row r="513" spans="1:31">
      <c r="A513" s="291"/>
      <c r="B513" s="268" t="s">
        <v>76</v>
      </c>
      <c r="C513" s="269" t="s">
        <v>77</v>
      </c>
      <c r="Q513" s="269" t="str">
        <f>IF((P514=""),"",MAX(D515:P515))</f>
        <v/>
      </c>
      <c r="R513" s="269" t="str">
        <f>IF(P514="","",MIN(D515:P515))</f>
        <v/>
      </c>
      <c r="S513" s="269" t="str">
        <f>IF((P515=""),"",AVERAGE(D515:P515))</f>
        <v/>
      </c>
      <c r="T513" s="269" t="str">
        <f>IF((P514=""),"",STDEV(D515:P515))</f>
        <v/>
      </c>
      <c r="U513" s="269" t="str">
        <f>IF((P514=""),"",((Q513-R513)/(Q513+R513))*100)</f>
        <v/>
      </c>
      <c r="V513" s="228" t="str">
        <f>IF(P514="","",IF(U513&lt;7.2,IF(S513&gt;AB513,IF(S513&lt;AC513,"Pass","Fail"),"Fail"),"Fail"))</f>
        <v/>
      </c>
      <c r="W513" s="284"/>
      <c r="Y513" s="271"/>
      <c r="Z513" s="272">
        <v>1600</v>
      </c>
      <c r="AA513" s="272">
        <v>2600</v>
      </c>
      <c r="AB513" s="273">
        <v>1900</v>
      </c>
      <c r="AC513" s="273">
        <v>2250</v>
      </c>
      <c r="AD513" s="274">
        <v>10</v>
      </c>
      <c r="AE513" s="274">
        <v>3.6</v>
      </c>
    </row>
    <row r="514" spans="1:31">
      <c r="A514" s="293"/>
      <c r="B514" s="276"/>
      <c r="C514" s="276" t="s">
        <v>78</v>
      </c>
      <c r="Q514" s="276"/>
      <c r="R514" s="276"/>
      <c r="S514" s="276"/>
      <c r="T514" s="276"/>
      <c r="U514" s="276"/>
      <c r="V514" s="277"/>
      <c r="W514" s="238"/>
      <c r="Y514" s="271"/>
    </row>
    <row r="515" spans="1:31" ht="32.25" thickBot="1">
      <c r="A515" s="294"/>
      <c r="B515" s="281"/>
      <c r="C515" s="243" t="s">
        <v>221</v>
      </c>
      <c r="D515" s="282" t="str">
        <f t="shared" ref="D515:P515" si="167">IF(((D513="")*AND(D514="")),"",(D513-D514)*2)</f>
        <v/>
      </c>
      <c r="E515" s="282" t="str">
        <f t="shared" si="167"/>
        <v/>
      </c>
      <c r="F515" s="282" t="str">
        <f t="shared" si="167"/>
        <v/>
      </c>
      <c r="G515" s="282" t="str">
        <f t="shared" si="167"/>
        <v/>
      </c>
      <c r="H515" s="282" t="str">
        <f t="shared" si="167"/>
        <v/>
      </c>
      <c r="I515" s="282" t="str">
        <f t="shared" si="167"/>
        <v/>
      </c>
      <c r="J515" s="282" t="str">
        <f t="shared" si="167"/>
        <v/>
      </c>
      <c r="K515" s="282" t="str">
        <f t="shared" si="167"/>
        <v/>
      </c>
      <c r="L515" s="282" t="str">
        <f t="shared" si="167"/>
        <v/>
      </c>
      <c r="M515" s="282" t="str">
        <f t="shared" si="167"/>
        <v/>
      </c>
      <c r="N515" s="282" t="str">
        <f t="shared" si="167"/>
        <v/>
      </c>
      <c r="O515" s="282" t="str">
        <f t="shared" si="167"/>
        <v/>
      </c>
      <c r="P515" s="282" t="str">
        <f t="shared" si="167"/>
        <v/>
      </c>
      <c r="Q515" s="264"/>
      <c r="R515" s="281"/>
      <c r="S515" s="281"/>
      <c r="T515" s="281"/>
      <c r="U515" s="281"/>
      <c r="V515" s="283"/>
      <c r="W515" s="247"/>
      <c r="Y515" s="271"/>
    </row>
    <row r="516" spans="1:31">
      <c r="A516" s="291"/>
      <c r="B516" s="268" t="s">
        <v>76</v>
      </c>
      <c r="C516" s="269" t="s">
        <v>77</v>
      </c>
      <c r="Q516" s="269" t="str">
        <f>IF((P517=""),"",MAX(D518:P518))</f>
        <v/>
      </c>
      <c r="R516" s="269" t="str">
        <f>IF(P517="","",MIN(D518:P518))</f>
        <v/>
      </c>
      <c r="S516" s="269" t="str">
        <f>IF((P518=""),"",AVERAGE(D518:P518))</f>
        <v/>
      </c>
      <c r="T516" s="269" t="str">
        <f>IF((P517=""),"",STDEV(D518:P518))</f>
        <v/>
      </c>
      <c r="U516" s="269" t="str">
        <f>IF((P517=""),"",((Q516-R516)/(Q516+R516))*100)</f>
        <v/>
      </c>
      <c r="V516" s="228" t="str">
        <f>IF(P517="","",IF(U516&lt;7.2,IF(S516&gt;AB516,IF(S516&lt;AC516,"Pass","Fail"),"Fail"),"Fail"))</f>
        <v/>
      </c>
      <c r="W516" s="284"/>
      <c r="Y516" s="271"/>
      <c r="Z516" s="272">
        <v>1600</v>
      </c>
      <c r="AA516" s="272">
        <v>2600</v>
      </c>
      <c r="AB516" s="273">
        <v>1900</v>
      </c>
      <c r="AC516" s="273">
        <v>2250</v>
      </c>
      <c r="AD516" s="274">
        <v>10</v>
      </c>
      <c r="AE516" s="274">
        <v>3.6</v>
      </c>
    </row>
    <row r="517" spans="1:31">
      <c r="A517" s="293"/>
      <c r="B517" s="276"/>
      <c r="C517" s="276" t="s">
        <v>78</v>
      </c>
      <c r="Q517" s="276"/>
      <c r="R517" s="276"/>
      <c r="S517" s="276"/>
      <c r="T517" s="276"/>
      <c r="U517" s="276"/>
      <c r="V517" s="277"/>
      <c r="W517" s="238"/>
      <c r="Y517" s="271"/>
    </row>
    <row r="518" spans="1:31" ht="32.25" thickBot="1">
      <c r="A518" s="294"/>
      <c r="B518" s="281"/>
      <c r="C518" s="243" t="s">
        <v>221</v>
      </c>
      <c r="D518" s="282" t="str">
        <f t="shared" ref="D518:P518" si="168">IF(((D516="")*AND(D517="")),"",(D516-D517)*2)</f>
        <v/>
      </c>
      <c r="E518" s="282" t="str">
        <f t="shared" si="168"/>
        <v/>
      </c>
      <c r="F518" s="282" t="str">
        <f t="shared" si="168"/>
        <v/>
      </c>
      <c r="G518" s="282" t="str">
        <f t="shared" si="168"/>
        <v/>
      </c>
      <c r="H518" s="282" t="str">
        <f t="shared" si="168"/>
        <v/>
      </c>
      <c r="I518" s="282" t="str">
        <f t="shared" si="168"/>
        <v/>
      </c>
      <c r="J518" s="282" t="str">
        <f t="shared" si="168"/>
        <v/>
      </c>
      <c r="K518" s="282" t="str">
        <f t="shared" si="168"/>
        <v/>
      </c>
      <c r="L518" s="282" t="str">
        <f t="shared" si="168"/>
        <v/>
      </c>
      <c r="M518" s="282" t="str">
        <f t="shared" si="168"/>
        <v/>
      </c>
      <c r="N518" s="282" t="str">
        <f t="shared" si="168"/>
        <v/>
      </c>
      <c r="O518" s="282" t="str">
        <f t="shared" si="168"/>
        <v/>
      </c>
      <c r="P518" s="282" t="str">
        <f t="shared" si="168"/>
        <v/>
      </c>
      <c r="Q518" s="264"/>
      <c r="R518" s="281"/>
      <c r="S518" s="281"/>
      <c r="T518" s="281"/>
      <c r="U518" s="281"/>
      <c r="V518" s="283"/>
      <c r="W518" s="247"/>
      <c r="Y518" s="271"/>
    </row>
    <row r="519" spans="1:31">
      <c r="A519" s="291"/>
      <c r="B519" s="268" t="s">
        <v>76</v>
      </c>
      <c r="C519" s="269" t="s">
        <v>77</v>
      </c>
      <c r="Q519" s="269" t="str">
        <f>IF((P520=""),"",MAX(D521:P521))</f>
        <v/>
      </c>
      <c r="R519" s="269" t="str">
        <f>IF(P520="","",MIN(D521:P521))</f>
        <v/>
      </c>
      <c r="S519" s="269" t="str">
        <f>IF((P521=""),"",AVERAGE(D521:P521))</f>
        <v/>
      </c>
      <c r="T519" s="269" t="str">
        <f>IF((P520=""),"",STDEV(D521:P521))</f>
        <v/>
      </c>
      <c r="U519" s="269" t="str">
        <f>IF((P520=""),"",((Q519-R519)/(Q519+R519))*100)</f>
        <v/>
      </c>
      <c r="V519" s="228" t="str">
        <f>IF(P520="","",IF(U519&lt;7.2,IF(S519&gt;AB519,IF(S519&lt;AC519,"Pass","Fail"),"Fail"),"Fail"))</f>
        <v/>
      </c>
      <c r="W519" s="284"/>
      <c r="Y519" s="271"/>
      <c r="Z519" s="272">
        <v>1600</v>
      </c>
      <c r="AA519" s="272">
        <v>2600</v>
      </c>
      <c r="AB519" s="273">
        <v>1900</v>
      </c>
      <c r="AC519" s="273">
        <v>2250</v>
      </c>
      <c r="AD519" s="274">
        <v>10</v>
      </c>
      <c r="AE519" s="274">
        <v>3.6</v>
      </c>
    </row>
    <row r="520" spans="1:31">
      <c r="A520" s="293"/>
      <c r="B520" s="276"/>
      <c r="C520" s="276" t="s">
        <v>78</v>
      </c>
      <c r="Q520" s="276"/>
      <c r="R520" s="276"/>
      <c r="S520" s="276"/>
      <c r="T520" s="276"/>
      <c r="U520" s="276"/>
      <c r="V520" s="277"/>
      <c r="W520" s="238"/>
      <c r="Y520" s="271"/>
    </row>
    <row r="521" spans="1:31" ht="32.25" thickBot="1">
      <c r="A521" s="294"/>
      <c r="B521" s="281"/>
      <c r="C521" s="243" t="s">
        <v>221</v>
      </c>
      <c r="D521" s="282" t="str">
        <f t="shared" ref="D521:P521" si="169">IF(((D519="")*AND(D520="")),"",(D519-D520)*2)</f>
        <v/>
      </c>
      <c r="E521" s="282" t="str">
        <f t="shared" si="169"/>
        <v/>
      </c>
      <c r="F521" s="282" t="str">
        <f t="shared" si="169"/>
        <v/>
      </c>
      <c r="G521" s="282" t="str">
        <f t="shared" si="169"/>
        <v/>
      </c>
      <c r="H521" s="282" t="str">
        <f t="shared" si="169"/>
        <v/>
      </c>
      <c r="I521" s="282" t="str">
        <f t="shared" si="169"/>
        <v/>
      </c>
      <c r="J521" s="282" t="str">
        <f t="shared" si="169"/>
        <v/>
      </c>
      <c r="K521" s="282" t="str">
        <f t="shared" si="169"/>
        <v/>
      </c>
      <c r="L521" s="282" t="str">
        <f t="shared" si="169"/>
        <v/>
      </c>
      <c r="M521" s="282" t="str">
        <f t="shared" si="169"/>
        <v/>
      </c>
      <c r="N521" s="282" t="str">
        <f t="shared" si="169"/>
        <v/>
      </c>
      <c r="O521" s="282" t="str">
        <f t="shared" si="169"/>
        <v/>
      </c>
      <c r="P521" s="282" t="str">
        <f t="shared" si="169"/>
        <v/>
      </c>
      <c r="Q521" s="264"/>
      <c r="R521" s="281"/>
      <c r="S521" s="281"/>
      <c r="T521" s="281"/>
      <c r="U521" s="281"/>
      <c r="V521" s="283"/>
      <c r="W521" s="247"/>
      <c r="Y521" s="271"/>
    </row>
    <row r="522" spans="1:31">
      <c r="A522" s="291"/>
      <c r="B522" s="268" t="s">
        <v>76</v>
      </c>
      <c r="C522" s="269" t="s">
        <v>77</v>
      </c>
      <c r="Q522" s="269" t="str">
        <f>IF((P523=""),"",MAX(D524:P524))</f>
        <v/>
      </c>
      <c r="R522" s="269" t="str">
        <f>IF(P523="","",MIN(D524:P524))</f>
        <v/>
      </c>
      <c r="S522" s="269" t="str">
        <f>IF((P524=""),"",AVERAGE(D524:P524))</f>
        <v/>
      </c>
      <c r="T522" s="269" t="str">
        <f>IF((P523=""),"",STDEV(D524:P524))</f>
        <v/>
      </c>
      <c r="U522" s="269" t="str">
        <f>IF((P523=""),"",((Q522-R522)/(Q522+R522))*100)</f>
        <v/>
      </c>
      <c r="V522" s="228" t="str">
        <f>IF(P523="","",IF(U522&lt;7.2,IF(S522&gt;AB522,IF(S522&lt;AC522,"Pass","Fail"),"Fail"),"Fail"))</f>
        <v/>
      </c>
      <c r="W522" s="284"/>
      <c r="Y522" s="271"/>
      <c r="Z522" s="272">
        <v>1600</v>
      </c>
      <c r="AA522" s="272">
        <v>2600</v>
      </c>
      <c r="AB522" s="273">
        <v>1900</v>
      </c>
      <c r="AC522" s="273">
        <v>2250</v>
      </c>
      <c r="AD522" s="274">
        <v>10</v>
      </c>
      <c r="AE522" s="274">
        <v>3.6</v>
      </c>
    </row>
    <row r="523" spans="1:31">
      <c r="A523" s="293"/>
      <c r="B523" s="276"/>
      <c r="C523" s="276" t="s">
        <v>78</v>
      </c>
      <c r="Q523" s="276"/>
      <c r="R523" s="276"/>
      <c r="S523" s="276"/>
      <c r="T523" s="276"/>
      <c r="U523" s="276"/>
      <c r="V523" s="277"/>
      <c r="W523" s="238"/>
      <c r="Y523" s="271"/>
    </row>
    <row r="524" spans="1:31" ht="32.25" thickBot="1">
      <c r="A524" s="294"/>
      <c r="B524" s="281"/>
      <c r="C524" s="243" t="s">
        <v>221</v>
      </c>
      <c r="D524" s="282" t="str">
        <f t="shared" ref="D524:P524" si="170">IF(((D522="")*AND(D523="")),"",(D522-D523)*2)</f>
        <v/>
      </c>
      <c r="E524" s="282" t="str">
        <f t="shared" si="170"/>
        <v/>
      </c>
      <c r="F524" s="282" t="str">
        <f t="shared" si="170"/>
        <v/>
      </c>
      <c r="G524" s="282" t="str">
        <f t="shared" si="170"/>
        <v/>
      </c>
      <c r="H524" s="282" t="str">
        <f t="shared" si="170"/>
        <v/>
      </c>
      <c r="I524" s="282" t="str">
        <f t="shared" si="170"/>
        <v/>
      </c>
      <c r="J524" s="282" t="str">
        <f t="shared" si="170"/>
        <v/>
      </c>
      <c r="K524" s="282" t="str">
        <f t="shared" si="170"/>
        <v/>
      </c>
      <c r="L524" s="282" t="str">
        <f t="shared" si="170"/>
        <v/>
      </c>
      <c r="M524" s="282" t="str">
        <f t="shared" si="170"/>
        <v/>
      </c>
      <c r="N524" s="282" t="str">
        <f t="shared" si="170"/>
        <v/>
      </c>
      <c r="O524" s="282" t="str">
        <f t="shared" si="170"/>
        <v/>
      </c>
      <c r="P524" s="282" t="str">
        <f t="shared" si="170"/>
        <v/>
      </c>
      <c r="Q524" s="264"/>
      <c r="R524" s="281"/>
      <c r="S524" s="281"/>
      <c r="T524" s="281"/>
      <c r="U524" s="281"/>
      <c r="V524" s="283"/>
      <c r="W524" s="247"/>
      <c r="Y524" s="271"/>
    </row>
    <row r="525" spans="1:31">
      <c r="A525" s="291"/>
      <c r="B525" s="268" t="s">
        <v>76</v>
      </c>
      <c r="C525" s="269" t="s">
        <v>77</v>
      </c>
      <c r="Q525" s="269" t="str">
        <f>IF((P526=""),"",MAX(D527:P527))</f>
        <v/>
      </c>
      <c r="R525" s="269" t="str">
        <f>IF(P526="","",MIN(D527:P527))</f>
        <v/>
      </c>
      <c r="S525" s="269" t="str">
        <f>IF((P527=""),"",AVERAGE(D527:P527))</f>
        <v/>
      </c>
      <c r="T525" s="269" t="str">
        <f>IF((P526=""),"",STDEV(D527:P527))</f>
        <v/>
      </c>
      <c r="U525" s="269" t="str">
        <f>IF((P526=""),"",((Q525-R525)/(Q525+R525))*100)</f>
        <v/>
      </c>
      <c r="V525" s="228" t="str">
        <f>IF(P526="","",IF(U525&lt;7.2,IF(S525&gt;AB525,IF(S525&lt;AC525,"Pass","Fail"),"Fail"),"Fail"))</f>
        <v/>
      </c>
      <c r="W525" s="284"/>
      <c r="Y525" s="271"/>
      <c r="Z525" s="272">
        <v>1600</v>
      </c>
      <c r="AA525" s="272">
        <v>2600</v>
      </c>
      <c r="AB525" s="273">
        <v>1900</v>
      </c>
      <c r="AC525" s="273">
        <v>2250</v>
      </c>
      <c r="AD525" s="274">
        <v>10</v>
      </c>
      <c r="AE525" s="274">
        <v>3.6</v>
      </c>
    </row>
    <row r="526" spans="1:31">
      <c r="A526" s="293"/>
      <c r="B526" s="276"/>
      <c r="C526" s="276" t="s">
        <v>78</v>
      </c>
      <c r="Q526" s="276"/>
      <c r="R526" s="276"/>
      <c r="S526" s="276"/>
      <c r="T526" s="276"/>
      <c r="U526" s="276"/>
      <c r="V526" s="277"/>
      <c r="W526" s="238"/>
      <c r="Y526" s="271"/>
    </row>
    <row r="527" spans="1:31" ht="32.25" thickBot="1">
      <c r="A527" s="294"/>
      <c r="B527" s="281"/>
      <c r="C527" s="243" t="s">
        <v>221</v>
      </c>
      <c r="D527" s="282" t="str">
        <f t="shared" ref="D527:P527" si="171">IF(((D525="")*AND(D526="")),"",(D525-D526)*2)</f>
        <v/>
      </c>
      <c r="E527" s="282" t="str">
        <f t="shared" si="171"/>
        <v/>
      </c>
      <c r="F527" s="282" t="str">
        <f t="shared" si="171"/>
        <v/>
      </c>
      <c r="G527" s="282" t="str">
        <f t="shared" si="171"/>
        <v/>
      </c>
      <c r="H527" s="282" t="str">
        <f t="shared" si="171"/>
        <v/>
      </c>
      <c r="I527" s="282" t="str">
        <f t="shared" si="171"/>
        <v/>
      </c>
      <c r="J527" s="282" t="str">
        <f t="shared" si="171"/>
        <v/>
      </c>
      <c r="K527" s="282" t="str">
        <f t="shared" si="171"/>
        <v/>
      </c>
      <c r="L527" s="282" t="str">
        <f t="shared" si="171"/>
        <v/>
      </c>
      <c r="M527" s="282" t="str">
        <f t="shared" si="171"/>
        <v/>
      </c>
      <c r="N527" s="282" t="str">
        <f t="shared" si="171"/>
        <v/>
      </c>
      <c r="O527" s="282" t="str">
        <f t="shared" si="171"/>
        <v/>
      </c>
      <c r="P527" s="282" t="str">
        <f t="shared" si="171"/>
        <v/>
      </c>
      <c r="Q527" s="264"/>
      <c r="R527" s="281"/>
      <c r="S527" s="281"/>
      <c r="T527" s="281"/>
      <c r="U527" s="281"/>
      <c r="V527" s="283"/>
      <c r="W527" s="247"/>
      <c r="Y527" s="271"/>
    </row>
    <row r="528" spans="1:31">
      <c r="A528" s="291"/>
      <c r="B528" s="268" t="s">
        <v>76</v>
      </c>
      <c r="C528" s="269" t="s">
        <v>77</v>
      </c>
      <c r="Q528" s="269" t="str">
        <f>IF((P529=""),"",MAX(D530:P530))</f>
        <v/>
      </c>
      <c r="R528" s="269" t="str">
        <f>IF(P529="","",MIN(D530:P530))</f>
        <v/>
      </c>
      <c r="S528" s="269" t="str">
        <f>IF((P530=""),"",AVERAGE(D530:P530))</f>
        <v/>
      </c>
      <c r="T528" s="269" t="str">
        <f>IF((P529=""),"",STDEV(D530:P530))</f>
        <v/>
      </c>
      <c r="U528" s="269" t="str">
        <f>IF((P529=""),"",((Q528-R528)/(Q528+R528))*100)</f>
        <v/>
      </c>
      <c r="V528" s="228" t="str">
        <f>IF(P529="","",IF(U528&lt;7.2,IF(S528&gt;AB528,IF(S528&lt;AC528,"Pass","Fail"),"Fail"),"Fail"))</f>
        <v/>
      </c>
      <c r="W528" s="284"/>
      <c r="Y528" s="271"/>
      <c r="Z528" s="272">
        <v>1600</v>
      </c>
      <c r="AA528" s="272">
        <v>2600</v>
      </c>
      <c r="AB528" s="273">
        <v>1900</v>
      </c>
      <c r="AC528" s="273">
        <v>2250</v>
      </c>
      <c r="AD528" s="274">
        <v>10</v>
      </c>
      <c r="AE528" s="274">
        <v>3.6</v>
      </c>
    </row>
    <row r="529" spans="1:31">
      <c r="A529" s="293"/>
      <c r="B529" s="276"/>
      <c r="C529" s="276" t="s">
        <v>78</v>
      </c>
      <c r="Q529" s="276"/>
      <c r="R529" s="276"/>
      <c r="S529" s="276"/>
      <c r="T529" s="276"/>
      <c r="U529" s="276"/>
      <c r="V529" s="277"/>
      <c r="W529" s="238"/>
      <c r="Y529" s="271"/>
    </row>
    <row r="530" spans="1:31" ht="32.25" thickBot="1">
      <c r="A530" s="294"/>
      <c r="B530" s="281"/>
      <c r="C530" s="243" t="s">
        <v>221</v>
      </c>
      <c r="D530" s="282" t="str">
        <f t="shared" ref="D530:P530" si="172">IF(((D528="")*AND(D529="")),"",(D528-D529)*2)</f>
        <v/>
      </c>
      <c r="E530" s="282" t="str">
        <f t="shared" si="172"/>
        <v/>
      </c>
      <c r="F530" s="282" t="str">
        <f t="shared" si="172"/>
        <v/>
      </c>
      <c r="G530" s="282" t="str">
        <f t="shared" si="172"/>
        <v/>
      </c>
      <c r="H530" s="282" t="str">
        <f t="shared" si="172"/>
        <v/>
      </c>
      <c r="I530" s="282" t="str">
        <f t="shared" si="172"/>
        <v/>
      </c>
      <c r="J530" s="282" t="str">
        <f t="shared" si="172"/>
        <v/>
      </c>
      <c r="K530" s="282" t="str">
        <f t="shared" si="172"/>
        <v/>
      </c>
      <c r="L530" s="282" t="str">
        <f t="shared" si="172"/>
        <v/>
      </c>
      <c r="M530" s="282" t="str">
        <f t="shared" si="172"/>
        <v/>
      </c>
      <c r="N530" s="282" t="str">
        <f t="shared" si="172"/>
        <v/>
      </c>
      <c r="O530" s="282" t="str">
        <f t="shared" si="172"/>
        <v/>
      </c>
      <c r="P530" s="282" t="str">
        <f t="shared" si="172"/>
        <v/>
      </c>
      <c r="Q530" s="264"/>
      <c r="R530" s="281"/>
      <c r="S530" s="281"/>
      <c r="T530" s="281"/>
      <c r="U530" s="281"/>
      <c r="V530" s="283"/>
      <c r="W530" s="247"/>
      <c r="Y530" s="271"/>
    </row>
    <row r="531" spans="1:31">
      <c r="A531" s="291"/>
      <c r="B531" s="268" t="s">
        <v>76</v>
      </c>
      <c r="C531" s="269" t="s">
        <v>77</v>
      </c>
      <c r="Q531" s="269" t="str">
        <f>IF((P532=""),"",MAX(D533:P533))</f>
        <v/>
      </c>
      <c r="R531" s="269" t="str">
        <f>IF(P532="","",MIN(D533:P533))</f>
        <v/>
      </c>
      <c r="S531" s="269" t="str">
        <f>IF((P533=""),"",AVERAGE(D533:P533))</f>
        <v/>
      </c>
      <c r="T531" s="269" t="str">
        <f>IF((P532=""),"",STDEV(D533:P533))</f>
        <v/>
      </c>
      <c r="U531" s="269" t="str">
        <f>IF((P532=""),"",((Q531-R531)/(Q531+R531))*100)</f>
        <v/>
      </c>
      <c r="V531" s="228" t="str">
        <f>IF(P532="","",IF(U531&lt;7.2,IF(S531&gt;AB531,IF(S531&lt;AC531,"Pass","Fail"),"Fail"),"Fail"))</f>
        <v/>
      </c>
      <c r="W531" s="284"/>
      <c r="Y531" s="271"/>
      <c r="Z531" s="272">
        <v>1600</v>
      </c>
      <c r="AA531" s="272">
        <v>2600</v>
      </c>
      <c r="AB531" s="273">
        <v>1900</v>
      </c>
      <c r="AC531" s="273">
        <v>2250</v>
      </c>
      <c r="AD531" s="274">
        <v>10</v>
      </c>
      <c r="AE531" s="274">
        <v>3.6</v>
      </c>
    </row>
    <row r="532" spans="1:31">
      <c r="A532" s="293"/>
      <c r="B532" s="276"/>
      <c r="C532" s="276" t="s">
        <v>78</v>
      </c>
      <c r="Q532" s="276"/>
      <c r="R532" s="276"/>
      <c r="S532" s="276"/>
      <c r="T532" s="276"/>
      <c r="U532" s="276"/>
      <c r="V532" s="277"/>
      <c r="W532" s="238"/>
      <c r="Y532" s="271"/>
    </row>
    <row r="533" spans="1:31" ht="32.25" thickBot="1">
      <c r="A533" s="294"/>
      <c r="B533" s="281"/>
      <c r="C533" s="243" t="s">
        <v>221</v>
      </c>
      <c r="D533" s="282" t="str">
        <f t="shared" ref="D533:P533" si="173">IF(((D531="")*AND(D532="")),"",(D531-D532)*2)</f>
        <v/>
      </c>
      <c r="E533" s="282" t="str">
        <f t="shared" si="173"/>
        <v/>
      </c>
      <c r="F533" s="282" t="str">
        <f t="shared" si="173"/>
        <v/>
      </c>
      <c r="G533" s="282" t="str">
        <f t="shared" si="173"/>
        <v/>
      </c>
      <c r="H533" s="282" t="str">
        <f t="shared" si="173"/>
        <v/>
      </c>
      <c r="I533" s="282" t="str">
        <f t="shared" si="173"/>
        <v/>
      </c>
      <c r="J533" s="282" t="str">
        <f t="shared" si="173"/>
        <v/>
      </c>
      <c r="K533" s="282" t="str">
        <f t="shared" si="173"/>
        <v/>
      </c>
      <c r="L533" s="282" t="str">
        <f t="shared" si="173"/>
        <v/>
      </c>
      <c r="M533" s="282" t="str">
        <f t="shared" si="173"/>
        <v/>
      </c>
      <c r="N533" s="282" t="str">
        <f t="shared" si="173"/>
        <v/>
      </c>
      <c r="O533" s="282" t="str">
        <f t="shared" si="173"/>
        <v/>
      </c>
      <c r="P533" s="282" t="str">
        <f t="shared" si="173"/>
        <v/>
      </c>
      <c r="Q533" s="264"/>
      <c r="R533" s="281"/>
      <c r="S533" s="281"/>
      <c r="T533" s="281"/>
      <c r="U533" s="281"/>
      <c r="V533" s="283"/>
      <c r="W533" s="247"/>
      <c r="Y533" s="271"/>
    </row>
    <row r="534" spans="1:31">
      <c r="A534" s="291"/>
      <c r="B534" s="268" t="s">
        <v>76</v>
      </c>
      <c r="C534" s="269" t="s">
        <v>77</v>
      </c>
      <c r="Q534" s="269" t="str">
        <f>IF((P535=""),"",MAX(D536:P536))</f>
        <v/>
      </c>
      <c r="R534" s="269" t="str">
        <f>IF(P535="","",MIN(D536:P536))</f>
        <v/>
      </c>
      <c r="S534" s="269" t="str">
        <f>IF((P536=""),"",AVERAGE(D536:P536))</f>
        <v/>
      </c>
      <c r="T534" s="269" t="str">
        <f>IF((P535=""),"",STDEV(D536:P536))</f>
        <v/>
      </c>
      <c r="U534" s="269" t="str">
        <f>IF((P535=""),"",((Q534-R534)/(Q534+R534))*100)</f>
        <v/>
      </c>
      <c r="V534" s="228" t="str">
        <f>IF(P535="","",IF(U534&lt;7.2,IF(S534&gt;AB534,IF(S534&lt;AC534,"Pass","Fail"),"Fail"),"Fail"))</f>
        <v/>
      </c>
      <c r="W534" s="284"/>
      <c r="Y534" s="271"/>
      <c r="Z534" s="272">
        <v>1600</v>
      </c>
      <c r="AA534" s="272">
        <v>2600</v>
      </c>
      <c r="AB534" s="273">
        <v>1900</v>
      </c>
      <c r="AC534" s="273">
        <v>2250</v>
      </c>
      <c r="AD534" s="274">
        <v>10</v>
      </c>
      <c r="AE534" s="274">
        <v>3.6</v>
      </c>
    </row>
    <row r="535" spans="1:31">
      <c r="A535" s="293"/>
      <c r="B535" s="276"/>
      <c r="C535" s="276" t="s">
        <v>78</v>
      </c>
      <c r="Q535" s="276"/>
      <c r="R535" s="276"/>
      <c r="S535" s="276"/>
      <c r="T535" s="276"/>
      <c r="U535" s="276"/>
      <c r="V535" s="277"/>
      <c r="W535" s="238"/>
      <c r="Y535" s="271"/>
    </row>
    <row r="536" spans="1:31" ht="32.25" thickBot="1">
      <c r="A536" s="294"/>
      <c r="B536" s="281"/>
      <c r="C536" s="243" t="s">
        <v>221</v>
      </c>
      <c r="D536" s="282" t="str">
        <f t="shared" ref="D536:P536" si="174">IF(((D534="")*AND(D535="")),"",(D534-D535)*2)</f>
        <v/>
      </c>
      <c r="E536" s="282" t="str">
        <f t="shared" si="174"/>
        <v/>
      </c>
      <c r="F536" s="282" t="str">
        <f t="shared" si="174"/>
        <v/>
      </c>
      <c r="G536" s="282" t="str">
        <f t="shared" si="174"/>
        <v/>
      </c>
      <c r="H536" s="282" t="str">
        <f t="shared" si="174"/>
        <v/>
      </c>
      <c r="I536" s="282" t="str">
        <f t="shared" si="174"/>
        <v/>
      </c>
      <c r="J536" s="282" t="str">
        <f t="shared" si="174"/>
        <v/>
      </c>
      <c r="K536" s="282" t="str">
        <f t="shared" si="174"/>
        <v/>
      </c>
      <c r="L536" s="282" t="str">
        <f t="shared" si="174"/>
        <v/>
      </c>
      <c r="M536" s="282" t="str">
        <f t="shared" si="174"/>
        <v/>
      </c>
      <c r="N536" s="282" t="str">
        <f t="shared" si="174"/>
        <v/>
      </c>
      <c r="O536" s="282" t="str">
        <f t="shared" si="174"/>
        <v/>
      </c>
      <c r="P536" s="282" t="str">
        <f t="shared" si="174"/>
        <v/>
      </c>
      <c r="Q536" s="264"/>
      <c r="R536" s="281"/>
      <c r="S536" s="281"/>
      <c r="T536" s="281"/>
      <c r="U536" s="281"/>
      <c r="V536" s="283"/>
      <c r="W536" s="247"/>
      <c r="Y536" s="271"/>
    </row>
    <row r="537" spans="1:31">
      <c r="A537" s="291"/>
      <c r="B537" s="268" t="s">
        <v>76</v>
      </c>
      <c r="C537" s="269" t="s">
        <v>77</v>
      </c>
      <c r="Q537" s="269" t="str">
        <f>IF((P538=""),"",MAX(D539:P539))</f>
        <v/>
      </c>
      <c r="R537" s="269" t="str">
        <f>IF(P538="","",MIN(D539:P539))</f>
        <v/>
      </c>
      <c r="S537" s="269" t="str">
        <f>IF((P539=""),"",AVERAGE(D539:P539))</f>
        <v/>
      </c>
      <c r="T537" s="269" t="str">
        <f>IF((P538=""),"",STDEV(D539:P539))</f>
        <v/>
      </c>
      <c r="U537" s="269" t="str">
        <f>IF((P538=""),"",((Q537-R537)/(Q537+R537))*100)</f>
        <v/>
      </c>
      <c r="V537" s="228" t="str">
        <f>IF(P538="","",IF(U537&lt;7.2,IF(S537&gt;AB537,IF(S537&lt;AC537,"Pass","Fail"),"Fail"),"Fail"))</f>
        <v/>
      </c>
      <c r="W537" s="284"/>
      <c r="Y537" s="271"/>
      <c r="Z537" s="272">
        <v>1600</v>
      </c>
      <c r="AA537" s="272">
        <v>2600</v>
      </c>
      <c r="AB537" s="273">
        <v>1900</v>
      </c>
      <c r="AC537" s="273">
        <v>2250</v>
      </c>
      <c r="AD537" s="274">
        <v>10</v>
      </c>
      <c r="AE537" s="274">
        <v>3.6</v>
      </c>
    </row>
    <row r="538" spans="1:31">
      <c r="A538" s="293"/>
      <c r="B538" s="276"/>
      <c r="C538" s="276" t="s">
        <v>78</v>
      </c>
      <c r="Q538" s="276"/>
      <c r="R538" s="276"/>
      <c r="S538" s="276"/>
      <c r="T538" s="276"/>
      <c r="U538" s="276"/>
      <c r="V538" s="277"/>
      <c r="W538" s="238"/>
      <c r="Y538" s="271"/>
    </row>
    <row r="539" spans="1:31" ht="32.25" thickBot="1">
      <c r="A539" s="294"/>
      <c r="B539" s="281"/>
      <c r="C539" s="243" t="s">
        <v>221</v>
      </c>
      <c r="D539" s="282" t="str">
        <f t="shared" ref="D539:P539" si="175">IF(((D537="")*AND(D538="")),"",(D537-D538)*2)</f>
        <v/>
      </c>
      <c r="E539" s="282" t="str">
        <f t="shared" si="175"/>
        <v/>
      </c>
      <c r="F539" s="282" t="str">
        <f t="shared" si="175"/>
        <v/>
      </c>
      <c r="G539" s="282" t="str">
        <f t="shared" si="175"/>
        <v/>
      </c>
      <c r="H539" s="282" t="str">
        <f t="shared" si="175"/>
        <v/>
      </c>
      <c r="I539" s="282" t="str">
        <f t="shared" si="175"/>
        <v/>
      </c>
      <c r="J539" s="282" t="str">
        <f t="shared" si="175"/>
        <v/>
      </c>
      <c r="K539" s="282" t="str">
        <f t="shared" si="175"/>
        <v/>
      </c>
      <c r="L539" s="282" t="str">
        <f t="shared" si="175"/>
        <v/>
      </c>
      <c r="M539" s="282" t="str">
        <f t="shared" si="175"/>
        <v/>
      </c>
      <c r="N539" s="282" t="str">
        <f t="shared" si="175"/>
        <v/>
      </c>
      <c r="O539" s="282" t="str">
        <f t="shared" si="175"/>
        <v/>
      </c>
      <c r="P539" s="282" t="str">
        <f t="shared" si="175"/>
        <v/>
      </c>
      <c r="Q539" s="264"/>
      <c r="R539" s="281"/>
      <c r="S539" s="281"/>
      <c r="T539" s="281"/>
      <c r="U539" s="281"/>
      <c r="V539" s="283"/>
      <c r="W539" s="247"/>
      <c r="Y539" s="271"/>
    </row>
    <row r="540" spans="1:31">
      <c r="A540" s="291"/>
      <c r="B540" s="268" t="s">
        <v>76</v>
      </c>
      <c r="C540" s="269" t="s">
        <v>77</v>
      </c>
      <c r="Q540" s="269" t="str">
        <f>IF((P541=""),"",MAX(D542:P542))</f>
        <v/>
      </c>
      <c r="R540" s="269" t="str">
        <f>IF(P541="","",MIN(D542:P542))</f>
        <v/>
      </c>
      <c r="S540" s="269" t="str">
        <f>IF((P542=""),"",AVERAGE(D542:P542))</f>
        <v/>
      </c>
      <c r="T540" s="269" t="str">
        <f>IF((P541=""),"",STDEV(D542:P542))</f>
        <v/>
      </c>
      <c r="U540" s="269" t="str">
        <f>IF((P541=""),"",((Q540-R540)/(Q540+R540))*100)</f>
        <v/>
      </c>
      <c r="V540" s="228" t="str">
        <f>IF(P541="","",IF(U540&lt;7.2,IF(S540&gt;AB540,IF(S540&lt;AC540,"Pass","Fail"),"Fail"),"Fail"))</f>
        <v/>
      </c>
      <c r="W540" s="284"/>
      <c r="Y540" s="271"/>
      <c r="Z540" s="272">
        <v>1600</v>
      </c>
      <c r="AA540" s="272">
        <v>2600</v>
      </c>
      <c r="AB540" s="273">
        <v>1900</v>
      </c>
      <c r="AC540" s="273">
        <v>2250</v>
      </c>
      <c r="AD540" s="274">
        <v>10</v>
      </c>
      <c r="AE540" s="274">
        <v>3.6</v>
      </c>
    </row>
    <row r="541" spans="1:31">
      <c r="A541" s="293"/>
      <c r="B541" s="276"/>
      <c r="C541" s="276" t="s">
        <v>78</v>
      </c>
      <c r="Q541" s="276"/>
      <c r="R541" s="276"/>
      <c r="S541" s="276"/>
      <c r="T541" s="276"/>
      <c r="U541" s="276"/>
      <c r="V541" s="277"/>
      <c r="W541" s="238"/>
      <c r="Y541" s="271"/>
    </row>
    <row r="542" spans="1:31" ht="32.25" thickBot="1">
      <c r="A542" s="294"/>
      <c r="B542" s="281"/>
      <c r="C542" s="243" t="s">
        <v>221</v>
      </c>
      <c r="D542" s="282" t="str">
        <f t="shared" ref="D542:P542" si="176">IF(((D540="")*AND(D541="")),"",(D540-D541)*2)</f>
        <v/>
      </c>
      <c r="E542" s="282" t="str">
        <f t="shared" si="176"/>
        <v/>
      </c>
      <c r="F542" s="282" t="str">
        <f t="shared" si="176"/>
        <v/>
      </c>
      <c r="G542" s="282" t="str">
        <f t="shared" si="176"/>
        <v/>
      </c>
      <c r="H542" s="282" t="str">
        <f t="shared" si="176"/>
        <v/>
      </c>
      <c r="I542" s="282" t="str">
        <f t="shared" si="176"/>
        <v/>
      </c>
      <c r="J542" s="282" t="str">
        <f t="shared" si="176"/>
        <v/>
      </c>
      <c r="K542" s="282" t="str">
        <f t="shared" si="176"/>
        <v/>
      </c>
      <c r="L542" s="282" t="str">
        <f t="shared" si="176"/>
        <v/>
      </c>
      <c r="M542" s="282" t="str">
        <f t="shared" si="176"/>
        <v/>
      </c>
      <c r="N542" s="282" t="str">
        <f t="shared" si="176"/>
        <v/>
      </c>
      <c r="O542" s="282" t="str">
        <f t="shared" si="176"/>
        <v/>
      </c>
      <c r="P542" s="282" t="str">
        <f t="shared" si="176"/>
        <v/>
      </c>
      <c r="Q542" s="264"/>
      <c r="R542" s="281"/>
      <c r="S542" s="281"/>
      <c r="T542" s="281"/>
      <c r="U542" s="281"/>
      <c r="V542" s="283"/>
      <c r="W542" s="247"/>
      <c r="Y542" s="271"/>
    </row>
    <row r="543" spans="1:31">
      <c r="A543" s="291"/>
      <c r="B543" s="268" t="s">
        <v>76</v>
      </c>
      <c r="C543" s="269" t="s">
        <v>77</v>
      </c>
      <c r="Q543" s="269" t="str">
        <f>IF((P544=""),"",MAX(D545:P545))</f>
        <v/>
      </c>
      <c r="R543" s="269" t="str">
        <f>IF(P544="","",MIN(D545:P545))</f>
        <v/>
      </c>
      <c r="S543" s="269" t="str">
        <f>IF((P545=""),"",AVERAGE(D545:P545))</f>
        <v/>
      </c>
      <c r="T543" s="269" t="str">
        <f>IF((P544=""),"",STDEV(D545:P545))</f>
        <v/>
      </c>
      <c r="U543" s="269" t="str">
        <f>IF((P544=""),"",((Q543-R543)/(Q543+R543))*100)</f>
        <v/>
      </c>
      <c r="V543" s="228" t="str">
        <f>IF(P544="","",IF(U543&lt;7.2,IF(S543&gt;AB543,IF(S543&lt;AC543,"Pass","Fail"),"Fail"),"Fail"))</f>
        <v/>
      </c>
      <c r="W543" s="284"/>
      <c r="Y543" s="271"/>
      <c r="Z543" s="272">
        <v>1600</v>
      </c>
      <c r="AA543" s="272">
        <v>2600</v>
      </c>
      <c r="AB543" s="273">
        <v>1900</v>
      </c>
      <c r="AC543" s="273">
        <v>2250</v>
      </c>
      <c r="AD543" s="274">
        <v>10</v>
      </c>
      <c r="AE543" s="274">
        <v>3.6</v>
      </c>
    </row>
    <row r="544" spans="1:31">
      <c r="A544" s="293"/>
      <c r="B544" s="276"/>
      <c r="C544" s="276" t="s">
        <v>78</v>
      </c>
      <c r="Q544" s="276"/>
      <c r="R544" s="276"/>
      <c r="S544" s="276"/>
      <c r="T544" s="276"/>
      <c r="U544" s="276"/>
      <c r="V544" s="277"/>
      <c r="W544" s="238"/>
      <c r="Y544" s="271"/>
    </row>
    <row r="545" spans="1:31" ht="32.25" thickBot="1">
      <c r="A545" s="294"/>
      <c r="B545" s="281"/>
      <c r="C545" s="243" t="s">
        <v>221</v>
      </c>
      <c r="D545" s="282" t="str">
        <f t="shared" ref="D545:P545" si="177">IF(((D543="")*AND(D544="")),"",(D543-D544)*2)</f>
        <v/>
      </c>
      <c r="E545" s="282" t="str">
        <f t="shared" si="177"/>
        <v/>
      </c>
      <c r="F545" s="282" t="str">
        <f t="shared" si="177"/>
        <v/>
      </c>
      <c r="G545" s="282" t="str">
        <f t="shared" si="177"/>
        <v/>
      </c>
      <c r="H545" s="282" t="str">
        <f t="shared" si="177"/>
        <v/>
      </c>
      <c r="I545" s="282" t="str">
        <f t="shared" si="177"/>
        <v/>
      </c>
      <c r="J545" s="282" t="str">
        <f t="shared" si="177"/>
        <v/>
      </c>
      <c r="K545" s="282" t="str">
        <f t="shared" si="177"/>
        <v/>
      </c>
      <c r="L545" s="282" t="str">
        <f t="shared" si="177"/>
        <v/>
      </c>
      <c r="M545" s="282" t="str">
        <f t="shared" si="177"/>
        <v/>
      </c>
      <c r="N545" s="282" t="str">
        <f t="shared" si="177"/>
        <v/>
      </c>
      <c r="O545" s="282" t="str">
        <f t="shared" si="177"/>
        <v/>
      </c>
      <c r="P545" s="282" t="str">
        <f t="shared" si="177"/>
        <v/>
      </c>
      <c r="Q545" s="264"/>
      <c r="R545" s="281"/>
      <c r="S545" s="281"/>
      <c r="T545" s="281"/>
      <c r="U545" s="281"/>
      <c r="V545" s="283"/>
      <c r="W545" s="247"/>
      <c r="Y545" s="271"/>
    </row>
    <row r="546" spans="1:31">
      <c r="A546" s="291"/>
      <c r="B546" s="268" t="s">
        <v>76</v>
      </c>
      <c r="C546" s="269" t="s">
        <v>77</v>
      </c>
      <c r="Q546" s="269" t="str">
        <f>IF((P547=""),"",MAX(D548:P548))</f>
        <v/>
      </c>
      <c r="R546" s="269" t="str">
        <f>IF(P547="","",MIN(D548:P548))</f>
        <v/>
      </c>
      <c r="S546" s="269" t="str">
        <f>IF((P548=""),"",AVERAGE(D548:P548))</f>
        <v/>
      </c>
      <c r="T546" s="269" t="str">
        <f>IF((P547=""),"",STDEV(D548:P548))</f>
        <v/>
      </c>
      <c r="U546" s="269" t="str">
        <f>IF((P547=""),"",((Q546-R546)/(Q546+R546))*100)</f>
        <v/>
      </c>
      <c r="V546" s="228" t="str">
        <f>IF(P547="","",IF(U546&lt;7.2,IF(S546&gt;AB546,IF(S546&lt;AC546,"Pass","Fail"),"Fail"),"Fail"))</f>
        <v/>
      </c>
      <c r="W546" s="284"/>
      <c r="Y546" s="271"/>
      <c r="Z546" s="272">
        <v>1600</v>
      </c>
      <c r="AA546" s="272">
        <v>2600</v>
      </c>
      <c r="AB546" s="273">
        <v>1900</v>
      </c>
      <c r="AC546" s="273">
        <v>2250</v>
      </c>
      <c r="AD546" s="274">
        <v>10</v>
      </c>
      <c r="AE546" s="274">
        <v>3.6</v>
      </c>
    </row>
    <row r="547" spans="1:31">
      <c r="A547" s="293"/>
      <c r="B547" s="276"/>
      <c r="C547" s="276" t="s">
        <v>78</v>
      </c>
      <c r="Q547" s="276"/>
      <c r="R547" s="276"/>
      <c r="S547" s="276"/>
      <c r="T547" s="276"/>
      <c r="U547" s="276"/>
      <c r="V547" s="277"/>
      <c r="W547" s="238"/>
      <c r="Y547" s="271"/>
    </row>
    <row r="548" spans="1:31" ht="32.25" thickBot="1">
      <c r="A548" s="294"/>
      <c r="B548" s="281"/>
      <c r="C548" s="243" t="s">
        <v>221</v>
      </c>
      <c r="D548" s="282" t="str">
        <f t="shared" ref="D548:P548" si="178">IF(((D546="")*AND(D547="")),"",(D546-D547)*2)</f>
        <v/>
      </c>
      <c r="E548" s="282" t="str">
        <f t="shared" si="178"/>
        <v/>
      </c>
      <c r="F548" s="282" t="str">
        <f t="shared" si="178"/>
        <v/>
      </c>
      <c r="G548" s="282" t="str">
        <f t="shared" si="178"/>
        <v/>
      </c>
      <c r="H548" s="282" t="str">
        <f t="shared" si="178"/>
        <v/>
      </c>
      <c r="I548" s="282" t="str">
        <f t="shared" si="178"/>
        <v/>
      </c>
      <c r="J548" s="282" t="str">
        <f t="shared" si="178"/>
        <v/>
      </c>
      <c r="K548" s="282" t="str">
        <f t="shared" si="178"/>
        <v/>
      </c>
      <c r="L548" s="282" t="str">
        <f t="shared" si="178"/>
        <v/>
      </c>
      <c r="M548" s="282" t="str">
        <f t="shared" si="178"/>
        <v/>
      </c>
      <c r="N548" s="282" t="str">
        <f t="shared" si="178"/>
        <v/>
      </c>
      <c r="O548" s="282" t="str">
        <f t="shared" si="178"/>
        <v/>
      </c>
      <c r="P548" s="282" t="str">
        <f t="shared" si="178"/>
        <v/>
      </c>
      <c r="Q548" s="264"/>
      <c r="R548" s="281"/>
      <c r="S548" s="281"/>
      <c r="T548" s="281"/>
      <c r="U548" s="281"/>
      <c r="V548" s="283"/>
      <c r="W548" s="247"/>
      <c r="Y548" s="271"/>
    </row>
    <row r="549" spans="1:31">
      <c r="A549" s="291"/>
      <c r="B549" s="268" t="s">
        <v>76</v>
      </c>
      <c r="C549" s="269" t="s">
        <v>77</v>
      </c>
      <c r="Q549" s="269" t="str">
        <f>IF((P550=""),"",MAX(D551:P551))</f>
        <v/>
      </c>
      <c r="R549" s="269" t="str">
        <f>IF(P550="","",MIN(D551:P551))</f>
        <v/>
      </c>
      <c r="S549" s="269" t="str">
        <f>IF((P551=""),"",AVERAGE(D551:P551))</f>
        <v/>
      </c>
      <c r="T549" s="269" t="str">
        <f>IF((P550=""),"",STDEV(D551:P551))</f>
        <v/>
      </c>
      <c r="U549" s="269" t="str">
        <f>IF((P550=""),"",((Q549-R549)/(Q549+R549))*100)</f>
        <v/>
      </c>
      <c r="V549" s="228" t="str">
        <f>IF(P550="","",IF(U549&lt;7.2,IF(S549&gt;AB549,IF(S549&lt;AC549,"Pass","Fail"),"Fail"),"Fail"))</f>
        <v/>
      </c>
      <c r="W549" s="284"/>
      <c r="Y549" s="271"/>
      <c r="Z549" s="272">
        <v>1600</v>
      </c>
      <c r="AA549" s="272">
        <v>2600</v>
      </c>
      <c r="AB549" s="273">
        <v>1900</v>
      </c>
      <c r="AC549" s="273">
        <v>2250</v>
      </c>
      <c r="AD549" s="274">
        <v>10</v>
      </c>
      <c r="AE549" s="274">
        <v>3.6</v>
      </c>
    </row>
    <row r="550" spans="1:31">
      <c r="A550" s="293"/>
      <c r="B550" s="276"/>
      <c r="C550" s="276" t="s">
        <v>78</v>
      </c>
      <c r="Q550" s="276"/>
      <c r="R550" s="276"/>
      <c r="S550" s="276"/>
      <c r="T550" s="276"/>
      <c r="U550" s="276"/>
      <c r="V550" s="277"/>
      <c r="W550" s="238"/>
      <c r="Y550" s="271"/>
    </row>
    <row r="551" spans="1:31" ht="32.25" thickBot="1">
      <c r="A551" s="294"/>
      <c r="B551" s="281"/>
      <c r="C551" s="243" t="s">
        <v>221</v>
      </c>
      <c r="D551" s="282" t="str">
        <f t="shared" ref="D551:P551" si="179">IF(((D549="")*AND(D550="")),"",(D549-D550)*2)</f>
        <v/>
      </c>
      <c r="E551" s="282" t="str">
        <f t="shared" si="179"/>
        <v/>
      </c>
      <c r="F551" s="282" t="str">
        <f t="shared" si="179"/>
        <v/>
      </c>
      <c r="G551" s="282" t="str">
        <f t="shared" si="179"/>
        <v/>
      </c>
      <c r="H551" s="282" t="str">
        <f t="shared" si="179"/>
        <v/>
      </c>
      <c r="I551" s="282" t="str">
        <f t="shared" si="179"/>
        <v/>
      </c>
      <c r="J551" s="282" t="str">
        <f t="shared" si="179"/>
        <v/>
      </c>
      <c r="K551" s="282" t="str">
        <f t="shared" si="179"/>
        <v/>
      </c>
      <c r="L551" s="282" t="str">
        <f t="shared" si="179"/>
        <v/>
      </c>
      <c r="M551" s="282" t="str">
        <f t="shared" si="179"/>
        <v/>
      </c>
      <c r="N551" s="282" t="str">
        <f t="shared" si="179"/>
        <v/>
      </c>
      <c r="O551" s="282" t="str">
        <f t="shared" si="179"/>
        <v/>
      </c>
      <c r="P551" s="282" t="str">
        <f t="shared" si="179"/>
        <v/>
      </c>
      <c r="Q551" s="264"/>
      <c r="R551" s="281"/>
      <c r="S551" s="281"/>
      <c r="T551" s="281"/>
      <c r="U551" s="281"/>
      <c r="V551" s="283"/>
      <c r="W551" s="247"/>
      <c r="Y551" s="271"/>
    </row>
    <row r="552" spans="1:31">
      <c r="A552" s="291"/>
      <c r="B552" s="268" t="s">
        <v>76</v>
      </c>
      <c r="C552" s="269" t="s">
        <v>77</v>
      </c>
      <c r="Q552" s="269" t="str">
        <f>IF((P553=""),"",MAX(D554:P554))</f>
        <v/>
      </c>
      <c r="R552" s="269" t="str">
        <f>IF(P553="","",MIN(D554:P554))</f>
        <v/>
      </c>
      <c r="S552" s="269" t="str">
        <f>IF((P554=""),"",AVERAGE(D554:P554))</f>
        <v/>
      </c>
      <c r="T552" s="269" t="str">
        <f>IF((P553=""),"",STDEV(D554:P554))</f>
        <v/>
      </c>
      <c r="U552" s="269" t="str">
        <f>IF((P553=""),"",((Q552-R552)/(Q552+R552))*100)</f>
        <v/>
      </c>
      <c r="V552" s="228" t="str">
        <f>IF(P553="","",IF(U552&lt;7.2,IF(S552&gt;AB552,IF(S552&lt;AC552,"Pass","Fail"),"Fail"),"Fail"))</f>
        <v/>
      </c>
      <c r="W552" s="284"/>
      <c r="Y552" s="271"/>
      <c r="Z552" s="272">
        <v>1600</v>
      </c>
      <c r="AA552" s="272">
        <v>2600</v>
      </c>
      <c r="AB552" s="273">
        <v>1900</v>
      </c>
      <c r="AC552" s="273">
        <v>2250</v>
      </c>
      <c r="AD552" s="274">
        <v>10</v>
      </c>
      <c r="AE552" s="274">
        <v>3.6</v>
      </c>
    </row>
    <row r="553" spans="1:31">
      <c r="A553" s="293"/>
      <c r="B553" s="276"/>
      <c r="C553" s="276" t="s">
        <v>78</v>
      </c>
      <c r="Q553" s="276"/>
      <c r="R553" s="276"/>
      <c r="S553" s="276"/>
      <c r="T553" s="276"/>
      <c r="U553" s="276"/>
      <c r="V553" s="277"/>
      <c r="W553" s="238"/>
      <c r="Y553" s="271"/>
    </row>
    <row r="554" spans="1:31" ht="32.25" thickBot="1">
      <c r="A554" s="294"/>
      <c r="B554" s="281"/>
      <c r="C554" s="243" t="s">
        <v>221</v>
      </c>
      <c r="D554" s="282" t="str">
        <f t="shared" ref="D554:P554" si="180">IF(((D552="")*AND(D553="")),"",(D552-D553)*2)</f>
        <v/>
      </c>
      <c r="E554" s="282" t="str">
        <f t="shared" si="180"/>
        <v/>
      </c>
      <c r="F554" s="282" t="str">
        <f t="shared" si="180"/>
        <v/>
      </c>
      <c r="G554" s="282" t="str">
        <f t="shared" si="180"/>
        <v/>
      </c>
      <c r="H554" s="282" t="str">
        <f t="shared" si="180"/>
        <v/>
      </c>
      <c r="I554" s="282" t="str">
        <f t="shared" si="180"/>
        <v/>
      </c>
      <c r="J554" s="282" t="str">
        <f t="shared" si="180"/>
        <v/>
      </c>
      <c r="K554" s="282" t="str">
        <f t="shared" si="180"/>
        <v/>
      </c>
      <c r="L554" s="282" t="str">
        <f t="shared" si="180"/>
        <v/>
      </c>
      <c r="M554" s="282" t="str">
        <f t="shared" si="180"/>
        <v/>
      </c>
      <c r="N554" s="282" t="str">
        <f t="shared" si="180"/>
        <v/>
      </c>
      <c r="O554" s="282" t="str">
        <f t="shared" si="180"/>
        <v/>
      </c>
      <c r="P554" s="282" t="str">
        <f t="shared" si="180"/>
        <v/>
      </c>
      <c r="Q554" s="264"/>
      <c r="R554" s="281"/>
      <c r="S554" s="281"/>
      <c r="T554" s="281"/>
      <c r="U554" s="281"/>
      <c r="V554" s="283"/>
      <c r="W554" s="247"/>
      <c r="Y554" s="271"/>
    </row>
    <row r="555" spans="1:31">
      <c r="A555" s="291"/>
      <c r="B555" s="268" t="s">
        <v>76</v>
      </c>
      <c r="C555" s="269" t="s">
        <v>77</v>
      </c>
      <c r="Q555" s="269" t="str">
        <f>IF((P556=""),"",MAX(D557:P557))</f>
        <v/>
      </c>
      <c r="R555" s="269" t="str">
        <f>IF(P556="","",MIN(D557:P557))</f>
        <v/>
      </c>
      <c r="S555" s="269" t="str">
        <f>IF((P557=""),"",AVERAGE(D557:P557))</f>
        <v/>
      </c>
      <c r="T555" s="269" t="str">
        <f>IF((P556=""),"",STDEV(D557:P557))</f>
        <v/>
      </c>
      <c r="U555" s="269" t="str">
        <f>IF((P556=""),"",((Q555-R555)/(Q555+R555))*100)</f>
        <v/>
      </c>
      <c r="V555" s="228" t="str">
        <f>IF(P556="","",IF(U555&lt;7.2,IF(S555&gt;AB555,IF(S555&lt;AC555,"Pass","Fail"),"Fail"),"Fail"))</f>
        <v/>
      </c>
      <c r="W555" s="284"/>
      <c r="Y555" s="271"/>
      <c r="Z555" s="272">
        <v>1600</v>
      </c>
      <c r="AA555" s="272">
        <v>2600</v>
      </c>
      <c r="AB555" s="273">
        <v>1900</v>
      </c>
      <c r="AC555" s="273">
        <v>2250</v>
      </c>
      <c r="AD555" s="274">
        <v>10</v>
      </c>
      <c r="AE555" s="274">
        <v>3.6</v>
      </c>
    </row>
    <row r="556" spans="1:31">
      <c r="A556" s="293"/>
      <c r="B556" s="276"/>
      <c r="C556" s="276" t="s">
        <v>78</v>
      </c>
      <c r="Q556" s="276"/>
      <c r="R556" s="276"/>
      <c r="S556" s="276"/>
      <c r="T556" s="276"/>
      <c r="U556" s="276"/>
      <c r="V556" s="277"/>
      <c r="W556" s="238"/>
      <c r="Y556" s="271"/>
    </row>
    <row r="557" spans="1:31" ht="32.25" thickBot="1">
      <c r="A557" s="294"/>
      <c r="B557" s="281"/>
      <c r="C557" s="243" t="s">
        <v>221</v>
      </c>
      <c r="D557" s="282" t="str">
        <f t="shared" ref="D557:P557" si="181">IF(((D555="")*AND(D556="")),"",(D555-D556)*2)</f>
        <v/>
      </c>
      <c r="E557" s="282" t="str">
        <f t="shared" si="181"/>
        <v/>
      </c>
      <c r="F557" s="282" t="str">
        <f t="shared" si="181"/>
        <v/>
      </c>
      <c r="G557" s="282" t="str">
        <f t="shared" si="181"/>
        <v/>
      </c>
      <c r="H557" s="282" t="str">
        <f t="shared" si="181"/>
        <v/>
      </c>
      <c r="I557" s="282" t="str">
        <f t="shared" si="181"/>
        <v/>
      </c>
      <c r="J557" s="282" t="str">
        <f t="shared" si="181"/>
        <v/>
      </c>
      <c r="K557" s="282" t="str">
        <f t="shared" si="181"/>
        <v/>
      </c>
      <c r="L557" s="282" t="str">
        <f t="shared" si="181"/>
        <v/>
      </c>
      <c r="M557" s="282" t="str">
        <f t="shared" si="181"/>
        <v/>
      </c>
      <c r="N557" s="282" t="str">
        <f t="shared" si="181"/>
        <v/>
      </c>
      <c r="O557" s="282" t="str">
        <f t="shared" si="181"/>
        <v/>
      </c>
      <c r="P557" s="282" t="str">
        <f t="shared" si="181"/>
        <v/>
      </c>
      <c r="Q557" s="264"/>
      <c r="R557" s="281"/>
      <c r="S557" s="281"/>
      <c r="T557" s="281"/>
      <c r="U557" s="281"/>
      <c r="V557" s="283"/>
      <c r="W557" s="247"/>
      <c r="Y557" s="271"/>
    </row>
    <row r="558" spans="1:31">
      <c r="A558" s="291"/>
      <c r="B558" s="268" t="s">
        <v>76</v>
      </c>
      <c r="C558" s="269" t="s">
        <v>77</v>
      </c>
      <c r="Q558" s="269" t="str">
        <f>IF((P559=""),"",MAX(D560:P560))</f>
        <v/>
      </c>
      <c r="R558" s="269" t="str">
        <f>IF(P559="","",MIN(D560:P560))</f>
        <v/>
      </c>
      <c r="S558" s="269" t="str">
        <f>IF((P560=""),"",AVERAGE(D560:P560))</f>
        <v/>
      </c>
      <c r="T558" s="269" t="str">
        <f>IF((P559=""),"",STDEV(D560:P560))</f>
        <v/>
      </c>
      <c r="U558" s="269" t="str">
        <f>IF((P559=""),"",((Q558-R558)/(Q558+R558))*100)</f>
        <v/>
      </c>
      <c r="V558" s="228" t="str">
        <f>IF(P559="","",IF(U558&lt;7.2,IF(S558&gt;AB558,IF(S558&lt;AC558,"Pass","Fail"),"Fail"),"Fail"))</f>
        <v/>
      </c>
      <c r="W558" s="284"/>
      <c r="Y558" s="271"/>
      <c r="Z558" s="272">
        <v>1600</v>
      </c>
      <c r="AA558" s="272">
        <v>2600</v>
      </c>
      <c r="AB558" s="273">
        <v>1900</v>
      </c>
      <c r="AC558" s="273">
        <v>2250</v>
      </c>
      <c r="AD558" s="274">
        <v>10</v>
      </c>
      <c r="AE558" s="274">
        <v>3.6</v>
      </c>
    </row>
    <row r="559" spans="1:31">
      <c r="A559" s="293"/>
      <c r="B559" s="276"/>
      <c r="C559" s="276" t="s">
        <v>78</v>
      </c>
      <c r="Q559" s="276"/>
      <c r="R559" s="276"/>
      <c r="S559" s="276"/>
      <c r="T559" s="276"/>
      <c r="U559" s="276"/>
      <c r="V559" s="277"/>
      <c r="W559" s="238"/>
      <c r="Y559" s="271"/>
    </row>
    <row r="560" spans="1:31" ht="32.25" thickBot="1">
      <c r="A560" s="294"/>
      <c r="B560" s="281"/>
      <c r="C560" s="243" t="s">
        <v>221</v>
      </c>
      <c r="D560" s="282" t="str">
        <f t="shared" ref="D560:P560" si="182">IF(((D558="")*AND(D559="")),"",(D558-D559)*2)</f>
        <v/>
      </c>
      <c r="E560" s="282" t="str">
        <f t="shared" si="182"/>
        <v/>
      </c>
      <c r="F560" s="282" t="str">
        <f t="shared" si="182"/>
        <v/>
      </c>
      <c r="G560" s="282" t="str">
        <f t="shared" si="182"/>
        <v/>
      </c>
      <c r="H560" s="282" t="str">
        <f t="shared" si="182"/>
        <v/>
      </c>
      <c r="I560" s="282" t="str">
        <f t="shared" si="182"/>
        <v/>
      </c>
      <c r="J560" s="282" t="str">
        <f t="shared" si="182"/>
        <v/>
      </c>
      <c r="K560" s="282" t="str">
        <f t="shared" si="182"/>
        <v/>
      </c>
      <c r="L560" s="282" t="str">
        <f t="shared" si="182"/>
        <v/>
      </c>
      <c r="M560" s="282" t="str">
        <f t="shared" si="182"/>
        <v/>
      </c>
      <c r="N560" s="282" t="str">
        <f t="shared" si="182"/>
        <v/>
      </c>
      <c r="O560" s="282" t="str">
        <f t="shared" si="182"/>
        <v/>
      </c>
      <c r="P560" s="282" t="str">
        <f t="shared" si="182"/>
        <v/>
      </c>
      <c r="Q560" s="264"/>
      <c r="R560" s="281"/>
      <c r="S560" s="281"/>
      <c r="T560" s="281"/>
      <c r="U560" s="281"/>
      <c r="V560" s="283"/>
      <c r="W560" s="247"/>
      <c r="Y560" s="271"/>
    </row>
    <row r="561" spans="1:31">
      <c r="A561" s="291"/>
      <c r="B561" s="268" t="s">
        <v>76</v>
      </c>
      <c r="C561" s="269" t="s">
        <v>77</v>
      </c>
      <c r="Q561" s="269" t="str">
        <f>IF((P562=""),"",MAX(D563:P563))</f>
        <v/>
      </c>
      <c r="R561" s="269" t="str">
        <f>IF(P562="","",MIN(D563:P563))</f>
        <v/>
      </c>
      <c r="S561" s="269" t="str">
        <f>IF((P563=""),"",AVERAGE(D563:P563))</f>
        <v/>
      </c>
      <c r="T561" s="269" t="str">
        <f>IF((P562=""),"",STDEV(D563:P563))</f>
        <v/>
      </c>
      <c r="U561" s="269" t="str">
        <f>IF((P562=""),"",((Q561-R561)/(Q561+R561))*100)</f>
        <v/>
      </c>
      <c r="V561" s="228" t="str">
        <f>IF(P562="","",IF(U561&lt;7.2,IF(S561&gt;AB561,IF(S561&lt;AC561,"Pass","Fail"),"Fail"),"Fail"))</f>
        <v/>
      </c>
      <c r="W561" s="284"/>
      <c r="Y561" s="271"/>
      <c r="Z561" s="272">
        <v>1600</v>
      </c>
      <c r="AA561" s="272">
        <v>2600</v>
      </c>
      <c r="AB561" s="273">
        <v>1900</v>
      </c>
      <c r="AC561" s="273">
        <v>2250</v>
      </c>
      <c r="AD561" s="274">
        <v>10</v>
      </c>
      <c r="AE561" s="274">
        <v>3.6</v>
      </c>
    </row>
    <row r="562" spans="1:31">
      <c r="A562" s="293"/>
      <c r="B562" s="276"/>
      <c r="C562" s="276" t="s">
        <v>78</v>
      </c>
      <c r="Q562" s="276"/>
      <c r="R562" s="276"/>
      <c r="S562" s="276"/>
      <c r="T562" s="276"/>
      <c r="U562" s="276"/>
      <c r="V562" s="277"/>
      <c r="W562" s="238"/>
      <c r="Y562" s="271"/>
    </row>
    <row r="563" spans="1:31" ht="32.25" thickBot="1">
      <c r="A563" s="294"/>
      <c r="B563" s="281"/>
      <c r="C563" s="243" t="s">
        <v>221</v>
      </c>
      <c r="D563" s="282" t="str">
        <f t="shared" ref="D563:P563" si="183">IF(((D561="")*AND(D562="")),"",(D561-D562)*2)</f>
        <v/>
      </c>
      <c r="E563" s="282" t="str">
        <f t="shared" si="183"/>
        <v/>
      </c>
      <c r="F563" s="282" t="str">
        <f t="shared" si="183"/>
        <v/>
      </c>
      <c r="G563" s="282" t="str">
        <f t="shared" si="183"/>
        <v/>
      </c>
      <c r="H563" s="282" t="str">
        <f t="shared" si="183"/>
        <v/>
      </c>
      <c r="I563" s="282" t="str">
        <f t="shared" si="183"/>
        <v/>
      </c>
      <c r="J563" s="282" t="str">
        <f t="shared" si="183"/>
        <v/>
      </c>
      <c r="K563" s="282" t="str">
        <f t="shared" si="183"/>
        <v/>
      </c>
      <c r="L563" s="282" t="str">
        <f t="shared" si="183"/>
        <v/>
      </c>
      <c r="M563" s="282" t="str">
        <f t="shared" si="183"/>
        <v/>
      </c>
      <c r="N563" s="282" t="str">
        <f t="shared" si="183"/>
        <v/>
      </c>
      <c r="O563" s="282" t="str">
        <f t="shared" si="183"/>
        <v/>
      </c>
      <c r="P563" s="282" t="str">
        <f t="shared" si="183"/>
        <v/>
      </c>
      <c r="Q563" s="264"/>
      <c r="R563" s="281"/>
      <c r="S563" s="281"/>
      <c r="T563" s="281"/>
      <c r="U563" s="281"/>
      <c r="V563" s="283"/>
      <c r="W563" s="247"/>
      <c r="Y563" s="271"/>
    </row>
    <row r="564" spans="1:31">
      <c r="A564" s="291"/>
      <c r="B564" s="268" t="s">
        <v>76</v>
      </c>
      <c r="C564" s="269" t="s">
        <v>77</v>
      </c>
      <c r="Q564" s="269" t="str">
        <f>IF((P565=""),"",MAX(D566:P566))</f>
        <v/>
      </c>
      <c r="R564" s="269" t="str">
        <f>IF(P565="","",MIN(D566:P566))</f>
        <v/>
      </c>
      <c r="S564" s="269" t="str">
        <f>IF((P566=""),"",AVERAGE(D566:P566))</f>
        <v/>
      </c>
      <c r="T564" s="269" t="str">
        <f>IF((P565=""),"",STDEV(D566:P566))</f>
        <v/>
      </c>
      <c r="U564" s="269" t="str">
        <f>IF((P565=""),"",((Q564-R564)/(Q564+R564))*100)</f>
        <v/>
      </c>
      <c r="V564" s="228" t="str">
        <f>IF(P565="","",IF(U564&lt;7.2,IF(S564&gt;AB564,IF(S564&lt;AC564,"Pass","Fail"),"Fail"),"Fail"))</f>
        <v/>
      </c>
      <c r="W564" s="284"/>
      <c r="Y564" s="271"/>
      <c r="Z564" s="272">
        <v>1600</v>
      </c>
      <c r="AA564" s="272">
        <v>2600</v>
      </c>
      <c r="AB564" s="273">
        <v>1900</v>
      </c>
      <c r="AC564" s="273">
        <v>2250</v>
      </c>
      <c r="AD564" s="274">
        <v>10</v>
      </c>
      <c r="AE564" s="274">
        <v>3.6</v>
      </c>
    </row>
    <row r="565" spans="1:31">
      <c r="A565" s="293"/>
      <c r="B565" s="276"/>
      <c r="C565" s="276" t="s">
        <v>78</v>
      </c>
      <c r="Q565" s="276"/>
      <c r="R565" s="276"/>
      <c r="S565" s="276"/>
      <c r="T565" s="276"/>
      <c r="U565" s="276"/>
      <c r="V565" s="277"/>
      <c r="W565" s="238"/>
      <c r="Y565" s="271"/>
    </row>
    <row r="566" spans="1:31" ht="32.25" thickBot="1">
      <c r="A566" s="294"/>
      <c r="B566" s="281"/>
      <c r="C566" s="243" t="s">
        <v>221</v>
      </c>
      <c r="D566" s="282" t="str">
        <f t="shared" ref="D566:P566" si="184">IF(((D564="")*AND(D565="")),"",(D564-D565)*2)</f>
        <v/>
      </c>
      <c r="E566" s="282" t="str">
        <f t="shared" si="184"/>
        <v/>
      </c>
      <c r="F566" s="282" t="str">
        <f t="shared" si="184"/>
        <v/>
      </c>
      <c r="G566" s="282" t="str">
        <f t="shared" si="184"/>
        <v/>
      </c>
      <c r="H566" s="282" t="str">
        <f t="shared" si="184"/>
        <v/>
      </c>
      <c r="I566" s="282" t="str">
        <f t="shared" si="184"/>
        <v/>
      </c>
      <c r="J566" s="282" t="str">
        <f t="shared" si="184"/>
        <v/>
      </c>
      <c r="K566" s="282" t="str">
        <f t="shared" si="184"/>
        <v/>
      </c>
      <c r="L566" s="282" t="str">
        <f t="shared" si="184"/>
        <v/>
      </c>
      <c r="M566" s="282" t="str">
        <f t="shared" si="184"/>
        <v/>
      </c>
      <c r="N566" s="282" t="str">
        <f t="shared" si="184"/>
        <v/>
      </c>
      <c r="O566" s="282" t="str">
        <f t="shared" si="184"/>
        <v/>
      </c>
      <c r="P566" s="282" t="str">
        <f t="shared" si="184"/>
        <v/>
      </c>
      <c r="Q566" s="264"/>
      <c r="R566" s="281"/>
      <c r="S566" s="281"/>
      <c r="T566" s="281"/>
      <c r="U566" s="281"/>
      <c r="V566" s="283"/>
      <c r="W566" s="247"/>
      <c r="Y566" s="271"/>
    </row>
    <row r="567" spans="1:31">
      <c r="A567" s="291"/>
      <c r="B567" s="268" t="s">
        <v>76</v>
      </c>
      <c r="C567" s="269" t="s">
        <v>77</v>
      </c>
      <c r="Q567" s="269" t="str">
        <f>IF((P568=""),"",MAX(D569:P569))</f>
        <v/>
      </c>
      <c r="R567" s="269" t="str">
        <f>IF(P568="","",MIN(D569:P569))</f>
        <v/>
      </c>
      <c r="S567" s="269" t="str">
        <f>IF((P569=""),"",AVERAGE(D569:P569))</f>
        <v/>
      </c>
      <c r="T567" s="269" t="str">
        <f>IF((P568=""),"",STDEV(D569:P569))</f>
        <v/>
      </c>
      <c r="U567" s="269" t="str">
        <f>IF((P568=""),"",((Q567-R567)/(Q567+R567))*100)</f>
        <v/>
      </c>
      <c r="V567" s="228" t="str">
        <f>IF(P568="","",IF(U567&lt;7.2,IF(S567&gt;AB567,IF(S567&lt;AC567,"Pass","Fail"),"Fail"),"Fail"))</f>
        <v/>
      </c>
      <c r="W567" s="284"/>
      <c r="Y567" s="271"/>
      <c r="Z567" s="272">
        <v>1600</v>
      </c>
      <c r="AA567" s="272">
        <v>2600</v>
      </c>
      <c r="AB567" s="273">
        <v>1900</v>
      </c>
      <c r="AC567" s="273">
        <v>2250</v>
      </c>
      <c r="AD567" s="274">
        <v>10</v>
      </c>
      <c r="AE567" s="274">
        <v>3.6</v>
      </c>
    </row>
    <row r="568" spans="1:31">
      <c r="A568" s="293"/>
      <c r="B568" s="276"/>
      <c r="C568" s="276" t="s">
        <v>78</v>
      </c>
      <c r="Q568" s="276"/>
      <c r="R568" s="276"/>
      <c r="S568" s="276"/>
      <c r="T568" s="276"/>
      <c r="U568" s="276"/>
      <c r="V568" s="277"/>
      <c r="W568" s="238"/>
      <c r="Y568" s="271"/>
    </row>
    <row r="569" spans="1:31" ht="32.25" thickBot="1">
      <c r="A569" s="294"/>
      <c r="B569" s="281"/>
      <c r="C569" s="243" t="s">
        <v>221</v>
      </c>
      <c r="D569" s="282" t="str">
        <f t="shared" ref="D569:P569" si="185">IF(((D567="")*AND(D568="")),"",(D567-D568)*2)</f>
        <v/>
      </c>
      <c r="E569" s="282" t="str">
        <f t="shared" si="185"/>
        <v/>
      </c>
      <c r="F569" s="282" t="str">
        <f t="shared" si="185"/>
        <v/>
      </c>
      <c r="G569" s="282" t="str">
        <f t="shared" si="185"/>
        <v/>
      </c>
      <c r="H569" s="282" t="str">
        <f t="shared" si="185"/>
        <v/>
      </c>
      <c r="I569" s="282" t="str">
        <f t="shared" si="185"/>
        <v/>
      </c>
      <c r="J569" s="282" t="str">
        <f t="shared" si="185"/>
        <v/>
      </c>
      <c r="K569" s="282" t="str">
        <f t="shared" si="185"/>
        <v/>
      </c>
      <c r="L569" s="282" t="str">
        <f t="shared" si="185"/>
        <v/>
      </c>
      <c r="M569" s="282" t="str">
        <f t="shared" si="185"/>
        <v/>
      </c>
      <c r="N569" s="282" t="str">
        <f t="shared" si="185"/>
        <v/>
      </c>
      <c r="O569" s="282" t="str">
        <f t="shared" si="185"/>
        <v/>
      </c>
      <c r="P569" s="282" t="str">
        <f t="shared" si="185"/>
        <v/>
      </c>
      <c r="Q569" s="264"/>
      <c r="R569" s="281"/>
      <c r="S569" s="281"/>
      <c r="T569" s="281"/>
      <c r="U569" s="281"/>
      <c r="V569" s="283"/>
      <c r="W569" s="247"/>
      <c r="Y569" s="271"/>
    </row>
    <row r="570" spans="1:31">
      <c r="A570" s="291"/>
      <c r="B570" s="268" t="s">
        <v>76</v>
      </c>
      <c r="C570" s="269" t="s">
        <v>77</v>
      </c>
      <c r="Q570" s="269" t="str">
        <f>IF((P571=""),"",MAX(D572:P572))</f>
        <v/>
      </c>
      <c r="R570" s="269" t="str">
        <f>IF(P571="","",MIN(D572:P572))</f>
        <v/>
      </c>
      <c r="S570" s="269" t="str">
        <f>IF((P572=""),"",AVERAGE(D572:P572))</f>
        <v/>
      </c>
      <c r="T570" s="269" t="str">
        <f>IF((P571=""),"",STDEV(D572:P572))</f>
        <v/>
      </c>
      <c r="U570" s="269" t="str">
        <f>IF((P571=""),"",((Q570-R570)/(Q570+R570))*100)</f>
        <v/>
      </c>
      <c r="V570" s="228" t="str">
        <f>IF(P571="","",IF(U570&lt;7.2,IF(S570&gt;AB570,IF(S570&lt;AC570,"Pass","Fail"),"Fail"),"Fail"))</f>
        <v/>
      </c>
      <c r="W570" s="284"/>
      <c r="Y570" s="271"/>
      <c r="Z570" s="272">
        <v>1600</v>
      </c>
      <c r="AA570" s="272">
        <v>2600</v>
      </c>
      <c r="AB570" s="273">
        <v>1900</v>
      </c>
      <c r="AC570" s="273">
        <v>2250</v>
      </c>
      <c r="AD570" s="274">
        <v>10</v>
      </c>
      <c r="AE570" s="274">
        <v>3.6</v>
      </c>
    </row>
    <row r="571" spans="1:31">
      <c r="A571" s="293"/>
      <c r="B571" s="276"/>
      <c r="C571" s="276" t="s">
        <v>78</v>
      </c>
      <c r="Q571" s="276"/>
      <c r="R571" s="276"/>
      <c r="S571" s="276"/>
      <c r="T571" s="276"/>
      <c r="U571" s="276"/>
      <c r="V571" s="277"/>
      <c r="W571" s="238"/>
      <c r="Y571" s="271"/>
    </row>
    <row r="572" spans="1:31" ht="32.25" thickBot="1">
      <c r="A572" s="294"/>
      <c r="B572" s="281"/>
      <c r="C572" s="243" t="s">
        <v>221</v>
      </c>
      <c r="D572" s="282" t="str">
        <f t="shared" ref="D572:P572" si="186">IF(((D570="")*AND(D571="")),"",(D570-D571)*2)</f>
        <v/>
      </c>
      <c r="E572" s="282" t="str">
        <f t="shared" si="186"/>
        <v/>
      </c>
      <c r="F572" s="282" t="str">
        <f t="shared" si="186"/>
        <v/>
      </c>
      <c r="G572" s="282" t="str">
        <f t="shared" si="186"/>
        <v/>
      </c>
      <c r="H572" s="282" t="str">
        <f t="shared" si="186"/>
        <v/>
      </c>
      <c r="I572" s="282" t="str">
        <f t="shared" si="186"/>
        <v/>
      </c>
      <c r="J572" s="282" t="str">
        <f t="shared" si="186"/>
        <v/>
      </c>
      <c r="K572" s="282" t="str">
        <f t="shared" si="186"/>
        <v/>
      </c>
      <c r="L572" s="282" t="str">
        <f t="shared" si="186"/>
        <v/>
      </c>
      <c r="M572" s="282" t="str">
        <f t="shared" si="186"/>
        <v/>
      </c>
      <c r="N572" s="282" t="str">
        <f t="shared" si="186"/>
        <v/>
      </c>
      <c r="O572" s="282" t="str">
        <f t="shared" si="186"/>
        <v/>
      </c>
      <c r="P572" s="282" t="str">
        <f t="shared" si="186"/>
        <v/>
      </c>
      <c r="Q572" s="264"/>
      <c r="R572" s="281"/>
      <c r="S572" s="281"/>
      <c r="T572" s="281"/>
      <c r="U572" s="281"/>
      <c r="V572" s="283"/>
      <c r="W572" s="247"/>
      <c r="Y572" s="271"/>
    </row>
    <row r="573" spans="1:31">
      <c r="A573" s="291"/>
      <c r="B573" s="268" t="s">
        <v>76</v>
      </c>
      <c r="C573" s="269" t="s">
        <v>77</v>
      </c>
      <c r="Q573" s="269" t="str">
        <f>IF((P574=""),"",MAX(D575:P575))</f>
        <v/>
      </c>
      <c r="R573" s="269" t="str">
        <f>IF(P574="","",MIN(D575:P575))</f>
        <v/>
      </c>
      <c r="S573" s="269" t="str">
        <f>IF((P575=""),"",AVERAGE(D575:P575))</f>
        <v/>
      </c>
      <c r="T573" s="269" t="str">
        <f>IF((P574=""),"",STDEV(D575:P575))</f>
        <v/>
      </c>
      <c r="U573" s="269" t="str">
        <f>IF((P574=""),"",((Q573-R573)/(Q573+R573))*100)</f>
        <v/>
      </c>
      <c r="V573" s="228" t="str">
        <f>IF(P574="","",IF(U573&lt;7.2,IF(S573&gt;AB573,IF(S573&lt;AC573,"Pass","Fail"),"Fail"),"Fail"))</f>
        <v/>
      </c>
      <c r="W573" s="284"/>
      <c r="Y573" s="271"/>
      <c r="Z573" s="272">
        <v>1600</v>
      </c>
      <c r="AA573" s="272">
        <v>2600</v>
      </c>
      <c r="AB573" s="273">
        <v>1900</v>
      </c>
      <c r="AC573" s="273">
        <v>2250</v>
      </c>
      <c r="AD573" s="274">
        <v>10</v>
      </c>
      <c r="AE573" s="274">
        <v>3.6</v>
      </c>
    </row>
    <row r="574" spans="1:31">
      <c r="A574" s="293"/>
      <c r="B574" s="276"/>
      <c r="C574" s="276" t="s">
        <v>78</v>
      </c>
      <c r="Q574" s="276"/>
      <c r="R574" s="276"/>
      <c r="S574" s="276"/>
      <c r="T574" s="276"/>
      <c r="U574" s="276"/>
      <c r="V574" s="277"/>
      <c r="W574" s="238"/>
      <c r="Y574" s="271"/>
    </row>
    <row r="575" spans="1:31" ht="32.25" thickBot="1">
      <c r="A575" s="294"/>
      <c r="B575" s="281"/>
      <c r="C575" s="243" t="s">
        <v>221</v>
      </c>
      <c r="D575" s="282" t="str">
        <f t="shared" ref="D575:P575" si="187">IF(((D573="")*AND(D574="")),"",(D573-D574)*2)</f>
        <v/>
      </c>
      <c r="E575" s="282" t="str">
        <f t="shared" si="187"/>
        <v/>
      </c>
      <c r="F575" s="282" t="str">
        <f t="shared" si="187"/>
        <v/>
      </c>
      <c r="G575" s="282" t="str">
        <f t="shared" si="187"/>
        <v/>
      </c>
      <c r="H575" s="282" t="str">
        <f t="shared" si="187"/>
        <v/>
      </c>
      <c r="I575" s="282" t="str">
        <f t="shared" si="187"/>
        <v/>
      </c>
      <c r="J575" s="282" t="str">
        <f t="shared" si="187"/>
        <v/>
      </c>
      <c r="K575" s="282" t="str">
        <f t="shared" si="187"/>
        <v/>
      </c>
      <c r="L575" s="282" t="str">
        <f t="shared" si="187"/>
        <v/>
      </c>
      <c r="M575" s="282" t="str">
        <f t="shared" si="187"/>
        <v/>
      </c>
      <c r="N575" s="282" t="str">
        <f t="shared" si="187"/>
        <v/>
      </c>
      <c r="O575" s="282" t="str">
        <f t="shared" si="187"/>
        <v/>
      </c>
      <c r="P575" s="282" t="str">
        <f t="shared" si="187"/>
        <v/>
      </c>
      <c r="Q575" s="264"/>
      <c r="R575" s="281"/>
      <c r="S575" s="281"/>
      <c r="T575" s="281"/>
      <c r="U575" s="281"/>
      <c r="V575" s="283"/>
      <c r="W575" s="247"/>
      <c r="Y575" s="271"/>
    </row>
    <row r="576" spans="1:31">
      <c r="A576" s="291"/>
      <c r="B576" s="268" t="s">
        <v>76</v>
      </c>
      <c r="C576" s="269" t="s">
        <v>77</v>
      </c>
      <c r="Q576" s="269" t="str">
        <f>IF((P577=""),"",MAX(D578:P578))</f>
        <v/>
      </c>
      <c r="R576" s="269" t="str">
        <f>IF(P577="","",MIN(D578:P578))</f>
        <v/>
      </c>
      <c r="S576" s="269" t="str">
        <f>IF((P578=""),"",AVERAGE(D578:P578))</f>
        <v/>
      </c>
      <c r="T576" s="269" t="str">
        <f>IF((P577=""),"",STDEV(D578:P578))</f>
        <v/>
      </c>
      <c r="U576" s="269" t="str">
        <f>IF((P577=""),"",((Q576-R576)/(Q576+R576))*100)</f>
        <v/>
      </c>
      <c r="V576" s="228" t="str">
        <f>IF(P577="","",IF(U576&lt;7.2,IF(S576&gt;AB576,IF(S576&lt;AC576,"Pass","Fail"),"Fail"),"Fail"))</f>
        <v/>
      </c>
      <c r="W576" s="284"/>
      <c r="Y576" s="271"/>
      <c r="Z576" s="272">
        <v>1600</v>
      </c>
      <c r="AA576" s="272">
        <v>2600</v>
      </c>
      <c r="AB576" s="273">
        <v>1900</v>
      </c>
      <c r="AC576" s="273">
        <v>2250</v>
      </c>
      <c r="AD576" s="274">
        <v>10</v>
      </c>
      <c r="AE576" s="274">
        <v>3.6</v>
      </c>
    </row>
    <row r="577" spans="1:31">
      <c r="A577" s="293"/>
      <c r="B577" s="276"/>
      <c r="C577" s="276" t="s">
        <v>78</v>
      </c>
      <c r="Q577" s="276"/>
      <c r="R577" s="276"/>
      <c r="S577" s="276"/>
      <c r="T577" s="276"/>
      <c r="U577" s="276"/>
      <c r="V577" s="277"/>
      <c r="W577" s="238"/>
      <c r="Y577" s="271"/>
    </row>
    <row r="578" spans="1:31" ht="32.25" thickBot="1">
      <c r="A578" s="294"/>
      <c r="B578" s="281"/>
      <c r="C578" s="243" t="s">
        <v>221</v>
      </c>
      <c r="D578" s="282" t="str">
        <f t="shared" ref="D578:P578" si="188">IF(((D576="")*AND(D577="")),"",(D576-D577)*2)</f>
        <v/>
      </c>
      <c r="E578" s="282" t="str">
        <f t="shared" si="188"/>
        <v/>
      </c>
      <c r="F578" s="282" t="str">
        <f t="shared" si="188"/>
        <v/>
      </c>
      <c r="G578" s="282" t="str">
        <f t="shared" si="188"/>
        <v/>
      </c>
      <c r="H578" s="282" t="str">
        <f t="shared" si="188"/>
        <v/>
      </c>
      <c r="I578" s="282" t="str">
        <f t="shared" si="188"/>
        <v/>
      </c>
      <c r="J578" s="282" t="str">
        <f t="shared" si="188"/>
        <v/>
      </c>
      <c r="K578" s="282" t="str">
        <f t="shared" si="188"/>
        <v/>
      </c>
      <c r="L578" s="282" t="str">
        <f t="shared" si="188"/>
        <v/>
      </c>
      <c r="M578" s="282" t="str">
        <f t="shared" si="188"/>
        <v/>
      </c>
      <c r="N578" s="282" t="str">
        <f t="shared" si="188"/>
        <v/>
      </c>
      <c r="O578" s="282" t="str">
        <f t="shared" si="188"/>
        <v/>
      </c>
      <c r="P578" s="282" t="str">
        <f t="shared" si="188"/>
        <v/>
      </c>
      <c r="Q578" s="264"/>
      <c r="R578" s="281"/>
      <c r="S578" s="281"/>
      <c r="T578" s="281"/>
      <c r="U578" s="281"/>
      <c r="V578" s="283"/>
      <c r="W578" s="247"/>
      <c r="Y578" s="271"/>
    </row>
    <row r="579" spans="1:31">
      <c r="A579" s="291"/>
      <c r="B579" s="268" t="s">
        <v>76</v>
      </c>
      <c r="C579" s="269" t="s">
        <v>77</v>
      </c>
      <c r="Q579" s="269" t="str">
        <f>IF((P580=""),"",MAX(D581:P581))</f>
        <v/>
      </c>
      <c r="R579" s="269" t="str">
        <f>IF(P580="","",MIN(D581:P581))</f>
        <v/>
      </c>
      <c r="S579" s="269" t="str">
        <f>IF((P581=""),"",AVERAGE(D581:P581))</f>
        <v/>
      </c>
      <c r="T579" s="269" t="str">
        <f>IF((P580=""),"",STDEV(D581:P581))</f>
        <v/>
      </c>
      <c r="U579" s="269" t="str">
        <f>IF((P580=""),"",((Q579-R579)/(Q579+R579))*100)</f>
        <v/>
      </c>
      <c r="V579" s="228" t="str">
        <f>IF(P580="","",IF(U579&lt;7.2,IF(S579&gt;AB579,IF(S579&lt;AC579,"Pass","Fail"),"Fail"),"Fail"))</f>
        <v/>
      </c>
      <c r="W579" s="284"/>
      <c r="Y579" s="271"/>
      <c r="Z579" s="272">
        <v>1600</v>
      </c>
      <c r="AA579" s="272">
        <v>2600</v>
      </c>
      <c r="AB579" s="273">
        <v>1900</v>
      </c>
      <c r="AC579" s="273">
        <v>2250</v>
      </c>
      <c r="AD579" s="274">
        <v>10</v>
      </c>
      <c r="AE579" s="274">
        <v>3.6</v>
      </c>
    </row>
    <row r="580" spans="1:31">
      <c r="A580" s="293"/>
      <c r="B580" s="276"/>
      <c r="C580" s="276" t="s">
        <v>78</v>
      </c>
      <c r="Q580" s="276"/>
      <c r="R580" s="276"/>
      <c r="S580" s="276"/>
      <c r="T580" s="276"/>
      <c r="U580" s="276"/>
      <c r="V580" s="277"/>
      <c r="W580" s="238"/>
      <c r="Y580" s="271"/>
    </row>
    <row r="581" spans="1:31" ht="32.25" thickBot="1">
      <c r="A581" s="294"/>
      <c r="B581" s="281"/>
      <c r="C581" s="243" t="s">
        <v>221</v>
      </c>
      <c r="D581" s="282" t="str">
        <f t="shared" ref="D581:P581" si="189">IF(((D579="")*AND(D580="")),"",(D579-D580)*2)</f>
        <v/>
      </c>
      <c r="E581" s="282" t="str">
        <f t="shared" si="189"/>
        <v/>
      </c>
      <c r="F581" s="282" t="str">
        <f t="shared" si="189"/>
        <v/>
      </c>
      <c r="G581" s="282" t="str">
        <f t="shared" si="189"/>
        <v/>
      </c>
      <c r="H581" s="282" t="str">
        <f t="shared" si="189"/>
        <v/>
      </c>
      <c r="I581" s="282" t="str">
        <f t="shared" si="189"/>
        <v/>
      </c>
      <c r="J581" s="282" t="str">
        <f t="shared" si="189"/>
        <v/>
      </c>
      <c r="K581" s="282" t="str">
        <f t="shared" si="189"/>
        <v/>
      </c>
      <c r="L581" s="282" t="str">
        <f t="shared" si="189"/>
        <v/>
      </c>
      <c r="M581" s="282" t="str">
        <f t="shared" si="189"/>
        <v/>
      </c>
      <c r="N581" s="282" t="str">
        <f t="shared" si="189"/>
        <v/>
      </c>
      <c r="O581" s="282" t="str">
        <f t="shared" si="189"/>
        <v/>
      </c>
      <c r="P581" s="282" t="str">
        <f t="shared" si="189"/>
        <v/>
      </c>
      <c r="Q581" s="264"/>
      <c r="R581" s="281"/>
      <c r="S581" s="281"/>
      <c r="T581" s="281"/>
      <c r="U581" s="281"/>
      <c r="V581" s="283"/>
      <c r="W581" s="247"/>
      <c r="Y581" s="271"/>
    </row>
    <row r="582" spans="1:31">
      <c r="A582" s="291"/>
      <c r="B582" s="268" t="s">
        <v>76</v>
      </c>
      <c r="C582" s="269" t="s">
        <v>77</v>
      </c>
      <c r="Q582" s="269" t="str">
        <f>IF((P583=""),"",MAX(D584:P584))</f>
        <v/>
      </c>
      <c r="R582" s="269" t="str">
        <f>IF(P583="","",MIN(D584:P584))</f>
        <v/>
      </c>
      <c r="S582" s="269" t="str">
        <f>IF((P584=""),"",AVERAGE(D584:P584))</f>
        <v/>
      </c>
      <c r="T582" s="269" t="str">
        <f>IF((P583=""),"",STDEV(D584:P584))</f>
        <v/>
      </c>
      <c r="U582" s="269" t="str">
        <f>IF((P583=""),"",((Q582-R582)/(Q582+R582))*100)</f>
        <v/>
      </c>
      <c r="V582" s="228" t="str">
        <f>IF(P583="","",IF(U582&lt;7.2,IF(S582&gt;AB582,IF(S582&lt;AC582,"Pass","Fail"),"Fail"),"Fail"))</f>
        <v/>
      </c>
      <c r="W582" s="284"/>
      <c r="Y582" s="271"/>
      <c r="Z582" s="272">
        <v>1600</v>
      </c>
      <c r="AA582" s="272">
        <v>2600</v>
      </c>
      <c r="AB582" s="273">
        <v>1900</v>
      </c>
      <c r="AC582" s="273">
        <v>2250</v>
      </c>
      <c r="AD582" s="274">
        <v>10</v>
      </c>
      <c r="AE582" s="274">
        <v>3.6</v>
      </c>
    </row>
    <row r="583" spans="1:31">
      <c r="A583" s="293"/>
      <c r="B583" s="276"/>
      <c r="C583" s="276" t="s">
        <v>78</v>
      </c>
      <c r="Q583" s="276"/>
      <c r="R583" s="276"/>
      <c r="S583" s="276"/>
      <c r="T583" s="276"/>
      <c r="U583" s="276"/>
      <c r="V583" s="277"/>
      <c r="W583" s="238"/>
      <c r="Y583" s="271"/>
    </row>
    <row r="584" spans="1:31" ht="32.25" thickBot="1">
      <c r="A584" s="294"/>
      <c r="B584" s="281"/>
      <c r="C584" s="243" t="s">
        <v>221</v>
      </c>
      <c r="D584" s="282" t="str">
        <f t="shared" ref="D584:P584" si="190">IF(((D582="")*AND(D583="")),"",(D582-D583)*2)</f>
        <v/>
      </c>
      <c r="E584" s="282" t="str">
        <f t="shared" si="190"/>
        <v/>
      </c>
      <c r="F584" s="282" t="str">
        <f t="shared" si="190"/>
        <v/>
      </c>
      <c r="G584" s="282" t="str">
        <f t="shared" si="190"/>
        <v/>
      </c>
      <c r="H584" s="282" t="str">
        <f t="shared" si="190"/>
        <v/>
      </c>
      <c r="I584" s="282" t="str">
        <f t="shared" si="190"/>
        <v/>
      </c>
      <c r="J584" s="282" t="str">
        <f t="shared" si="190"/>
        <v/>
      </c>
      <c r="K584" s="282" t="str">
        <f t="shared" si="190"/>
        <v/>
      </c>
      <c r="L584" s="282" t="str">
        <f t="shared" si="190"/>
        <v/>
      </c>
      <c r="M584" s="282" t="str">
        <f t="shared" si="190"/>
        <v/>
      </c>
      <c r="N584" s="282" t="str">
        <f t="shared" si="190"/>
        <v/>
      </c>
      <c r="O584" s="282" t="str">
        <f t="shared" si="190"/>
        <v/>
      </c>
      <c r="P584" s="282" t="str">
        <f t="shared" si="190"/>
        <v/>
      </c>
      <c r="Q584" s="264"/>
      <c r="R584" s="281"/>
      <c r="S584" s="281"/>
      <c r="T584" s="281"/>
      <c r="U584" s="281"/>
      <c r="V584" s="283"/>
      <c r="W584" s="247"/>
      <c r="Y584" s="271"/>
    </row>
    <row r="585" spans="1:31">
      <c r="A585" s="291"/>
      <c r="B585" s="268" t="s">
        <v>76</v>
      </c>
      <c r="C585" s="269" t="s">
        <v>77</v>
      </c>
      <c r="Q585" s="269" t="str">
        <f>IF((P586=""),"",MAX(D587:P587))</f>
        <v/>
      </c>
      <c r="R585" s="269" t="str">
        <f>IF(P586="","",MIN(D587:P587))</f>
        <v/>
      </c>
      <c r="S585" s="269" t="str">
        <f>IF((P587=""),"",AVERAGE(D587:P587))</f>
        <v/>
      </c>
      <c r="T585" s="269" t="str">
        <f>IF((P586=""),"",STDEV(D587:P587))</f>
        <v/>
      </c>
      <c r="U585" s="269" t="str">
        <f>IF((P586=""),"",((Q585-R585)/(Q585+R585))*100)</f>
        <v/>
      </c>
      <c r="V585" s="228" t="str">
        <f>IF(P586="","",IF(U585&lt;7.2,IF(S585&gt;AB585,IF(S585&lt;AC585,"Pass","Fail"),"Fail"),"Fail"))</f>
        <v/>
      </c>
      <c r="W585" s="284"/>
      <c r="Y585" s="271"/>
      <c r="Z585" s="272">
        <v>1600</v>
      </c>
      <c r="AA585" s="272">
        <v>2600</v>
      </c>
      <c r="AB585" s="273">
        <v>1900</v>
      </c>
      <c r="AC585" s="273">
        <v>2250</v>
      </c>
      <c r="AD585" s="274">
        <v>10</v>
      </c>
      <c r="AE585" s="274">
        <v>3.6</v>
      </c>
    </row>
    <row r="586" spans="1:31">
      <c r="A586" s="293"/>
      <c r="B586" s="276"/>
      <c r="C586" s="276" t="s">
        <v>78</v>
      </c>
      <c r="Q586" s="276"/>
      <c r="R586" s="276"/>
      <c r="S586" s="276"/>
      <c r="T586" s="276"/>
      <c r="U586" s="276"/>
      <c r="V586" s="277"/>
      <c r="W586" s="238"/>
      <c r="Y586" s="271"/>
    </row>
    <row r="587" spans="1:31" ht="32.25" thickBot="1">
      <c r="A587" s="294"/>
      <c r="B587" s="281"/>
      <c r="C587" s="243" t="s">
        <v>221</v>
      </c>
      <c r="D587" s="282" t="str">
        <f t="shared" ref="D587:P587" si="191">IF(((D585="")*AND(D586="")),"",(D585-D586)*2)</f>
        <v/>
      </c>
      <c r="E587" s="282" t="str">
        <f t="shared" si="191"/>
        <v/>
      </c>
      <c r="F587" s="282" t="str">
        <f t="shared" si="191"/>
        <v/>
      </c>
      <c r="G587" s="282" t="str">
        <f t="shared" si="191"/>
        <v/>
      </c>
      <c r="H587" s="282" t="str">
        <f t="shared" si="191"/>
        <v/>
      </c>
      <c r="I587" s="282" t="str">
        <f t="shared" si="191"/>
        <v/>
      </c>
      <c r="J587" s="282" t="str">
        <f t="shared" si="191"/>
        <v/>
      </c>
      <c r="K587" s="282" t="str">
        <f t="shared" si="191"/>
        <v/>
      </c>
      <c r="L587" s="282" t="str">
        <f t="shared" si="191"/>
        <v/>
      </c>
      <c r="M587" s="282" t="str">
        <f t="shared" si="191"/>
        <v/>
      </c>
      <c r="N587" s="282" t="str">
        <f t="shared" si="191"/>
        <v/>
      </c>
      <c r="O587" s="282" t="str">
        <f t="shared" si="191"/>
        <v/>
      </c>
      <c r="P587" s="282" t="str">
        <f t="shared" si="191"/>
        <v/>
      </c>
      <c r="Q587" s="264"/>
      <c r="R587" s="281"/>
      <c r="S587" s="281"/>
      <c r="T587" s="281"/>
      <c r="U587" s="281"/>
      <c r="V587" s="283"/>
      <c r="W587" s="247"/>
      <c r="Y587" s="271"/>
    </row>
    <row r="588" spans="1:31">
      <c r="A588" s="291"/>
      <c r="B588" s="268" t="s">
        <v>76</v>
      </c>
      <c r="C588" s="269" t="s">
        <v>77</v>
      </c>
      <c r="Q588" s="269" t="str">
        <f>IF((P589=""),"",MAX(D590:P590))</f>
        <v/>
      </c>
      <c r="R588" s="269" t="str">
        <f>IF(P589="","",MIN(D590:P590))</f>
        <v/>
      </c>
      <c r="S588" s="269" t="str">
        <f>IF((P590=""),"",AVERAGE(D590:P590))</f>
        <v/>
      </c>
      <c r="T588" s="269" t="str">
        <f>IF((P589=""),"",STDEV(D590:P590))</f>
        <v/>
      </c>
      <c r="U588" s="269" t="str">
        <f>IF((P589=""),"",((Q588-R588)/(Q588+R588))*100)</f>
        <v/>
      </c>
      <c r="V588" s="228" t="str">
        <f>IF(P589="","",IF(U588&lt;7.2,IF(S588&gt;AB588,IF(S588&lt;AC588,"Pass","Fail"),"Fail"),"Fail"))</f>
        <v/>
      </c>
      <c r="W588" s="284"/>
      <c r="Y588" s="271"/>
      <c r="Z588" s="272">
        <v>1600</v>
      </c>
      <c r="AA588" s="272">
        <v>2600</v>
      </c>
      <c r="AB588" s="273">
        <v>1900</v>
      </c>
      <c r="AC588" s="273">
        <v>2250</v>
      </c>
      <c r="AD588" s="274">
        <v>10</v>
      </c>
      <c r="AE588" s="274">
        <v>3.6</v>
      </c>
    </row>
    <row r="589" spans="1:31">
      <c r="A589" s="293"/>
      <c r="B589" s="276"/>
      <c r="C589" s="276" t="s">
        <v>78</v>
      </c>
      <c r="Q589" s="276"/>
      <c r="R589" s="276"/>
      <c r="S589" s="276"/>
      <c r="T589" s="276"/>
      <c r="U589" s="276"/>
      <c r="V589" s="277"/>
      <c r="W589" s="238"/>
      <c r="Y589" s="271"/>
    </row>
    <row r="590" spans="1:31" ht="32.25" thickBot="1">
      <c r="A590" s="294"/>
      <c r="B590" s="281"/>
      <c r="C590" s="243" t="s">
        <v>221</v>
      </c>
      <c r="D590" s="282" t="str">
        <f t="shared" ref="D590:P590" si="192">IF(((D588="")*AND(D589="")),"",(D588-D589)*2)</f>
        <v/>
      </c>
      <c r="E590" s="282" t="str">
        <f t="shared" si="192"/>
        <v/>
      </c>
      <c r="F590" s="282" t="str">
        <f t="shared" si="192"/>
        <v/>
      </c>
      <c r="G590" s="282" t="str">
        <f t="shared" si="192"/>
        <v/>
      </c>
      <c r="H590" s="282" t="str">
        <f t="shared" si="192"/>
        <v/>
      </c>
      <c r="I590" s="282" t="str">
        <f t="shared" si="192"/>
        <v/>
      </c>
      <c r="J590" s="282" t="str">
        <f t="shared" si="192"/>
        <v/>
      </c>
      <c r="K590" s="282" t="str">
        <f t="shared" si="192"/>
        <v/>
      </c>
      <c r="L590" s="282" t="str">
        <f t="shared" si="192"/>
        <v/>
      </c>
      <c r="M590" s="282" t="str">
        <f t="shared" si="192"/>
        <v/>
      </c>
      <c r="N590" s="282" t="str">
        <f t="shared" si="192"/>
        <v/>
      </c>
      <c r="O590" s="282" t="str">
        <f t="shared" si="192"/>
        <v/>
      </c>
      <c r="P590" s="282" t="str">
        <f t="shared" si="192"/>
        <v/>
      </c>
      <c r="Q590" s="264"/>
      <c r="R590" s="281"/>
      <c r="S590" s="281"/>
      <c r="T590" s="281"/>
      <c r="U590" s="281"/>
      <c r="V590" s="283"/>
      <c r="W590" s="247"/>
      <c r="Y590" s="271"/>
    </row>
    <row r="591" spans="1:31">
      <c r="A591" s="291"/>
      <c r="B591" s="268" t="s">
        <v>76</v>
      </c>
      <c r="C591" s="269" t="s">
        <v>77</v>
      </c>
      <c r="Q591" s="269" t="str">
        <f>IF((P592=""),"",MAX(D593:P593))</f>
        <v/>
      </c>
      <c r="R591" s="269" t="str">
        <f>IF(P592="","",MIN(D593:P593))</f>
        <v/>
      </c>
      <c r="S591" s="269" t="str">
        <f>IF((P593=""),"",AVERAGE(D593:P593))</f>
        <v/>
      </c>
      <c r="T591" s="269" t="str">
        <f>IF((P592=""),"",STDEV(D593:P593))</f>
        <v/>
      </c>
      <c r="U591" s="269" t="str">
        <f>IF((P592=""),"",((Q591-R591)/(Q591+R591))*100)</f>
        <v/>
      </c>
      <c r="V591" s="228" t="str">
        <f>IF(P592="","",IF(U591&lt;7.2,IF(S591&gt;AB591,IF(S591&lt;AC591,"Pass","Fail"),"Fail"),"Fail"))</f>
        <v/>
      </c>
      <c r="W591" s="284"/>
      <c r="Y591" s="271"/>
      <c r="Z591" s="272">
        <v>1600</v>
      </c>
      <c r="AA591" s="272">
        <v>2600</v>
      </c>
      <c r="AB591" s="273">
        <v>1900</v>
      </c>
      <c r="AC591" s="273">
        <v>2250</v>
      </c>
      <c r="AD591" s="274">
        <v>10</v>
      </c>
      <c r="AE591" s="274">
        <v>3.6</v>
      </c>
    </row>
    <row r="592" spans="1:31">
      <c r="A592" s="293"/>
      <c r="B592" s="276"/>
      <c r="C592" s="276" t="s">
        <v>78</v>
      </c>
      <c r="Q592" s="276"/>
      <c r="R592" s="276"/>
      <c r="S592" s="276"/>
      <c r="T592" s="276"/>
      <c r="U592" s="276"/>
      <c r="V592" s="277"/>
      <c r="W592" s="238"/>
      <c r="Y592" s="271"/>
    </row>
    <row r="593" spans="1:31" ht="32.25" thickBot="1">
      <c r="A593" s="294"/>
      <c r="B593" s="281"/>
      <c r="C593" s="243" t="s">
        <v>221</v>
      </c>
      <c r="D593" s="282" t="str">
        <f t="shared" ref="D593:P593" si="193">IF(((D591="")*AND(D592="")),"",(D591-D592)*2)</f>
        <v/>
      </c>
      <c r="E593" s="282" t="str">
        <f t="shared" si="193"/>
        <v/>
      </c>
      <c r="F593" s="282" t="str">
        <f t="shared" si="193"/>
        <v/>
      </c>
      <c r="G593" s="282" t="str">
        <f t="shared" si="193"/>
        <v/>
      </c>
      <c r="H593" s="282" t="str">
        <f t="shared" si="193"/>
        <v/>
      </c>
      <c r="I593" s="282" t="str">
        <f t="shared" si="193"/>
        <v/>
      </c>
      <c r="J593" s="282" t="str">
        <f t="shared" si="193"/>
        <v/>
      </c>
      <c r="K593" s="282" t="str">
        <f t="shared" si="193"/>
        <v/>
      </c>
      <c r="L593" s="282" t="str">
        <f t="shared" si="193"/>
        <v/>
      </c>
      <c r="M593" s="282" t="str">
        <f t="shared" si="193"/>
        <v/>
      </c>
      <c r="N593" s="282" t="str">
        <f t="shared" si="193"/>
        <v/>
      </c>
      <c r="O593" s="282" t="str">
        <f t="shared" si="193"/>
        <v/>
      </c>
      <c r="P593" s="282" t="str">
        <f t="shared" si="193"/>
        <v/>
      </c>
      <c r="Q593" s="264"/>
      <c r="R593" s="281"/>
      <c r="S593" s="281"/>
      <c r="T593" s="281"/>
      <c r="U593" s="281"/>
      <c r="V593" s="283"/>
      <c r="W593" s="247"/>
      <c r="Y593" s="271"/>
    </row>
    <row r="594" spans="1:31">
      <c r="A594" s="291"/>
      <c r="B594" s="268" t="s">
        <v>76</v>
      </c>
      <c r="C594" s="269" t="s">
        <v>77</v>
      </c>
      <c r="Q594" s="269" t="str">
        <f>IF((P595=""),"",MAX(D596:P596))</f>
        <v/>
      </c>
      <c r="R594" s="269" t="str">
        <f>IF(P595="","",MIN(D596:P596))</f>
        <v/>
      </c>
      <c r="S594" s="269" t="str">
        <f>IF((P596=""),"",AVERAGE(D596:P596))</f>
        <v/>
      </c>
      <c r="T594" s="269" t="str">
        <f>IF((P595=""),"",STDEV(D596:P596))</f>
        <v/>
      </c>
      <c r="U594" s="269" t="str">
        <f>IF((P595=""),"",((Q594-R594)/(Q594+R594))*100)</f>
        <v/>
      </c>
      <c r="V594" s="228" t="str">
        <f>IF(P595="","",IF(U594&lt;7.2,IF(S594&gt;AB594,IF(S594&lt;AC594,"Pass","Fail"),"Fail"),"Fail"))</f>
        <v/>
      </c>
      <c r="W594" s="284"/>
      <c r="Y594" s="271"/>
      <c r="Z594" s="272">
        <v>1600</v>
      </c>
      <c r="AA594" s="272">
        <v>2600</v>
      </c>
      <c r="AB594" s="273">
        <v>1900</v>
      </c>
      <c r="AC594" s="273">
        <v>2250</v>
      </c>
      <c r="AD594" s="274">
        <v>10</v>
      </c>
      <c r="AE594" s="274">
        <v>3.6</v>
      </c>
    </row>
    <row r="595" spans="1:31">
      <c r="A595" s="293"/>
      <c r="B595" s="276"/>
      <c r="C595" s="276" t="s">
        <v>78</v>
      </c>
      <c r="Q595" s="276"/>
      <c r="R595" s="276"/>
      <c r="S595" s="276"/>
      <c r="T595" s="276"/>
      <c r="U595" s="276"/>
      <c r="V595" s="277"/>
      <c r="W595" s="238"/>
      <c r="Y595" s="271"/>
    </row>
    <row r="596" spans="1:31" ht="32.25" thickBot="1">
      <c r="A596" s="294"/>
      <c r="B596" s="281"/>
      <c r="C596" s="243" t="s">
        <v>221</v>
      </c>
      <c r="D596" s="282" t="str">
        <f t="shared" ref="D596:P596" si="194">IF(((D594="")*AND(D595="")),"",(D594-D595)*2)</f>
        <v/>
      </c>
      <c r="E596" s="282" t="str">
        <f t="shared" si="194"/>
        <v/>
      </c>
      <c r="F596" s="282" t="str">
        <f t="shared" si="194"/>
        <v/>
      </c>
      <c r="G596" s="282" t="str">
        <f t="shared" si="194"/>
        <v/>
      </c>
      <c r="H596" s="282" t="str">
        <f t="shared" si="194"/>
        <v/>
      </c>
      <c r="I596" s="282" t="str">
        <f t="shared" si="194"/>
        <v/>
      </c>
      <c r="J596" s="282" t="str">
        <f t="shared" si="194"/>
        <v/>
      </c>
      <c r="K596" s="282" t="str">
        <f t="shared" si="194"/>
        <v/>
      </c>
      <c r="L596" s="282" t="str">
        <f t="shared" si="194"/>
        <v/>
      </c>
      <c r="M596" s="282" t="str">
        <f t="shared" si="194"/>
        <v/>
      </c>
      <c r="N596" s="282" t="str">
        <f t="shared" si="194"/>
        <v/>
      </c>
      <c r="O596" s="282" t="str">
        <f t="shared" si="194"/>
        <v/>
      </c>
      <c r="P596" s="282" t="str">
        <f t="shared" si="194"/>
        <v/>
      </c>
      <c r="Q596" s="264"/>
      <c r="R596" s="281"/>
      <c r="S596" s="281"/>
      <c r="T596" s="281"/>
      <c r="U596" s="281"/>
      <c r="V596" s="283"/>
      <c r="W596" s="247"/>
      <c r="Y596" s="271"/>
    </row>
    <row r="597" spans="1:31">
      <c r="A597" s="291"/>
      <c r="B597" s="268" t="s">
        <v>76</v>
      </c>
      <c r="C597" s="269" t="s">
        <v>77</v>
      </c>
      <c r="Q597" s="269" t="str">
        <f>IF((P598=""),"",MAX(D599:P599))</f>
        <v/>
      </c>
      <c r="R597" s="269" t="str">
        <f>IF(P598="","",MIN(D599:P599))</f>
        <v/>
      </c>
      <c r="S597" s="269" t="str">
        <f>IF((P599=""),"",AVERAGE(D599:P599))</f>
        <v/>
      </c>
      <c r="T597" s="269" t="str">
        <f>IF((P598=""),"",STDEV(D599:P599))</f>
        <v/>
      </c>
      <c r="U597" s="269" t="str">
        <f>IF((P598=""),"",((Q597-R597)/(Q597+R597))*100)</f>
        <v/>
      </c>
      <c r="V597" s="228" t="str">
        <f>IF(P598="","",IF(U597&lt;7.2,IF(S597&gt;AB597,IF(S597&lt;AC597,"Pass","Fail"),"Fail"),"Fail"))</f>
        <v/>
      </c>
      <c r="W597" s="284"/>
      <c r="Y597" s="271"/>
      <c r="Z597" s="272">
        <v>1600</v>
      </c>
      <c r="AA597" s="272">
        <v>2600</v>
      </c>
      <c r="AB597" s="273">
        <v>1900</v>
      </c>
      <c r="AC597" s="273">
        <v>2250</v>
      </c>
      <c r="AD597" s="274">
        <v>10</v>
      </c>
      <c r="AE597" s="274">
        <v>3.6</v>
      </c>
    </row>
    <row r="598" spans="1:31">
      <c r="A598" s="293"/>
      <c r="B598" s="276"/>
      <c r="C598" s="276" t="s">
        <v>78</v>
      </c>
      <c r="Q598" s="276"/>
      <c r="R598" s="276"/>
      <c r="S598" s="276"/>
      <c r="T598" s="276"/>
      <c r="U598" s="276"/>
      <c r="V598" s="277"/>
      <c r="W598" s="238"/>
      <c r="Y598" s="271"/>
    </row>
    <row r="599" spans="1:31" ht="32.25" thickBot="1">
      <c r="A599" s="294"/>
      <c r="B599" s="281"/>
      <c r="C599" s="243" t="s">
        <v>221</v>
      </c>
      <c r="D599" s="282" t="str">
        <f t="shared" ref="D599:P599" si="195">IF(((D597="")*AND(D598="")),"",(D597-D598)*2)</f>
        <v/>
      </c>
      <c r="E599" s="282" t="str">
        <f t="shared" si="195"/>
        <v/>
      </c>
      <c r="F599" s="282" t="str">
        <f t="shared" si="195"/>
        <v/>
      </c>
      <c r="G599" s="282" t="str">
        <f t="shared" si="195"/>
        <v/>
      </c>
      <c r="H599" s="282" t="str">
        <f t="shared" si="195"/>
        <v/>
      </c>
      <c r="I599" s="282" t="str">
        <f t="shared" si="195"/>
        <v/>
      </c>
      <c r="J599" s="282" t="str">
        <f t="shared" si="195"/>
        <v/>
      </c>
      <c r="K599" s="282" t="str">
        <f t="shared" si="195"/>
        <v/>
      </c>
      <c r="L599" s="282" t="str">
        <f t="shared" si="195"/>
        <v/>
      </c>
      <c r="M599" s="282" t="str">
        <f t="shared" si="195"/>
        <v/>
      </c>
      <c r="N599" s="282" t="str">
        <f t="shared" si="195"/>
        <v/>
      </c>
      <c r="O599" s="282" t="str">
        <f t="shared" si="195"/>
        <v/>
      </c>
      <c r="P599" s="282" t="str">
        <f t="shared" si="195"/>
        <v/>
      </c>
      <c r="Q599" s="264"/>
      <c r="R599" s="281"/>
      <c r="S599" s="281"/>
      <c r="T599" s="281"/>
      <c r="U599" s="281"/>
      <c r="V599" s="283"/>
      <c r="W599" s="247"/>
      <c r="Y599" s="271"/>
    </row>
    <row r="600" spans="1:31">
      <c r="A600" s="291"/>
      <c r="B600" s="268" t="s">
        <v>76</v>
      </c>
      <c r="C600" s="269" t="s">
        <v>77</v>
      </c>
      <c r="Q600" s="269" t="str">
        <f>IF((P601=""),"",MAX(D602:P602))</f>
        <v/>
      </c>
      <c r="R600" s="269" t="str">
        <f>IF(P601="","",MIN(D602:P602))</f>
        <v/>
      </c>
      <c r="S600" s="269" t="str">
        <f>IF((P602=""),"",AVERAGE(D602:P602))</f>
        <v/>
      </c>
      <c r="T600" s="269" t="str">
        <f>IF((P601=""),"",STDEV(D602:P602))</f>
        <v/>
      </c>
      <c r="U600" s="269" t="str">
        <f>IF((P601=""),"",((Q600-R600)/(Q600+R600))*100)</f>
        <v/>
      </c>
      <c r="V600" s="228" t="str">
        <f>IF(P601="","",IF(U600&lt;7.2,IF(S600&gt;AB600,IF(S600&lt;AC600,"Pass","Fail"),"Fail"),"Fail"))</f>
        <v/>
      </c>
      <c r="W600" s="284"/>
      <c r="Y600" s="271"/>
      <c r="Z600" s="272">
        <v>1600</v>
      </c>
      <c r="AA600" s="272">
        <v>2600</v>
      </c>
      <c r="AB600" s="273">
        <v>1900</v>
      </c>
      <c r="AC600" s="273">
        <v>2250</v>
      </c>
      <c r="AD600" s="274">
        <v>10</v>
      </c>
      <c r="AE600" s="274">
        <v>3.6</v>
      </c>
    </row>
    <row r="601" spans="1:31">
      <c r="A601" s="293"/>
      <c r="B601" s="276"/>
      <c r="C601" s="276" t="s">
        <v>78</v>
      </c>
      <c r="Q601" s="276"/>
      <c r="R601" s="276"/>
      <c r="S601" s="276"/>
      <c r="T601" s="276"/>
      <c r="U601" s="276"/>
      <c r="V601" s="277"/>
      <c r="W601" s="238"/>
      <c r="Y601" s="271"/>
    </row>
    <row r="602" spans="1:31" ht="32.25" thickBot="1">
      <c r="A602" s="294"/>
      <c r="B602" s="281"/>
      <c r="C602" s="243" t="s">
        <v>221</v>
      </c>
      <c r="D602" s="282" t="str">
        <f t="shared" ref="D602:P602" si="196">IF(((D600="")*AND(D601="")),"",(D600-D601)*2)</f>
        <v/>
      </c>
      <c r="E602" s="282" t="str">
        <f t="shared" si="196"/>
        <v/>
      </c>
      <c r="F602" s="282" t="str">
        <f t="shared" si="196"/>
        <v/>
      </c>
      <c r="G602" s="282" t="str">
        <f t="shared" si="196"/>
        <v/>
      </c>
      <c r="H602" s="282" t="str">
        <f t="shared" si="196"/>
        <v/>
      </c>
      <c r="I602" s="282" t="str">
        <f t="shared" si="196"/>
        <v/>
      </c>
      <c r="J602" s="282" t="str">
        <f t="shared" si="196"/>
        <v/>
      </c>
      <c r="K602" s="282" t="str">
        <f t="shared" si="196"/>
        <v/>
      </c>
      <c r="L602" s="282" t="str">
        <f t="shared" si="196"/>
        <v/>
      </c>
      <c r="M602" s="282" t="str">
        <f t="shared" si="196"/>
        <v/>
      </c>
      <c r="N602" s="282" t="str">
        <f t="shared" si="196"/>
        <v/>
      </c>
      <c r="O602" s="282" t="str">
        <f t="shared" si="196"/>
        <v/>
      </c>
      <c r="P602" s="282" t="str">
        <f t="shared" si="196"/>
        <v/>
      </c>
      <c r="Q602" s="264"/>
      <c r="R602" s="281"/>
      <c r="S602" s="281"/>
      <c r="T602" s="281"/>
      <c r="U602" s="281"/>
      <c r="V602" s="283"/>
      <c r="W602" s="247"/>
      <c r="Y602" s="271"/>
    </row>
    <row r="603" spans="1:31">
      <c r="A603" s="291"/>
      <c r="B603" s="268" t="s">
        <v>76</v>
      </c>
      <c r="C603" s="269" t="s">
        <v>77</v>
      </c>
      <c r="Q603" s="269" t="str">
        <f>IF((P604=""),"",MAX(D605:P605))</f>
        <v/>
      </c>
      <c r="R603" s="269" t="str">
        <f>IF(P604="","",MIN(D605:P605))</f>
        <v/>
      </c>
      <c r="S603" s="269" t="str">
        <f>IF((P605=""),"",AVERAGE(D605:P605))</f>
        <v/>
      </c>
      <c r="T603" s="269" t="str">
        <f>IF((P604=""),"",STDEV(D605:P605))</f>
        <v/>
      </c>
      <c r="U603" s="269" t="str">
        <f>IF((P604=""),"",((Q603-R603)/(Q603+R603))*100)</f>
        <v/>
      </c>
      <c r="V603" s="228" t="str">
        <f>IF(P604="","",IF(U603&lt;7.2,IF(S603&gt;AB603,IF(S603&lt;AC603,"Pass","Fail"),"Fail"),"Fail"))</f>
        <v/>
      </c>
      <c r="W603" s="284"/>
      <c r="Y603" s="271"/>
      <c r="Z603" s="272">
        <v>1600</v>
      </c>
      <c r="AA603" s="272">
        <v>2600</v>
      </c>
      <c r="AB603" s="273">
        <v>1900</v>
      </c>
      <c r="AC603" s="273">
        <v>2250</v>
      </c>
      <c r="AD603" s="274">
        <v>10</v>
      </c>
      <c r="AE603" s="274">
        <v>3.6</v>
      </c>
    </row>
    <row r="604" spans="1:31">
      <c r="A604" s="293"/>
      <c r="B604" s="276"/>
      <c r="C604" s="276" t="s">
        <v>78</v>
      </c>
      <c r="Q604" s="276"/>
      <c r="R604" s="276"/>
      <c r="S604" s="276"/>
      <c r="T604" s="276"/>
      <c r="U604" s="276"/>
      <c r="V604" s="277"/>
      <c r="W604" s="238"/>
      <c r="Y604" s="271"/>
    </row>
    <row r="605" spans="1:31" ht="32.25" thickBot="1">
      <c r="A605" s="294"/>
      <c r="B605" s="281"/>
      <c r="C605" s="243" t="s">
        <v>221</v>
      </c>
      <c r="D605" s="282" t="str">
        <f t="shared" ref="D605:P605" si="197">IF(((D603="")*AND(D604="")),"",(D603-D604)*2)</f>
        <v/>
      </c>
      <c r="E605" s="282" t="str">
        <f t="shared" si="197"/>
        <v/>
      </c>
      <c r="F605" s="282" t="str">
        <f t="shared" si="197"/>
        <v/>
      </c>
      <c r="G605" s="282" t="str">
        <f t="shared" si="197"/>
        <v/>
      </c>
      <c r="H605" s="282" t="str">
        <f t="shared" si="197"/>
        <v/>
      </c>
      <c r="I605" s="282" t="str">
        <f t="shared" si="197"/>
        <v/>
      </c>
      <c r="J605" s="282" t="str">
        <f t="shared" si="197"/>
        <v/>
      </c>
      <c r="K605" s="282" t="str">
        <f t="shared" si="197"/>
        <v/>
      </c>
      <c r="L605" s="282" t="str">
        <f t="shared" si="197"/>
        <v/>
      </c>
      <c r="M605" s="282" t="str">
        <f t="shared" si="197"/>
        <v/>
      </c>
      <c r="N605" s="282" t="str">
        <f t="shared" si="197"/>
        <v/>
      </c>
      <c r="O605" s="282" t="str">
        <f t="shared" si="197"/>
        <v/>
      </c>
      <c r="P605" s="282" t="str">
        <f t="shared" si="197"/>
        <v/>
      </c>
      <c r="Q605" s="264"/>
      <c r="R605" s="281"/>
      <c r="S605" s="281"/>
      <c r="T605" s="281"/>
      <c r="U605" s="281"/>
      <c r="V605" s="283"/>
      <c r="W605" s="247"/>
      <c r="Y605" s="271"/>
    </row>
    <row r="606" spans="1:31">
      <c r="A606" s="291"/>
      <c r="B606" s="268" t="s">
        <v>76</v>
      </c>
      <c r="C606" s="269" t="s">
        <v>77</v>
      </c>
      <c r="Q606" s="269" t="str">
        <f>IF((P607=""),"",MAX(D608:P608))</f>
        <v/>
      </c>
      <c r="R606" s="269" t="str">
        <f>IF(P607="","",MIN(D608:P608))</f>
        <v/>
      </c>
      <c r="S606" s="269" t="str">
        <f>IF((P608=""),"",AVERAGE(D608:P608))</f>
        <v/>
      </c>
      <c r="T606" s="269" t="str">
        <f>IF((P607=""),"",STDEV(D608:P608))</f>
        <v/>
      </c>
      <c r="U606" s="269" t="str">
        <f>IF((P607=""),"",((Q606-R606)/(Q606+R606))*100)</f>
        <v/>
      </c>
      <c r="V606" s="228" t="str">
        <f>IF(P607="","",IF(U606&lt;7.2,IF(S606&gt;AB606,IF(S606&lt;AC606,"Pass","Fail"),"Fail"),"Fail"))</f>
        <v/>
      </c>
      <c r="W606" s="284"/>
      <c r="Y606" s="271"/>
      <c r="Z606" s="272">
        <v>1600</v>
      </c>
      <c r="AA606" s="272">
        <v>2600</v>
      </c>
      <c r="AB606" s="273">
        <v>1900</v>
      </c>
      <c r="AC606" s="273">
        <v>2250</v>
      </c>
      <c r="AD606" s="274">
        <v>10</v>
      </c>
      <c r="AE606" s="274">
        <v>3.6</v>
      </c>
    </row>
    <row r="607" spans="1:31">
      <c r="A607" s="293"/>
      <c r="B607" s="276"/>
      <c r="C607" s="276" t="s">
        <v>78</v>
      </c>
      <c r="Q607" s="276"/>
      <c r="R607" s="276"/>
      <c r="S607" s="276"/>
      <c r="T607" s="276"/>
      <c r="U607" s="276"/>
      <c r="V607" s="277"/>
      <c r="W607" s="238"/>
      <c r="Y607" s="271"/>
    </row>
    <row r="608" spans="1:31" ht="32.25" thickBot="1">
      <c r="A608" s="294"/>
      <c r="B608" s="281"/>
      <c r="C608" s="243" t="s">
        <v>221</v>
      </c>
      <c r="D608" s="282" t="str">
        <f t="shared" ref="D608:P608" si="198">IF(((D606="")*AND(D607="")),"",(D606-D607)*2)</f>
        <v/>
      </c>
      <c r="E608" s="282" t="str">
        <f t="shared" si="198"/>
        <v/>
      </c>
      <c r="F608" s="282" t="str">
        <f t="shared" si="198"/>
        <v/>
      </c>
      <c r="G608" s="282" t="str">
        <f t="shared" si="198"/>
        <v/>
      </c>
      <c r="H608" s="282" t="str">
        <f t="shared" si="198"/>
        <v/>
      </c>
      <c r="I608" s="282" t="str">
        <f t="shared" si="198"/>
        <v/>
      </c>
      <c r="J608" s="282" t="str">
        <f t="shared" si="198"/>
        <v/>
      </c>
      <c r="K608" s="282" t="str">
        <f t="shared" si="198"/>
        <v/>
      </c>
      <c r="L608" s="282" t="str">
        <f t="shared" si="198"/>
        <v/>
      </c>
      <c r="M608" s="282" t="str">
        <f t="shared" si="198"/>
        <v/>
      </c>
      <c r="N608" s="282" t="str">
        <f t="shared" si="198"/>
        <v/>
      </c>
      <c r="O608" s="282" t="str">
        <f t="shared" si="198"/>
        <v/>
      </c>
      <c r="P608" s="282" t="str">
        <f t="shared" si="198"/>
        <v/>
      </c>
      <c r="Q608" s="264"/>
      <c r="R608" s="281"/>
      <c r="S608" s="281"/>
      <c r="T608" s="281"/>
      <c r="U608" s="281"/>
      <c r="V608" s="283"/>
      <c r="W608" s="247"/>
      <c r="Y608" s="271"/>
    </row>
    <row r="609" spans="1:31">
      <c r="A609" s="291"/>
      <c r="B609" s="268" t="s">
        <v>76</v>
      </c>
      <c r="C609" s="269" t="s">
        <v>77</v>
      </c>
      <c r="Q609" s="269" t="str">
        <f>IF((P610=""),"",MAX(D611:P611))</f>
        <v/>
      </c>
      <c r="R609" s="269" t="str">
        <f>IF(P610="","",MIN(D611:P611))</f>
        <v/>
      </c>
      <c r="S609" s="269" t="str">
        <f>IF((P611=""),"",AVERAGE(D611:P611))</f>
        <v/>
      </c>
      <c r="T609" s="269" t="str">
        <f>IF((P610=""),"",STDEV(D611:P611))</f>
        <v/>
      </c>
      <c r="U609" s="269" t="str">
        <f>IF((P610=""),"",((Q609-R609)/(Q609+R609))*100)</f>
        <v/>
      </c>
      <c r="V609" s="228" t="str">
        <f>IF(P610="","",IF(U609&lt;7.2,IF(S609&gt;AB609,IF(S609&lt;AC609,"Pass","Fail"),"Fail"),"Fail"))</f>
        <v/>
      </c>
      <c r="W609" s="284"/>
      <c r="Y609" s="271"/>
      <c r="Z609" s="272">
        <v>1600</v>
      </c>
      <c r="AA609" s="272">
        <v>2600</v>
      </c>
      <c r="AB609" s="273">
        <v>1900</v>
      </c>
      <c r="AC609" s="273">
        <v>2250</v>
      </c>
      <c r="AD609" s="274">
        <v>10</v>
      </c>
      <c r="AE609" s="274">
        <v>3.6</v>
      </c>
    </row>
    <row r="610" spans="1:31">
      <c r="A610" s="293"/>
      <c r="B610" s="276"/>
      <c r="C610" s="276" t="s">
        <v>78</v>
      </c>
      <c r="Q610" s="276"/>
      <c r="R610" s="276"/>
      <c r="S610" s="276"/>
      <c r="T610" s="276"/>
      <c r="U610" s="276"/>
      <c r="V610" s="277"/>
      <c r="W610" s="238"/>
      <c r="Y610" s="271"/>
    </row>
    <row r="611" spans="1:31" ht="32.25" thickBot="1">
      <c r="A611" s="294"/>
      <c r="B611" s="281"/>
      <c r="C611" s="243" t="s">
        <v>221</v>
      </c>
      <c r="D611" s="282" t="str">
        <f t="shared" ref="D611:P611" si="199">IF(((D609="")*AND(D610="")),"",(D609-D610)*2)</f>
        <v/>
      </c>
      <c r="E611" s="282" t="str">
        <f t="shared" si="199"/>
        <v/>
      </c>
      <c r="F611" s="282" t="str">
        <f t="shared" si="199"/>
        <v/>
      </c>
      <c r="G611" s="282" t="str">
        <f t="shared" si="199"/>
        <v/>
      </c>
      <c r="H611" s="282" t="str">
        <f t="shared" si="199"/>
        <v/>
      </c>
      <c r="I611" s="282" t="str">
        <f t="shared" si="199"/>
        <v/>
      </c>
      <c r="J611" s="282" t="str">
        <f t="shared" si="199"/>
        <v/>
      </c>
      <c r="K611" s="282" t="str">
        <f t="shared" si="199"/>
        <v/>
      </c>
      <c r="L611" s="282" t="str">
        <f t="shared" si="199"/>
        <v/>
      </c>
      <c r="M611" s="282" t="str">
        <f t="shared" si="199"/>
        <v/>
      </c>
      <c r="N611" s="282" t="str">
        <f t="shared" si="199"/>
        <v/>
      </c>
      <c r="O611" s="282" t="str">
        <f t="shared" si="199"/>
        <v/>
      </c>
      <c r="P611" s="282" t="str">
        <f t="shared" si="199"/>
        <v/>
      </c>
      <c r="Q611" s="264"/>
      <c r="R611" s="281"/>
      <c r="S611" s="281"/>
      <c r="T611" s="281"/>
      <c r="U611" s="281"/>
      <c r="V611" s="283"/>
      <c r="W611" s="247"/>
      <c r="Y611" s="271"/>
    </row>
    <row r="612" spans="1:31">
      <c r="A612" s="291"/>
      <c r="B612" s="268" t="s">
        <v>76</v>
      </c>
      <c r="C612" s="269" t="s">
        <v>77</v>
      </c>
      <c r="Q612" s="269" t="str">
        <f>IF((P613=""),"",MAX(D614:P614))</f>
        <v/>
      </c>
      <c r="R612" s="269" t="str">
        <f>IF(P613="","",MIN(D614:P614))</f>
        <v/>
      </c>
      <c r="S612" s="269" t="str">
        <f>IF((P614=""),"",AVERAGE(D614:P614))</f>
        <v/>
      </c>
      <c r="T612" s="269" t="str">
        <f>IF((P613=""),"",STDEV(D614:P614))</f>
        <v/>
      </c>
      <c r="U612" s="269" t="str">
        <f>IF((P613=""),"",((Q612-R612)/(Q612+R612))*100)</f>
        <v/>
      </c>
      <c r="V612" s="228" t="str">
        <f>IF(P613="","",IF(U612&lt;7.2,IF(S612&gt;AB612,IF(S612&lt;AC612,"Pass","Fail"),"Fail"),"Fail"))</f>
        <v/>
      </c>
      <c r="W612" s="284"/>
      <c r="Y612" s="271"/>
      <c r="Z612" s="272">
        <v>1600</v>
      </c>
      <c r="AA612" s="272">
        <v>2600</v>
      </c>
      <c r="AB612" s="273">
        <v>1900</v>
      </c>
      <c r="AC612" s="273">
        <v>2250</v>
      </c>
      <c r="AD612" s="274">
        <v>10</v>
      </c>
      <c r="AE612" s="274">
        <v>3.6</v>
      </c>
    </row>
    <row r="613" spans="1:31">
      <c r="A613" s="293"/>
      <c r="B613" s="276"/>
      <c r="C613" s="276" t="s">
        <v>78</v>
      </c>
      <c r="Q613" s="276"/>
      <c r="R613" s="276"/>
      <c r="S613" s="276"/>
      <c r="T613" s="276"/>
      <c r="U613" s="276"/>
      <c r="V613" s="277"/>
      <c r="W613" s="238"/>
      <c r="Y613" s="271"/>
    </row>
    <row r="614" spans="1:31" ht="32.25" thickBot="1">
      <c r="A614" s="294"/>
      <c r="B614" s="281"/>
      <c r="C614" s="243" t="s">
        <v>221</v>
      </c>
      <c r="D614" s="282" t="str">
        <f t="shared" ref="D614:P614" si="200">IF(((D612="")*AND(D613="")),"",(D612-D613)*2)</f>
        <v/>
      </c>
      <c r="E614" s="282" t="str">
        <f t="shared" si="200"/>
        <v/>
      </c>
      <c r="F614" s="282" t="str">
        <f t="shared" si="200"/>
        <v/>
      </c>
      <c r="G614" s="282" t="str">
        <f t="shared" si="200"/>
        <v/>
      </c>
      <c r="H614" s="282" t="str">
        <f t="shared" si="200"/>
        <v/>
      </c>
      <c r="I614" s="282" t="str">
        <f t="shared" si="200"/>
        <v/>
      </c>
      <c r="J614" s="282" t="str">
        <f t="shared" si="200"/>
        <v/>
      </c>
      <c r="K614" s="282" t="str">
        <f t="shared" si="200"/>
        <v/>
      </c>
      <c r="L614" s="282" t="str">
        <f t="shared" si="200"/>
        <v/>
      </c>
      <c r="M614" s="282" t="str">
        <f t="shared" si="200"/>
        <v/>
      </c>
      <c r="N614" s="282" t="str">
        <f t="shared" si="200"/>
        <v/>
      </c>
      <c r="O614" s="282" t="str">
        <f t="shared" si="200"/>
        <v/>
      </c>
      <c r="P614" s="282" t="str">
        <f t="shared" si="200"/>
        <v/>
      </c>
      <c r="Q614" s="264"/>
      <c r="R614" s="281"/>
      <c r="S614" s="281"/>
      <c r="T614" s="281"/>
      <c r="U614" s="281"/>
      <c r="V614" s="283"/>
      <c r="W614" s="247"/>
      <c r="Y614" s="271"/>
    </row>
    <row r="615" spans="1:31">
      <c r="A615" s="291"/>
      <c r="B615" s="268" t="s">
        <v>76</v>
      </c>
      <c r="C615" s="269" t="s">
        <v>77</v>
      </c>
      <c r="Q615" s="269" t="str">
        <f>IF((P616=""),"",MAX(D617:P617))</f>
        <v/>
      </c>
      <c r="R615" s="269" t="str">
        <f>IF(P616="","",MIN(D617:P617))</f>
        <v/>
      </c>
      <c r="S615" s="269" t="str">
        <f>IF((P617=""),"",AVERAGE(D617:P617))</f>
        <v/>
      </c>
      <c r="T615" s="269" t="str">
        <f>IF((P616=""),"",STDEV(D617:P617))</f>
        <v/>
      </c>
      <c r="U615" s="269" t="str">
        <f>IF((P616=""),"",((Q615-R615)/(Q615+R615))*100)</f>
        <v/>
      </c>
      <c r="V615" s="228" t="str">
        <f>IF(P616="","",IF(U615&lt;7.2,IF(S615&gt;AB615,IF(S615&lt;AC615,"Pass","Fail"),"Fail"),"Fail"))</f>
        <v/>
      </c>
      <c r="W615" s="284"/>
      <c r="Y615" s="271"/>
      <c r="Z615" s="272">
        <v>1600</v>
      </c>
      <c r="AA615" s="272">
        <v>2600</v>
      </c>
      <c r="AB615" s="273">
        <v>1900</v>
      </c>
      <c r="AC615" s="273">
        <v>2250</v>
      </c>
      <c r="AD615" s="274">
        <v>10</v>
      </c>
      <c r="AE615" s="274">
        <v>3.6</v>
      </c>
    </row>
    <row r="616" spans="1:31">
      <c r="A616" s="293"/>
      <c r="B616" s="276"/>
      <c r="C616" s="276" t="s">
        <v>78</v>
      </c>
      <c r="Q616" s="276"/>
      <c r="R616" s="276"/>
      <c r="S616" s="276"/>
      <c r="T616" s="276"/>
      <c r="U616" s="276"/>
      <c r="V616" s="277"/>
      <c r="W616" s="238"/>
      <c r="Y616" s="271"/>
    </row>
    <row r="617" spans="1:31" ht="32.25" thickBot="1">
      <c r="A617" s="294"/>
      <c r="B617" s="281"/>
      <c r="C617" s="243" t="s">
        <v>221</v>
      </c>
      <c r="D617" s="282" t="str">
        <f t="shared" ref="D617:P617" si="201">IF(((D615="")*AND(D616="")),"",(D615-D616)*2)</f>
        <v/>
      </c>
      <c r="E617" s="282" t="str">
        <f t="shared" si="201"/>
        <v/>
      </c>
      <c r="F617" s="282" t="str">
        <f t="shared" si="201"/>
        <v/>
      </c>
      <c r="G617" s="282" t="str">
        <f t="shared" si="201"/>
        <v/>
      </c>
      <c r="H617" s="282" t="str">
        <f t="shared" si="201"/>
        <v/>
      </c>
      <c r="I617" s="282" t="str">
        <f t="shared" si="201"/>
        <v/>
      </c>
      <c r="J617" s="282" t="str">
        <f t="shared" si="201"/>
        <v/>
      </c>
      <c r="K617" s="282" t="str">
        <f t="shared" si="201"/>
        <v/>
      </c>
      <c r="L617" s="282" t="str">
        <f t="shared" si="201"/>
        <v/>
      </c>
      <c r="M617" s="282" t="str">
        <f t="shared" si="201"/>
        <v/>
      </c>
      <c r="N617" s="282" t="str">
        <f t="shared" si="201"/>
        <v/>
      </c>
      <c r="O617" s="282" t="str">
        <f t="shared" si="201"/>
        <v/>
      </c>
      <c r="P617" s="282" t="str">
        <f t="shared" si="201"/>
        <v/>
      </c>
      <c r="Q617" s="264"/>
      <c r="R617" s="281"/>
      <c r="S617" s="281"/>
      <c r="T617" s="281"/>
      <c r="U617" s="281"/>
      <c r="V617" s="283"/>
      <c r="W617" s="247"/>
      <c r="Y617" s="271"/>
    </row>
    <row r="618" spans="1:31">
      <c r="A618" s="291"/>
      <c r="B618" s="268" t="s">
        <v>76</v>
      </c>
      <c r="C618" s="269" t="s">
        <v>77</v>
      </c>
      <c r="Q618" s="269" t="str">
        <f>IF((P619=""),"",MAX(D620:P620))</f>
        <v/>
      </c>
      <c r="R618" s="269" t="str">
        <f>IF(P619="","",MIN(D620:P620))</f>
        <v/>
      </c>
      <c r="S618" s="269" t="str">
        <f>IF((P620=""),"",AVERAGE(D620:P620))</f>
        <v/>
      </c>
      <c r="T618" s="269" t="str">
        <f>IF((P619=""),"",STDEV(D620:P620))</f>
        <v/>
      </c>
      <c r="U618" s="269" t="str">
        <f>IF((P619=""),"",((Q618-R618)/(Q618+R618))*100)</f>
        <v/>
      </c>
      <c r="V618" s="228" t="str">
        <f>IF(P619="","",IF(U618&lt;7.2,IF(S618&gt;AB618,IF(S618&lt;AC618,"Pass","Fail"),"Fail"),"Fail"))</f>
        <v/>
      </c>
      <c r="W618" s="284"/>
      <c r="Y618" s="271"/>
      <c r="Z618" s="272">
        <v>1600</v>
      </c>
      <c r="AA618" s="272">
        <v>2600</v>
      </c>
      <c r="AB618" s="273">
        <v>1900</v>
      </c>
      <c r="AC618" s="273">
        <v>2250</v>
      </c>
      <c r="AD618" s="274">
        <v>10</v>
      </c>
      <c r="AE618" s="274">
        <v>3.6</v>
      </c>
    </row>
    <row r="619" spans="1:31">
      <c r="A619" s="293"/>
      <c r="B619" s="276"/>
      <c r="C619" s="276" t="s">
        <v>78</v>
      </c>
      <c r="Q619" s="276"/>
      <c r="R619" s="276"/>
      <c r="S619" s="276"/>
      <c r="T619" s="276"/>
      <c r="U619" s="276"/>
      <c r="V619" s="277"/>
      <c r="W619" s="238"/>
      <c r="Y619" s="271"/>
    </row>
    <row r="620" spans="1:31" ht="32.25" thickBot="1">
      <c r="A620" s="294"/>
      <c r="B620" s="281"/>
      <c r="C620" s="243" t="s">
        <v>221</v>
      </c>
      <c r="D620" s="282" t="str">
        <f t="shared" ref="D620:P620" si="202">IF(((D618="")*AND(D619="")),"",(D618-D619)*2)</f>
        <v/>
      </c>
      <c r="E620" s="282" t="str">
        <f t="shared" si="202"/>
        <v/>
      </c>
      <c r="F620" s="282" t="str">
        <f t="shared" si="202"/>
        <v/>
      </c>
      <c r="G620" s="282" t="str">
        <f t="shared" si="202"/>
        <v/>
      </c>
      <c r="H620" s="282" t="str">
        <f t="shared" si="202"/>
        <v/>
      </c>
      <c r="I620" s="282" t="str">
        <f t="shared" si="202"/>
        <v/>
      </c>
      <c r="J620" s="282" t="str">
        <f t="shared" si="202"/>
        <v/>
      </c>
      <c r="K620" s="282" t="str">
        <f t="shared" si="202"/>
        <v/>
      </c>
      <c r="L620" s="282" t="str">
        <f t="shared" si="202"/>
        <v/>
      </c>
      <c r="M620" s="282" t="str">
        <f t="shared" si="202"/>
        <v/>
      </c>
      <c r="N620" s="282" t="str">
        <f t="shared" si="202"/>
        <v/>
      </c>
      <c r="O620" s="282" t="str">
        <f t="shared" si="202"/>
        <v/>
      </c>
      <c r="P620" s="282" t="str">
        <f t="shared" si="202"/>
        <v/>
      </c>
      <c r="Q620" s="264"/>
      <c r="R620" s="281"/>
      <c r="S620" s="281"/>
      <c r="T620" s="281"/>
      <c r="U620" s="281"/>
      <c r="V620" s="283"/>
      <c r="W620" s="247"/>
      <c r="Y620" s="271"/>
    </row>
    <row r="621" spans="1:31">
      <c r="A621" s="291"/>
      <c r="B621" s="268" t="s">
        <v>76</v>
      </c>
      <c r="C621" s="269" t="s">
        <v>77</v>
      </c>
      <c r="Q621" s="269" t="str">
        <f>IF((P622=""),"",MAX(D623:P623))</f>
        <v/>
      </c>
      <c r="R621" s="269" t="str">
        <f>IF(P622="","",MIN(D623:P623))</f>
        <v/>
      </c>
      <c r="S621" s="269" t="str">
        <f>IF((P623=""),"",AVERAGE(D623:P623))</f>
        <v/>
      </c>
      <c r="T621" s="269" t="str">
        <f>IF((P622=""),"",STDEV(D623:P623))</f>
        <v/>
      </c>
      <c r="U621" s="269" t="str">
        <f>IF((P622=""),"",((Q621-R621)/(Q621+R621))*100)</f>
        <v/>
      </c>
      <c r="V621" s="228" t="str">
        <f>IF(P622="","",IF(U621&lt;7.2,IF(S621&gt;AB621,IF(S621&lt;AC621,"Pass","Fail"),"Fail"),"Fail"))</f>
        <v/>
      </c>
      <c r="W621" s="284"/>
      <c r="Y621" s="271"/>
      <c r="Z621" s="272">
        <v>1600</v>
      </c>
      <c r="AA621" s="272">
        <v>2600</v>
      </c>
      <c r="AB621" s="273">
        <v>1900</v>
      </c>
      <c r="AC621" s="273">
        <v>2250</v>
      </c>
      <c r="AD621" s="274">
        <v>10</v>
      </c>
      <c r="AE621" s="274">
        <v>3.6</v>
      </c>
    </row>
    <row r="622" spans="1:31">
      <c r="A622" s="293"/>
      <c r="B622" s="276"/>
      <c r="C622" s="276" t="s">
        <v>78</v>
      </c>
      <c r="Q622" s="276"/>
      <c r="R622" s="276"/>
      <c r="S622" s="276"/>
      <c r="T622" s="276"/>
      <c r="U622" s="276"/>
      <c r="V622" s="277"/>
      <c r="W622" s="238"/>
      <c r="Y622" s="271"/>
    </row>
    <row r="623" spans="1:31" ht="32.25" thickBot="1">
      <c r="A623" s="294"/>
      <c r="B623" s="281"/>
      <c r="C623" s="243" t="s">
        <v>221</v>
      </c>
      <c r="D623" s="282" t="str">
        <f t="shared" ref="D623:P623" si="203">IF(((D621="")*AND(D622="")),"",(D621-D622)*2)</f>
        <v/>
      </c>
      <c r="E623" s="282" t="str">
        <f t="shared" si="203"/>
        <v/>
      </c>
      <c r="F623" s="282" t="str">
        <f t="shared" si="203"/>
        <v/>
      </c>
      <c r="G623" s="282" t="str">
        <f t="shared" si="203"/>
        <v/>
      </c>
      <c r="H623" s="282" t="str">
        <f t="shared" si="203"/>
        <v/>
      </c>
      <c r="I623" s="282" t="str">
        <f t="shared" si="203"/>
        <v/>
      </c>
      <c r="J623" s="282" t="str">
        <f t="shared" si="203"/>
        <v/>
      </c>
      <c r="K623" s="282" t="str">
        <f t="shared" si="203"/>
        <v/>
      </c>
      <c r="L623" s="282" t="str">
        <f t="shared" si="203"/>
        <v/>
      </c>
      <c r="M623" s="282" t="str">
        <f t="shared" si="203"/>
        <v/>
      </c>
      <c r="N623" s="282" t="str">
        <f t="shared" si="203"/>
        <v/>
      </c>
      <c r="O623" s="282" t="str">
        <f t="shared" si="203"/>
        <v/>
      </c>
      <c r="P623" s="282" t="str">
        <f t="shared" si="203"/>
        <v/>
      </c>
      <c r="Q623" s="264"/>
      <c r="R623" s="281"/>
      <c r="S623" s="281"/>
      <c r="T623" s="281"/>
      <c r="U623" s="281"/>
      <c r="V623" s="283"/>
      <c r="W623" s="247"/>
      <c r="Y623" s="271"/>
    </row>
    <row r="624" spans="1:31">
      <c r="A624" s="291"/>
      <c r="B624" s="268" t="s">
        <v>76</v>
      </c>
      <c r="C624" s="269" t="s">
        <v>77</v>
      </c>
      <c r="Q624" s="269" t="str">
        <f>IF((P625=""),"",MAX(D626:P626))</f>
        <v/>
      </c>
      <c r="R624" s="269" t="str">
        <f>IF(P625="","",MIN(D626:P626))</f>
        <v/>
      </c>
      <c r="S624" s="269" t="str">
        <f>IF((P626=""),"",AVERAGE(D626:P626))</f>
        <v/>
      </c>
      <c r="T624" s="269" t="str">
        <f>IF((P625=""),"",STDEV(D626:P626))</f>
        <v/>
      </c>
      <c r="U624" s="269" t="str">
        <f>IF((P625=""),"",((Q624-R624)/(Q624+R624))*100)</f>
        <v/>
      </c>
      <c r="V624" s="228" t="str">
        <f>IF(P625="","",IF(U624&lt;7.2,IF(S624&gt;AB624,IF(S624&lt;AC624,"Pass","Fail"),"Fail"),"Fail"))</f>
        <v/>
      </c>
      <c r="W624" s="284"/>
      <c r="Y624" s="271"/>
      <c r="Z624" s="272">
        <v>1600</v>
      </c>
      <c r="AA624" s="272">
        <v>2600</v>
      </c>
      <c r="AB624" s="273">
        <v>1900</v>
      </c>
      <c r="AC624" s="273">
        <v>2250</v>
      </c>
      <c r="AD624" s="274">
        <v>10</v>
      </c>
      <c r="AE624" s="274">
        <v>3.6</v>
      </c>
    </row>
    <row r="625" spans="1:31">
      <c r="A625" s="293"/>
      <c r="B625" s="276"/>
      <c r="C625" s="276" t="s">
        <v>78</v>
      </c>
      <c r="Q625" s="276"/>
      <c r="R625" s="276"/>
      <c r="S625" s="276"/>
      <c r="T625" s="276"/>
      <c r="U625" s="276"/>
      <c r="V625" s="277"/>
      <c r="W625" s="238"/>
      <c r="Y625" s="271"/>
    </row>
    <row r="626" spans="1:31" ht="32.25" thickBot="1">
      <c r="A626" s="294"/>
      <c r="B626" s="281"/>
      <c r="C626" s="243" t="s">
        <v>221</v>
      </c>
      <c r="D626" s="282" t="str">
        <f t="shared" ref="D626:P626" si="204">IF(((D624="")*AND(D625="")),"",(D624-D625)*2)</f>
        <v/>
      </c>
      <c r="E626" s="282" t="str">
        <f t="shared" si="204"/>
        <v/>
      </c>
      <c r="F626" s="282" t="str">
        <f t="shared" si="204"/>
        <v/>
      </c>
      <c r="G626" s="282" t="str">
        <f t="shared" si="204"/>
        <v/>
      </c>
      <c r="H626" s="282" t="str">
        <f t="shared" si="204"/>
        <v/>
      </c>
      <c r="I626" s="282" t="str">
        <f t="shared" si="204"/>
        <v/>
      </c>
      <c r="J626" s="282" t="str">
        <f t="shared" si="204"/>
        <v/>
      </c>
      <c r="K626" s="282" t="str">
        <f t="shared" si="204"/>
        <v/>
      </c>
      <c r="L626" s="282" t="str">
        <f t="shared" si="204"/>
        <v/>
      </c>
      <c r="M626" s="282" t="str">
        <f t="shared" si="204"/>
        <v/>
      </c>
      <c r="N626" s="282" t="str">
        <f t="shared" si="204"/>
        <v/>
      </c>
      <c r="O626" s="282" t="str">
        <f t="shared" si="204"/>
        <v/>
      </c>
      <c r="P626" s="282" t="str">
        <f t="shared" si="204"/>
        <v/>
      </c>
      <c r="Q626" s="264"/>
      <c r="R626" s="281"/>
      <c r="S626" s="281"/>
      <c r="T626" s="281"/>
      <c r="U626" s="281"/>
      <c r="V626" s="283"/>
      <c r="W626" s="247"/>
      <c r="Y626" s="271"/>
    </row>
    <row r="627" spans="1:31">
      <c r="A627" s="291"/>
      <c r="B627" s="268" t="s">
        <v>76</v>
      </c>
      <c r="C627" s="269" t="s">
        <v>77</v>
      </c>
      <c r="Q627" s="269" t="str">
        <f>IF((P628=""),"",MAX(D629:P629))</f>
        <v/>
      </c>
      <c r="R627" s="269" t="str">
        <f>IF(P628="","",MIN(D629:P629))</f>
        <v/>
      </c>
      <c r="S627" s="269" t="str">
        <f>IF((P629=""),"",AVERAGE(D629:P629))</f>
        <v/>
      </c>
      <c r="T627" s="269" t="str">
        <f>IF((P628=""),"",STDEV(D629:P629))</f>
        <v/>
      </c>
      <c r="U627" s="269" t="str">
        <f>IF((P628=""),"",((Q627-R627)/(Q627+R627))*100)</f>
        <v/>
      </c>
      <c r="V627" s="228" t="str">
        <f>IF(P628="","",IF(U627&lt;7.2,IF(S627&gt;AB627,IF(S627&lt;AC627,"Pass","Fail"),"Fail"),"Fail"))</f>
        <v/>
      </c>
      <c r="W627" s="284"/>
      <c r="Y627" s="271"/>
      <c r="Z627" s="272">
        <v>1600</v>
      </c>
      <c r="AA627" s="272">
        <v>2600</v>
      </c>
      <c r="AB627" s="273">
        <v>1900</v>
      </c>
      <c r="AC627" s="273">
        <v>2250</v>
      </c>
      <c r="AD627" s="274">
        <v>10</v>
      </c>
      <c r="AE627" s="274">
        <v>3.6</v>
      </c>
    </row>
    <row r="628" spans="1:31">
      <c r="A628" s="293"/>
      <c r="B628" s="276"/>
      <c r="C628" s="276" t="s">
        <v>78</v>
      </c>
      <c r="Q628" s="276"/>
      <c r="R628" s="276"/>
      <c r="S628" s="276"/>
      <c r="T628" s="276"/>
      <c r="U628" s="276"/>
      <c r="V628" s="277"/>
      <c r="W628" s="238"/>
      <c r="Y628" s="271"/>
    </row>
    <row r="629" spans="1:31" ht="32.25" thickBot="1">
      <c r="A629" s="294"/>
      <c r="B629" s="281"/>
      <c r="C629" s="243" t="s">
        <v>221</v>
      </c>
      <c r="D629" s="282" t="str">
        <f t="shared" ref="D629:P629" si="205">IF(((D627="")*AND(D628="")),"",(D627-D628)*2)</f>
        <v/>
      </c>
      <c r="E629" s="282" t="str">
        <f t="shared" si="205"/>
        <v/>
      </c>
      <c r="F629" s="282" t="str">
        <f t="shared" si="205"/>
        <v/>
      </c>
      <c r="G629" s="282" t="str">
        <f t="shared" si="205"/>
        <v/>
      </c>
      <c r="H629" s="282" t="str">
        <f t="shared" si="205"/>
        <v/>
      </c>
      <c r="I629" s="282" t="str">
        <f t="shared" si="205"/>
        <v/>
      </c>
      <c r="J629" s="282" t="str">
        <f t="shared" si="205"/>
        <v/>
      </c>
      <c r="K629" s="282" t="str">
        <f t="shared" si="205"/>
        <v/>
      </c>
      <c r="L629" s="282" t="str">
        <f t="shared" si="205"/>
        <v/>
      </c>
      <c r="M629" s="282" t="str">
        <f t="shared" si="205"/>
        <v/>
      </c>
      <c r="N629" s="282" t="str">
        <f t="shared" si="205"/>
        <v/>
      </c>
      <c r="O629" s="282" t="str">
        <f t="shared" si="205"/>
        <v/>
      </c>
      <c r="P629" s="282" t="str">
        <f t="shared" si="205"/>
        <v/>
      </c>
      <c r="Q629" s="264"/>
      <c r="R629" s="281"/>
      <c r="S629" s="281"/>
      <c r="T629" s="281"/>
      <c r="U629" s="281"/>
      <c r="V629" s="283"/>
      <c r="W629" s="247"/>
      <c r="Y629" s="271"/>
    </row>
    <row r="630" spans="1:31">
      <c r="A630" s="291"/>
      <c r="B630" s="268" t="s">
        <v>76</v>
      </c>
      <c r="C630" s="269" t="s">
        <v>77</v>
      </c>
      <c r="Q630" s="269" t="str">
        <f>IF((P631=""),"",MAX(D632:P632))</f>
        <v/>
      </c>
      <c r="R630" s="269" t="str">
        <f>IF(P631="","",MIN(D632:P632))</f>
        <v/>
      </c>
      <c r="S630" s="269" t="str">
        <f>IF((P632=""),"",AVERAGE(D632:P632))</f>
        <v/>
      </c>
      <c r="T630" s="269" t="str">
        <f>IF((P631=""),"",STDEV(D632:P632))</f>
        <v/>
      </c>
      <c r="U630" s="269" t="str">
        <f>IF((P631=""),"",((Q630-R630)/(Q630+R630))*100)</f>
        <v/>
      </c>
      <c r="V630" s="228" t="str">
        <f>IF(P631="","",IF(U630&lt;7.2,IF(S630&gt;AB630,IF(S630&lt;AC630,"Pass","Fail"),"Fail"),"Fail"))</f>
        <v/>
      </c>
      <c r="W630" s="284"/>
      <c r="Y630" s="271"/>
      <c r="Z630" s="272">
        <v>1600</v>
      </c>
      <c r="AA630" s="272">
        <v>2600</v>
      </c>
      <c r="AB630" s="273">
        <v>1900</v>
      </c>
      <c r="AC630" s="273">
        <v>2250</v>
      </c>
      <c r="AD630" s="274">
        <v>10</v>
      </c>
      <c r="AE630" s="274">
        <v>3.6</v>
      </c>
    </row>
    <row r="631" spans="1:31">
      <c r="A631" s="293"/>
      <c r="B631" s="276"/>
      <c r="C631" s="276" t="s">
        <v>78</v>
      </c>
      <c r="Q631" s="276"/>
      <c r="R631" s="276"/>
      <c r="S631" s="276"/>
      <c r="T631" s="276"/>
      <c r="U631" s="276"/>
      <c r="V631" s="277"/>
      <c r="W631" s="238"/>
      <c r="Y631" s="271"/>
    </row>
    <row r="632" spans="1:31" ht="32.25" thickBot="1">
      <c r="A632" s="294"/>
      <c r="B632" s="281"/>
      <c r="C632" s="243" t="s">
        <v>221</v>
      </c>
      <c r="D632" s="282" t="str">
        <f t="shared" ref="D632:P632" si="206">IF(((D630="")*AND(D631="")),"",(D630-D631)*2)</f>
        <v/>
      </c>
      <c r="E632" s="282" t="str">
        <f t="shared" si="206"/>
        <v/>
      </c>
      <c r="F632" s="282" t="str">
        <f t="shared" si="206"/>
        <v/>
      </c>
      <c r="G632" s="282" t="str">
        <f t="shared" si="206"/>
        <v/>
      </c>
      <c r="H632" s="282" t="str">
        <f t="shared" si="206"/>
        <v/>
      </c>
      <c r="I632" s="282" t="str">
        <f t="shared" si="206"/>
        <v/>
      </c>
      <c r="J632" s="282" t="str">
        <f t="shared" si="206"/>
        <v/>
      </c>
      <c r="K632" s="282" t="str">
        <f t="shared" si="206"/>
        <v/>
      </c>
      <c r="L632" s="282" t="str">
        <f t="shared" si="206"/>
        <v/>
      </c>
      <c r="M632" s="282" t="str">
        <f t="shared" si="206"/>
        <v/>
      </c>
      <c r="N632" s="282" t="str">
        <f t="shared" si="206"/>
        <v/>
      </c>
      <c r="O632" s="282" t="str">
        <f t="shared" si="206"/>
        <v/>
      </c>
      <c r="P632" s="282" t="str">
        <f t="shared" si="206"/>
        <v/>
      </c>
      <c r="Q632" s="264"/>
      <c r="R632" s="281"/>
      <c r="S632" s="281"/>
      <c r="T632" s="281"/>
      <c r="U632" s="281"/>
      <c r="V632" s="283"/>
      <c r="W632" s="247"/>
      <c r="Y632" s="271"/>
    </row>
    <row r="633" spans="1:31">
      <c r="A633" s="291"/>
      <c r="B633" s="268" t="s">
        <v>76</v>
      </c>
      <c r="C633" s="269" t="s">
        <v>77</v>
      </c>
      <c r="Q633" s="269" t="str">
        <f>IF((P634=""),"",MAX(D635:P635))</f>
        <v/>
      </c>
      <c r="R633" s="269" t="str">
        <f>IF(P634="","",MIN(D635:P635))</f>
        <v/>
      </c>
      <c r="S633" s="269" t="str">
        <f>IF((P635=""),"",AVERAGE(D635:P635))</f>
        <v/>
      </c>
      <c r="T633" s="269" t="str">
        <f>IF((P634=""),"",STDEV(D635:P635))</f>
        <v/>
      </c>
      <c r="U633" s="269" t="str">
        <f>IF((P634=""),"",((Q633-R633)/(Q633+R633))*100)</f>
        <v/>
      </c>
      <c r="V633" s="228" t="str">
        <f>IF(P634="","",IF(U633&lt;7.2,IF(S633&gt;AB633,IF(S633&lt;AC633,"Pass","Fail"),"Fail"),"Fail"))</f>
        <v/>
      </c>
      <c r="W633" s="284"/>
      <c r="Y633" s="271"/>
      <c r="Z633" s="272">
        <v>1600</v>
      </c>
      <c r="AA633" s="272">
        <v>2600</v>
      </c>
      <c r="AB633" s="273">
        <v>1900</v>
      </c>
      <c r="AC633" s="273">
        <v>2250</v>
      </c>
      <c r="AD633" s="274">
        <v>10</v>
      </c>
      <c r="AE633" s="274">
        <v>3.6</v>
      </c>
    </row>
    <row r="634" spans="1:31">
      <c r="A634" s="293"/>
      <c r="B634" s="276"/>
      <c r="C634" s="276" t="s">
        <v>78</v>
      </c>
      <c r="Q634" s="276"/>
      <c r="R634" s="276"/>
      <c r="S634" s="276"/>
      <c r="T634" s="276"/>
      <c r="U634" s="276"/>
      <c r="V634" s="277"/>
      <c r="W634" s="238"/>
      <c r="Y634" s="271"/>
    </row>
    <row r="635" spans="1:31" ht="32.25" thickBot="1">
      <c r="A635" s="294"/>
      <c r="B635" s="281"/>
      <c r="C635" s="243" t="s">
        <v>221</v>
      </c>
      <c r="D635" s="282" t="str">
        <f t="shared" ref="D635:P635" si="207">IF(((D633="")*AND(D634="")),"",(D633-D634)*2)</f>
        <v/>
      </c>
      <c r="E635" s="282" t="str">
        <f t="shared" si="207"/>
        <v/>
      </c>
      <c r="F635" s="282" t="str">
        <f t="shared" si="207"/>
        <v/>
      </c>
      <c r="G635" s="282" t="str">
        <f t="shared" si="207"/>
        <v/>
      </c>
      <c r="H635" s="282" t="str">
        <f t="shared" si="207"/>
        <v/>
      </c>
      <c r="I635" s="282" t="str">
        <f t="shared" si="207"/>
        <v/>
      </c>
      <c r="J635" s="282" t="str">
        <f t="shared" si="207"/>
        <v/>
      </c>
      <c r="K635" s="282" t="str">
        <f t="shared" si="207"/>
        <v/>
      </c>
      <c r="L635" s="282" t="str">
        <f t="shared" si="207"/>
        <v/>
      </c>
      <c r="M635" s="282" t="str">
        <f t="shared" si="207"/>
        <v/>
      </c>
      <c r="N635" s="282" t="str">
        <f t="shared" si="207"/>
        <v/>
      </c>
      <c r="O635" s="282" t="str">
        <f t="shared" si="207"/>
        <v/>
      </c>
      <c r="P635" s="282" t="str">
        <f t="shared" si="207"/>
        <v/>
      </c>
      <c r="Q635" s="264"/>
      <c r="R635" s="281"/>
      <c r="S635" s="281"/>
      <c r="T635" s="281"/>
      <c r="U635" s="281"/>
      <c r="V635" s="283"/>
      <c r="W635" s="247"/>
      <c r="Y635" s="271"/>
    </row>
    <row r="636" spans="1:31">
      <c r="A636" s="291"/>
      <c r="B636" s="268" t="s">
        <v>76</v>
      </c>
      <c r="C636" s="269" t="s">
        <v>77</v>
      </c>
      <c r="Q636" s="269" t="str">
        <f>IF((P637=""),"",MAX(D638:P638))</f>
        <v/>
      </c>
      <c r="R636" s="269" t="str">
        <f>IF(P637="","",MIN(D638:P638))</f>
        <v/>
      </c>
      <c r="S636" s="269" t="str">
        <f>IF((P638=""),"",AVERAGE(D638:P638))</f>
        <v/>
      </c>
      <c r="T636" s="269" t="str">
        <f>IF((P637=""),"",STDEV(D638:P638))</f>
        <v/>
      </c>
      <c r="U636" s="269" t="str">
        <f>IF((P637=""),"",((Q636-R636)/(Q636+R636))*100)</f>
        <v/>
      </c>
      <c r="V636" s="228" t="str">
        <f>IF(P637="","",IF(U636&lt;7.2,IF(S636&gt;AB636,IF(S636&lt;AC636,"Pass","Fail"),"Fail"),"Fail"))</f>
        <v/>
      </c>
      <c r="W636" s="284"/>
      <c r="Y636" s="271"/>
      <c r="Z636" s="272">
        <v>1600</v>
      </c>
      <c r="AA636" s="272">
        <v>2600</v>
      </c>
      <c r="AB636" s="273">
        <v>1900</v>
      </c>
      <c r="AC636" s="273">
        <v>2250</v>
      </c>
      <c r="AD636" s="274">
        <v>10</v>
      </c>
      <c r="AE636" s="274">
        <v>3.6</v>
      </c>
    </row>
    <row r="637" spans="1:31">
      <c r="A637" s="293"/>
      <c r="B637" s="276"/>
      <c r="C637" s="276" t="s">
        <v>78</v>
      </c>
      <c r="Q637" s="276"/>
      <c r="R637" s="276"/>
      <c r="S637" s="276"/>
      <c r="T637" s="276"/>
      <c r="U637" s="276"/>
      <c r="V637" s="277"/>
      <c r="W637" s="238"/>
      <c r="Y637" s="271"/>
    </row>
    <row r="638" spans="1:31" ht="32.25" thickBot="1">
      <c r="A638" s="294"/>
      <c r="B638" s="281"/>
      <c r="C638" s="243" t="s">
        <v>221</v>
      </c>
      <c r="D638" s="282" t="str">
        <f t="shared" ref="D638:P638" si="208">IF(((D636="")*AND(D637="")),"",(D636-D637)*2)</f>
        <v/>
      </c>
      <c r="E638" s="282" t="str">
        <f t="shared" si="208"/>
        <v/>
      </c>
      <c r="F638" s="282" t="str">
        <f t="shared" si="208"/>
        <v/>
      </c>
      <c r="G638" s="282" t="str">
        <f t="shared" si="208"/>
        <v/>
      </c>
      <c r="H638" s="282" t="str">
        <f t="shared" si="208"/>
        <v/>
      </c>
      <c r="I638" s="282" t="str">
        <f t="shared" si="208"/>
        <v/>
      </c>
      <c r="J638" s="282" t="str">
        <f t="shared" si="208"/>
        <v/>
      </c>
      <c r="K638" s="282" t="str">
        <f t="shared" si="208"/>
        <v/>
      </c>
      <c r="L638" s="282" t="str">
        <f t="shared" si="208"/>
        <v/>
      </c>
      <c r="M638" s="282" t="str">
        <f t="shared" si="208"/>
        <v/>
      </c>
      <c r="N638" s="282" t="str">
        <f t="shared" si="208"/>
        <v/>
      </c>
      <c r="O638" s="282" t="str">
        <f t="shared" si="208"/>
        <v/>
      </c>
      <c r="P638" s="282" t="str">
        <f t="shared" si="208"/>
        <v/>
      </c>
      <c r="Q638" s="264"/>
      <c r="R638" s="281"/>
      <c r="S638" s="281"/>
      <c r="T638" s="281"/>
      <c r="U638" s="281"/>
      <c r="V638" s="283"/>
      <c r="W638" s="247"/>
      <c r="Y638" s="271"/>
    </row>
    <row r="639" spans="1:31">
      <c r="A639" s="291"/>
      <c r="B639" s="268" t="s">
        <v>76</v>
      </c>
      <c r="C639" s="269" t="s">
        <v>77</v>
      </c>
      <c r="Q639" s="269" t="str">
        <f>IF((P640=""),"",MAX(D641:P641))</f>
        <v/>
      </c>
      <c r="R639" s="269" t="str">
        <f>IF(P640="","",MIN(D641:P641))</f>
        <v/>
      </c>
      <c r="S639" s="269" t="str">
        <f>IF((P641=""),"",AVERAGE(D641:P641))</f>
        <v/>
      </c>
      <c r="T639" s="269" t="str">
        <f>IF((P640=""),"",STDEV(D641:P641))</f>
        <v/>
      </c>
      <c r="U639" s="269" t="str">
        <f>IF((P640=""),"",((Q639-R639)/(Q639+R639))*100)</f>
        <v/>
      </c>
      <c r="V639" s="228" t="str">
        <f>IF(P640="","",IF(U639&lt;7.2,IF(S639&gt;AB639,IF(S639&lt;AC639,"Pass","Fail"),"Fail"),"Fail"))</f>
        <v/>
      </c>
      <c r="W639" s="284"/>
      <c r="Y639" s="271"/>
      <c r="Z639" s="272">
        <v>1600</v>
      </c>
      <c r="AA639" s="272">
        <v>2600</v>
      </c>
      <c r="AB639" s="273">
        <v>1900</v>
      </c>
      <c r="AC639" s="273">
        <v>2250</v>
      </c>
      <c r="AD639" s="274">
        <v>10</v>
      </c>
      <c r="AE639" s="274">
        <v>3.6</v>
      </c>
    </row>
    <row r="640" spans="1:31">
      <c r="A640" s="293"/>
      <c r="B640" s="276"/>
      <c r="C640" s="276" t="s">
        <v>78</v>
      </c>
      <c r="Q640" s="276"/>
      <c r="R640" s="276"/>
      <c r="S640" s="276"/>
      <c r="T640" s="276"/>
      <c r="U640" s="276"/>
      <c r="V640" s="277"/>
      <c r="W640" s="238"/>
      <c r="Y640" s="271"/>
    </row>
    <row r="641" spans="1:31" ht="32.25" thickBot="1">
      <c r="A641" s="294"/>
      <c r="B641" s="281"/>
      <c r="C641" s="243" t="s">
        <v>221</v>
      </c>
      <c r="D641" s="282" t="str">
        <f t="shared" ref="D641:P641" si="209">IF(((D639="")*AND(D640="")),"",(D639-D640)*2)</f>
        <v/>
      </c>
      <c r="E641" s="282" t="str">
        <f t="shared" si="209"/>
        <v/>
      </c>
      <c r="F641" s="282" t="str">
        <f t="shared" si="209"/>
        <v/>
      </c>
      <c r="G641" s="282" t="str">
        <f t="shared" si="209"/>
        <v/>
      </c>
      <c r="H641" s="282" t="str">
        <f t="shared" si="209"/>
        <v/>
      </c>
      <c r="I641" s="282" t="str">
        <f t="shared" si="209"/>
        <v/>
      </c>
      <c r="J641" s="282" t="str">
        <f t="shared" si="209"/>
        <v/>
      </c>
      <c r="K641" s="282" t="str">
        <f t="shared" si="209"/>
        <v/>
      </c>
      <c r="L641" s="282" t="str">
        <f t="shared" si="209"/>
        <v/>
      </c>
      <c r="M641" s="282" t="str">
        <f t="shared" si="209"/>
        <v/>
      </c>
      <c r="N641" s="282" t="str">
        <f t="shared" si="209"/>
        <v/>
      </c>
      <c r="O641" s="282" t="str">
        <f t="shared" si="209"/>
        <v/>
      </c>
      <c r="P641" s="282" t="str">
        <f t="shared" si="209"/>
        <v/>
      </c>
      <c r="Q641" s="264"/>
      <c r="R641" s="281"/>
      <c r="S641" s="281"/>
      <c r="T641" s="281"/>
      <c r="U641" s="281"/>
      <c r="V641" s="283"/>
      <c r="W641" s="247"/>
      <c r="Y641" s="271"/>
    </row>
    <row r="642" spans="1:31">
      <c r="A642" s="291"/>
      <c r="B642" s="268" t="s">
        <v>76</v>
      </c>
      <c r="C642" s="269" t="s">
        <v>77</v>
      </c>
      <c r="Q642" s="269" t="str">
        <f>IF((P643=""),"",MAX(D644:P644))</f>
        <v/>
      </c>
      <c r="R642" s="269" t="str">
        <f>IF(P643="","",MIN(D644:P644))</f>
        <v/>
      </c>
      <c r="S642" s="269" t="str">
        <f>IF((P644=""),"",AVERAGE(D644:P644))</f>
        <v/>
      </c>
      <c r="T642" s="269" t="str">
        <f>IF((P643=""),"",STDEV(D644:P644))</f>
        <v/>
      </c>
      <c r="U642" s="269" t="str">
        <f>IF((P643=""),"",((Q642-R642)/(Q642+R642))*100)</f>
        <v/>
      </c>
      <c r="V642" s="228" t="str">
        <f>IF(P643="","",IF(U642&lt;7.2,IF(S642&gt;AB642,IF(S642&lt;AC642,"Pass","Fail"),"Fail"),"Fail"))</f>
        <v/>
      </c>
      <c r="W642" s="284"/>
      <c r="Y642" s="271"/>
      <c r="Z642" s="272">
        <v>1600</v>
      </c>
      <c r="AA642" s="272">
        <v>2600</v>
      </c>
      <c r="AB642" s="273">
        <v>1900</v>
      </c>
      <c r="AC642" s="273">
        <v>2250</v>
      </c>
      <c r="AD642" s="274">
        <v>10</v>
      </c>
      <c r="AE642" s="274">
        <v>3.6</v>
      </c>
    </row>
    <row r="643" spans="1:31">
      <c r="A643" s="293"/>
      <c r="B643" s="276"/>
      <c r="C643" s="276" t="s">
        <v>78</v>
      </c>
      <c r="Q643" s="276"/>
      <c r="R643" s="276"/>
      <c r="S643" s="276"/>
      <c r="T643" s="276"/>
      <c r="U643" s="276"/>
      <c r="V643" s="277"/>
      <c r="W643" s="238"/>
      <c r="Y643" s="271"/>
    </row>
    <row r="644" spans="1:31" ht="32.25" thickBot="1">
      <c r="A644" s="294"/>
      <c r="B644" s="281"/>
      <c r="C644" s="243" t="s">
        <v>221</v>
      </c>
      <c r="D644" s="282" t="str">
        <f t="shared" ref="D644:P644" si="210">IF(((D642="")*AND(D643="")),"",(D642-D643)*2)</f>
        <v/>
      </c>
      <c r="E644" s="282" t="str">
        <f t="shared" si="210"/>
        <v/>
      </c>
      <c r="F644" s="282" t="str">
        <f t="shared" si="210"/>
        <v/>
      </c>
      <c r="G644" s="282" t="str">
        <f t="shared" si="210"/>
        <v/>
      </c>
      <c r="H644" s="282" t="str">
        <f t="shared" si="210"/>
        <v/>
      </c>
      <c r="I644" s="282" t="str">
        <f t="shared" si="210"/>
        <v/>
      </c>
      <c r="J644" s="282" t="str">
        <f t="shared" si="210"/>
        <v/>
      </c>
      <c r="K644" s="282" t="str">
        <f t="shared" si="210"/>
        <v/>
      </c>
      <c r="L644" s="282" t="str">
        <f t="shared" si="210"/>
        <v/>
      </c>
      <c r="M644" s="282" t="str">
        <f t="shared" si="210"/>
        <v/>
      </c>
      <c r="N644" s="282" t="str">
        <f t="shared" si="210"/>
        <v/>
      </c>
      <c r="O644" s="282" t="str">
        <f t="shared" si="210"/>
        <v/>
      </c>
      <c r="P644" s="282" t="str">
        <f t="shared" si="210"/>
        <v/>
      </c>
      <c r="Q644" s="264"/>
      <c r="R644" s="281"/>
      <c r="S644" s="281"/>
      <c r="T644" s="281"/>
      <c r="U644" s="281"/>
      <c r="V644" s="283"/>
      <c r="W644" s="247"/>
      <c r="Y644" s="271"/>
    </row>
    <row r="645" spans="1:31">
      <c r="A645" s="291"/>
      <c r="B645" s="268" t="s">
        <v>76</v>
      </c>
      <c r="C645" s="269" t="s">
        <v>77</v>
      </c>
      <c r="Q645" s="269" t="str">
        <f>IF((P646=""),"",MAX(D647:P647))</f>
        <v/>
      </c>
      <c r="R645" s="269" t="str">
        <f>IF(P646="","",MIN(D647:P647))</f>
        <v/>
      </c>
      <c r="S645" s="269" t="str">
        <f>IF((P647=""),"",AVERAGE(D647:P647))</f>
        <v/>
      </c>
      <c r="T645" s="269" t="str">
        <f>IF((P646=""),"",STDEV(D647:P647))</f>
        <v/>
      </c>
      <c r="U645" s="269" t="str">
        <f>IF((P646=""),"",((Q645-R645)/(Q645+R645))*100)</f>
        <v/>
      </c>
      <c r="V645" s="228" t="str">
        <f>IF(P646="","",IF(U645&lt;7.2,IF(S645&gt;AB645,IF(S645&lt;AC645,"Pass","Fail"),"Fail"),"Fail"))</f>
        <v/>
      </c>
      <c r="W645" s="284"/>
      <c r="Y645" s="271"/>
      <c r="Z645" s="272">
        <v>1600</v>
      </c>
      <c r="AA645" s="272">
        <v>2600</v>
      </c>
      <c r="AB645" s="273">
        <v>1900</v>
      </c>
      <c r="AC645" s="273">
        <v>2250</v>
      </c>
      <c r="AD645" s="274">
        <v>10</v>
      </c>
      <c r="AE645" s="274">
        <v>3.6</v>
      </c>
    </row>
    <row r="646" spans="1:31">
      <c r="A646" s="293"/>
      <c r="B646" s="276"/>
      <c r="C646" s="276" t="s">
        <v>78</v>
      </c>
      <c r="Q646" s="276"/>
      <c r="R646" s="276"/>
      <c r="S646" s="276"/>
      <c r="T646" s="276"/>
      <c r="U646" s="276"/>
      <c r="V646" s="277"/>
      <c r="W646" s="238"/>
      <c r="Y646" s="271"/>
    </row>
    <row r="647" spans="1:31" ht="32.25" thickBot="1">
      <c r="A647" s="294"/>
      <c r="B647" s="281"/>
      <c r="C647" s="243" t="s">
        <v>221</v>
      </c>
      <c r="D647" s="282" t="str">
        <f t="shared" ref="D647:P647" si="211">IF(((D645="")*AND(D646="")),"",(D645-D646)*2)</f>
        <v/>
      </c>
      <c r="E647" s="282" t="str">
        <f t="shared" si="211"/>
        <v/>
      </c>
      <c r="F647" s="282" t="str">
        <f t="shared" si="211"/>
        <v/>
      </c>
      <c r="G647" s="282" t="str">
        <f t="shared" si="211"/>
        <v/>
      </c>
      <c r="H647" s="282" t="str">
        <f t="shared" si="211"/>
        <v/>
      </c>
      <c r="I647" s="282" t="str">
        <f t="shared" si="211"/>
        <v/>
      </c>
      <c r="J647" s="282" t="str">
        <f t="shared" si="211"/>
        <v/>
      </c>
      <c r="K647" s="282" t="str">
        <f t="shared" si="211"/>
        <v/>
      </c>
      <c r="L647" s="282" t="str">
        <f t="shared" si="211"/>
        <v/>
      </c>
      <c r="M647" s="282" t="str">
        <f t="shared" si="211"/>
        <v/>
      </c>
      <c r="N647" s="282" t="str">
        <f t="shared" si="211"/>
        <v/>
      </c>
      <c r="O647" s="282" t="str">
        <f t="shared" si="211"/>
        <v/>
      </c>
      <c r="P647" s="282" t="str">
        <f t="shared" si="211"/>
        <v/>
      </c>
      <c r="Q647" s="264"/>
      <c r="R647" s="281"/>
      <c r="S647" s="281"/>
      <c r="T647" s="281"/>
      <c r="U647" s="281"/>
      <c r="V647" s="283"/>
      <c r="W647" s="247"/>
      <c r="Y647" s="271"/>
    </row>
    <row r="648" spans="1:31">
      <c r="A648" s="291"/>
      <c r="B648" s="268" t="s">
        <v>76</v>
      </c>
      <c r="C648" s="269" t="s">
        <v>77</v>
      </c>
      <c r="Q648" s="269" t="str">
        <f>IF((P649=""),"",MAX(D650:P650))</f>
        <v/>
      </c>
      <c r="R648" s="269" t="str">
        <f>IF(P649="","",MIN(D650:P650))</f>
        <v/>
      </c>
      <c r="S648" s="269" t="str">
        <f>IF((P650=""),"",AVERAGE(D650:P650))</f>
        <v/>
      </c>
      <c r="T648" s="269" t="str">
        <f>IF((P649=""),"",STDEV(D650:P650))</f>
        <v/>
      </c>
      <c r="U648" s="269" t="str">
        <f>IF((P649=""),"",((Q648-R648)/(Q648+R648))*100)</f>
        <v/>
      </c>
      <c r="V648" s="228" t="str">
        <f>IF(P649="","",IF(U648&lt;7.2,IF(S648&gt;AB648,IF(S648&lt;AC648,"Pass","Fail"),"Fail"),"Fail"))</f>
        <v/>
      </c>
      <c r="W648" s="284"/>
      <c r="Y648" s="271"/>
      <c r="Z648" s="272">
        <v>1600</v>
      </c>
      <c r="AA648" s="272">
        <v>2600</v>
      </c>
      <c r="AB648" s="273">
        <v>1900</v>
      </c>
      <c r="AC648" s="273">
        <v>2250</v>
      </c>
      <c r="AD648" s="274">
        <v>10</v>
      </c>
      <c r="AE648" s="274">
        <v>3.6</v>
      </c>
    </row>
    <row r="649" spans="1:31">
      <c r="A649" s="293"/>
      <c r="B649" s="276"/>
      <c r="C649" s="276" t="s">
        <v>78</v>
      </c>
      <c r="Q649" s="276"/>
      <c r="R649" s="276"/>
      <c r="S649" s="276"/>
      <c r="T649" s="276"/>
      <c r="U649" s="276"/>
      <c r="V649" s="277"/>
      <c r="W649" s="238"/>
      <c r="Y649" s="271"/>
    </row>
    <row r="650" spans="1:31" ht="32.25" thickBot="1">
      <c r="A650" s="294"/>
      <c r="B650" s="281"/>
      <c r="C650" s="243" t="s">
        <v>221</v>
      </c>
      <c r="D650" s="282" t="str">
        <f t="shared" ref="D650:P650" si="212">IF(((D648="")*AND(D649="")),"",(D648-D649)*2)</f>
        <v/>
      </c>
      <c r="E650" s="282" t="str">
        <f t="shared" si="212"/>
        <v/>
      </c>
      <c r="F650" s="282" t="str">
        <f t="shared" si="212"/>
        <v/>
      </c>
      <c r="G650" s="282" t="str">
        <f t="shared" si="212"/>
        <v/>
      </c>
      <c r="H650" s="282" t="str">
        <f t="shared" si="212"/>
        <v/>
      </c>
      <c r="I650" s="282" t="str">
        <f t="shared" si="212"/>
        <v/>
      </c>
      <c r="J650" s="282" t="str">
        <f t="shared" si="212"/>
        <v/>
      </c>
      <c r="K650" s="282" t="str">
        <f t="shared" si="212"/>
        <v/>
      </c>
      <c r="L650" s="282" t="str">
        <f t="shared" si="212"/>
        <v/>
      </c>
      <c r="M650" s="282" t="str">
        <f t="shared" si="212"/>
        <v/>
      </c>
      <c r="N650" s="282" t="str">
        <f t="shared" si="212"/>
        <v/>
      </c>
      <c r="O650" s="282" t="str">
        <f t="shared" si="212"/>
        <v/>
      </c>
      <c r="P650" s="282" t="str">
        <f t="shared" si="212"/>
        <v/>
      </c>
      <c r="Q650" s="264"/>
      <c r="R650" s="281"/>
      <c r="S650" s="281"/>
      <c r="T650" s="281"/>
      <c r="U650" s="281"/>
      <c r="V650" s="283"/>
      <c r="W650" s="247"/>
      <c r="Y650" s="271"/>
    </row>
    <row r="651" spans="1:31">
      <c r="A651" s="291"/>
      <c r="B651" s="268" t="s">
        <v>76</v>
      </c>
      <c r="C651" s="269" t="s">
        <v>77</v>
      </c>
      <c r="Q651" s="269" t="str">
        <f>IF((P652=""),"",MAX(D653:P653))</f>
        <v/>
      </c>
      <c r="R651" s="269" t="str">
        <f>IF(P652="","",MIN(D653:P653))</f>
        <v/>
      </c>
      <c r="S651" s="269" t="str">
        <f>IF((P653=""),"",AVERAGE(D653:P653))</f>
        <v/>
      </c>
      <c r="T651" s="269" t="str">
        <f>IF((P652=""),"",STDEV(D653:P653))</f>
        <v/>
      </c>
      <c r="U651" s="269" t="str">
        <f>IF((P652=""),"",((Q651-R651)/(Q651+R651))*100)</f>
        <v/>
      </c>
      <c r="V651" s="228" t="str">
        <f>IF(P652="","",IF(U651&lt;7.2,IF(S651&gt;AB651,IF(S651&lt;AC651,"Pass","Fail"),"Fail"),"Fail"))</f>
        <v/>
      </c>
      <c r="W651" s="284"/>
      <c r="Y651" s="271"/>
      <c r="Z651" s="272">
        <v>1600</v>
      </c>
      <c r="AA651" s="272">
        <v>2600</v>
      </c>
      <c r="AB651" s="273">
        <v>1900</v>
      </c>
      <c r="AC651" s="273">
        <v>2250</v>
      </c>
      <c r="AD651" s="274">
        <v>10</v>
      </c>
      <c r="AE651" s="274">
        <v>3.6</v>
      </c>
    </row>
    <row r="652" spans="1:31">
      <c r="A652" s="293"/>
      <c r="B652" s="276"/>
      <c r="C652" s="276" t="s">
        <v>78</v>
      </c>
      <c r="Q652" s="276"/>
      <c r="R652" s="276"/>
      <c r="S652" s="276"/>
      <c r="T652" s="276"/>
      <c r="U652" s="276"/>
      <c r="V652" s="277"/>
      <c r="W652" s="238"/>
      <c r="Y652" s="271"/>
    </row>
    <row r="653" spans="1:31" ht="32.25" thickBot="1">
      <c r="A653" s="294"/>
      <c r="B653" s="281"/>
      <c r="C653" s="243" t="s">
        <v>221</v>
      </c>
      <c r="D653" s="282" t="str">
        <f t="shared" ref="D653:P653" si="213">IF(((D651="")*AND(D652="")),"",(D651-D652)*2)</f>
        <v/>
      </c>
      <c r="E653" s="282" t="str">
        <f t="shared" si="213"/>
        <v/>
      </c>
      <c r="F653" s="282" t="str">
        <f t="shared" si="213"/>
        <v/>
      </c>
      <c r="G653" s="282" t="str">
        <f t="shared" si="213"/>
        <v/>
      </c>
      <c r="H653" s="282" t="str">
        <f t="shared" si="213"/>
        <v/>
      </c>
      <c r="I653" s="282" t="str">
        <f t="shared" si="213"/>
        <v/>
      </c>
      <c r="J653" s="282" t="str">
        <f t="shared" si="213"/>
        <v/>
      </c>
      <c r="K653" s="282" t="str">
        <f t="shared" si="213"/>
        <v/>
      </c>
      <c r="L653" s="282" t="str">
        <f t="shared" si="213"/>
        <v/>
      </c>
      <c r="M653" s="282" t="str">
        <f t="shared" si="213"/>
        <v/>
      </c>
      <c r="N653" s="282" t="str">
        <f t="shared" si="213"/>
        <v/>
      </c>
      <c r="O653" s="282" t="str">
        <f t="shared" si="213"/>
        <v/>
      </c>
      <c r="P653" s="282" t="str">
        <f t="shared" si="213"/>
        <v/>
      </c>
      <c r="Q653" s="264"/>
      <c r="R653" s="281"/>
      <c r="S653" s="281"/>
      <c r="T653" s="281"/>
      <c r="U653" s="281"/>
      <c r="V653" s="283"/>
      <c r="W653" s="247"/>
      <c r="Y653" s="271"/>
    </row>
    <row r="654" spans="1:31">
      <c r="A654" s="291"/>
      <c r="B654" s="268" t="s">
        <v>76</v>
      </c>
      <c r="C654" s="269" t="s">
        <v>77</v>
      </c>
      <c r="Q654" s="269" t="str">
        <f>IF((P655=""),"",MAX(D656:P656))</f>
        <v/>
      </c>
      <c r="R654" s="269" t="str">
        <f>IF(P655="","",MIN(D656:P656))</f>
        <v/>
      </c>
      <c r="S654" s="269" t="str">
        <f>IF((P656=""),"",AVERAGE(D656:P656))</f>
        <v/>
      </c>
      <c r="T654" s="269" t="str">
        <f>IF((P655=""),"",STDEV(D656:P656))</f>
        <v/>
      </c>
      <c r="U654" s="269" t="str">
        <f>IF((P655=""),"",((Q654-R654)/(Q654+R654))*100)</f>
        <v/>
      </c>
      <c r="V654" s="228" t="str">
        <f>IF(P655="","",IF(U654&lt;7.2,IF(S654&gt;AB654,IF(S654&lt;AC654,"Pass","Fail"),"Fail"),"Fail"))</f>
        <v/>
      </c>
      <c r="W654" s="284"/>
      <c r="Y654" s="271"/>
      <c r="Z654" s="272">
        <v>1600</v>
      </c>
      <c r="AA654" s="272">
        <v>2600</v>
      </c>
      <c r="AB654" s="273">
        <v>1900</v>
      </c>
      <c r="AC654" s="273">
        <v>2250</v>
      </c>
      <c r="AD654" s="274">
        <v>10</v>
      </c>
      <c r="AE654" s="274">
        <v>3.6</v>
      </c>
    </row>
    <row r="655" spans="1:31">
      <c r="A655" s="293"/>
      <c r="B655" s="276"/>
      <c r="C655" s="276" t="s">
        <v>78</v>
      </c>
      <c r="Q655" s="276"/>
      <c r="R655" s="276"/>
      <c r="S655" s="276"/>
      <c r="T655" s="276"/>
      <c r="U655" s="276"/>
      <c r="V655" s="277"/>
      <c r="W655" s="238"/>
      <c r="Y655" s="271"/>
    </row>
    <row r="656" spans="1:31" ht="32.25" thickBot="1">
      <c r="A656" s="294"/>
      <c r="B656" s="281"/>
      <c r="C656" s="243" t="s">
        <v>221</v>
      </c>
      <c r="D656" s="282" t="str">
        <f t="shared" ref="D656:P656" si="214">IF(((D654="")*AND(D655="")),"",(D654-D655)*2)</f>
        <v/>
      </c>
      <c r="E656" s="282" t="str">
        <f t="shared" si="214"/>
        <v/>
      </c>
      <c r="F656" s="282" t="str">
        <f t="shared" si="214"/>
        <v/>
      </c>
      <c r="G656" s="282" t="str">
        <f t="shared" si="214"/>
        <v/>
      </c>
      <c r="H656" s="282" t="str">
        <f t="shared" si="214"/>
        <v/>
      </c>
      <c r="I656" s="282" t="str">
        <f t="shared" si="214"/>
        <v/>
      </c>
      <c r="J656" s="282" t="str">
        <f t="shared" si="214"/>
        <v/>
      </c>
      <c r="K656" s="282" t="str">
        <f t="shared" si="214"/>
        <v/>
      </c>
      <c r="L656" s="282" t="str">
        <f t="shared" si="214"/>
        <v/>
      </c>
      <c r="M656" s="282" t="str">
        <f t="shared" si="214"/>
        <v/>
      </c>
      <c r="N656" s="282" t="str">
        <f t="shared" si="214"/>
        <v/>
      </c>
      <c r="O656" s="282" t="str">
        <f t="shared" si="214"/>
        <v/>
      </c>
      <c r="P656" s="282" t="str">
        <f t="shared" si="214"/>
        <v/>
      </c>
      <c r="Q656" s="264"/>
      <c r="R656" s="281"/>
      <c r="S656" s="281"/>
      <c r="T656" s="281"/>
      <c r="U656" s="281"/>
      <c r="V656" s="283"/>
      <c r="W656" s="247"/>
      <c r="Y656" s="271"/>
    </row>
    <row r="657" spans="1:31">
      <c r="A657" s="291"/>
      <c r="B657" s="268" t="s">
        <v>76</v>
      </c>
      <c r="C657" s="269" t="s">
        <v>77</v>
      </c>
      <c r="Q657" s="269" t="str">
        <f>IF((P658=""),"",MAX(D659:P659))</f>
        <v/>
      </c>
      <c r="R657" s="269" t="str">
        <f>IF(P658="","",MIN(D659:P659))</f>
        <v/>
      </c>
      <c r="S657" s="269" t="str">
        <f>IF((P659=""),"",AVERAGE(D659:P659))</f>
        <v/>
      </c>
      <c r="T657" s="269" t="str">
        <f>IF((P658=""),"",STDEV(D659:P659))</f>
        <v/>
      </c>
      <c r="U657" s="269" t="str">
        <f>IF((P658=""),"",((Q657-R657)/(Q657+R657))*100)</f>
        <v/>
      </c>
      <c r="V657" s="228" t="str">
        <f>IF(P658="","",IF(U657&lt;7.2,IF(S657&gt;AB657,IF(S657&lt;AC657,"Pass","Fail"),"Fail"),"Fail"))</f>
        <v/>
      </c>
      <c r="W657" s="284"/>
      <c r="Y657" s="271"/>
      <c r="Z657" s="272">
        <v>1600</v>
      </c>
      <c r="AA657" s="272">
        <v>2600</v>
      </c>
      <c r="AB657" s="273">
        <v>1900</v>
      </c>
      <c r="AC657" s="273">
        <v>2250</v>
      </c>
      <c r="AD657" s="274">
        <v>10</v>
      </c>
      <c r="AE657" s="274">
        <v>3.6</v>
      </c>
    </row>
    <row r="658" spans="1:31">
      <c r="A658" s="293"/>
      <c r="B658" s="276"/>
      <c r="C658" s="276" t="s">
        <v>78</v>
      </c>
      <c r="Q658" s="276"/>
      <c r="R658" s="276"/>
      <c r="S658" s="276"/>
      <c r="T658" s="276"/>
      <c r="U658" s="276"/>
      <c r="V658" s="277"/>
      <c r="W658" s="238"/>
      <c r="Y658" s="271"/>
    </row>
    <row r="659" spans="1:31" ht="32.25" thickBot="1">
      <c r="A659" s="294"/>
      <c r="B659" s="281"/>
      <c r="C659" s="243" t="s">
        <v>221</v>
      </c>
      <c r="D659" s="282" t="str">
        <f t="shared" ref="D659:P659" si="215">IF(((D657="")*AND(D658="")),"",(D657-D658)*2)</f>
        <v/>
      </c>
      <c r="E659" s="282" t="str">
        <f t="shared" si="215"/>
        <v/>
      </c>
      <c r="F659" s="282" t="str">
        <f t="shared" si="215"/>
        <v/>
      </c>
      <c r="G659" s="282" t="str">
        <f t="shared" si="215"/>
        <v/>
      </c>
      <c r="H659" s="282" t="str">
        <f t="shared" si="215"/>
        <v/>
      </c>
      <c r="I659" s="282" t="str">
        <f t="shared" si="215"/>
        <v/>
      </c>
      <c r="J659" s="282" t="str">
        <f t="shared" si="215"/>
        <v/>
      </c>
      <c r="K659" s="282" t="str">
        <f t="shared" si="215"/>
        <v/>
      </c>
      <c r="L659" s="282" t="str">
        <f t="shared" si="215"/>
        <v/>
      </c>
      <c r="M659" s="282" t="str">
        <f t="shared" si="215"/>
        <v/>
      </c>
      <c r="N659" s="282" t="str">
        <f t="shared" si="215"/>
        <v/>
      </c>
      <c r="O659" s="282" t="str">
        <f t="shared" si="215"/>
        <v/>
      </c>
      <c r="P659" s="282" t="str">
        <f t="shared" si="215"/>
        <v/>
      </c>
      <c r="Q659" s="264"/>
      <c r="R659" s="281"/>
      <c r="S659" s="281"/>
      <c r="T659" s="281"/>
      <c r="U659" s="281"/>
      <c r="V659" s="283"/>
      <c r="W659" s="247"/>
      <c r="Y659" s="271"/>
    </row>
    <row r="660" spans="1:31">
      <c r="A660" s="291"/>
      <c r="B660" s="268" t="s">
        <v>76</v>
      </c>
      <c r="C660" s="269" t="s">
        <v>77</v>
      </c>
      <c r="Q660" s="269" t="str">
        <f>IF((P661=""),"",MAX(D662:P662))</f>
        <v/>
      </c>
      <c r="R660" s="269" t="str">
        <f>IF(P661="","",MIN(D662:P662))</f>
        <v/>
      </c>
      <c r="S660" s="269" t="str">
        <f>IF((P662=""),"",AVERAGE(D662:P662))</f>
        <v/>
      </c>
      <c r="T660" s="269" t="str">
        <f>IF((P661=""),"",STDEV(D662:P662))</f>
        <v/>
      </c>
      <c r="U660" s="269" t="str">
        <f>IF((P661=""),"",((Q660-R660)/(Q660+R660))*100)</f>
        <v/>
      </c>
      <c r="V660" s="228" t="str">
        <f>IF(P661="","",IF(U660&lt;7.2,IF(S660&gt;AB660,IF(S660&lt;AC660,"Pass","Fail"),"Fail"),"Fail"))</f>
        <v/>
      </c>
      <c r="W660" s="284"/>
      <c r="Y660" s="271"/>
      <c r="Z660" s="272">
        <v>1600</v>
      </c>
      <c r="AA660" s="272">
        <v>2600</v>
      </c>
      <c r="AB660" s="273">
        <v>1900</v>
      </c>
      <c r="AC660" s="273">
        <v>2250</v>
      </c>
      <c r="AD660" s="274">
        <v>10</v>
      </c>
      <c r="AE660" s="274">
        <v>3.6</v>
      </c>
    </row>
    <row r="661" spans="1:31">
      <c r="A661" s="293"/>
      <c r="B661" s="276"/>
      <c r="C661" s="276" t="s">
        <v>78</v>
      </c>
      <c r="Q661" s="276"/>
      <c r="R661" s="276"/>
      <c r="S661" s="276"/>
      <c r="T661" s="276"/>
      <c r="U661" s="276"/>
      <c r="V661" s="277"/>
      <c r="W661" s="238"/>
      <c r="Y661" s="271"/>
    </row>
    <row r="662" spans="1:31" ht="32.25" thickBot="1">
      <c r="A662" s="294"/>
      <c r="B662" s="281"/>
      <c r="C662" s="243" t="s">
        <v>221</v>
      </c>
      <c r="D662" s="282" t="str">
        <f t="shared" ref="D662:P662" si="216">IF(((D660="")*AND(D661="")),"",(D660-D661)*2)</f>
        <v/>
      </c>
      <c r="E662" s="282" t="str">
        <f t="shared" si="216"/>
        <v/>
      </c>
      <c r="F662" s="282" t="str">
        <f t="shared" si="216"/>
        <v/>
      </c>
      <c r="G662" s="282" t="str">
        <f t="shared" si="216"/>
        <v/>
      </c>
      <c r="H662" s="282" t="str">
        <f t="shared" si="216"/>
        <v/>
      </c>
      <c r="I662" s="282" t="str">
        <f t="shared" si="216"/>
        <v/>
      </c>
      <c r="J662" s="282" t="str">
        <f t="shared" si="216"/>
        <v/>
      </c>
      <c r="K662" s="282" t="str">
        <f t="shared" si="216"/>
        <v/>
      </c>
      <c r="L662" s="282" t="str">
        <f t="shared" si="216"/>
        <v/>
      </c>
      <c r="M662" s="282" t="str">
        <f t="shared" si="216"/>
        <v/>
      </c>
      <c r="N662" s="282" t="str">
        <f t="shared" si="216"/>
        <v/>
      </c>
      <c r="O662" s="282" t="str">
        <f t="shared" si="216"/>
        <v/>
      </c>
      <c r="P662" s="282" t="str">
        <f t="shared" si="216"/>
        <v/>
      </c>
      <c r="Q662" s="264"/>
      <c r="R662" s="281"/>
      <c r="S662" s="281"/>
      <c r="T662" s="281"/>
      <c r="U662" s="281"/>
      <c r="V662" s="283"/>
      <c r="W662" s="247"/>
      <c r="Y662" s="271"/>
    </row>
    <row r="663" spans="1:31">
      <c r="AB663" s="273"/>
      <c r="AC663" s="273"/>
    </row>
    <row r="666" spans="1:31">
      <c r="AB666" s="266">
        <v>1841.2269554684542</v>
      </c>
      <c r="AC666" s="266">
        <v>2379.5389932494945</v>
      </c>
    </row>
    <row r="669" spans="1:31">
      <c r="AB669" s="266">
        <v>1841.2269554684542</v>
      </c>
      <c r="AC669" s="266">
        <v>2379.5389932494945</v>
      </c>
    </row>
    <row r="672" spans="1:31">
      <c r="AB672" s="266">
        <v>1841.2269554684542</v>
      </c>
      <c r="AC672" s="266">
        <v>2379.5389932494945</v>
      </c>
    </row>
    <row r="675" spans="28:29">
      <c r="AB675" s="266">
        <v>1841.2269554684542</v>
      </c>
      <c r="AC675" s="266">
        <v>2379.5389932494945</v>
      </c>
    </row>
    <row r="678" spans="28:29">
      <c r="AB678" s="266">
        <v>1841.2269554684542</v>
      </c>
      <c r="AC678" s="266">
        <v>2379.5389932494945</v>
      </c>
    </row>
    <row r="681" spans="28:29">
      <c r="AB681" s="266">
        <v>1841.2269554684542</v>
      </c>
      <c r="AC681" s="266">
        <v>2379.5389932494945</v>
      </c>
    </row>
    <row r="684" spans="28:29">
      <c r="AB684" s="266">
        <v>1841.2269554684542</v>
      </c>
      <c r="AC684" s="266">
        <v>2379.5389932494945</v>
      </c>
    </row>
    <row r="687" spans="28:29">
      <c r="AB687" s="266">
        <v>1841.2269554684542</v>
      </c>
      <c r="AC687" s="266">
        <v>2379.5389932494945</v>
      </c>
    </row>
    <row r="690" spans="28:29">
      <c r="AB690" s="266">
        <v>1841.2269554684542</v>
      </c>
      <c r="AC690" s="266">
        <v>2379.5389932494945</v>
      </c>
    </row>
    <row r="693" spans="28:29">
      <c r="AB693" s="266">
        <v>1841.2269554684542</v>
      </c>
      <c r="AC693" s="266">
        <v>2379.5389932494945</v>
      </c>
    </row>
    <row r="696" spans="28:29">
      <c r="AB696" s="266">
        <v>1841.2269554684542</v>
      </c>
      <c r="AC696" s="266">
        <v>2379.5389932494945</v>
      </c>
    </row>
  </sheetData>
  <autoFilter ref="A11:AE662"/>
  <mergeCells count="1">
    <mergeCell ref="D8:P8"/>
  </mergeCells>
  <conditionalFormatting sqref="V429 V435 V438 V441 V444 V447 V450 V453 V456 V459 V462 V465 V468 V471 V474 V477 V480 V483 V486 V489 V492 V495 V498 V501 V504 V507 V510 V513 V516 V519 V522 V525 V528 V531 V534 V537 V540 V543 V546 V549 V552 V555 V558 V561 V564 V567 V570 V573 V576 V579 V582 V585 V588 V591 V594 V597 V600 V603 V606 V609 V612 V615 V618 V621 V624 V627 V630 V633 V636 V639 V642 V645 V648 V651 V654 V657 V660 U114 U111 U108:V108 U105:V105 U99:V99 U101:V102 U96:V96 U93:V93 U90:V90 U78 U81 U84:V84 U87 U69 U60 U63 U66 U72 U75 U57 U54 U51 U48 U45 U42 U39:V39 U36 U30 U33 U27 U24 U21 U18 U15 U12 U117 U120 U123 U126 U129 U132 U135 U141 U144 U138 U147 U150 U153 U156 U159 U162:V162 U165 U168 U171 U174 U180 U183 U186 U177 U189 U192 U195 U198 U201 U204 U207 U210 U213 U216 U225 U219 U222 U228 U231 U234 U237 U240 U243 U246 U249 U252 U255 U258 U261 U264 U267 U270 U273 U276 U279 U282 U285 U288 U291 U294 U297 U300 U303 U306 V12:V38 V40:V83 V85:V89 V91:V92 V94:V95 V97:V98 V100 U309 U312 U315 U318 U321 U324 U330 U333 U336 U339 U342 U345 U348 U351 U354 U357 U360 U363 U366 U369 U372 U375 U378 U381 U384 U387 U390 U393 U396 U399 U402 U420 U423 U327 U405 U408 U411 U414 U417 V103:V104 V106:V107 V109:V161 V163:V426 V432">
    <cfRule type="cellIs" dxfId="1319" priority="171" stopIfTrue="1" operator="equal">
      <formula>"Fail"</formula>
    </cfRule>
    <cfRule type="cellIs" dxfId="1318" priority="172" stopIfTrue="1" operator="equal">
      <formula>"Pass"</formula>
    </cfRule>
  </conditionalFormatting>
  <conditionalFormatting sqref="V426 V429 V435 V438 V441 V444 V447 V450 V453 V456 V459 V462 V465 V468 V471 V474 V477 V480 V483 V486 V489 V492 V495 V498 V501 V504 V507 V510 V513 V516 V519 V522 V525 V528 V531 V534 V537 V540 V543 V546 V549 V552 V555 V558 V561 V564 V567 V570 V573 V576 V579 V582 V585 V588 V591 V594 V597 V600 V603 V606 V609 V612 V615 V618 V621 V624 V627 V630 V633 V636 V639 V642 V645 V648 V651 V654 V657 V660 V432">
    <cfRule type="cellIs" dxfId="1317" priority="169" stopIfTrue="1" operator="equal">
      <formula>"Fail"</formula>
    </cfRule>
    <cfRule type="cellIs" dxfId="1316" priority="170" stopIfTrue="1" operator="equal">
      <formula>"Pass"</formula>
    </cfRule>
  </conditionalFormatting>
  <conditionalFormatting sqref="U426 V426:V428">
    <cfRule type="cellIs" dxfId="1315" priority="167" stopIfTrue="1" operator="equal">
      <formula>"Fail"</formula>
    </cfRule>
    <cfRule type="cellIs" dxfId="1314" priority="168" stopIfTrue="1" operator="equal">
      <formula>"Pass"</formula>
    </cfRule>
  </conditionalFormatting>
  <conditionalFormatting sqref="U429 V429:V431">
    <cfRule type="cellIs" dxfId="1313" priority="165" stopIfTrue="1" operator="equal">
      <formula>"Fail"</formula>
    </cfRule>
    <cfRule type="cellIs" dxfId="1312" priority="166" stopIfTrue="1" operator="equal">
      <formula>"Pass"</formula>
    </cfRule>
  </conditionalFormatting>
  <conditionalFormatting sqref="U432 V432:V434">
    <cfRule type="cellIs" dxfId="1311" priority="163" stopIfTrue="1" operator="equal">
      <formula>"Fail"</formula>
    </cfRule>
    <cfRule type="cellIs" dxfId="1310" priority="164" stopIfTrue="1" operator="equal">
      <formula>"Pass"</formula>
    </cfRule>
  </conditionalFormatting>
  <conditionalFormatting sqref="U435 V435:V437">
    <cfRule type="cellIs" dxfId="1309" priority="161" stopIfTrue="1" operator="equal">
      <formula>"Fail"</formula>
    </cfRule>
    <cfRule type="cellIs" dxfId="1308" priority="162" stopIfTrue="1" operator="equal">
      <formula>"Pass"</formula>
    </cfRule>
  </conditionalFormatting>
  <conditionalFormatting sqref="U438 V438:V440">
    <cfRule type="cellIs" dxfId="1307" priority="159" stopIfTrue="1" operator="equal">
      <formula>"Fail"</formula>
    </cfRule>
    <cfRule type="cellIs" dxfId="1306" priority="160" stopIfTrue="1" operator="equal">
      <formula>"Pass"</formula>
    </cfRule>
  </conditionalFormatting>
  <conditionalFormatting sqref="U441 V441:V443">
    <cfRule type="cellIs" dxfId="1305" priority="157" stopIfTrue="1" operator="equal">
      <formula>"Fail"</formula>
    </cfRule>
    <cfRule type="cellIs" dxfId="1304" priority="158" stopIfTrue="1" operator="equal">
      <formula>"Pass"</formula>
    </cfRule>
  </conditionalFormatting>
  <conditionalFormatting sqref="U444 V444:V446">
    <cfRule type="cellIs" dxfId="1303" priority="155" stopIfTrue="1" operator="equal">
      <formula>"Fail"</formula>
    </cfRule>
    <cfRule type="cellIs" dxfId="1302" priority="156" stopIfTrue="1" operator="equal">
      <formula>"Pass"</formula>
    </cfRule>
  </conditionalFormatting>
  <conditionalFormatting sqref="U447 V447:V449">
    <cfRule type="cellIs" dxfId="1301" priority="153" stopIfTrue="1" operator="equal">
      <formula>"Fail"</formula>
    </cfRule>
    <cfRule type="cellIs" dxfId="1300" priority="154" stopIfTrue="1" operator="equal">
      <formula>"Pass"</formula>
    </cfRule>
  </conditionalFormatting>
  <conditionalFormatting sqref="U450 V450:V452">
    <cfRule type="cellIs" dxfId="1299" priority="151" stopIfTrue="1" operator="equal">
      <formula>"Fail"</formula>
    </cfRule>
    <cfRule type="cellIs" dxfId="1298" priority="152" stopIfTrue="1" operator="equal">
      <formula>"Pass"</formula>
    </cfRule>
  </conditionalFormatting>
  <conditionalFormatting sqref="U453 V453:V455">
    <cfRule type="cellIs" dxfId="1297" priority="149" stopIfTrue="1" operator="equal">
      <formula>"Fail"</formula>
    </cfRule>
    <cfRule type="cellIs" dxfId="1296" priority="150" stopIfTrue="1" operator="equal">
      <formula>"Pass"</formula>
    </cfRule>
  </conditionalFormatting>
  <conditionalFormatting sqref="U456 V456:V458">
    <cfRule type="cellIs" dxfId="1295" priority="147" stopIfTrue="1" operator="equal">
      <formula>"Fail"</formula>
    </cfRule>
    <cfRule type="cellIs" dxfId="1294" priority="148" stopIfTrue="1" operator="equal">
      <formula>"Pass"</formula>
    </cfRule>
  </conditionalFormatting>
  <conditionalFormatting sqref="U459 V459:V461">
    <cfRule type="cellIs" dxfId="1293" priority="145" stopIfTrue="1" operator="equal">
      <formula>"Fail"</formula>
    </cfRule>
    <cfRule type="cellIs" dxfId="1292" priority="146" stopIfTrue="1" operator="equal">
      <formula>"Pass"</formula>
    </cfRule>
  </conditionalFormatting>
  <conditionalFormatting sqref="U462 V462:V464">
    <cfRule type="cellIs" dxfId="1291" priority="143" stopIfTrue="1" operator="equal">
      <formula>"Fail"</formula>
    </cfRule>
    <cfRule type="cellIs" dxfId="1290" priority="144" stopIfTrue="1" operator="equal">
      <formula>"Pass"</formula>
    </cfRule>
  </conditionalFormatting>
  <conditionalFormatting sqref="U465 V465:V467">
    <cfRule type="cellIs" dxfId="1289" priority="141" stopIfTrue="1" operator="equal">
      <formula>"Fail"</formula>
    </cfRule>
    <cfRule type="cellIs" dxfId="1288" priority="142" stopIfTrue="1" operator="equal">
      <formula>"Pass"</formula>
    </cfRule>
  </conditionalFormatting>
  <conditionalFormatting sqref="U468 V468:V470">
    <cfRule type="cellIs" dxfId="1287" priority="139" stopIfTrue="1" operator="equal">
      <formula>"Fail"</formula>
    </cfRule>
    <cfRule type="cellIs" dxfId="1286" priority="140" stopIfTrue="1" operator="equal">
      <formula>"Pass"</formula>
    </cfRule>
  </conditionalFormatting>
  <conditionalFormatting sqref="U471 V471:V473">
    <cfRule type="cellIs" dxfId="1285" priority="137" stopIfTrue="1" operator="equal">
      <formula>"Fail"</formula>
    </cfRule>
    <cfRule type="cellIs" dxfId="1284" priority="138" stopIfTrue="1" operator="equal">
      <formula>"Pass"</formula>
    </cfRule>
  </conditionalFormatting>
  <conditionalFormatting sqref="U474 V474:V476">
    <cfRule type="cellIs" dxfId="1283" priority="135" stopIfTrue="1" operator="equal">
      <formula>"Fail"</formula>
    </cfRule>
    <cfRule type="cellIs" dxfId="1282" priority="136" stopIfTrue="1" operator="equal">
      <formula>"Pass"</formula>
    </cfRule>
  </conditionalFormatting>
  <conditionalFormatting sqref="U477 V477:V479">
    <cfRule type="cellIs" dxfId="1281" priority="133" stopIfTrue="1" operator="equal">
      <formula>"Fail"</formula>
    </cfRule>
    <cfRule type="cellIs" dxfId="1280" priority="134" stopIfTrue="1" operator="equal">
      <formula>"Pass"</formula>
    </cfRule>
  </conditionalFormatting>
  <conditionalFormatting sqref="U480 V480:V482">
    <cfRule type="cellIs" dxfId="1279" priority="131" stopIfTrue="1" operator="equal">
      <formula>"Fail"</formula>
    </cfRule>
    <cfRule type="cellIs" dxfId="1278" priority="132" stopIfTrue="1" operator="equal">
      <formula>"Pass"</formula>
    </cfRule>
  </conditionalFormatting>
  <conditionalFormatting sqref="U483 V483:V485">
    <cfRule type="cellIs" dxfId="1277" priority="129" stopIfTrue="1" operator="equal">
      <formula>"Fail"</formula>
    </cfRule>
    <cfRule type="cellIs" dxfId="1276" priority="130" stopIfTrue="1" operator="equal">
      <formula>"Pass"</formula>
    </cfRule>
  </conditionalFormatting>
  <conditionalFormatting sqref="U486 V486:V488">
    <cfRule type="cellIs" dxfId="1275" priority="127" stopIfTrue="1" operator="equal">
      <formula>"Fail"</formula>
    </cfRule>
    <cfRule type="cellIs" dxfId="1274" priority="128" stopIfTrue="1" operator="equal">
      <formula>"Pass"</formula>
    </cfRule>
  </conditionalFormatting>
  <conditionalFormatting sqref="U489 V489:V491">
    <cfRule type="cellIs" dxfId="1273" priority="125" stopIfTrue="1" operator="equal">
      <formula>"Fail"</formula>
    </cfRule>
    <cfRule type="cellIs" dxfId="1272" priority="126" stopIfTrue="1" operator="equal">
      <formula>"Pass"</formula>
    </cfRule>
  </conditionalFormatting>
  <conditionalFormatting sqref="U492 V492:V494">
    <cfRule type="cellIs" dxfId="1271" priority="123" stopIfTrue="1" operator="equal">
      <formula>"Fail"</formula>
    </cfRule>
    <cfRule type="cellIs" dxfId="1270" priority="124" stopIfTrue="1" operator="equal">
      <formula>"Pass"</formula>
    </cfRule>
  </conditionalFormatting>
  <conditionalFormatting sqref="U495 V495:V497">
    <cfRule type="cellIs" dxfId="1269" priority="121" stopIfTrue="1" operator="equal">
      <formula>"Fail"</formula>
    </cfRule>
    <cfRule type="cellIs" dxfId="1268" priority="122" stopIfTrue="1" operator="equal">
      <formula>"Pass"</formula>
    </cfRule>
  </conditionalFormatting>
  <conditionalFormatting sqref="U498 V498:V500">
    <cfRule type="cellIs" dxfId="1267" priority="119" stopIfTrue="1" operator="equal">
      <formula>"Fail"</formula>
    </cfRule>
    <cfRule type="cellIs" dxfId="1266" priority="120" stopIfTrue="1" operator="equal">
      <formula>"Pass"</formula>
    </cfRule>
  </conditionalFormatting>
  <conditionalFormatting sqref="U501 V501:V503">
    <cfRule type="cellIs" dxfId="1265" priority="117" stopIfTrue="1" operator="equal">
      <formula>"Fail"</formula>
    </cfRule>
    <cfRule type="cellIs" dxfId="1264" priority="118" stopIfTrue="1" operator="equal">
      <formula>"Pass"</formula>
    </cfRule>
  </conditionalFormatting>
  <conditionalFormatting sqref="U504 V504:V506">
    <cfRule type="cellIs" dxfId="1263" priority="115" stopIfTrue="1" operator="equal">
      <formula>"Fail"</formula>
    </cfRule>
    <cfRule type="cellIs" dxfId="1262" priority="116" stopIfTrue="1" operator="equal">
      <formula>"Pass"</formula>
    </cfRule>
  </conditionalFormatting>
  <conditionalFormatting sqref="U507 V507:V509">
    <cfRule type="cellIs" dxfId="1261" priority="113" stopIfTrue="1" operator="equal">
      <formula>"Fail"</formula>
    </cfRule>
    <cfRule type="cellIs" dxfId="1260" priority="114" stopIfTrue="1" operator="equal">
      <formula>"Pass"</formula>
    </cfRule>
  </conditionalFormatting>
  <conditionalFormatting sqref="U510 V510:V512">
    <cfRule type="cellIs" dxfId="1259" priority="111" stopIfTrue="1" operator="equal">
      <formula>"Fail"</formula>
    </cfRule>
    <cfRule type="cellIs" dxfId="1258" priority="112" stopIfTrue="1" operator="equal">
      <formula>"Pass"</formula>
    </cfRule>
  </conditionalFormatting>
  <conditionalFormatting sqref="U513 V513:V515">
    <cfRule type="cellIs" dxfId="1257" priority="109" stopIfTrue="1" operator="equal">
      <formula>"Fail"</formula>
    </cfRule>
    <cfRule type="cellIs" dxfId="1256" priority="110" stopIfTrue="1" operator="equal">
      <formula>"Pass"</formula>
    </cfRule>
  </conditionalFormatting>
  <conditionalFormatting sqref="U516 V516:V518">
    <cfRule type="cellIs" dxfId="1255" priority="107" stopIfTrue="1" operator="equal">
      <formula>"Fail"</formula>
    </cfRule>
    <cfRule type="cellIs" dxfId="1254" priority="108" stopIfTrue="1" operator="equal">
      <formula>"Pass"</formula>
    </cfRule>
  </conditionalFormatting>
  <conditionalFormatting sqref="U519 V519:V521">
    <cfRule type="cellIs" dxfId="1253" priority="105" stopIfTrue="1" operator="equal">
      <formula>"Fail"</formula>
    </cfRule>
    <cfRule type="cellIs" dxfId="1252" priority="106" stopIfTrue="1" operator="equal">
      <formula>"Pass"</formula>
    </cfRule>
  </conditionalFormatting>
  <conditionalFormatting sqref="U522 V522:V524">
    <cfRule type="cellIs" dxfId="1251" priority="103" stopIfTrue="1" operator="equal">
      <formula>"Fail"</formula>
    </cfRule>
    <cfRule type="cellIs" dxfId="1250" priority="104" stopIfTrue="1" operator="equal">
      <formula>"Pass"</formula>
    </cfRule>
  </conditionalFormatting>
  <conditionalFormatting sqref="U525 V525:V527">
    <cfRule type="cellIs" dxfId="1249" priority="101" stopIfTrue="1" operator="equal">
      <formula>"Fail"</formula>
    </cfRule>
    <cfRule type="cellIs" dxfId="1248" priority="102" stopIfTrue="1" operator="equal">
      <formula>"Pass"</formula>
    </cfRule>
  </conditionalFormatting>
  <conditionalFormatting sqref="U528 V528:V530">
    <cfRule type="cellIs" dxfId="1247" priority="99" stopIfTrue="1" operator="equal">
      <formula>"Fail"</formula>
    </cfRule>
    <cfRule type="cellIs" dxfId="1246" priority="100" stopIfTrue="1" operator="equal">
      <formula>"Pass"</formula>
    </cfRule>
  </conditionalFormatting>
  <conditionalFormatting sqref="U531 V531:V533">
    <cfRule type="cellIs" dxfId="1245" priority="97" stopIfTrue="1" operator="equal">
      <formula>"Fail"</formula>
    </cfRule>
    <cfRule type="cellIs" dxfId="1244" priority="98" stopIfTrue="1" operator="equal">
      <formula>"Pass"</formula>
    </cfRule>
  </conditionalFormatting>
  <conditionalFormatting sqref="U534 V534:V536">
    <cfRule type="cellIs" dxfId="1243" priority="95" stopIfTrue="1" operator="equal">
      <formula>"Fail"</formula>
    </cfRule>
    <cfRule type="cellIs" dxfId="1242" priority="96" stopIfTrue="1" operator="equal">
      <formula>"Pass"</formula>
    </cfRule>
  </conditionalFormatting>
  <conditionalFormatting sqref="U537 V537:V539">
    <cfRule type="cellIs" dxfId="1241" priority="93" stopIfTrue="1" operator="equal">
      <formula>"Fail"</formula>
    </cfRule>
    <cfRule type="cellIs" dxfId="1240" priority="94" stopIfTrue="1" operator="equal">
      <formula>"Pass"</formula>
    </cfRule>
  </conditionalFormatting>
  <conditionalFormatting sqref="U540 V540:V542">
    <cfRule type="cellIs" dxfId="1239" priority="91" stopIfTrue="1" operator="equal">
      <formula>"Fail"</formula>
    </cfRule>
    <cfRule type="cellIs" dxfId="1238" priority="92" stopIfTrue="1" operator="equal">
      <formula>"Pass"</formula>
    </cfRule>
  </conditionalFormatting>
  <conditionalFormatting sqref="U543 V543:V545">
    <cfRule type="cellIs" dxfId="1237" priority="89" stopIfTrue="1" operator="equal">
      <formula>"Fail"</formula>
    </cfRule>
    <cfRule type="cellIs" dxfId="1236" priority="90" stopIfTrue="1" operator="equal">
      <formula>"Pass"</formula>
    </cfRule>
  </conditionalFormatting>
  <conditionalFormatting sqref="U546 V546:V548">
    <cfRule type="cellIs" dxfId="1235" priority="87" stopIfTrue="1" operator="equal">
      <formula>"Fail"</formula>
    </cfRule>
    <cfRule type="cellIs" dxfId="1234" priority="88" stopIfTrue="1" operator="equal">
      <formula>"Pass"</formula>
    </cfRule>
  </conditionalFormatting>
  <conditionalFormatting sqref="U549 V549:V551">
    <cfRule type="cellIs" dxfId="1233" priority="85" stopIfTrue="1" operator="equal">
      <formula>"Fail"</formula>
    </cfRule>
    <cfRule type="cellIs" dxfId="1232" priority="86" stopIfTrue="1" operator="equal">
      <formula>"Pass"</formula>
    </cfRule>
  </conditionalFormatting>
  <conditionalFormatting sqref="U552 V552:V554">
    <cfRule type="cellIs" dxfId="1231" priority="83" stopIfTrue="1" operator="equal">
      <formula>"Fail"</formula>
    </cfRule>
    <cfRule type="cellIs" dxfId="1230" priority="84" stopIfTrue="1" operator="equal">
      <formula>"Pass"</formula>
    </cfRule>
  </conditionalFormatting>
  <conditionalFormatting sqref="U555 V555:V557">
    <cfRule type="cellIs" dxfId="1229" priority="81" stopIfTrue="1" operator="equal">
      <formula>"Fail"</formula>
    </cfRule>
    <cfRule type="cellIs" dxfId="1228" priority="82" stopIfTrue="1" operator="equal">
      <formula>"Pass"</formula>
    </cfRule>
  </conditionalFormatting>
  <conditionalFormatting sqref="U558 V558:V560">
    <cfRule type="cellIs" dxfId="1227" priority="79" stopIfTrue="1" operator="equal">
      <formula>"Fail"</formula>
    </cfRule>
    <cfRule type="cellIs" dxfId="1226" priority="80" stopIfTrue="1" operator="equal">
      <formula>"Pass"</formula>
    </cfRule>
  </conditionalFormatting>
  <conditionalFormatting sqref="U561 V561:V563">
    <cfRule type="cellIs" dxfId="1225" priority="77" stopIfTrue="1" operator="equal">
      <formula>"Fail"</formula>
    </cfRule>
    <cfRule type="cellIs" dxfId="1224" priority="78" stopIfTrue="1" operator="equal">
      <formula>"Pass"</formula>
    </cfRule>
  </conditionalFormatting>
  <conditionalFormatting sqref="U564 V564:V566">
    <cfRule type="cellIs" dxfId="1223" priority="75" stopIfTrue="1" operator="equal">
      <formula>"Fail"</formula>
    </cfRule>
    <cfRule type="cellIs" dxfId="1222" priority="76" stopIfTrue="1" operator="equal">
      <formula>"Pass"</formula>
    </cfRule>
  </conditionalFormatting>
  <conditionalFormatting sqref="U567 V567:V569">
    <cfRule type="cellIs" dxfId="1221" priority="73" stopIfTrue="1" operator="equal">
      <formula>"Fail"</formula>
    </cfRule>
    <cfRule type="cellIs" dxfId="1220" priority="74" stopIfTrue="1" operator="equal">
      <formula>"Pass"</formula>
    </cfRule>
  </conditionalFormatting>
  <conditionalFormatting sqref="U570 V570:V572">
    <cfRule type="cellIs" dxfId="1219" priority="71" stopIfTrue="1" operator="equal">
      <formula>"Fail"</formula>
    </cfRule>
    <cfRule type="cellIs" dxfId="1218" priority="72" stopIfTrue="1" operator="equal">
      <formula>"Pass"</formula>
    </cfRule>
  </conditionalFormatting>
  <conditionalFormatting sqref="U573 V573:V575">
    <cfRule type="cellIs" dxfId="1217" priority="69" stopIfTrue="1" operator="equal">
      <formula>"Fail"</formula>
    </cfRule>
    <cfRule type="cellIs" dxfId="1216" priority="70" stopIfTrue="1" operator="equal">
      <formula>"Pass"</formula>
    </cfRule>
  </conditionalFormatting>
  <conditionalFormatting sqref="U576 V576:V578">
    <cfRule type="cellIs" dxfId="1215" priority="67" stopIfTrue="1" operator="equal">
      <formula>"Fail"</formula>
    </cfRule>
    <cfRule type="cellIs" dxfId="1214" priority="68" stopIfTrue="1" operator="equal">
      <formula>"Pass"</formula>
    </cfRule>
  </conditionalFormatting>
  <conditionalFormatting sqref="U579 V579:V581">
    <cfRule type="cellIs" dxfId="1213" priority="65" stopIfTrue="1" operator="equal">
      <formula>"Fail"</formula>
    </cfRule>
    <cfRule type="cellIs" dxfId="1212" priority="66" stopIfTrue="1" operator="equal">
      <formula>"Pass"</formula>
    </cfRule>
  </conditionalFormatting>
  <conditionalFormatting sqref="U582 V582:V584">
    <cfRule type="cellIs" dxfId="1211" priority="63" stopIfTrue="1" operator="equal">
      <formula>"Fail"</formula>
    </cfRule>
    <cfRule type="cellIs" dxfId="1210" priority="64" stopIfTrue="1" operator="equal">
      <formula>"Pass"</formula>
    </cfRule>
  </conditionalFormatting>
  <conditionalFormatting sqref="U585 V585:V587">
    <cfRule type="cellIs" dxfId="1209" priority="61" stopIfTrue="1" operator="equal">
      <formula>"Fail"</formula>
    </cfRule>
    <cfRule type="cellIs" dxfId="1208" priority="62" stopIfTrue="1" operator="equal">
      <formula>"Pass"</formula>
    </cfRule>
  </conditionalFormatting>
  <conditionalFormatting sqref="U588 V588:V590">
    <cfRule type="cellIs" dxfId="1207" priority="59" stopIfTrue="1" operator="equal">
      <formula>"Fail"</formula>
    </cfRule>
    <cfRule type="cellIs" dxfId="1206" priority="60" stopIfTrue="1" operator="equal">
      <formula>"Pass"</formula>
    </cfRule>
  </conditionalFormatting>
  <conditionalFormatting sqref="U591 V591:V593">
    <cfRule type="cellIs" dxfId="1205" priority="57" stopIfTrue="1" operator="equal">
      <formula>"Fail"</formula>
    </cfRule>
    <cfRule type="cellIs" dxfId="1204" priority="58" stopIfTrue="1" operator="equal">
      <formula>"Pass"</formula>
    </cfRule>
  </conditionalFormatting>
  <conditionalFormatting sqref="U594 V594:V596">
    <cfRule type="cellIs" dxfId="1203" priority="55" stopIfTrue="1" operator="equal">
      <formula>"Fail"</formula>
    </cfRule>
    <cfRule type="cellIs" dxfId="1202" priority="56" stopIfTrue="1" operator="equal">
      <formula>"Pass"</formula>
    </cfRule>
  </conditionalFormatting>
  <conditionalFormatting sqref="U597 V597:V599">
    <cfRule type="cellIs" dxfId="1201" priority="53" stopIfTrue="1" operator="equal">
      <formula>"Fail"</formula>
    </cfRule>
    <cfRule type="cellIs" dxfId="1200" priority="54" stopIfTrue="1" operator="equal">
      <formula>"Pass"</formula>
    </cfRule>
  </conditionalFormatting>
  <conditionalFormatting sqref="U600 V600:V602">
    <cfRule type="cellIs" dxfId="1199" priority="51" stopIfTrue="1" operator="equal">
      <formula>"Fail"</formula>
    </cfRule>
    <cfRule type="cellIs" dxfId="1198" priority="52" stopIfTrue="1" operator="equal">
      <formula>"Pass"</formula>
    </cfRule>
  </conditionalFormatting>
  <conditionalFormatting sqref="U603 V603:V605">
    <cfRule type="cellIs" dxfId="1197" priority="49" stopIfTrue="1" operator="equal">
      <formula>"Fail"</formula>
    </cfRule>
    <cfRule type="cellIs" dxfId="1196" priority="50" stopIfTrue="1" operator="equal">
      <formula>"Pass"</formula>
    </cfRule>
  </conditionalFormatting>
  <conditionalFormatting sqref="U606 V606:V608">
    <cfRule type="cellIs" dxfId="1195" priority="47" stopIfTrue="1" operator="equal">
      <formula>"Fail"</formula>
    </cfRule>
    <cfRule type="cellIs" dxfId="1194" priority="48" stopIfTrue="1" operator="equal">
      <formula>"Pass"</formula>
    </cfRule>
  </conditionalFormatting>
  <conditionalFormatting sqref="U609 V609:V611">
    <cfRule type="cellIs" dxfId="1193" priority="45" stopIfTrue="1" operator="equal">
      <formula>"Fail"</formula>
    </cfRule>
    <cfRule type="cellIs" dxfId="1192" priority="46" stopIfTrue="1" operator="equal">
      <formula>"Pass"</formula>
    </cfRule>
  </conditionalFormatting>
  <conditionalFormatting sqref="U612 V612:V614">
    <cfRule type="cellIs" dxfId="1191" priority="43" stopIfTrue="1" operator="equal">
      <formula>"Fail"</formula>
    </cfRule>
    <cfRule type="cellIs" dxfId="1190" priority="44" stopIfTrue="1" operator="equal">
      <formula>"Pass"</formula>
    </cfRule>
  </conditionalFormatting>
  <conditionalFormatting sqref="U615 V615:V617">
    <cfRule type="cellIs" dxfId="1189" priority="41" stopIfTrue="1" operator="equal">
      <formula>"Fail"</formula>
    </cfRule>
    <cfRule type="cellIs" dxfId="1188" priority="42" stopIfTrue="1" operator="equal">
      <formula>"Pass"</formula>
    </cfRule>
  </conditionalFormatting>
  <conditionalFormatting sqref="U618 V618:V620">
    <cfRule type="cellIs" dxfId="1187" priority="39" stopIfTrue="1" operator="equal">
      <formula>"Fail"</formula>
    </cfRule>
    <cfRule type="cellIs" dxfId="1186" priority="40" stopIfTrue="1" operator="equal">
      <formula>"Pass"</formula>
    </cfRule>
  </conditionalFormatting>
  <conditionalFormatting sqref="U621 V621:V623">
    <cfRule type="cellIs" dxfId="1185" priority="37" stopIfTrue="1" operator="equal">
      <formula>"Fail"</formula>
    </cfRule>
    <cfRule type="cellIs" dxfId="1184" priority="38" stopIfTrue="1" operator="equal">
      <formula>"Pass"</formula>
    </cfRule>
  </conditionalFormatting>
  <conditionalFormatting sqref="U624 V624:V626">
    <cfRule type="cellIs" dxfId="1183" priority="35" stopIfTrue="1" operator="equal">
      <formula>"Fail"</formula>
    </cfRule>
    <cfRule type="cellIs" dxfId="1182" priority="36" stopIfTrue="1" operator="equal">
      <formula>"Pass"</formula>
    </cfRule>
  </conditionalFormatting>
  <conditionalFormatting sqref="U627 V627:V629">
    <cfRule type="cellIs" dxfId="1181" priority="33" stopIfTrue="1" operator="equal">
      <formula>"Fail"</formula>
    </cfRule>
    <cfRule type="cellIs" dxfId="1180" priority="34" stopIfTrue="1" operator="equal">
      <formula>"Pass"</formula>
    </cfRule>
  </conditionalFormatting>
  <conditionalFormatting sqref="U630 V630:V632">
    <cfRule type="cellIs" dxfId="1179" priority="31" stopIfTrue="1" operator="equal">
      <formula>"Fail"</formula>
    </cfRule>
    <cfRule type="cellIs" dxfId="1178" priority="32" stopIfTrue="1" operator="equal">
      <formula>"Pass"</formula>
    </cfRule>
  </conditionalFormatting>
  <conditionalFormatting sqref="U633 V633:V635">
    <cfRule type="cellIs" dxfId="1177" priority="29" stopIfTrue="1" operator="equal">
      <formula>"Fail"</formula>
    </cfRule>
    <cfRule type="cellIs" dxfId="1176" priority="30" stopIfTrue="1" operator="equal">
      <formula>"Pass"</formula>
    </cfRule>
  </conditionalFormatting>
  <conditionalFormatting sqref="U636 V636:V638">
    <cfRule type="cellIs" dxfId="1175" priority="27" stopIfTrue="1" operator="equal">
      <formula>"Fail"</formula>
    </cfRule>
    <cfRule type="cellIs" dxfId="1174" priority="28" stopIfTrue="1" operator="equal">
      <formula>"Pass"</formula>
    </cfRule>
  </conditionalFormatting>
  <conditionalFormatting sqref="U639 V639:V641">
    <cfRule type="cellIs" dxfId="1173" priority="25" stopIfTrue="1" operator="equal">
      <formula>"Fail"</formula>
    </cfRule>
    <cfRule type="cellIs" dxfId="1172" priority="26" stopIfTrue="1" operator="equal">
      <formula>"Pass"</formula>
    </cfRule>
  </conditionalFormatting>
  <conditionalFormatting sqref="U642 V642:V644">
    <cfRule type="cellIs" dxfId="1171" priority="23" stopIfTrue="1" operator="equal">
      <formula>"Fail"</formula>
    </cfRule>
    <cfRule type="cellIs" dxfId="1170" priority="24" stopIfTrue="1" operator="equal">
      <formula>"Pass"</formula>
    </cfRule>
  </conditionalFormatting>
  <conditionalFormatting sqref="U645 V645:V647">
    <cfRule type="cellIs" dxfId="1169" priority="21" stopIfTrue="1" operator="equal">
      <formula>"Fail"</formula>
    </cfRule>
    <cfRule type="cellIs" dxfId="1168" priority="22" stopIfTrue="1" operator="equal">
      <formula>"Pass"</formula>
    </cfRule>
  </conditionalFormatting>
  <conditionalFormatting sqref="U648 V648:V650">
    <cfRule type="cellIs" dxfId="1167" priority="19" stopIfTrue="1" operator="equal">
      <formula>"Fail"</formula>
    </cfRule>
    <cfRule type="cellIs" dxfId="1166" priority="20" stopIfTrue="1" operator="equal">
      <formula>"Pass"</formula>
    </cfRule>
  </conditionalFormatting>
  <conditionalFormatting sqref="U651 V651:V653">
    <cfRule type="cellIs" dxfId="1165" priority="17" stopIfTrue="1" operator="equal">
      <formula>"Fail"</formula>
    </cfRule>
    <cfRule type="cellIs" dxfId="1164" priority="18" stopIfTrue="1" operator="equal">
      <formula>"Pass"</formula>
    </cfRule>
  </conditionalFormatting>
  <conditionalFormatting sqref="U654 V654:V656">
    <cfRule type="cellIs" dxfId="1163" priority="15" stopIfTrue="1" operator="equal">
      <formula>"Fail"</formula>
    </cfRule>
    <cfRule type="cellIs" dxfId="1162" priority="16" stopIfTrue="1" operator="equal">
      <formula>"Pass"</formula>
    </cfRule>
  </conditionalFormatting>
  <conditionalFormatting sqref="U657 V657:V659">
    <cfRule type="cellIs" dxfId="1161" priority="13" stopIfTrue="1" operator="equal">
      <formula>"Fail"</formula>
    </cfRule>
    <cfRule type="cellIs" dxfId="1160" priority="14" stopIfTrue="1" operator="equal">
      <formula>"Pass"</formula>
    </cfRule>
  </conditionalFormatting>
  <conditionalFormatting sqref="U660 V660:V662">
    <cfRule type="cellIs" dxfId="1159" priority="11" stopIfTrue="1" operator="equal">
      <formula>"Fail"</formula>
    </cfRule>
    <cfRule type="cellIs" dxfId="1158" priority="12" stopIfTrue="1" operator="equal">
      <formula>"Pass"</formula>
    </cfRule>
  </conditionalFormatting>
  <conditionalFormatting sqref="U432 V432:V434">
    <cfRule type="cellIs" dxfId="1157" priority="9" stopIfTrue="1" operator="equal">
      <formula>"Fail"</formula>
    </cfRule>
    <cfRule type="cellIs" dxfId="1156" priority="10" stopIfTrue="1" operator="equal">
      <formula>"Pass"</formula>
    </cfRule>
  </conditionalFormatting>
  <conditionalFormatting sqref="V447 V450">
    <cfRule type="cellIs" dxfId="1155" priority="7" stopIfTrue="1" operator="equal">
      <formula>"Fail"</formula>
    </cfRule>
    <cfRule type="cellIs" dxfId="1154" priority="8" stopIfTrue="1" operator="equal">
      <formula>"Pass"</formula>
    </cfRule>
  </conditionalFormatting>
  <conditionalFormatting sqref="V447 V450">
    <cfRule type="cellIs" dxfId="1153" priority="5" stopIfTrue="1" operator="equal">
      <formula>"Fail"</formula>
    </cfRule>
    <cfRule type="cellIs" dxfId="1152" priority="6" stopIfTrue="1" operator="equal">
      <formula>"Pass"</formula>
    </cfRule>
  </conditionalFormatting>
  <conditionalFormatting sqref="U447 V447:V449">
    <cfRule type="cellIs" dxfId="1151" priority="3" stopIfTrue="1" operator="equal">
      <formula>"Fail"</formula>
    </cfRule>
    <cfRule type="cellIs" dxfId="1150" priority="4" stopIfTrue="1" operator="equal">
      <formula>"Pass"</formula>
    </cfRule>
  </conditionalFormatting>
  <conditionalFormatting sqref="U450 V450:V452">
    <cfRule type="cellIs" dxfId="1149" priority="1" stopIfTrue="1" operator="equal">
      <formula>"Fail"</formula>
    </cfRule>
    <cfRule type="cellIs" dxfId="1148" priority="2" stopIfTrue="1" operator="equal">
      <formula>"Pass"</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sheetPr codeName="Sheet6"/>
  <dimension ref="A1:AK665"/>
  <sheetViews>
    <sheetView zoomScale="70" zoomScaleNormal="70" workbookViewId="0">
      <pane ySplit="11" topLeftCell="A444" activePane="bottomLeft" state="frozen"/>
      <selection pane="bottomLeft" activeCell="B466" sqref="B466"/>
    </sheetView>
  </sheetViews>
  <sheetFormatPr defaultColWidth="9" defaultRowHeight="15.75"/>
  <cols>
    <col min="1" max="1" width="13.75" style="378" customWidth="1"/>
    <col min="2" max="2" width="15.125" style="123" customWidth="1"/>
    <col min="3" max="22" width="9" style="123"/>
    <col min="23" max="23" width="12.5" style="123" bestFit="1" customWidth="1"/>
    <col min="24" max="24" width="9" style="379"/>
    <col min="25" max="25" width="12" style="209" customWidth="1"/>
    <col min="26" max="26" width="9" style="123"/>
    <col min="27" max="27" width="9" style="377"/>
    <col min="28" max="28" width="23" style="377" customWidth="1"/>
    <col min="29" max="29" width="24.375" style="323" customWidth="1"/>
    <col min="30" max="33" width="9" style="302"/>
    <col min="34" max="34" width="9" style="122" customWidth="1"/>
    <col min="35" max="35" width="9" style="122"/>
    <col min="36" max="16384" width="9" style="123"/>
  </cols>
  <sheetData>
    <row r="1" spans="1:35" s="182" customFormat="1">
      <c r="A1" s="297" t="s">
        <v>11</v>
      </c>
      <c r="B1" s="173"/>
      <c r="C1" s="298"/>
      <c r="D1" s="298"/>
      <c r="E1" s="298"/>
      <c r="F1" s="298"/>
      <c r="G1" s="298"/>
      <c r="H1" s="298"/>
      <c r="I1" s="298"/>
      <c r="J1" s="298"/>
      <c r="K1" s="298"/>
      <c r="L1" s="298"/>
      <c r="M1" s="298"/>
      <c r="N1" s="298"/>
      <c r="O1" s="298"/>
      <c r="P1" s="298"/>
      <c r="Q1" s="298"/>
      <c r="R1" s="298"/>
      <c r="S1" s="298"/>
      <c r="T1" s="299"/>
      <c r="U1" s="298"/>
      <c r="V1" s="298"/>
      <c r="W1" s="298"/>
      <c r="X1" s="230"/>
      <c r="Y1" s="300"/>
      <c r="Z1" s="298"/>
      <c r="AA1" s="301"/>
      <c r="AB1" s="301"/>
      <c r="AC1" s="299"/>
      <c r="AD1" s="302"/>
      <c r="AE1" s="302"/>
      <c r="AF1" s="303"/>
      <c r="AG1" s="303"/>
      <c r="AH1" s="304"/>
      <c r="AI1" s="304"/>
    </row>
    <row r="2" spans="1:35">
      <c r="A2" s="305" t="s">
        <v>193</v>
      </c>
      <c r="B2" s="184"/>
      <c r="C2" s="306"/>
      <c r="D2" s="307"/>
      <c r="E2" s="307"/>
      <c r="F2" s="308"/>
      <c r="G2" s="308"/>
      <c r="H2" s="308"/>
      <c r="I2" s="308"/>
      <c r="J2" s="308" t="s">
        <v>194</v>
      </c>
      <c r="K2" s="308"/>
      <c r="L2" s="308"/>
      <c r="M2" s="308"/>
      <c r="N2" s="308"/>
      <c r="O2" s="308"/>
      <c r="P2" s="308"/>
      <c r="Q2" s="308"/>
      <c r="R2" s="308"/>
      <c r="S2" s="308"/>
      <c r="T2" s="309"/>
      <c r="U2" s="307"/>
      <c r="V2" s="306"/>
      <c r="W2" s="308"/>
      <c r="X2" s="230"/>
      <c r="Y2" s="310"/>
      <c r="Z2" s="311"/>
      <c r="AA2" s="312"/>
      <c r="AB2" s="312"/>
      <c r="AC2" s="309"/>
    </row>
    <row r="3" spans="1:35">
      <c r="A3" s="313" t="s">
        <v>195</v>
      </c>
      <c r="B3" s="184"/>
      <c r="C3" s="314"/>
      <c r="D3" s="314"/>
      <c r="E3" s="314"/>
      <c r="F3" s="311"/>
      <c r="G3" s="311" t="s">
        <v>201</v>
      </c>
      <c r="H3" s="311"/>
      <c r="I3" s="311"/>
      <c r="J3" s="311"/>
      <c r="K3" s="311"/>
      <c r="L3" s="311"/>
      <c r="M3" s="311"/>
      <c r="N3" s="311"/>
      <c r="O3" s="311"/>
      <c r="P3" s="311"/>
      <c r="Q3" s="311"/>
      <c r="R3" s="311"/>
      <c r="S3" s="311"/>
      <c r="T3" s="315"/>
      <c r="U3" s="314"/>
      <c r="V3" s="314"/>
      <c r="W3" s="311"/>
      <c r="X3" s="230"/>
      <c r="Y3" s="316"/>
      <c r="Z3" s="311"/>
      <c r="AA3" s="317"/>
      <c r="AB3" s="317"/>
      <c r="AC3" s="315"/>
    </row>
    <row r="4" spans="1:35">
      <c r="A4" s="305" t="s">
        <v>202</v>
      </c>
      <c r="B4" s="184"/>
      <c r="C4" s="307"/>
      <c r="D4" s="307"/>
      <c r="E4" s="307"/>
      <c r="F4" s="311"/>
      <c r="G4" s="311" t="s">
        <v>203</v>
      </c>
      <c r="H4" s="311"/>
      <c r="I4" s="311"/>
      <c r="J4" s="311"/>
      <c r="K4" s="311"/>
      <c r="L4" s="311"/>
      <c r="M4" s="311"/>
      <c r="N4" s="311"/>
      <c r="O4" s="311"/>
      <c r="P4" s="311"/>
      <c r="Q4" s="311"/>
      <c r="R4" s="311"/>
      <c r="S4" s="311"/>
      <c r="T4" s="315"/>
      <c r="U4" s="307"/>
      <c r="V4" s="307"/>
      <c r="W4" s="311"/>
      <c r="X4" s="230"/>
      <c r="Y4" s="316"/>
      <c r="Z4" s="311"/>
      <c r="AA4" s="317"/>
      <c r="AB4" s="317"/>
      <c r="AC4" s="315"/>
    </row>
    <row r="5" spans="1:35">
      <c r="A5" s="305" t="s">
        <v>204</v>
      </c>
      <c r="B5" s="184"/>
      <c r="C5" s="307"/>
      <c r="D5" s="307"/>
      <c r="E5" s="307"/>
      <c r="F5" s="311"/>
      <c r="G5" s="311"/>
      <c r="H5" s="311"/>
      <c r="I5" s="311"/>
      <c r="J5" s="311"/>
      <c r="K5" s="311"/>
      <c r="L5" s="311"/>
      <c r="M5" s="311"/>
      <c r="N5" s="311"/>
      <c r="O5" s="311"/>
      <c r="P5" s="311"/>
      <c r="Q5" s="311"/>
      <c r="R5" s="311"/>
      <c r="S5" s="311"/>
      <c r="T5" s="315"/>
      <c r="U5" s="318"/>
      <c r="V5" s="307"/>
      <c r="W5" s="311"/>
      <c r="X5" s="230"/>
      <c r="Y5" s="316"/>
      <c r="Z5" s="311"/>
      <c r="AA5" s="317"/>
      <c r="AB5" s="317"/>
      <c r="AC5" s="315"/>
    </row>
    <row r="6" spans="1:35">
      <c r="A6" s="305" t="s">
        <v>200</v>
      </c>
      <c r="B6" s="184"/>
      <c r="C6" s="307"/>
      <c r="D6" s="307"/>
      <c r="E6" s="307"/>
      <c r="F6" s="311"/>
      <c r="G6" s="311"/>
      <c r="H6" s="311"/>
      <c r="I6" s="311"/>
      <c r="J6" s="311"/>
      <c r="K6" s="311"/>
      <c r="L6" s="311"/>
      <c r="M6" s="311"/>
      <c r="N6" s="311"/>
      <c r="O6" s="311"/>
      <c r="P6" s="311"/>
      <c r="Q6" s="311"/>
      <c r="R6" s="311"/>
      <c r="S6" s="311"/>
      <c r="T6" s="315"/>
      <c r="U6" s="307"/>
      <c r="V6" s="307"/>
      <c r="W6" s="311"/>
      <c r="X6" s="230"/>
      <c r="Y6" s="203"/>
      <c r="Z6" s="202"/>
      <c r="AA6" s="205"/>
      <c r="AB6" s="205"/>
      <c r="AC6" s="319"/>
    </row>
    <row r="7" spans="1:35">
      <c r="A7" s="320" t="s">
        <v>100</v>
      </c>
      <c r="B7" s="187"/>
      <c r="C7" s="307"/>
      <c r="D7" s="307"/>
      <c r="E7" s="307"/>
      <c r="F7" s="311"/>
      <c r="G7" s="311"/>
      <c r="H7" s="311"/>
      <c r="I7" s="311"/>
      <c r="J7" s="311"/>
      <c r="K7" s="311"/>
      <c r="L7" s="311"/>
      <c r="M7" s="311"/>
      <c r="N7" s="311"/>
      <c r="O7" s="311"/>
      <c r="P7" s="311"/>
      <c r="Q7" s="311"/>
      <c r="R7" s="311"/>
      <c r="S7" s="311"/>
      <c r="T7" s="315"/>
      <c r="U7" s="307"/>
      <c r="V7" s="307"/>
      <c r="W7" s="311"/>
      <c r="X7" s="230"/>
      <c r="Y7" s="316"/>
      <c r="Z7" s="311"/>
      <c r="AA7" s="317"/>
      <c r="AB7" s="317"/>
      <c r="AC7" s="315"/>
    </row>
    <row r="8" spans="1:35" ht="16.5" thickBot="1">
      <c r="A8" s="321"/>
      <c r="B8" s="399"/>
      <c r="C8" s="408"/>
      <c r="D8" s="429" t="s">
        <v>145</v>
      </c>
      <c r="E8" s="430"/>
      <c r="F8" s="430"/>
      <c r="G8" s="430"/>
      <c r="H8" s="430"/>
      <c r="I8" s="430"/>
      <c r="J8" s="430"/>
      <c r="K8" s="430"/>
      <c r="L8" s="430"/>
      <c r="M8" s="430"/>
      <c r="N8" s="430"/>
      <c r="O8" s="430"/>
      <c r="P8" s="430"/>
      <c r="Q8" s="430"/>
      <c r="R8" s="430"/>
      <c r="S8" s="430"/>
      <c r="T8" s="431"/>
      <c r="X8" s="322"/>
      <c r="AA8" s="123"/>
      <c r="AB8" s="123"/>
      <c r="AD8" s="123"/>
      <c r="AE8" s="123"/>
      <c r="AF8" s="123"/>
      <c r="AG8" s="123"/>
      <c r="AH8" s="123"/>
      <c r="AI8" s="123"/>
    </row>
    <row r="9" spans="1:35">
      <c r="A9" s="398"/>
      <c r="B9" s="399"/>
      <c r="C9" s="399" t="s">
        <v>258</v>
      </c>
      <c r="D9" s="410">
        <v>0</v>
      </c>
      <c r="E9" s="410">
        <v>0</v>
      </c>
      <c r="F9" s="410">
        <v>0</v>
      </c>
      <c r="G9" s="410">
        <v>0</v>
      </c>
      <c r="H9" s="410">
        <v>0</v>
      </c>
      <c r="I9" s="410">
        <v>0</v>
      </c>
      <c r="J9" s="410">
        <v>0</v>
      </c>
      <c r="K9" s="410">
        <v>0</v>
      </c>
      <c r="L9" s="410">
        <v>0</v>
      </c>
      <c r="M9" s="410">
        <v>-90</v>
      </c>
      <c r="N9" s="410">
        <v>-67.5</v>
      </c>
      <c r="O9" s="410">
        <v>-45</v>
      </c>
      <c r="P9" s="410">
        <v>-22.5</v>
      </c>
      <c r="Q9" s="410">
        <v>22.5</v>
      </c>
      <c r="R9" s="410">
        <v>45</v>
      </c>
      <c r="S9" s="410">
        <v>67.5</v>
      </c>
      <c r="T9" s="410">
        <v>90</v>
      </c>
      <c r="X9" s="400"/>
      <c r="AA9" s="123"/>
      <c r="AB9" s="123"/>
      <c r="AD9" s="123"/>
      <c r="AE9" s="123"/>
      <c r="AF9" s="123"/>
      <c r="AG9" s="123"/>
      <c r="AH9" s="123"/>
      <c r="AI9" s="123"/>
    </row>
    <row r="10" spans="1:35" ht="16.5" thickBot="1">
      <c r="A10" s="398"/>
      <c r="B10" s="399"/>
      <c r="C10" s="399" t="s">
        <v>259</v>
      </c>
      <c r="D10" s="410">
        <v>90</v>
      </c>
      <c r="E10" s="410">
        <v>67.5</v>
      </c>
      <c r="F10" s="410">
        <v>45</v>
      </c>
      <c r="G10" s="410">
        <v>22.5</v>
      </c>
      <c r="H10" s="410">
        <v>0</v>
      </c>
      <c r="I10" s="410">
        <v>-22.5</v>
      </c>
      <c r="J10" s="410">
        <v>-45</v>
      </c>
      <c r="K10" s="410">
        <v>-67.5</v>
      </c>
      <c r="L10" s="410">
        <v>-90</v>
      </c>
      <c r="M10" s="410">
        <v>0</v>
      </c>
      <c r="N10" s="410">
        <v>0</v>
      </c>
      <c r="O10" s="410">
        <v>0</v>
      </c>
      <c r="P10" s="410">
        <v>0</v>
      </c>
      <c r="Q10" s="410">
        <v>0</v>
      </c>
      <c r="R10" s="410">
        <v>0</v>
      </c>
      <c r="S10" s="410">
        <v>0</v>
      </c>
      <c r="T10" s="410">
        <v>0</v>
      </c>
      <c r="X10" s="400"/>
      <c r="AA10" s="123"/>
      <c r="AB10" s="123"/>
      <c r="AD10" s="123"/>
      <c r="AE10" s="123"/>
      <c r="AF10" s="123"/>
      <c r="AG10" s="123"/>
      <c r="AH10" s="123"/>
      <c r="AI10" s="123"/>
    </row>
    <row r="11" spans="1:35" s="223" customFormat="1" ht="42" customHeight="1" thickBot="1">
      <c r="A11" s="324" t="s">
        <v>135</v>
      </c>
      <c r="B11" s="216" t="s">
        <v>74</v>
      </c>
      <c r="C11" s="216" t="s">
        <v>75</v>
      </c>
      <c r="D11" s="216" t="s">
        <v>223</v>
      </c>
      <c r="E11" s="216" t="s">
        <v>224</v>
      </c>
      <c r="F11" s="216" t="s">
        <v>225</v>
      </c>
      <c r="G11" s="216" t="s">
        <v>226</v>
      </c>
      <c r="H11" s="216" t="s">
        <v>227</v>
      </c>
      <c r="I11" s="216" t="s">
        <v>228</v>
      </c>
      <c r="J11" s="216" t="s">
        <v>229</v>
      </c>
      <c r="K11" s="216" t="s">
        <v>230</v>
      </c>
      <c r="L11" s="216" t="s">
        <v>231</v>
      </c>
      <c r="M11" s="216" t="s">
        <v>232</v>
      </c>
      <c r="N11" s="216" t="s">
        <v>233</v>
      </c>
      <c r="O11" s="216" t="s">
        <v>234</v>
      </c>
      <c r="P11" s="216" t="s">
        <v>235</v>
      </c>
      <c r="Q11" s="216" t="s">
        <v>236</v>
      </c>
      <c r="R11" s="216" t="s">
        <v>237</v>
      </c>
      <c r="S11" s="216" t="s">
        <v>238</v>
      </c>
      <c r="T11" s="216" t="s">
        <v>239</v>
      </c>
      <c r="U11" s="217" t="s">
        <v>66</v>
      </c>
      <c r="V11" s="217" t="s">
        <v>67</v>
      </c>
      <c r="W11" s="216" t="s">
        <v>134</v>
      </c>
      <c r="X11" s="219" t="s">
        <v>101</v>
      </c>
      <c r="Y11" s="218" t="s">
        <v>141</v>
      </c>
      <c r="Z11" s="219" t="s">
        <v>29</v>
      </c>
      <c r="AA11" s="216" t="s">
        <v>41</v>
      </c>
      <c r="AB11" s="216" t="s">
        <v>142</v>
      </c>
      <c r="AC11" s="325" t="s">
        <v>31</v>
      </c>
      <c r="AD11" s="326" t="s">
        <v>73</v>
      </c>
      <c r="AE11" s="326" t="s">
        <v>43</v>
      </c>
      <c r="AF11" s="327" t="s">
        <v>71</v>
      </c>
      <c r="AG11" s="327" t="s">
        <v>72</v>
      </c>
      <c r="AH11" s="327" t="s">
        <v>102</v>
      </c>
      <c r="AI11" s="328" t="s">
        <v>103</v>
      </c>
    </row>
    <row r="12" spans="1:35">
      <c r="A12" s="329">
        <v>43101</v>
      </c>
      <c r="B12" s="225" t="s">
        <v>76</v>
      </c>
      <c r="C12" s="226" t="s">
        <v>77</v>
      </c>
      <c r="D12" s="123">
        <v>5502.96</v>
      </c>
      <c r="E12" s="123">
        <v>5483.21</v>
      </c>
      <c r="F12" s="123">
        <v>5481.82</v>
      </c>
      <c r="G12" s="123">
        <v>5468.08</v>
      </c>
      <c r="H12" s="123">
        <v>5482.14</v>
      </c>
      <c r="I12" s="123">
        <v>5482.31</v>
      </c>
      <c r="J12" s="123">
        <v>5495.95</v>
      </c>
      <c r="K12" s="123">
        <v>5507.55</v>
      </c>
      <c r="L12" s="123">
        <v>5553.88</v>
      </c>
      <c r="M12" s="123">
        <v>5540.62</v>
      </c>
      <c r="N12" s="123">
        <v>5513.3</v>
      </c>
      <c r="O12" s="123">
        <v>5497.06</v>
      </c>
      <c r="P12" s="123">
        <v>5528.97</v>
      </c>
      <c r="Q12" s="123">
        <v>5477.99</v>
      </c>
      <c r="R12" s="123">
        <v>5530.83</v>
      </c>
      <c r="S12" s="123">
        <v>5499.43</v>
      </c>
      <c r="T12" s="123">
        <v>5519.56</v>
      </c>
      <c r="U12" s="330">
        <f>IF((T13=""),"",MAX(D14:T14))</f>
        <v>2031.4400000000005</v>
      </c>
      <c r="V12" s="226">
        <f>IF(T13="","",MIN(D14:T14))</f>
        <v>1852.3199999999997</v>
      </c>
      <c r="W12" s="226">
        <f>IF((T14=""),"",AVERAGE(D14:T14))</f>
        <v>1931.9741176470591</v>
      </c>
      <c r="X12" s="331">
        <f>STDEV(D14:T14)</f>
        <v>53.456613138463261</v>
      </c>
      <c r="Y12" s="227">
        <f>IF((T13=""),"",((U12-V12)/(U12+V12))*100)</f>
        <v>4.6120254598636574</v>
      </c>
      <c r="Z12" s="228" t="str">
        <f>IF(T13="","",IF(Y12&lt;15,IF(W12&gt;AF12,IF(W12&lt;AG12,"Pass","Fail"),"Fail"),"Fail"))</f>
        <v>Pass</v>
      </c>
      <c r="AA12" s="332">
        <v>1428</v>
      </c>
      <c r="AB12" s="333"/>
      <c r="AD12" s="302">
        <v>1600</v>
      </c>
      <c r="AE12" s="302">
        <v>2600</v>
      </c>
      <c r="AF12" s="334">
        <v>1690</v>
      </c>
      <c r="AG12" s="334">
        <v>2125</v>
      </c>
      <c r="AH12" s="335">
        <v>15</v>
      </c>
      <c r="AI12" s="335">
        <v>15</v>
      </c>
    </row>
    <row r="13" spans="1:35">
      <c r="A13" s="123"/>
      <c r="B13" s="235"/>
      <c r="C13" s="235" t="s">
        <v>78</v>
      </c>
      <c r="D13" s="123">
        <v>4576.8</v>
      </c>
      <c r="E13" s="123">
        <v>4555.71</v>
      </c>
      <c r="F13" s="123">
        <v>4539.55</v>
      </c>
      <c r="G13" s="123">
        <v>4539.03</v>
      </c>
      <c r="H13" s="123">
        <v>4539.1000000000004</v>
      </c>
      <c r="I13" s="123">
        <v>4512.3599999999997</v>
      </c>
      <c r="J13" s="123">
        <v>4498.3500000000004</v>
      </c>
      <c r="K13" s="123">
        <v>4503.32</v>
      </c>
      <c r="L13" s="123">
        <v>4538.16</v>
      </c>
      <c r="M13" s="123">
        <v>4566.1899999999996</v>
      </c>
      <c r="N13" s="123">
        <v>4538.57</v>
      </c>
      <c r="O13" s="123">
        <v>4523.82</v>
      </c>
      <c r="P13" s="123">
        <v>4573.67</v>
      </c>
      <c r="Q13" s="123">
        <v>4524.3100000000004</v>
      </c>
      <c r="R13" s="123">
        <v>4557.32</v>
      </c>
      <c r="S13" s="123">
        <v>4520.1499999999996</v>
      </c>
      <c r="T13" s="123">
        <v>4537.47</v>
      </c>
      <c r="U13" s="336"/>
      <c r="V13" s="337"/>
      <c r="W13" s="337"/>
      <c r="X13" s="331"/>
      <c r="Y13" s="338"/>
      <c r="Z13" s="337"/>
      <c r="AA13" s="339"/>
      <c r="AB13" s="333"/>
      <c r="AC13" s="265"/>
    </row>
    <row r="14" spans="1:35" ht="32.25" thickBot="1">
      <c r="A14" s="123"/>
      <c r="B14" s="243"/>
      <c r="C14" s="243" t="s">
        <v>221</v>
      </c>
      <c r="D14" s="340">
        <f t="shared" ref="D14:T14" si="0">IF(((D12="")*AND(D13="")),"",(D12-D13)*2)</f>
        <v>1852.3199999999997</v>
      </c>
      <c r="E14" s="340">
        <f t="shared" si="0"/>
        <v>1855</v>
      </c>
      <c r="F14" s="340">
        <f t="shared" si="0"/>
        <v>1884.5399999999991</v>
      </c>
      <c r="G14" s="340">
        <f t="shared" si="0"/>
        <v>1858.1000000000004</v>
      </c>
      <c r="H14" s="340">
        <f t="shared" si="0"/>
        <v>1886.08</v>
      </c>
      <c r="I14" s="340">
        <f t="shared" si="0"/>
        <v>1939.9000000000015</v>
      </c>
      <c r="J14" s="340">
        <f t="shared" si="0"/>
        <v>1995.1999999999989</v>
      </c>
      <c r="K14" s="340">
        <f t="shared" si="0"/>
        <v>2008.4600000000009</v>
      </c>
      <c r="L14" s="340">
        <f t="shared" si="0"/>
        <v>2031.4400000000005</v>
      </c>
      <c r="M14" s="340">
        <f t="shared" si="0"/>
        <v>1948.8600000000006</v>
      </c>
      <c r="N14" s="340">
        <f t="shared" si="0"/>
        <v>1949.4600000000009</v>
      </c>
      <c r="O14" s="340">
        <f t="shared" si="0"/>
        <v>1946.4800000000014</v>
      </c>
      <c r="P14" s="340">
        <f t="shared" si="0"/>
        <v>1910.6000000000004</v>
      </c>
      <c r="Q14" s="340">
        <f t="shared" si="0"/>
        <v>1907.3599999999988</v>
      </c>
      <c r="R14" s="340">
        <f t="shared" si="0"/>
        <v>1947.0200000000004</v>
      </c>
      <c r="S14" s="340">
        <f t="shared" si="0"/>
        <v>1958.5600000000013</v>
      </c>
      <c r="T14" s="341">
        <f t="shared" si="0"/>
        <v>1964.1800000000003</v>
      </c>
      <c r="U14" s="342"/>
      <c r="V14" s="340"/>
      <c r="W14" s="340"/>
      <c r="X14" s="343"/>
      <c r="Y14" s="344"/>
      <c r="Z14" s="340"/>
      <c r="AA14" s="345"/>
      <c r="AB14" s="333"/>
      <c r="AC14" s="265"/>
    </row>
    <row r="15" spans="1:35" ht="18.75" customHeight="1">
      <c r="A15" s="346">
        <v>43104</v>
      </c>
      <c r="B15" s="249" t="s">
        <v>76</v>
      </c>
      <c r="C15" s="235" t="s">
        <v>77</v>
      </c>
      <c r="D15" s="123">
        <v>5470.02</v>
      </c>
      <c r="E15" s="123">
        <v>5466.57</v>
      </c>
      <c r="F15" s="123">
        <v>5468.33</v>
      </c>
      <c r="G15" s="123">
        <v>5458.06</v>
      </c>
      <c r="H15" s="123">
        <v>5450.83</v>
      </c>
      <c r="I15" s="123">
        <v>5463.72</v>
      </c>
      <c r="J15" s="123">
        <v>5469</v>
      </c>
      <c r="K15" s="123">
        <v>5485.88</v>
      </c>
      <c r="L15" s="123">
        <v>5531.85</v>
      </c>
      <c r="M15" s="123">
        <v>5521.87</v>
      </c>
      <c r="N15" s="123">
        <v>5481.55</v>
      </c>
      <c r="O15" s="123">
        <v>5470.45</v>
      </c>
      <c r="P15" s="123">
        <v>5513.49</v>
      </c>
      <c r="Q15" s="123">
        <v>5462</v>
      </c>
      <c r="R15" s="123">
        <v>5513.83</v>
      </c>
      <c r="S15" s="123">
        <v>5472.78</v>
      </c>
      <c r="T15" s="123">
        <v>5494.79</v>
      </c>
      <c r="U15" s="347">
        <f>IF((T16=""),"",MAX(D17:T17))</f>
        <v>2045.9400000000005</v>
      </c>
      <c r="V15" s="235">
        <f>IF(T16="","",MIN(D17:T17))</f>
        <v>1808.7600000000002</v>
      </c>
      <c r="W15" s="250">
        <f>IF((T17=""),"",AVERAGE(D17:T17))</f>
        <v>1927.5929411764707</v>
      </c>
      <c r="X15" s="331">
        <f>STDEV(D17:T17)</f>
        <v>66.871194075317845</v>
      </c>
      <c r="Y15" s="236">
        <f>IF((T16=""),"",((U15-V15)/(U15+V15))*100)</f>
        <v>6.1530080161880365</v>
      </c>
      <c r="Z15" s="228" t="str">
        <f>IF(T16="","",IF(Y15&lt;15,IF(W15&gt;AF15,IF(W15&lt;AG15,"Pass","Fail"),"Fail"),"Fail"))</f>
        <v>Pass</v>
      </c>
      <c r="AA15" s="339">
        <v>1335</v>
      </c>
      <c r="AB15" s="259" t="s">
        <v>80</v>
      </c>
      <c r="AD15" s="302">
        <v>1600</v>
      </c>
      <c r="AE15" s="302">
        <v>2600</v>
      </c>
      <c r="AF15" s="334">
        <v>1690</v>
      </c>
      <c r="AG15" s="334">
        <v>2125</v>
      </c>
      <c r="AH15" s="335">
        <v>15</v>
      </c>
      <c r="AI15" s="335">
        <v>15</v>
      </c>
    </row>
    <row r="16" spans="1:35">
      <c r="A16" s="123"/>
      <c r="B16" s="235"/>
      <c r="C16" s="235" t="s">
        <v>78</v>
      </c>
      <c r="D16" s="123">
        <v>4565.6400000000003</v>
      </c>
      <c r="E16" s="123">
        <v>4551.41</v>
      </c>
      <c r="F16" s="123">
        <v>4532.7299999999996</v>
      </c>
      <c r="G16" s="123">
        <v>4529.68</v>
      </c>
      <c r="H16" s="123">
        <v>4515.59</v>
      </c>
      <c r="I16" s="123">
        <v>4489.3500000000004</v>
      </c>
      <c r="J16" s="123">
        <v>4472.37</v>
      </c>
      <c r="K16" s="123">
        <v>4472.08</v>
      </c>
      <c r="L16" s="123">
        <v>4508.88</v>
      </c>
      <c r="M16" s="123">
        <v>4563.93</v>
      </c>
      <c r="N16" s="123">
        <v>4520.71</v>
      </c>
      <c r="O16" s="123">
        <v>4503.78</v>
      </c>
      <c r="P16" s="123">
        <v>4559.66</v>
      </c>
      <c r="Q16" s="123">
        <v>4503.78</v>
      </c>
      <c r="R16" s="123">
        <v>4535.03</v>
      </c>
      <c r="S16" s="123">
        <v>4487.5600000000004</v>
      </c>
      <c r="T16" s="123">
        <v>4498.3</v>
      </c>
      <c r="U16" s="336"/>
      <c r="V16" s="337"/>
      <c r="W16" s="337"/>
      <c r="X16" s="331"/>
      <c r="Y16" s="338"/>
      <c r="Z16" s="337"/>
      <c r="AA16" s="339"/>
      <c r="AB16" s="265"/>
      <c r="AC16" s="265"/>
    </row>
    <row r="17" spans="1:35" ht="32.25" thickBot="1">
      <c r="A17" s="123"/>
      <c r="B17" s="243"/>
      <c r="C17" s="243" t="s">
        <v>221</v>
      </c>
      <c r="D17" s="340">
        <f t="shared" ref="D17:T17" si="1">IF(((D15="")*AND(D16="")),"",(D15-D16)*2)</f>
        <v>1808.7600000000002</v>
      </c>
      <c r="E17" s="340">
        <f t="shared" si="1"/>
        <v>1830.3199999999997</v>
      </c>
      <c r="F17" s="340">
        <f t="shared" si="1"/>
        <v>1871.2000000000007</v>
      </c>
      <c r="G17" s="340">
        <f t="shared" si="1"/>
        <v>1856.7600000000002</v>
      </c>
      <c r="H17" s="340">
        <f t="shared" si="1"/>
        <v>1870.4799999999996</v>
      </c>
      <c r="I17" s="340">
        <f t="shared" si="1"/>
        <v>1948.7399999999998</v>
      </c>
      <c r="J17" s="340">
        <f t="shared" si="1"/>
        <v>1993.2600000000002</v>
      </c>
      <c r="K17" s="340">
        <f t="shared" si="1"/>
        <v>2027.6000000000004</v>
      </c>
      <c r="L17" s="340">
        <f t="shared" si="1"/>
        <v>2045.9400000000005</v>
      </c>
      <c r="M17" s="340">
        <f t="shared" si="1"/>
        <v>1915.8799999999992</v>
      </c>
      <c r="N17" s="340">
        <f t="shared" si="1"/>
        <v>1921.6800000000003</v>
      </c>
      <c r="O17" s="340">
        <f t="shared" si="1"/>
        <v>1933.3400000000001</v>
      </c>
      <c r="P17" s="340">
        <f t="shared" si="1"/>
        <v>1907.6599999999999</v>
      </c>
      <c r="Q17" s="340">
        <f t="shared" si="1"/>
        <v>1916.4400000000005</v>
      </c>
      <c r="R17" s="340">
        <f t="shared" si="1"/>
        <v>1957.6000000000004</v>
      </c>
      <c r="S17" s="340">
        <f t="shared" si="1"/>
        <v>1970.4399999999987</v>
      </c>
      <c r="T17" s="341">
        <f t="shared" si="1"/>
        <v>1992.9799999999996</v>
      </c>
      <c r="U17" s="342"/>
      <c r="V17" s="340"/>
      <c r="W17" s="340"/>
      <c r="X17" s="343"/>
      <c r="Y17" s="344"/>
      <c r="Z17" s="340"/>
      <c r="AA17" s="345"/>
      <c r="AB17" s="265"/>
      <c r="AC17" s="265"/>
    </row>
    <row r="18" spans="1:35">
      <c r="A18" s="346">
        <v>43112</v>
      </c>
      <c r="B18" s="249" t="s">
        <v>76</v>
      </c>
      <c r="C18" s="235" t="s">
        <v>77</v>
      </c>
      <c r="D18" s="123">
        <v>5527.91</v>
      </c>
      <c r="E18" s="123">
        <v>5505.7</v>
      </c>
      <c r="F18" s="123">
        <v>5497.59</v>
      </c>
      <c r="G18" s="123">
        <v>5492.64</v>
      </c>
      <c r="H18" s="123">
        <v>5491.44</v>
      </c>
      <c r="I18" s="123">
        <v>5500.41</v>
      </c>
      <c r="J18" s="123">
        <v>5516.84</v>
      </c>
      <c r="K18" s="123">
        <v>5542.78</v>
      </c>
      <c r="L18" s="123">
        <v>5587</v>
      </c>
      <c r="M18" s="123">
        <v>5568.78</v>
      </c>
      <c r="N18" s="123">
        <v>5532.29</v>
      </c>
      <c r="O18" s="123">
        <v>5508.37</v>
      </c>
      <c r="P18" s="123">
        <v>5549.49</v>
      </c>
      <c r="Q18" s="123">
        <v>5496.93</v>
      </c>
      <c r="R18" s="123">
        <v>5546.78</v>
      </c>
      <c r="S18" s="123">
        <v>5509.86</v>
      </c>
      <c r="T18" s="123">
        <v>5530.94</v>
      </c>
      <c r="U18" s="347">
        <f>IF((T19=""),"",MAX(D20:T20))</f>
        <v>2042.08</v>
      </c>
      <c r="V18" s="235">
        <f>IF(T19="","",MIN(D20:T20))</f>
        <v>1820.3600000000006</v>
      </c>
      <c r="W18" s="250">
        <f>IF((T20=""),"",AVERAGE(D20:T20))</f>
        <v>1925.7529411764704</v>
      </c>
      <c r="X18" s="331">
        <f>STDEV(D20:T20)</f>
        <v>60.337698804800503</v>
      </c>
      <c r="Y18" s="236">
        <f>IF((T19=""),"",((U18-V18)/(U18+V18))*100)</f>
        <v>5.7404127960563613</v>
      </c>
      <c r="Z18" s="228" t="str">
        <f>IF(T19="","",IF(Y18&lt;15,IF(W18&gt;AF18,IF(W18&lt;AG18,"Pass","Fail"),"Fail"),"Fail"))</f>
        <v>Pass</v>
      </c>
      <c r="AA18" s="339" t="s">
        <v>48</v>
      </c>
      <c r="AB18" s="265" t="s">
        <v>81</v>
      </c>
      <c r="AD18" s="302">
        <v>1600</v>
      </c>
      <c r="AE18" s="302">
        <v>2600</v>
      </c>
      <c r="AF18" s="334">
        <v>1690</v>
      </c>
      <c r="AG18" s="334">
        <v>2125</v>
      </c>
      <c r="AH18" s="335">
        <v>15</v>
      </c>
      <c r="AI18" s="335">
        <v>15</v>
      </c>
    </row>
    <row r="19" spans="1:35">
      <c r="A19" s="123"/>
      <c r="B19" s="235"/>
      <c r="C19" s="235" t="s">
        <v>78</v>
      </c>
      <c r="D19" s="123">
        <v>4617.7299999999996</v>
      </c>
      <c r="E19" s="123">
        <v>4580.05</v>
      </c>
      <c r="F19" s="123">
        <v>4571.45</v>
      </c>
      <c r="G19" s="123">
        <v>4558.16</v>
      </c>
      <c r="H19" s="123">
        <v>4551.84</v>
      </c>
      <c r="I19" s="123">
        <v>4531.91</v>
      </c>
      <c r="J19" s="123">
        <v>4518.8999999999996</v>
      </c>
      <c r="K19" s="123">
        <v>4531.9399999999996</v>
      </c>
      <c r="L19" s="123">
        <v>4565.96</v>
      </c>
      <c r="M19" s="123">
        <v>4612.34</v>
      </c>
      <c r="N19" s="123">
        <v>4560.3599999999997</v>
      </c>
      <c r="O19" s="123">
        <v>4551.32</v>
      </c>
      <c r="P19" s="123">
        <v>4588</v>
      </c>
      <c r="Q19" s="123">
        <v>4539.03</v>
      </c>
      <c r="R19" s="123">
        <v>4570.41</v>
      </c>
      <c r="S19" s="123">
        <v>4530.88</v>
      </c>
      <c r="T19" s="123">
        <v>4556.57</v>
      </c>
      <c r="U19" s="336"/>
      <c r="V19" s="337"/>
      <c r="W19" s="337"/>
      <c r="X19" s="331"/>
      <c r="Y19" s="338"/>
      <c r="Z19" s="337"/>
      <c r="AA19" s="339"/>
      <c r="AB19" s="265"/>
      <c r="AC19" s="265"/>
    </row>
    <row r="20" spans="1:35" ht="32.25" thickBot="1">
      <c r="A20" s="123"/>
      <c r="B20" s="243"/>
      <c r="C20" s="243" t="s">
        <v>221</v>
      </c>
      <c r="D20" s="340">
        <f t="shared" ref="D20:T20" si="2">IF(((D18="")*AND(D19="")),"",(D18-D19)*2)</f>
        <v>1820.3600000000006</v>
      </c>
      <c r="E20" s="340">
        <f t="shared" si="2"/>
        <v>1851.2999999999993</v>
      </c>
      <c r="F20" s="340">
        <f t="shared" si="2"/>
        <v>1852.2800000000007</v>
      </c>
      <c r="G20" s="340">
        <f t="shared" si="2"/>
        <v>1868.9600000000009</v>
      </c>
      <c r="H20" s="340">
        <f t="shared" si="2"/>
        <v>1879.1999999999989</v>
      </c>
      <c r="I20" s="340">
        <f t="shared" si="2"/>
        <v>1937</v>
      </c>
      <c r="J20" s="340">
        <f t="shared" si="2"/>
        <v>1995.880000000001</v>
      </c>
      <c r="K20" s="340">
        <f t="shared" si="2"/>
        <v>2021.6800000000003</v>
      </c>
      <c r="L20" s="340">
        <f t="shared" si="2"/>
        <v>2042.08</v>
      </c>
      <c r="M20" s="340">
        <f t="shared" si="2"/>
        <v>1912.8799999999992</v>
      </c>
      <c r="N20" s="340">
        <f t="shared" si="2"/>
        <v>1943.8600000000006</v>
      </c>
      <c r="O20" s="340">
        <f t="shared" si="2"/>
        <v>1914.1000000000004</v>
      </c>
      <c r="P20" s="340">
        <f t="shared" si="2"/>
        <v>1922.9799999999996</v>
      </c>
      <c r="Q20" s="340">
        <f t="shared" si="2"/>
        <v>1915.8000000000011</v>
      </c>
      <c r="R20" s="340">
        <f t="shared" si="2"/>
        <v>1952.7399999999998</v>
      </c>
      <c r="S20" s="340">
        <f t="shared" si="2"/>
        <v>1957.9599999999991</v>
      </c>
      <c r="T20" s="341">
        <f t="shared" si="2"/>
        <v>1948.7399999999998</v>
      </c>
      <c r="U20" s="342"/>
      <c r="V20" s="340"/>
      <c r="W20" s="340"/>
      <c r="X20" s="343"/>
      <c r="Y20" s="344"/>
      <c r="Z20" s="340"/>
      <c r="AA20" s="345"/>
      <c r="AB20" s="265"/>
      <c r="AC20" s="265"/>
    </row>
    <row r="21" spans="1:35">
      <c r="A21" s="346">
        <v>43116</v>
      </c>
      <c r="B21" s="249" t="s">
        <v>76</v>
      </c>
      <c r="C21" s="235" t="s">
        <v>77</v>
      </c>
      <c r="D21" s="123">
        <v>5399.1</v>
      </c>
      <c r="E21" s="123">
        <v>5340.85</v>
      </c>
      <c r="F21" s="123">
        <v>5319.03</v>
      </c>
      <c r="G21" s="123">
        <v>5304.53</v>
      </c>
      <c r="H21" s="123">
        <v>5301.97</v>
      </c>
      <c r="I21" s="123">
        <v>5318.63</v>
      </c>
      <c r="J21" s="123">
        <v>5345.45</v>
      </c>
      <c r="K21" s="123">
        <v>5396.37</v>
      </c>
      <c r="L21" s="123">
        <v>5477.98</v>
      </c>
      <c r="M21" s="123">
        <v>5444.83</v>
      </c>
      <c r="N21" s="123">
        <v>5374.71</v>
      </c>
      <c r="O21" s="123">
        <v>5339.85</v>
      </c>
      <c r="P21" s="123">
        <v>5369.18</v>
      </c>
      <c r="Q21" s="123">
        <v>5304.54</v>
      </c>
      <c r="R21" s="123">
        <v>5322.54</v>
      </c>
      <c r="S21" s="123">
        <v>5343.81</v>
      </c>
      <c r="T21" s="123">
        <v>5460.9</v>
      </c>
      <c r="U21" s="347">
        <f>IF((T22=""),"",MAX(D23:T23))</f>
        <v>2142.34</v>
      </c>
      <c r="V21" s="235">
        <f>IF(T22="","",MIN(D23:T23))</f>
        <v>1793.2800000000007</v>
      </c>
      <c r="W21" s="250">
        <f>IF((T23=""),"",AVERAGE(D23:T23))</f>
        <v>1914.148235294118</v>
      </c>
      <c r="X21" s="331">
        <f>STDEV(D23:T23)</f>
        <v>80.054822483977546</v>
      </c>
      <c r="Y21" s="236">
        <f>IF((T22=""),"",((U21-V21)/(U21+V21))*100)</f>
        <v>8.8692505882173442</v>
      </c>
      <c r="Z21" s="228" t="str">
        <f>IF(T22="","",IF(Y21&lt;15,IF(W21&gt;AF21,IF(W21&lt;AG21,"Pass","Fail"),"Fail"),"Fail"))</f>
        <v>Pass</v>
      </c>
      <c r="AA21" s="339">
        <v>102</v>
      </c>
      <c r="AB21" s="265"/>
      <c r="AD21" s="302">
        <v>1600</v>
      </c>
      <c r="AE21" s="302">
        <v>2600</v>
      </c>
      <c r="AF21" s="334">
        <v>1690</v>
      </c>
      <c r="AG21" s="334">
        <v>2125</v>
      </c>
      <c r="AH21" s="335">
        <v>15</v>
      </c>
      <c r="AI21" s="335">
        <v>15</v>
      </c>
    </row>
    <row r="22" spans="1:35">
      <c r="A22" s="123"/>
      <c r="B22" s="235"/>
      <c r="C22" s="235" t="s">
        <v>78</v>
      </c>
      <c r="D22" s="123">
        <v>4502.46</v>
      </c>
      <c r="E22" s="123">
        <v>4433.38</v>
      </c>
      <c r="F22" s="123">
        <v>4394.79</v>
      </c>
      <c r="G22" s="123">
        <v>4373.9799999999996</v>
      </c>
      <c r="H22" s="123">
        <v>4362.5</v>
      </c>
      <c r="I22" s="123">
        <v>4360.68</v>
      </c>
      <c r="J22" s="123">
        <v>4371.99</v>
      </c>
      <c r="K22" s="123">
        <v>4402.55</v>
      </c>
      <c r="L22" s="123">
        <v>4474.9799999999996</v>
      </c>
      <c r="M22" s="123">
        <v>4505.58</v>
      </c>
      <c r="N22" s="123">
        <v>4423.1000000000004</v>
      </c>
      <c r="O22" s="123">
        <v>4385.42</v>
      </c>
      <c r="P22" s="123">
        <v>4298.01</v>
      </c>
      <c r="Q22" s="123">
        <v>4361.0600000000004</v>
      </c>
      <c r="R22" s="123">
        <v>4354.3500000000004</v>
      </c>
      <c r="S22" s="123">
        <v>4389.2299999999996</v>
      </c>
      <c r="T22" s="123">
        <v>4499.95</v>
      </c>
      <c r="U22" s="336"/>
      <c r="V22" s="337"/>
      <c r="W22" s="337"/>
      <c r="X22" s="331"/>
      <c r="Y22" s="338"/>
      <c r="Z22" s="337"/>
      <c r="AA22" s="339"/>
      <c r="AB22" s="265"/>
      <c r="AC22" s="265"/>
    </row>
    <row r="23" spans="1:35" ht="32.25" thickBot="1">
      <c r="A23" s="123"/>
      <c r="B23" s="243"/>
      <c r="C23" s="243" t="s">
        <v>221</v>
      </c>
      <c r="D23" s="340">
        <f t="shared" ref="D23:T23" si="3">IF(((D21="")*AND(D22="")),"",(D21-D22)*2)</f>
        <v>1793.2800000000007</v>
      </c>
      <c r="E23" s="340">
        <f t="shared" si="3"/>
        <v>1814.9400000000005</v>
      </c>
      <c r="F23" s="340">
        <f t="shared" si="3"/>
        <v>1848.4799999999996</v>
      </c>
      <c r="G23" s="340">
        <f t="shared" si="3"/>
        <v>1861.1000000000004</v>
      </c>
      <c r="H23" s="340">
        <f t="shared" si="3"/>
        <v>1878.9400000000005</v>
      </c>
      <c r="I23" s="340">
        <f t="shared" si="3"/>
        <v>1915.8999999999996</v>
      </c>
      <c r="J23" s="340">
        <f t="shared" si="3"/>
        <v>1946.92</v>
      </c>
      <c r="K23" s="340">
        <f t="shared" si="3"/>
        <v>1987.6399999999994</v>
      </c>
      <c r="L23" s="340">
        <f t="shared" si="3"/>
        <v>2006</v>
      </c>
      <c r="M23" s="340">
        <f t="shared" si="3"/>
        <v>1878.5</v>
      </c>
      <c r="N23" s="340">
        <f t="shared" si="3"/>
        <v>1903.2199999999993</v>
      </c>
      <c r="O23" s="340">
        <f t="shared" si="3"/>
        <v>1908.8600000000006</v>
      </c>
      <c r="P23" s="340">
        <f t="shared" si="3"/>
        <v>2142.34</v>
      </c>
      <c r="Q23" s="340">
        <f t="shared" si="3"/>
        <v>1886.9599999999991</v>
      </c>
      <c r="R23" s="340">
        <f t="shared" si="3"/>
        <v>1936.3799999999992</v>
      </c>
      <c r="S23" s="340">
        <f t="shared" si="3"/>
        <v>1909.1600000000017</v>
      </c>
      <c r="T23" s="341">
        <f t="shared" si="3"/>
        <v>1921.8999999999996</v>
      </c>
      <c r="U23" s="342"/>
      <c r="V23" s="340"/>
      <c r="W23" s="340"/>
      <c r="X23" s="343"/>
      <c r="Y23" s="344"/>
      <c r="Z23" s="340"/>
      <c r="AA23" s="345"/>
      <c r="AB23" s="265"/>
      <c r="AC23" s="265"/>
    </row>
    <row r="24" spans="1:35">
      <c r="A24" s="346">
        <v>43118</v>
      </c>
      <c r="B24" s="249" t="s">
        <v>76</v>
      </c>
      <c r="C24" s="235" t="s">
        <v>77</v>
      </c>
      <c r="D24" s="123">
        <v>5519.99</v>
      </c>
      <c r="E24" s="123">
        <v>5483.44</v>
      </c>
      <c r="F24" s="123">
        <v>5468.45</v>
      </c>
      <c r="G24" s="123">
        <v>5455.37</v>
      </c>
      <c r="H24" s="123">
        <v>5459.5</v>
      </c>
      <c r="I24" s="123">
        <v>5471.22</v>
      </c>
      <c r="J24" s="123">
        <v>5487.06</v>
      </c>
      <c r="K24" s="123">
        <v>5524.44</v>
      </c>
      <c r="L24" s="123">
        <v>5574.94</v>
      </c>
      <c r="M24" s="123">
        <v>5540.07</v>
      </c>
      <c r="N24" s="123">
        <v>5499.49</v>
      </c>
      <c r="O24" s="123">
        <v>5477.98</v>
      </c>
      <c r="P24" s="123">
        <v>5388.01</v>
      </c>
      <c r="Q24" s="123">
        <v>5466.53</v>
      </c>
      <c r="R24" s="123">
        <v>5521.66</v>
      </c>
      <c r="S24" s="123">
        <v>5490.03</v>
      </c>
      <c r="T24" s="123">
        <v>5530.84</v>
      </c>
      <c r="U24" s="347">
        <f>IF((T25=""),"",MAX(D26:T26))</f>
        <v>1998.9799999999996</v>
      </c>
      <c r="V24" s="235">
        <f>IF(T25="","",MIN(D26:T26))</f>
        <v>1638.92</v>
      </c>
      <c r="W24" s="250">
        <f>IF((T26=""),"",AVERAGE(D26:T26))</f>
        <v>1887.1247058823526</v>
      </c>
      <c r="X24" s="331">
        <f>STDEV(D26:T26)</f>
        <v>81.563467474541483</v>
      </c>
      <c r="Y24" s="236">
        <f>IF((T25=""),"",((U24-V24)/(U24+V24))*100)</f>
        <v>9.8974683196349424</v>
      </c>
      <c r="Z24" s="228" t="str">
        <f>IF(T25="","",IF(Y24&lt;15,IF(W24&gt;AF24,IF(W24&lt;AG24,"Pass","Fail"),"Fail"),"Fail"))</f>
        <v>Pass</v>
      </c>
      <c r="AA24" s="339">
        <v>1428</v>
      </c>
      <c r="AB24" s="265" t="s">
        <v>104</v>
      </c>
      <c r="AD24" s="302">
        <v>1600</v>
      </c>
      <c r="AE24" s="302">
        <v>2600</v>
      </c>
      <c r="AF24" s="334">
        <v>1690</v>
      </c>
      <c r="AG24" s="334">
        <v>2125</v>
      </c>
      <c r="AH24" s="335">
        <v>15</v>
      </c>
      <c r="AI24" s="335">
        <v>15</v>
      </c>
    </row>
    <row r="25" spans="1:35">
      <c r="A25" s="123"/>
      <c r="B25" s="235"/>
      <c r="C25" s="235" t="s">
        <v>78</v>
      </c>
      <c r="D25" s="123">
        <v>4615.45</v>
      </c>
      <c r="E25" s="123">
        <v>4560.46</v>
      </c>
      <c r="F25" s="123">
        <v>4550.2700000000004</v>
      </c>
      <c r="G25" s="123">
        <v>4532.43</v>
      </c>
      <c r="H25" s="123">
        <v>4525.6400000000003</v>
      </c>
      <c r="I25" s="123">
        <v>4520.3100000000004</v>
      </c>
      <c r="J25" s="123">
        <v>4512.26</v>
      </c>
      <c r="K25" s="123">
        <v>4534.34</v>
      </c>
      <c r="L25" s="123">
        <v>4575.45</v>
      </c>
      <c r="M25" s="123">
        <v>4583</v>
      </c>
      <c r="N25" s="123">
        <v>4542.43</v>
      </c>
      <c r="O25" s="123">
        <v>4528.4799999999996</v>
      </c>
      <c r="P25" s="123">
        <v>4568.55</v>
      </c>
      <c r="Q25" s="123">
        <v>4520.96</v>
      </c>
      <c r="R25" s="123">
        <v>4558.37</v>
      </c>
      <c r="S25" s="123">
        <v>4520.87</v>
      </c>
      <c r="T25" s="123">
        <v>4569.1899999999996</v>
      </c>
      <c r="U25" s="336"/>
      <c r="V25" s="337"/>
      <c r="W25" s="337"/>
      <c r="X25" s="331"/>
      <c r="Y25" s="338"/>
      <c r="Z25" s="337"/>
      <c r="AA25" s="339"/>
      <c r="AB25" s="333"/>
      <c r="AC25" s="265"/>
    </row>
    <row r="26" spans="1:35" ht="32.25" thickBot="1">
      <c r="A26" s="123"/>
      <c r="B26" s="243"/>
      <c r="C26" s="243" t="s">
        <v>221</v>
      </c>
      <c r="D26" s="340">
        <f t="shared" ref="D26:T26" si="4">IF(((D24="")*AND(D25="")),"",(D24-D25)*2)</f>
        <v>1809.08</v>
      </c>
      <c r="E26" s="340">
        <f t="shared" si="4"/>
        <v>1845.9599999999991</v>
      </c>
      <c r="F26" s="340">
        <f t="shared" si="4"/>
        <v>1836.3599999999988</v>
      </c>
      <c r="G26" s="340">
        <f t="shared" si="4"/>
        <v>1845.8799999999992</v>
      </c>
      <c r="H26" s="340">
        <f t="shared" si="4"/>
        <v>1867.7199999999993</v>
      </c>
      <c r="I26" s="340">
        <f t="shared" si="4"/>
        <v>1901.8199999999997</v>
      </c>
      <c r="J26" s="340">
        <f t="shared" si="4"/>
        <v>1949.6000000000004</v>
      </c>
      <c r="K26" s="340">
        <f t="shared" si="4"/>
        <v>1980.1999999999989</v>
      </c>
      <c r="L26" s="340">
        <f t="shared" si="4"/>
        <v>1998.9799999999996</v>
      </c>
      <c r="M26" s="340">
        <f t="shared" si="4"/>
        <v>1914.1399999999994</v>
      </c>
      <c r="N26" s="340">
        <f t="shared" si="4"/>
        <v>1914.119999999999</v>
      </c>
      <c r="O26" s="340">
        <f t="shared" si="4"/>
        <v>1899</v>
      </c>
      <c r="P26" s="340">
        <f t="shared" si="4"/>
        <v>1638.92</v>
      </c>
      <c r="Q26" s="340">
        <f t="shared" si="4"/>
        <v>1891.1399999999994</v>
      </c>
      <c r="R26" s="340">
        <f t="shared" si="4"/>
        <v>1926.58</v>
      </c>
      <c r="S26" s="340">
        <f t="shared" si="4"/>
        <v>1938.3199999999997</v>
      </c>
      <c r="T26" s="341">
        <f t="shared" si="4"/>
        <v>1923.3000000000011</v>
      </c>
      <c r="U26" s="342"/>
      <c r="V26" s="340"/>
      <c r="W26" s="340"/>
      <c r="X26" s="343"/>
      <c r="Y26" s="344"/>
      <c r="Z26" s="340"/>
      <c r="AA26" s="345"/>
      <c r="AB26" s="333"/>
      <c r="AC26" s="265"/>
    </row>
    <row r="27" spans="1:35">
      <c r="A27" s="346">
        <v>43122</v>
      </c>
      <c r="B27" s="249" t="s">
        <v>76</v>
      </c>
      <c r="C27" s="235" t="s">
        <v>77</v>
      </c>
      <c r="D27" s="123">
        <v>5482.14</v>
      </c>
      <c r="E27" s="123">
        <v>5439.37</v>
      </c>
      <c r="F27" s="123">
        <v>5423.06</v>
      </c>
      <c r="G27" s="123">
        <v>5402.54</v>
      </c>
      <c r="H27" s="123">
        <v>5397.38</v>
      </c>
      <c r="I27" s="123">
        <v>5409.78</v>
      </c>
      <c r="J27" s="123">
        <v>5434.03</v>
      </c>
      <c r="K27" s="123">
        <v>5478.77</v>
      </c>
      <c r="L27" s="123">
        <v>5534.68</v>
      </c>
      <c r="M27" s="123">
        <v>5595.78</v>
      </c>
      <c r="N27" s="123">
        <v>5456.39</v>
      </c>
      <c r="O27" s="123">
        <v>5419.89</v>
      </c>
      <c r="P27" s="123">
        <v>5475.31</v>
      </c>
      <c r="Q27" s="123">
        <v>5415.47</v>
      </c>
      <c r="R27" s="123">
        <v>5473.42</v>
      </c>
      <c r="S27" s="123">
        <v>5429.67</v>
      </c>
      <c r="T27" s="123">
        <v>5499.33</v>
      </c>
      <c r="U27" s="347">
        <f>IF((T28=""),"",MAX(D29:T29))</f>
        <v>2088.2199999999993</v>
      </c>
      <c r="V27" s="235">
        <f>IF(T28="","",MIN(D29:T29))</f>
        <v>1786.9400000000005</v>
      </c>
      <c r="W27" s="250">
        <f>IF((T29=""),"",AVERAGE(D29:T29))</f>
        <v>1923.2411764705885</v>
      </c>
      <c r="X27" s="331">
        <f>STDEV(D29:T29)</f>
        <v>84.216141110415407</v>
      </c>
      <c r="Y27" s="236">
        <f>IF((T28=""),"",((U27-V27)/(U27+V27))*100)</f>
        <v>7.774646724264259</v>
      </c>
      <c r="Z27" s="228" t="str">
        <f>IF(T28="","",IF(Y27&lt;15,IF(W27&gt;AF27,IF(W27&lt;AG27,"Pass","Fail"),"Fail"),"Fail"))</f>
        <v>Pass</v>
      </c>
      <c r="AA27" s="339">
        <v>1428</v>
      </c>
      <c r="AB27" s="265" t="s">
        <v>82</v>
      </c>
      <c r="AD27" s="302">
        <v>1600</v>
      </c>
      <c r="AE27" s="302">
        <v>2600</v>
      </c>
      <c r="AF27" s="334">
        <v>1690</v>
      </c>
      <c r="AG27" s="334">
        <v>2125</v>
      </c>
      <c r="AH27" s="335">
        <v>15</v>
      </c>
      <c r="AI27" s="335">
        <v>15</v>
      </c>
    </row>
    <row r="28" spans="1:35">
      <c r="A28" s="123"/>
      <c r="B28" s="235"/>
      <c r="C28" s="235" t="s">
        <v>78</v>
      </c>
      <c r="D28" s="123">
        <v>4588.67</v>
      </c>
      <c r="E28" s="123">
        <v>4529.9799999999996</v>
      </c>
      <c r="F28" s="123">
        <v>4491.97</v>
      </c>
      <c r="G28" s="123">
        <v>4468.1000000000004</v>
      </c>
      <c r="H28" s="123">
        <v>4465.83</v>
      </c>
      <c r="I28" s="123">
        <v>4449.5200000000004</v>
      </c>
      <c r="J28" s="123">
        <v>4441.5</v>
      </c>
      <c r="K28" s="123">
        <v>4470.38</v>
      </c>
      <c r="L28" s="123">
        <v>4517.58</v>
      </c>
      <c r="M28" s="123">
        <v>4551.67</v>
      </c>
      <c r="N28" s="123">
        <v>4500.3100000000004</v>
      </c>
      <c r="O28" s="123">
        <v>4480.01</v>
      </c>
      <c r="P28" s="123">
        <v>4526.29</v>
      </c>
      <c r="Q28" s="123">
        <v>4450.6099999999997</v>
      </c>
      <c r="R28" s="123">
        <v>4451.03</v>
      </c>
      <c r="S28" s="123">
        <v>4466.2700000000004</v>
      </c>
      <c r="T28" s="123">
        <v>4569.74</v>
      </c>
      <c r="U28" s="336"/>
      <c r="V28" s="337"/>
      <c r="W28" s="337"/>
      <c r="X28" s="331"/>
      <c r="Y28" s="338"/>
      <c r="Z28" s="337"/>
      <c r="AA28" s="339"/>
      <c r="AB28" s="333"/>
      <c r="AC28" s="265"/>
    </row>
    <row r="29" spans="1:35" ht="32.25" thickBot="1">
      <c r="A29" s="123"/>
      <c r="B29" s="243"/>
      <c r="C29" s="243" t="s">
        <v>221</v>
      </c>
      <c r="D29" s="340">
        <f t="shared" ref="D29:T29" si="5">IF(((D27="")*AND(D28="")),"",(D27-D28)*2)</f>
        <v>1786.9400000000005</v>
      </c>
      <c r="E29" s="340">
        <f t="shared" si="5"/>
        <v>1818.7800000000007</v>
      </c>
      <c r="F29" s="340">
        <f t="shared" si="5"/>
        <v>1862.1800000000003</v>
      </c>
      <c r="G29" s="340">
        <f t="shared" si="5"/>
        <v>1868.8799999999992</v>
      </c>
      <c r="H29" s="340">
        <f t="shared" si="5"/>
        <v>1863.1000000000004</v>
      </c>
      <c r="I29" s="340">
        <f t="shared" si="5"/>
        <v>1920.5199999999986</v>
      </c>
      <c r="J29" s="340">
        <f t="shared" si="5"/>
        <v>1985.0599999999995</v>
      </c>
      <c r="K29" s="340">
        <f t="shared" si="5"/>
        <v>2016.7800000000007</v>
      </c>
      <c r="L29" s="340">
        <f t="shared" si="5"/>
        <v>2034.2000000000007</v>
      </c>
      <c r="M29" s="340">
        <f t="shared" si="5"/>
        <v>2088.2199999999993</v>
      </c>
      <c r="N29" s="340">
        <f t="shared" si="5"/>
        <v>1912.1599999999999</v>
      </c>
      <c r="O29" s="340">
        <f t="shared" si="5"/>
        <v>1879.7600000000002</v>
      </c>
      <c r="P29" s="340">
        <f t="shared" si="5"/>
        <v>1898.0400000000009</v>
      </c>
      <c r="Q29" s="340">
        <f t="shared" si="5"/>
        <v>1929.7200000000012</v>
      </c>
      <c r="R29" s="340">
        <f t="shared" si="5"/>
        <v>2044.7800000000007</v>
      </c>
      <c r="S29" s="340">
        <f t="shared" si="5"/>
        <v>1926.7999999999993</v>
      </c>
      <c r="T29" s="341">
        <f t="shared" si="5"/>
        <v>1859.1800000000003</v>
      </c>
      <c r="U29" s="342"/>
      <c r="V29" s="340"/>
      <c r="W29" s="340"/>
      <c r="X29" s="343"/>
      <c r="Y29" s="344"/>
      <c r="Z29" s="340"/>
      <c r="AA29" s="345"/>
      <c r="AB29" s="333"/>
      <c r="AC29" s="265"/>
    </row>
    <row r="30" spans="1:35">
      <c r="A30" s="346">
        <v>43125</v>
      </c>
      <c r="B30" s="249" t="s">
        <v>76</v>
      </c>
      <c r="C30" s="235" t="s">
        <v>77</v>
      </c>
      <c r="D30" s="123">
        <v>5425.32</v>
      </c>
      <c r="E30" s="123">
        <v>5400.64</v>
      </c>
      <c r="F30" s="123">
        <v>5361.39</v>
      </c>
      <c r="G30" s="123">
        <v>5345.82</v>
      </c>
      <c r="H30" s="123">
        <v>5351.45</v>
      </c>
      <c r="I30" s="123">
        <v>5368.23</v>
      </c>
      <c r="J30" s="123">
        <v>5401.34</v>
      </c>
      <c r="K30" s="123">
        <v>5441.46</v>
      </c>
      <c r="L30" s="123">
        <v>5507.89</v>
      </c>
      <c r="M30" s="123">
        <v>5481.06</v>
      </c>
      <c r="N30" s="123">
        <v>5424.1</v>
      </c>
      <c r="O30" s="123">
        <v>5387.4</v>
      </c>
      <c r="P30" s="123">
        <v>5420.81</v>
      </c>
      <c r="Q30" s="123">
        <v>5357.27</v>
      </c>
      <c r="R30" s="123">
        <v>5368.07</v>
      </c>
      <c r="S30" s="123">
        <v>5387.27</v>
      </c>
      <c r="T30" s="123">
        <v>5486.24</v>
      </c>
      <c r="U30" s="347">
        <f>IF((T31=""),"",MAX(D32:T32))</f>
        <v>1969.7600000000002</v>
      </c>
      <c r="V30" s="235">
        <f>IF(T31="","",MIN(D32:T32))</f>
        <v>1801.58</v>
      </c>
      <c r="W30" s="250">
        <f>IF((T32=""),"",AVERAGE(D32:T32))</f>
        <v>1876.5505882352941</v>
      </c>
      <c r="X30" s="331">
        <f>STDEV(D32:T32)</f>
        <v>46.034245468806724</v>
      </c>
      <c r="Y30" s="236">
        <f>IF((T31=""),"",((U30-V30)/(U30+V30))*100)</f>
        <v>4.4594229106895771</v>
      </c>
      <c r="Z30" s="228" t="str">
        <f>IF(T31="","",IF(Y30&lt;15,IF(W30&gt;AF30,IF(W30&lt;AG30,"Pass","Fail"),"Fail"),"Fail"))</f>
        <v>Pass</v>
      </c>
      <c r="AA30" s="339">
        <v>1428</v>
      </c>
      <c r="AB30" s="333"/>
      <c r="AD30" s="302">
        <v>1600</v>
      </c>
      <c r="AE30" s="302">
        <v>2600</v>
      </c>
      <c r="AF30" s="334">
        <v>1690</v>
      </c>
      <c r="AG30" s="334">
        <v>2125</v>
      </c>
      <c r="AH30" s="335">
        <v>15</v>
      </c>
      <c r="AI30" s="335">
        <v>15</v>
      </c>
    </row>
    <row r="31" spans="1:35">
      <c r="A31" s="123"/>
      <c r="B31" s="235"/>
      <c r="C31" s="235" t="s">
        <v>78</v>
      </c>
      <c r="D31" s="123">
        <v>4524.53</v>
      </c>
      <c r="E31" s="123">
        <v>4471.88</v>
      </c>
      <c r="F31" s="123">
        <v>4459.47</v>
      </c>
      <c r="G31" s="123">
        <v>4435.63</v>
      </c>
      <c r="H31" s="123">
        <v>4432.62</v>
      </c>
      <c r="I31" s="123">
        <v>4423.9399999999996</v>
      </c>
      <c r="J31" s="123">
        <v>4434.8900000000003</v>
      </c>
      <c r="K31" s="123">
        <v>4468.67</v>
      </c>
      <c r="L31" s="123">
        <v>4523.01</v>
      </c>
      <c r="M31" s="123">
        <v>4541.3100000000004</v>
      </c>
      <c r="N31" s="123">
        <v>4474.92</v>
      </c>
      <c r="O31" s="123">
        <v>4445.91</v>
      </c>
      <c r="P31" s="123">
        <v>4489.8599999999997</v>
      </c>
      <c r="Q31" s="123">
        <v>4419.08</v>
      </c>
      <c r="R31" s="123">
        <v>4422.25</v>
      </c>
      <c r="S31" s="123">
        <v>4454.41</v>
      </c>
      <c r="T31" s="123">
        <v>4542.7</v>
      </c>
      <c r="U31" s="336"/>
      <c r="V31" s="337"/>
      <c r="W31" s="337"/>
      <c r="X31" s="331"/>
      <c r="Y31" s="338"/>
      <c r="Z31" s="337"/>
      <c r="AA31" s="339"/>
      <c r="AB31" s="333"/>
      <c r="AC31" s="265"/>
    </row>
    <row r="32" spans="1:35" ht="32.25" thickBot="1">
      <c r="A32" s="123"/>
      <c r="B32" s="243"/>
      <c r="C32" s="243" t="s">
        <v>221</v>
      </c>
      <c r="D32" s="340">
        <f t="shared" ref="D32:T32" si="6">IF(((D30="")*AND(D31="")),"",(D30-D31)*2)</f>
        <v>1801.58</v>
      </c>
      <c r="E32" s="340">
        <f t="shared" si="6"/>
        <v>1857.5200000000004</v>
      </c>
      <c r="F32" s="340">
        <f t="shared" si="6"/>
        <v>1803.8400000000001</v>
      </c>
      <c r="G32" s="340">
        <f t="shared" si="6"/>
        <v>1820.3799999999992</v>
      </c>
      <c r="H32" s="340">
        <f t="shared" si="6"/>
        <v>1837.6599999999999</v>
      </c>
      <c r="I32" s="340">
        <f t="shared" si="6"/>
        <v>1888.58</v>
      </c>
      <c r="J32" s="340">
        <f t="shared" si="6"/>
        <v>1932.8999999999996</v>
      </c>
      <c r="K32" s="340">
        <f t="shared" si="6"/>
        <v>1945.58</v>
      </c>
      <c r="L32" s="340">
        <f t="shared" si="6"/>
        <v>1969.7600000000002</v>
      </c>
      <c r="M32" s="340">
        <f t="shared" si="6"/>
        <v>1879.5</v>
      </c>
      <c r="N32" s="340">
        <f t="shared" si="6"/>
        <v>1898.3600000000006</v>
      </c>
      <c r="O32" s="340">
        <f t="shared" si="6"/>
        <v>1882.9799999999996</v>
      </c>
      <c r="P32" s="340">
        <f t="shared" si="6"/>
        <v>1861.9000000000015</v>
      </c>
      <c r="Q32" s="340">
        <f t="shared" si="6"/>
        <v>1876.380000000001</v>
      </c>
      <c r="R32" s="340">
        <f t="shared" si="6"/>
        <v>1891.6399999999994</v>
      </c>
      <c r="S32" s="340">
        <f t="shared" si="6"/>
        <v>1865.7200000000012</v>
      </c>
      <c r="T32" s="341">
        <f t="shared" si="6"/>
        <v>1887.08</v>
      </c>
      <c r="U32" s="342"/>
      <c r="V32" s="340"/>
      <c r="W32" s="340"/>
      <c r="X32" s="343"/>
      <c r="Y32" s="344"/>
      <c r="Z32" s="340"/>
      <c r="AA32" s="345"/>
      <c r="AB32" s="333"/>
      <c r="AC32" s="265"/>
    </row>
    <row r="33" spans="1:35">
      <c r="A33" s="348">
        <v>43129</v>
      </c>
      <c r="B33" s="249" t="s">
        <v>76</v>
      </c>
      <c r="C33" s="235" t="s">
        <v>77</v>
      </c>
      <c r="D33" s="123">
        <v>2025.61</v>
      </c>
      <c r="E33" s="123">
        <v>2015</v>
      </c>
      <c r="F33" s="123">
        <v>2012.28</v>
      </c>
      <c r="G33" s="123">
        <v>2010.87</v>
      </c>
      <c r="H33" s="123">
        <v>2006.78</v>
      </c>
      <c r="I33" s="123">
        <v>2008.55</v>
      </c>
      <c r="J33" s="123">
        <v>2009.18</v>
      </c>
      <c r="K33" s="123">
        <v>2011.73</v>
      </c>
      <c r="L33" s="123">
        <v>2024.79</v>
      </c>
      <c r="M33" s="123">
        <v>2081.7600000000002</v>
      </c>
      <c r="N33" s="123">
        <v>2008.79</v>
      </c>
      <c r="O33" s="123">
        <v>2008.63</v>
      </c>
      <c r="P33" s="123">
        <v>2066.35</v>
      </c>
      <c r="Q33" s="123">
        <v>2026.22</v>
      </c>
      <c r="R33" s="123">
        <v>2067.56</v>
      </c>
      <c r="S33" s="123">
        <v>2010.48</v>
      </c>
      <c r="T33" s="123">
        <v>2021.67</v>
      </c>
      <c r="U33" s="347">
        <f>IF((T34=""),"",MAX(D35:T35))</f>
        <v>2317.8999999999996</v>
      </c>
      <c r="V33" s="235">
        <f>IF(T34="","",MIN(D35:T35))</f>
        <v>1804.48</v>
      </c>
      <c r="W33" s="250">
        <f>IF((T35=""),"",AVERAGE(D35:T35))</f>
        <v>1941.0094117647056</v>
      </c>
      <c r="X33" s="331">
        <f>STDEV(D35:T35)</f>
        <v>119.02087739502821</v>
      </c>
      <c r="Y33" s="236">
        <f>IF((T34=""),"",((U33-V33)/(U33+V33))*100)</f>
        <v>12.454455921094118</v>
      </c>
      <c r="Z33" s="228" t="str">
        <f>IF(T34="","",IF(Y33&lt;15,IF(W33&gt;AF33,IF(W33&lt;AG33,"Pass","Fail"),"Fail"),"Fail"))</f>
        <v>Pass</v>
      </c>
      <c r="AA33" s="339" t="s">
        <v>83</v>
      </c>
      <c r="AB33" s="333"/>
      <c r="AC33" s="323" t="s">
        <v>105</v>
      </c>
      <c r="AD33" s="302">
        <v>1600</v>
      </c>
      <c r="AE33" s="302">
        <v>2600</v>
      </c>
      <c r="AF33" s="334">
        <v>1690</v>
      </c>
      <c r="AG33" s="334">
        <v>2125</v>
      </c>
      <c r="AH33" s="335">
        <v>15</v>
      </c>
      <c r="AI33" s="335">
        <v>15</v>
      </c>
    </row>
    <row r="34" spans="1:35">
      <c r="A34" s="123"/>
      <c r="B34" s="235"/>
      <c r="C34" s="235" t="s">
        <v>78</v>
      </c>
      <c r="D34" s="123">
        <v>1123.3699999999999</v>
      </c>
      <c r="E34" s="123">
        <v>1105.2</v>
      </c>
      <c r="F34" s="123">
        <v>1093.1300000000001</v>
      </c>
      <c r="G34" s="123">
        <v>1083.07</v>
      </c>
      <c r="H34" s="123">
        <v>1067.54</v>
      </c>
      <c r="I34" s="123">
        <v>1047.1300000000001</v>
      </c>
      <c r="J34" s="123">
        <v>1027.81</v>
      </c>
      <c r="K34" s="123">
        <v>1012.29</v>
      </c>
      <c r="L34" s="123">
        <v>1004.39</v>
      </c>
      <c r="M34" s="123">
        <v>1111.6099999999999</v>
      </c>
      <c r="N34" s="123">
        <v>1059.45</v>
      </c>
      <c r="O34" s="123">
        <v>1062.01</v>
      </c>
      <c r="P34" s="123">
        <v>907.4</v>
      </c>
      <c r="Q34" s="123">
        <v>1078.3399999999999</v>
      </c>
      <c r="R34" s="123">
        <v>1050.69</v>
      </c>
      <c r="S34" s="123">
        <v>1044.81</v>
      </c>
      <c r="T34" s="123">
        <v>1039.43</v>
      </c>
      <c r="U34" s="336"/>
      <c r="V34" s="337"/>
      <c r="W34" s="337"/>
      <c r="X34" s="331"/>
      <c r="Y34" s="338"/>
      <c r="Z34" s="337"/>
      <c r="AA34" s="349"/>
      <c r="AB34" s="350"/>
      <c r="AC34" s="265"/>
    </row>
    <row r="35" spans="1:35" ht="32.25" thickBot="1">
      <c r="A35" s="123"/>
      <c r="B35" s="257"/>
      <c r="C35" s="243" t="s">
        <v>221</v>
      </c>
      <c r="D35" s="340">
        <f t="shared" ref="D35:T35" si="7">IF(((D33="")*AND(D34="")),"",(D33-D34)*2)</f>
        <v>1804.48</v>
      </c>
      <c r="E35" s="340">
        <f t="shared" si="7"/>
        <v>1819.6</v>
      </c>
      <c r="F35" s="340">
        <f t="shared" si="7"/>
        <v>1838.2999999999997</v>
      </c>
      <c r="G35" s="340">
        <f t="shared" si="7"/>
        <v>1855.6</v>
      </c>
      <c r="H35" s="340">
        <f t="shared" si="7"/>
        <v>1878.48</v>
      </c>
      <c r="I35" s="340">
        <f t="shared" si="7"/>
        <v>1922.8399999999997</v>
      </c>
      <c r="J35" s="340">
        <f t="shared" si="7"/>
        <v>1962.7400000000002</v>
      </c>
      <c r="K35" s="340">
        <f t="shared" si="7"/>
        <v>1998.88</v>
      </c>
      <c r="L35" s="340">
        <f t="shared" si="7"/>
        <v>2040.8</v>
      </c>
      <c r="M35" s="340">
        <f t="shared" si="7"/>
        <v>1940.3000000000006</v>
      </c>
      <c r="N35" s="340">
        <f t="shared" si="7"/>
        <v>1898.6799999999998</v>
      </c>
      <c r="O35" s="340">
        <f t="shared" si="7"/>
        <v>1893.2400000000002</v>
      </c>
      <c r="P35" s="340">
        <f t="shared" si="7"/>
        <v>2317.8999999999996</v>
      </c>
      <c r="Q35" s="340">
        <f t="shared" si="7"/>
        <v>1895.7600000000002</v>
      </c>
      <c r="R35" s="340">
        <f t="shared" si="7"/>
        <v>2033.7399999999998</v>
      </c>
      <c r="S35" s="340">
        <f t="shared" si="7"/>
        <v>1931.3400000000001</v>
      </c>
      <c r="T35" s="341">
        <f t="shared" si="7"/>
        <v>1964.48</v>
      </c>
      <c r="U35" s="342"/>
      <c r="V35" s="340"/>
      <c r="W35" s="340"/>
      <c r="X35" s="343"/>
      <c r="Y35" s="344"/>
      <c r="Z35" s="340"/>
      <c r="AA35" s="351"/>
      <c r="AB35" s="350"/>
      <c r="AC35" s="265"/>
    </row>
    <row r="36" spans="1:35">
      <c r="A36" s="348">
        <v>43132</v>
      </c>
      <c r="B36" s="249" t="s">
        <v>76</v>
      </c>
      <c r="C36" s="235" t="s">
        <v>77</v>
      </c>
      <c r="D36" s="123">
        <v>3644.67</v>
      </c>
      <c r="E36" s="123">
        <v>3615.17</v>
      </c>
      <c r="F36" s="123">
        <v>3604.44</v>
      </c>
      <c r="G36" s="123">
        <v>3613.46</v>
      </c>
      <c r="H36" s="123">
        <v>3614.2</v>
      </c>
      <c r="I36" s="123">
        <v>3589.96</v>
      </c>
      <c r="J36" s="123">
        <v>3581.58</v>
      </c>
      <c r="K36" s="123">
        <v>3583.81</v>
      </c>
      <c r="L36" s="123">
        <v>3621.81</v>
      </c>
      <c r="M36" s="123">
        <v>3648.96</v>
      </c>
      <c r="N36" s="123">
        <v>3614.91</v>
      </c>
      <c r="O36" s="123">
        <v>3607.25</v>
      </c>
      <c r="P36" s="123">
        <v>3679.74</v>
      </c>
      <c r="Q36" s="123">
        <v>3601.11</v>
      </c>
      <c r="R36" s="123">
        <v>3635.1</v>
      </c>
      <c r="S36" s="123">
        <v>3571.05</v>
      </c>
      <c r="T36" s="123">
        <v>3591.94</v>
      </c>
      <c r="U36" s="347">
        <f>IF((T37=""),"",MAX(D38:T38))</f>
        <v>1735.3999999999996</v>
      </c>
      <c r="V36" s="235">
        <f>IF(T37="","",MIN(D38:T38))</f>
        <v>1345.5600000000004</v>
      </c>
      <c r="W36" s="250">
        <f>IF((T38=""),"",AVERAGE(D38:T38))</f>
        <v>1560.9117647058824</v>
      </c>
      <c r="X36" s="331">
        <f>STDEV(D38:T38)</f>
        <v>107.58806394271238</v>
      </c>
      <c r="Y36" s="236">
        <f>IF((T37=""),"",((U36-V36)/(U36+V36))*100)</f>
        <v>12.653199002908158</v>
      </c>
      <c r="Z36" s="228" t="str">
        <f>IF(T37="","",IF(Y36&lt;15,IF(W36&gt;AF36,IF(W36&lt;AG36,"Pass","Fail"),"Fail"),"Fail"))</f>
        <v>Fail</v>
      </c>
      <c r="AA36" s="339">
        <v>1335</v>
      </c>
      <c r="AB36" s="333"/>
      <c r="AC36" s="323" t="s">
        <v>106</v>
      </c>
      <c r="AD36" s="302">
        <v>1600</v>
      </c>
      <c r="AE36" s="302">
        <v>2600</v>
      </c>
      <c r="AF36" s="334">
        <v>1690</v>
      </c>
      <c r="AG36" s="334">
        <v>2125</v>
      </c>
      <c r="AH36" s="335">
        <v>15</v>
      </c>
      <c r="AI36" s="335">
        <v>15</v>
      </c>
    </row>
    <row r="37" spans="1:35">
      <c r="A37" s="123"/>
      <c r="B37" s="235"/>
      <c r="C37" s="235" t="s">
        <v>78</v>
      </c>
      <c r="D37" s="123">
        <v>2923.92</v>
      </c>
      <c r="E37" s="123">
        <v>2885.82</v>
      </c>
      <c r="F37" s="123">
        <v>2862.55</v>
      </c>
      <c r="G37" s="123">
        <v>2872.58</v>
      </c>
      <c r="H37" s="123">
        <v>2867.6</v>
      </c>
      <c r="I37" s="123">
        <v>2794.53</v>
      </c>
      <c r="J37" s="123">
        <v>2752.06</v>
      </c>
      <c r="K37" s="123">
        <v>2737.64</v>
      </c>
      <c r="L37" s="123">
        <v>2754.11</v>
      </c>
      <c r="M37" s="123">
        <v>2976.18</v>
      </c>
      <c r="N37" s="123">
        <v>2835.09</v>
      </c>
      <c r="O37" s="123">
        <v>2829.41</v>
      </c>
      <c r="P37" s="123">
        <v>2931.22</v>
      </c>
      <c r="Q37" s="123">
        <v>2814.37</v>
      </c>
      <c r="R37" s="123">
        <v>2772.25</v>
      </c>
      <c r="S37" s="123">
        <v>2768.13</v>
      </c>
      <c r="T37" s="123">
        <v>2773.95</v>
      </c>
      <c r="U37" s="336"/>
      <c r="V37" s="337"/>
      <c r="W37" s="337"/>
      <c r="X37" s="331"/>
      <c r="Y37" s="338"/>
      <c r="Z37" s="337"/>
      <c r="AA37" s="339"/>
      <c r="AB37" s="333"/>
      <c r="AC37" s="265"/>
    </row>
    <row r="38" spans="1:35" ht="32.25" thickBot="1">
      <c r="A38" s="123"/>
      <c r="B38" s="243"/>
      <c r="C38" s="243" t="s">
        <v>221</v>
      </c>
      <c r="D38" s="340">
        <f t="shared" ref="D38:T38" si="8">IF(((D36="")*AND(D37="")),"",(D36-D37)*2)</f>
        <v>1441.5</v>
      </c>
      <c r="E38" s="340">
        <f t="shared" si="8"/>
        <v>1458.6999999999998</v>
      </c>
      <c r="F38" s="340">
        <f t="shared" si="8"/>
        <v>1483.7799999999997</v>
      </c>
      <c r="G38" s="340">
        <f t="shared" si="8"/>
        <v>1481.7600000000002</v>
      </c>
      <c r="H38" s="340">
        <f t="shared" si="8"/>
        <v>1493.1999999999998</v>
      </c>
      <c r="I38" s="340">
        <f t="shared" si="8"/>
        <v>1590.8599999999997</v>
      </c>
      <c r="J38" s="340">
        <f t="shared" si="8"/>
        <v>1659.04</v>
      </c>
      <c r="K38" s="340">
        <f t="shared" si="8"/>
        <v>1692.3400000000001</v>
      </c>
      <c r="L38" s="340">
        <f t="shared" si="8"/>
        <v>1735.3999999999996</v>
      </c>
      <c r="M38" s="340">
        <f t="shared" si="8"/>
        <v>1345.5600000000004</v>
      </c>
      <c r="N38" s="340">
        <f t="shared" si="8"/>
        <v>1559.6399999999994</v>
      </c>
      <c r="O38" s="340">
        <f t="shared" si="8"/>
        <v>1555.6800000000003</v>
      </c>
      <c r="P38" s="340">
        <f t="shared" si="8"/>
        <v>1497.04</v>
      </c>
      <c r="Q38" s="340">
        <f t="shared" si="8"/>
        <v>1573.4800000000005</v>
      </c>
      <c r="R38" s="340">
        <f t="shared" si="8"/>
        <v>1725.6999999999998</v>
      </c>
      <c r="S38" s="340">
        <f t="shared" si="8"/>
        <v>1605.8400000000001</v>
      </c>
      <c r="T38" s="341">
        <f t="shared" si="8"/>
        <v>1635.9800000000005</v>
      </c>
      <c r="U38" s="342"/>
      <c r="V38" s="340"/>
      <c r="W38" s="340"/>
      <c r="X38" s="343"/>
      <c r="Y38" s="344"/>
      <c r="Z38" s="340"/>
      <c r="AA38" s="345"/>
      <c r="AB38" s="333"/>
      <c r="AC38" s="265"/>
    </row>
    <row r="39" spans="1:35">
      <c r="A39" s="348">
        <v>43132</v>
      </c>
      <c r="B39" s="249" t="s">
        <v>76</v>
      </c>
      <c r="C39" s="235" t="s">
        <v>77</v>
      </c>
      <c r="D39" s="123">
        <v>2018.48</v>
      </c>
      <c r="E39" s="123">
        <v>2006.64</v>
      </c>
      <c r="F39" s="123">
        <v>2002.66</v>
      </c>
      <c r="G39" s="123">
        <v>1998.4</v>
      </c>
      <c r="H39" s="123">
        <v>1997.23</v>
      </c>
      <c r="I39" s="123">
        <v>1997.87</v>
      </c>
      <c r="J39" s="123">
        <v>1999.98</v>
      </c>
      <c r="K39" s="123">
        <v>2003</v>
      </c>
      <c r="L39" s="123">
        <v>2015.85</v>
      </c>
      <c r="M39" s="123">
        <v>2006.79</v>
      </c>
      <c r="N39" s="123">
        <v>2001.54</v>
      </c>
      <c r="O39" s="123">
        <v>1998.51</v>
      </c>
      <c r="P39" s="123">
        <v>2056.48</v>
      </c>
      <c r="Q39" s="123">
        <v>2013.9</v>
      </c>
      <c r="R39" s="123">
        <v>2001.87</v>
      </c>
      <c r="S39" s="123">
        <v>2003.67</v>
      </c>
      <c r="T39" s="123">
        <v>2082.04</v>
      </c>
      <c r="U39" s="347">
        <f>IF((T40=""),"",MAX(D41:T41))</f>
        <v>2357.8199999999997</v>
      </c>
      <c r="V39" s="235">
        <f>IF(T40="","",MIN(D41:T41))</f>
        <v>1758.6</v>
      </c>
      <c r="W39" s="250">
        <f>IF((T41=""),"",AVERAGE(D41:T41))</f>
        <v>1925.6235294117648</v>
      </c>
      <c r="X39" s="331">
        <f>STDEV(D41:T41)</f>
        <v>160.97592603170415</v>
      </c>
      <c r="Y39" s="236">
        <f>IF((T40=""),"",((U39-V39)/(U39+V39))*100)</f>
        <v>14.556823647732733</v>
      </c>
      <c r="Z39" s="228" t="str">
        <f>IF(T40="","",IF(Y39&lt;15,IF(W39&gt;AF39,IF(W39&lt;AG39,"Pass","Fail"),"Fail"),"Fail"))</f>
        <v>Pass</v>
      </c>
      <c r="AA39" s="339">
        <v>102</v>
      </c>
      <c r="AB39" s="333"/>
      <c r="AD39" s="302">
        <v>1600</v>
      </c>
      <c r="AE39" s="302">
        <v>2600</v>
      </c>
      <c r="AF39" s="334">
        <v>1690</v>
      </c>
      <c r="AG39" s="334">
        <v>2125</v>
      </c>
      <c r="AH39" s="335">
        <v>15</v>
      </c>
      <c r="AI39" s="335">
        <v>15</v>
      </c>
    </row>
    <row r="40" spans="1:35">
      <c r="A40" s="123"/>
      <c r="B40" s="235"/>
      <c r="C40" s="235" t="s">
        <v>78</v>
      </c>
      <c r="D40" s="123">
        <v>1114.24</v>
      </c>
      <c r="E40" s="123">
        <v>1096.44</v>
      </c>
      <c r="F40" s="123">
        <v>1088.8</v>
      </c>
      <c r="G40" s="123">
        <v>1079.58</v>
      </c>
      <c r="H40" s="123">
        <v>1067.8800000000001</v>
      </c>
      <c r="I40" s="123">
        <v>1050.58</v>
      </c>
      <c r="J40" s="123">
        <v>1036.77</v>
      </c>
      <c r="K40" s="123">
        <v>1028.42</v>
      </c>
      <c r="L40" s="123">
        <v>1029.33</v>
      </c>
      <c r="M40" s="123">
        <v>1127.49</v>
      </c>
      <c r="N40" s="123">
        <v>1056.25</v>
      </c>
      <c r="O40" s="123">
        <v>1057.81</v>
      </c>
      <c r="P40" s="123">
        <v>906.28</v>
      </c>
      <c r="Q40" s="123">
        <v>1081.92</v>
      </c>
      <c r="R40" s="123">
        <v>1057.08</v>
      </c>
      <c r="S40" s="123">
        <v>1055.1099999999999</v>
      </c>
      <c r="T40" s="123">
        <v>903.13</v>
      </c>
      <c r="U40" s="336"/>
      <c r="V40" s="337"/>
      <c r="W40" s="337"/>
      <c r="X40" s="331"/>
      <c r="Y40" s="338"/>
      <c r="Z40" s="337"/>
      <c r="AA40" s="339"/>
      <c r="AB40" s="333"/>
      <c r="AC40" s="265"/>
    </row>
    <row r="41" spans="1:35" ht="32.25" thickBot="1">
      <c r="A41" s="123"/>
      <c r="B41" s="243"/>
      <c r="C41" s="243" t="s">
        <v>221</v>
      </c>
      <c r="D41" s="340">
        <f t="shared" ref="D41:T41" si="9">IF(((D39="")*AND(D40="")),"",(D39-D40)*2)</f>
        <v>1808.48</v>
      </c>
      <c r="E41" s="340">
        <f t="shared" si="9"/>
        <v>1820.4</v>
      </c>
      <c r="F41" s="340">
        <f t="shared" si="9"/>
        <v>1827.7200000000003</v>
      </c>
      <c r="G41" s="340">
        <f t="shared" si="9"/>
        <v>1837.6400000000003</v>
      </c>
      <c r="H41" s="340">
        <f t="shared" si="9"/>
        <v>1858.6999999999998</v>
      </c>
      <c r="I41" s="340">
        <f t="shared" si="9"/>
        <v>1894.58</v>
      </c>
      <c r="J41" s="340">
        <f t="shared" si="9"/>
        <v>1926.42</v>
      </c>
      <c r="K41" s="340">
        <f t="shared" si="9"/>
        <v>1949.1599999999999</v>
      </c>
      <c r="L41" s="340">
        <f t="shared" si="9"/>
        <v>1973.04</v>
      </c>
      <c r="M41" s="340">
        <f t="shared" si="9"/>
        <v>1758.6</v>
      </c>
      <c r="N41" s="340">
        <f t="shared" si="9"/>
        <v>1890.58</v>
      </c>
      <c r="O41" s="340">
        <f t="shared" si="9"/>
        <v>1881.4</v>
      </c>
      <c r="P41" s="340">
        <f t="shared" si="9"/>
        <v>2300.4</v>
      </c>
      <c r="Q41" s="340">
        <f t="shared" si="9"/>
        <v>1863.96</v>
      </c>
      <c r="R41" s="340">
        <f t="shared" si="9"/>
        <v>1889.58</v>
      </c>
      <c r="S41" s="340">
        <f t="shared" si="9"/>
        <v>1897.1200000000003</v>
      </c>
      <c r="T41" s="341">
        <f t="shared" si="9"/>
        <v>2357.8199999999997</v>
      </c>
      <c r="U41" s="342"/>
      <c r="V41" s="340"/>
      <c r="W41" s="340"/>
      <c r="X41" s="343"/>
      <c r="Y41" s="344"/>
      <c r="Z41" s="340"/>
      <c r="AA41" s="345"/>
      <c r="AB41" s="333"/>
      <c r="AC41" s="265"/>
    </row>
    <row r="42" spans="1:35">
      <c r="A42" s="348">
        <v>43137</v>
      </c>
      <c r="B42" s="249" t="s">
        <v>76</v>
      </c>
      <c r="C42" s="235" t="s">
        <v>77</v>
      </c>
      <c r="D42" s="123">
        <v>2018.59</v>
      </c>
      <c r="E42" s="123">
        <v>2006.52</v>
      </c>
      <c r="F42" s="123">
        <v>2004.51</v>
      </c>
      <c r="G42" s="123">
        <v>2000.34</v>
      </c>
      <c r="H42" s="123">
        <v>1998.21</v>
      </c>
      <c r="I42" s="123">
        <v>1999.07</v>
      </c>
      <c r="J42" s="123">
        <v>2001.03</v>
      </c>
      <c r="K42" s="123">
        <v>2002.91</v>
      </c>
      <c r="L42" s="123">
        <v>2017.32</v>
      </c>
      <c r="M42" s="123">
        <v>2082.25</v>
      </c>
      <c r="N42" s="123">
        <v>2002.04</v>
      </c>
      <c r="O42" s="123">
        <v>1999.68</v>
      </c>
      <c r="P42" s="123">
        <v>2055.0100000000002</v>
      </c>
      <c r="Q42" s="123">
        <v>2014.55</v>
      </c>
      <c r="R42" s="123">
        <v>2058.33</v>
      </c>
      <c r="S42" s="123">
        <v>2004.37</v>
      </c>
      <c r="T42" s="123">
        <v>2021.85</v>
      </c>
      <c r="U42" s="347">
        <f>IF((T43=""),"",MAX(D44:T44))</f>
        <v>2290.0800000000004</v>
      </c>
      <c r="V42" s="235">
        <f>IF(T43="","",MIN(D44:T44))</f>
        <v>1807.8799999999997</v>
      </c>
      <c r="W42" s="250">
        <f>IF((T44=""),"",AVERAGE(D44:T44))</f>
        <v>1917.8011764705882</v>
      </c>
      <c r="X42" s="331">
        <f>STDEV(D44:T44)</f>
        <v>109.79494147514005</v>
      </c>
      <c r="Y42" s="236">
        <f>IF((T43=""),"",((U42-V42)/(U42+V42))*100)</f>
        <v>11.766830325332622</v>
      </c>
      <c r="Z42" s="228" t="str">
        <f>IF(T43="","",IF(Y42&lt;15,IF(W42&gt;AF42,IF(W42&lt;AG42,"Pass","Fail"),"Fail"),"Fail"))</f>
        <v>Pass</v>
      </c>
      <c r="AA42" s="339">
        <v>1519</v>
      </c>
      <c r="AB42" s="333"/>
      <c r="AD42" s="302">
        <v>1600</v>
      </c>
      <c r="AE42" s="302">
        <v>2600</v>
      </c>
      <c r="AF42" s="334">
        <v>1690</v>
      </c>
      <c r="AG42" s="334">
        <v>2125</v>
      </c>
      <c r="AH42" s="335">
        <v>15</v>
      </c>
      <c r="AI42" s="335">
        <v>15</v>
      </c>
    </row>
    <row r="43" spans="1:35">
      <c r="A43" s="123"/>
      <c r="B43" s="235"/>
      <c r="C43" s="235" t="s">
        <v>78</v>
      </c>
      <c r="D43" s="123">
        <v>1114.6500000000001</v>
      </c>
      <c r="E43" s="123">
        <v>1097.46</v>
      </c>
      <c r="F43" s="123">
        <v>1086.83</v>
      </c>
      <c r="G43" s="123">
        <v>1078.47</v>
      </c>
      <c r="H43" s="123">
        <v>1068.32</v>
      </c>
      <c r="I43" s="123">
        <v>1049.8399999999999</v>
      </c>
      <c r="J43" s="123">
        <v>1034.68</v>
      </c>
      <c r="K43" s="123">
        <v>1025.44</v>
      </c>
      <c r="L43" s="123">
        <v>1029.67</v>
      </c>
      <c r="M43" s="123">
        <v>1129.8699999999999</v>
      </c>
      <c r="N43" s="123">
        <v>1056.29</v>
      </c>
      <c r="O43" s="123">
        <v>1057.8699999999999</v>
      </c>
      <c r="P43" s="123">
        <v>909.97</v>
      </c>
      <c r="Q43" s="123">
        <v>1075.32</v>
      </c>
      <c r="R43" s="123">
        <v>1055.98</v>
      </c>
      <c r="S43" s="123">
        <v>1052.6400000000001</v>
      </c>
      <c r="T43" s="123">
        <v>1061.97</v>
      </c>
      <c r="U43" s="336"/>
      <c r="V43" s="337"/>
      <c r="W43" s="337"/>
      <c r="X43" s="331"/>
      <c r="Y43" s="338"/>
      <c r="Z43" s="337"/>
      <c r="AA43" s="339"/>
      <c r="AB43" s="333"/>
      <c r="AC43" s="265"/>
    </row>
    <row r="44" spans="1:35" ht="32.25" thickBot="1">
      <c r="A44" s="123"/>
      <c r="B44" s="243"/>
      <c r="C44" s="243" t="s">
        <v>221</v>
      </c>
      <c r="D44" s="340">
        <f t="shared" ref="D44:T44" si="10">IF(((D42="")*AND(D43="")),"",(D42-D43)*2)</f>
        <v>1807.8799999999997</v>
      </c>
      <c r="E44" s="340">
        <f t="shared" si="10"/>
        <v>1818.12</v>
      </c>
      <c r="F44" s="340">
        <f t="shared" si="10"/>
        <v>1835.3600000000001</v>
      </c>
      <c r="G44" s="340">
        <f t="shared" si="10"/>
        <v>1843.7399999999998</v>
      </c>
      <c r="H44" s="340">
        <f t="shared" si="10"/>
        <v>1859.7800000000002</v>
      </c>
      <c r="I44" s="340">
        <f t="shared" si="10"/>
        <v>1898.46</v>
      </c>
      <c r="J44" s="340">
        <f t="shared" si="10"/>
        <v>1932.6999999999998</v>
      </c>
      <c r="K44" s="340">
        <f t="shared" si="10"/>
        <v>1954.94</v>
      </c>
      <c r="L44" s="340">
        <f t="shared" si="10"/>
        <v>1975.2999999999997</v>
      </c>
      <c r="M44" s="340">
        <f t="shared" si="10"/>
        <v>1904.7600000000002</v>
      </c>
      <c r="N44" s="340">
        <f t="shared" si="10"/>
        <v>1891.5</v>
      </c>
      <c r="O44" s="340">
        <f t="shared" si="10"/>
        <v>1883.6200000000003</v>
      </c>
      <c r="P44" s="340">
        <f t="shared" si="10"/>
        <v>2290.0800000000004</v>
      </c>
      <c r="Q44" s="340">
        <f t="shared" si="10"/>
        <v>1878.46</v>
      </c>
      <c r="R44" s="340">
        <f t="shared" si="10"/>
        <v>2004.6999999999998</v>
      </c>
      <c r="S44" s="340">
        <f t="shared" si="10"/>
        <v>1903.4599999999996</v>
      </c>
      <c r="T44" s="341">
        <f t="shared" si="10"/>
        <v>1919.7599999999998</v>
      </c>
      <c r="U44" s="342"/>
      <c r="V44" s="340"/>
      <c r="W44" s="340"/>
      <c r="X44" s="343"/>
      <c r="Y44" s="344"/>
      <c r="Z44" s="340"/>
      <c r="AA44" s="345"/>
      <c r="AB44" s="333"/>
      <c r="AC44" s="265"/>
    </row>
    <row r="45" spans="1:35">
      <c r="A45" s="348">
        <v>43141</v>
      </c>
      <c r="B45" s="249" t="s">
        <v>76</v>
      </c>
      <c r="C45" s="235" t="s">
        <v>77</v>
      </c>
      <c r="D45" s="123">
        <v>2008.52</v>
      </c>
      <c r="E45" s="123">
        <v>1997.71</v>
      </c>
      <c r="F45" s="123">
        <v>1994.47</v>
      </c>
      <c r="G45" s="123">
        <v>1990.74</v>
      </c>
      <c r="H45" s="123">
        <v>1989.64</v>
      </c>
      <c r="I45" s="123">
        <v>1989.97</v>
      </c>
      <c r="J45" s="123">
        <v>1990.67</v>
      </c>
      <c r="K45" s="123">
        <v>1994.38</v>
      </c>
      <c r="L45" s="123">
        <v>2008.63</v>
      </c>
      <c r="M45" s="123">
        <v>2068.66</v>
      </c>
      <c r="N45" s="123">
        <v>1991.92</v>
      </c>
      <c r="O45" s="123">
        <v>1990.52</v>
      </c>
      <c r="P45" s="123">
        <v>2044.92</v>
      </c>
      <c r="Q45" s="123">
        <v>2007.25</v>
      </c>
      <c r="R45" s="123">
        <v>1992.37</v>
      </c>
      <c r="S45" s="123">
        <v>1994.42</v>
      </c>
      <c r="T45" s="123">
        <v>2066.9</v>
      </c>
      <c r="U45" s="347">
        <f>IF((T46=""),"",MAX(D47:T47))</f>
        <v>2269.9</v>
      </c>
      <c r="V45" s="235">
        <f>IF(T46="","",MIN(D47:T47))</f>
        <v>1776.3400000000001</v>
      </c>
      <c r="W45" s="250">
        <f>IF((T47=""),"",AVERAGE(D47:T47))</f>
        <v>1901.2741176470595</v>
      </c>
      <c r="X45" s="331">
        <f>STDEV(D47:T47)</f>
        <v>112.14614232435858</v>
      </c>
      <c r="Y45" s="236">
        <f>IF((T46=""),"",((U45-V45)/(U45+V45))*100)</f>
        <v>12.197991221479693</v>
      </c>
      <c r="Z45" s="228" t="str">
        <f>IF(T46="","",IF(Y45&lt;15,IF(W45&gt;AF45,IF(W45&lt;AG45,"Pass","Fail"),"Fail"),"Fail"))</f>
        <v>Pass</v>
      </c>
      <c r="AA45" s="339">
        <v>102</v>
      </c>
      <c r="AB45" s="333"/>
      <c r="AD45" s="302">
        <v>1600</v>
      </c>
      <c r="AE45" s="302">
        <v>2600</v>
      </c>
      <c r="AF45" s="334">
        <v>1690</v>
      </c>
      <c r="AG45" s="334">
        <v>2125</v>
      </c>
      <c r="AH45" s="335">
        <v>15</v>
      </c>
      <c r="AI45" s="335">
        <v>15</v>
      </c>
    </row>
    <row r="46" spans="1:35">
      <c r="A46" s="123"/>
      <c r="B46" s="235"/>
      <c r="C46" s="235" t="s">
        <v>78</v>
      </c>
      <c r="D46" s="123">
        <v>1120.3499999999999</v>
      </c>
      <c r="E46" s="123">
        <v>1101.02</v>
      </c>
      <c r="F46" s="123">
        <v>1087.5999999999999</v>
      </c>
      <c r="G46" s="123">
        <v>1075.8599999999999</v>
      </c>
      <c r="H46" s="123">
        <v>1061.29</v>
      </c>
      <c r="I46" s="123">
        <v>1040.33</v>
      </c>
      <c r="J46" s="123">
        <v>1019.39</v>
      </c>
      <c r="K46" s="123">
        <v>1025.44</v>
      </c>
      <c r="L46" s="123">
        <v>1029.67</v>
      </c>
      <c r="M46" s="123">
        <v>1129.8699999999999</v>
      </c>
      <c r="N46" s="123">
        <v>1056.29</v>
      </c>
      <c r="O46" s="123">
        <v>1057.8699999999999</v>
      </c>
      <c r="P46" s="123">
        <v>909.97</v>
      </c>
      <c r="Q46" s="123">
        <v>1075.32</v>
      </c>
      <c r="R46" s="123">
        <v>1055.98</v>
      </c>
      <c r="S46" s="123">
        <v>1052.6400000000001</v>
      </c>
      <c r="T46" s="123">
        <v>1061.97</v>
      </c>
      <c r="U46" s="336"/>
      <c r="V46" s="337"/>
      <c r="W46" s="337"/>
      <c r="X46" s="331"/>
      <c r="Y46" s="338"/>
      <c r="Z46" s="337"/>
      <c r="AA46" s="339"/>
      <c r="AB46" s="333"/>
      <c r="AC46" s="265"/>
    </row>
    <row r="47" spans="1:35" ht="32.25" thickBot="1">
      <c r="A47" s="123"/>
      <c r="B47" s="243"/>
      <c r="C47" s="243" t="s">
        <v>221</v>
      </c>
      <c r="D47" s="340">
        <f t="shared" ref="D47:T47" si="11">IF(((D45="")*AND(D46="")),"",(D45-D46)*2)</f>
        <v>1776.3400000000001</v>
      </c>
      <c r="E47" s="340">
        <f t="shared" si="11"/>
        <v>1793.38</v>
      </c>
      <c r="F47" s="340">
        <f t="shared" si="11"/>
        <v>1813.7400000000002</v>
      </c>
      <c r="G47" s="340">
        <f t="shared" si="11"/>
        <v>1829.7600000000002</v>
      </c>
      <c r="H47" s="340">
        <f t="shared" si="11"/>
        <v>1856.7000000000003</v>
      </c>
      <c r="I47" s="340">
        <f t="shared" si="11"/>
        <v>1899.2800000000002</v>
      </c>
      <c r="J47" s="340">
        <f t="shared" si="11"/>
        <v>1942.5600000000002</v>
      </c>
      <c r="K47" s="340">
        <f t="shared" si="11"/>
        <v>1937.88</v>
      </c>
      <c r="L47" s="340">
        <f t="shared" si="11"/>
        <v>1957.92</v>
      </c>
      <c r="M47" s="340">
        <f t="shared" si="11"/>
        <v>1877.58</v>
      </c>
      <c r="N47" s="340">
        <f t="shared" si="11"/>
        <v>1871.2600000000002</v>
      </c>
      <c r="O47" s="340">
        <f t="shared" si="11"/>
        <v>1865.3000000000002</v>
      </c>
      <c r="P47" s="340">
        <f t="shared" si="11"/>
        <v>2269.9</v>
      </c>
      <c r="Q47" s="340">
        <f t="shared" si="11"/>
        <v>1863.8600000000001</v>
      </c>
      <c r="R47" s="340">
        <f t="shared" si="11"/>
        <v>1872.7799999999997</v>
      </c>
      <c r="S47" s="340">
        <f t="shared" si="11"/>
        <v>1883.56</v>
      </c>
      <c r="T47" s="341">
        <f t="shared" si="11"/>
        <v>2009.8600000000001</v>
      </c>
      <c r="U47" s="342"/>
      <c r="V47" s="340"/>
      <c r="W47" s="340"/>
      <c r="X47" s="343"/>
      <c r="Y47" s="344"/>
      <c r="Z47" s="340"/>
      <c r="AA47" s="345"/>
      <c r="AB47" s="333"/>
      <c r="AC47" s="265"/>
    </row>
    <row r="48" spans="1:35">
      <c r="A48" s="346">
        <v>43146</v>
      </c>
      <c r="B48" s="249" t="s">
        <v>76</v>
      </c>
      <c r="C48" s="235" t="s">
        <v>77</v>
      </c>
      <c r="D48" s="123">
        <v>2013.1</v>
      </c>
      <c r="E48" s="123">
        <v>2008.87</v>
      </c>
      <c r="F48" s="123">
        <v>2005.41</v>
      </c>
      <c r="G48" s="123">
        <v>2005.44</v>
      </c>
      <c r="H48" s="123">
        <v>2006.19</v>
      </c>
      <c r="I48" s="123">
        <v>2006.17</v>
      </c>
      <c r="J48" s="123">
        <v>2007.16</v>
      </c>
      <c r="K48" s="123">
        <v>2010.29</v>
      </c>
      <c r="L48" s="123">
        <v>2025.05</v>
      </c>
      <c r="M48" s="123">
        <v>2092.4499999999998</v>
      </c>
      <c r="N48" s="123">
        <v>2007.31</v>
      </c>
      <c r="O48" s="123">
        <v>2005.59</v>
      </c>
      <c r="P48" s="123">
        <v>2062.36</v>
      </c>
      <c r="Q48" s="123">
        <v>2021.03</v>
      </c>
      <c r="R48" s="123">
        <v>2066.12</v>
      </c>
      <c r="S48" s="123">
        <v>2013.43</v>
      </c>
      <c r="T48" s="123">
        <v>2031.57</v>
      </c>
      <c r="U48" s="347">
        <f>IF((T49=""),"",MAX(D50:T50))</f>
        <v>2193.84</v>
      </c>
      <c r="V48" s="235">
        <f>IF(T49="","",MIN(D50:T50))</f>
        <v>1812.46</v>
      </c>
      <c r="W48" s="250">
        <f>IF((T50=""),"",AVERAGE(D50:T50))</f>
        <v>1927.5305882352939</v>
      </c>
      <c r="X48" s="331">
        <f>STDEV(D50:T50)</f>
        <v>87.851573724563153</v>
      </c>
      <c r="Y48" s="236">
        <f>IF((T49=""),"",((U48-V48)/(U48+V48))*100)</f>
        <v>9.5195067768264998</v>
      </c>
      <c r="Z48" s="228" t="str">
        <f>IF(T49="","",IF(Y48&lt;15,IF(W48&gt;AF48,IF(W48&lt;AG48,"Pass","Fail"),"Fail"),"Fail"))</f>
        <v>Pass</v>
      </c>
      <c r="AA48" s="339">
        <v>1335</v>
      </c>
      <c r="AB48" s="333"/>
      <c r="AD48" s="302">
        <v>1600</v>
      </c>
      <c r="AE48" s="302">
        <v>2600</v>
      </c>
      <c r="AF48" s="334">
        <v>1690</v>
      </c>
      <c r="AG48" s="334">
        <v>2125</v>
      </c>
      <c r="AH48" s="335">
        <v>15</v>
      </c>
      <c r="AI48" s="335">
        <v>15</v>
      </c>
    </row>
    <row r="49" spans="1:35">
      <c r="A49" s="123"/>
      <c r="B49" s="235"/>
      <c r="C49" s="235" t="s">
        <v>78</v>
      </c>
      <c r="D49" s="123">
        <v>1096.5999999999999</v>
      </c>
      <c r="E49" s="123">
        <v>1077.8699999999999</v>
      </c>
      <c r="F49" s="123">
        <v>1072.23</v>
      </c>
      <c r="G49" s="123">
        <v>1071.29</v>
      </c>
      <c r="H49" s="123">
        <v>1062.83</v>
      </c>
      <c r="I49" s="123">
        <v>1049.71</v>
      </c>
      <c r="J49" s="123">
        <v>1040.94</v>
      </c>
      <c r="K49" s="123">
        <v>1034.1400000000001</v>
      </c>
      <c r="L49" s="123">
        <v>1061.45</v>
      </c>
      <c r="M49" s="123">
        <v>1123.6600000000001</v>
      </c>
      <c r="N49" s="123">
        <v>1044.18</v>
      </c>
      <c r="O49" s="123">
        <v>1046.5899999999999</v>
      </c>
      <c r="P49" s="123">
        <v>1054.28</v>
      </c>
      <c r="Q49" s="123">
        <v>1114.8</v>
      </c>
      <c r="R49" s="123">
        <v>1058.0999999999999</v>
      </c>
      <c r="S49" s="123">
        <v>1060.21</v>
      </c>
      <c r="T49" s="123">
        <v>934.65</v>
      </c>
      <c r="U49" s="336"/>
      <c r="V49" s="337"/>
      <c r="W49" s="337"/>
      <c r="X49" s="331"/>
      <c r="Y49" s="338"/>
      <c r="Z49" s="337"/>
      <c r="AA49" s="339"/>
      <c r="AB49" s="333"/>
      <c r="AC49" s="265"/>
    </row>
    <row r="50" spans="1:35" ht="32.25" thickBot="1">
      <c r="A50" s="123"/>
      <c r="B50" s="243"/>
      <c r="C50" s="243" t="s">
        <v>221</v>
      </c>
      <c r="D50" s="340">
        <f t="shared" ref="D50:T50" si="12">IF(((D48="")*AND(D49="")),"",(D48-D49)*2)</f>
        <v>1833</v>
      </c>
      <c r="E50" s="340">
        <f t="shared" si="12"/>
        <v>1862</v>
      </c>
      <c r="F50" s="340">
        <f t="shared" si="12"/>
        <v>1866.3600000000001</v>
      </c>
      <c r="G50" s="340">
        <f t="shared" si="12"/>
        <v>1868.3000000000002</v>
      </c>
      <c r="H50" s="340">
        <f t="shared" si="12"/>
        <v>1886.7200000000003</v>
      </c>
      <c r="I50" s="340">
        <f t="shared" si="12"/>
        <v>1912.92</v>
      </c>
      <c r="J50" s="340">
        <f t="shared" si="12"/>
        <v>1932.44</v>
      </c>
      <c r="K50" s="340">
        <f t="shared" si="12"/>
        <v>1952.2999999999997</v>
      </c>
      <c r="L50" s="340">
        <f t="shared" si="12"/>
        <v>1927.1999999999998</v>
      </c>
      <c r="M50" s="340">
        <f t="shared" si="12"/>
        <v>1937.5799999999995</v>
      </c>
      <c r="N50" s="340">
        <f t="shared" si="12"/>
        <v>1926.2599999999998</v>
      </c>
      <c r="O50" s="340">
        <f t="shared" si="12"/>
        <v>1918</v>
      </c>
      <c r="P50" s="340">
        <f t="shared" si="12"/>
        <v>2016.1600000000003</v>
      </c>
      <c r="Q50" s="340">
        <f t="shared" si="12"/>
        <v>1812.46</v>
      </c>
      <c r="R50" s="340">
        <f t="shared" si="12"/>
        <v>2016.04</v>
      </c>
      <c r="S50" s="340">
        <f t="shared" si="12"/>
        <v>1906.44</v>
      </c>
      <c r="T50" s="341">
        <f t="shared" si="12"/>
        <v>2193.84</v>
      </c>
      <c r="U50" s="342"/>
      <c r="V50" s="340"/>
      <c r="W50" s="340"/>
      <c r="X50" s="343"/>
      <c r="Y50" s="344"/>
      <c r="Z50" s="340"/>
      <c r="AA50" s="345"/>
      <c r="AB50" s="333"/>
      <c r="AC50" s="265"/>
    </row>
    <row r="51" spans="1:35">
      <c r="A51" s="346">
        <v>43151</v>
      </c>
      <c r="B51" s="249" t="s">
        <v>76</v>
      </c>
      <c r="C51" s="235" t="s">
        <v>77</v>
      </c>
      <c r="D51" s="123">
        <v>2001.95</v>
      </c>
      <c r="E51" s="123">
        <v>1989.8</v>
      </c>
      <c r="F51" s="123">
        <v>1983.86</v>
      </c>
      <c r="G51" s="123">
        <v>1980.24</v>
      </c>
      <c r="H51" s="123">
        <v>1979.69</v>
      </c>
      <c r="I51" s="123">
        <v>1980.64</v>
      </c>
      <c r="J51" s="123">
        <v>1982.42</v>
      </c>
      <c r="K51" s="123">
        <v>1986.71</v>
      </c>
      <c r="L51" s="123">
        <v>2003.35</v>
      </c>
      <c r="M51" s="123">
        <v>1991.96</v>
      </c>
      <c r="N51" s="123">
        <v>1984.59</v>
      </c>
      <c r="O51" s="123">
        <v>1982.3</v>
      </c>
      <c r="P51" s="123">
        <v>2033.33</v>
      </c>
      <c r="Q51" s="123">
        <v>1994.6</v>
      </c>
      <c r="R51" s="123">
        <v>1983.5</v>
      </c>
      <c r="S51" s="123">
        <v>1987.68</v>
      </c>
      <c r="T51" s="123">
        <v>2008.59</v>
      </c>
      <c r="U51" s="347">
        <f>IF((T52=""),"",MAX(D53:T53))</f>
        <v>1979.3599999999997</v>
      </c>
      <c r="V51" s="235">
        <f>IF(T52="","",MIN(D53:T53))</f>
        <v>1787.38</v>
      </c>
      <c r="W51" s="250">
        <f>IF((T53=""),"",AVERAGE(D53:T53))</f>
        <v>1869.7082352941177</v>
      </c>
      <c r="X51" s="331">
        <f>STDEV(D53:T53)</f>
        <v>51.699258727192351</v>
      </c>
      <c r="Y51" s="236">
        <f>IF((T52=""),"",((U51-V51)/(U51+V51))*100)</f>
        <v>5.0967149312137172</v>
      </c>
      <c r="Z51" s="228" t="str">
        <f>IF(T52="","",IF(Y51&lt;15,IF(W51&gt;AF51,IF(W51&lt;AG51,"Pass","Fail"),"Fail"),"Fail"))</f>
        <v>Pass</v>
      </c>
      <c r="AA51" s="339">
        <v>102</v>
      </c>
      <c r="AB51" s="333"/>
      <c r="AD51" s="302">
        <v>1600</v>
      </c>
      <c r="AE51" s="302">
        <v>2600</v>
      </c>
      <c r="AF51" s="334">
        <v>1690</v>
      </c>
      <c r="AG51" s="334">
        <v>2125</v>
      </c>
      <c r="AH51" s="335">
        <v>15</v>
      </c>
      <c r="AI51" s="335">
        <v>15</v>
      </c>
    </row>
    <row r="52" spans="1:35">
      <c r="A52" s="123"/>
      <c r="B52" s="235"/>
      <c r="C52" s="235" t="s">
        <v>78</v>
      </c>
      <c r="D52" s="123">
        <v>1101.52</v>
      </c>
      <c r="E52" s="123">
        <v>1076.29</v>
      </c>
      <c r="F52" s="123">
        <v>1065.1300000000001</v>
      </c>
      <c r="G52" s="123">
        <v>1060.19</v>
      </c>
      <c r="H52" s="123">
        <v>1048.4100000000001</v>
      </c>
      <c r="I52" s="123">
        <v>1032.2</v>
      </c>
      <c r="J52" s="123">
        <v>1016.7</v>
      </c>
      <c r="K52" s="123">
        <v>1046.7</v>
      </c>
      <c r="L52" s="123">
        <v>1040.21</v>
      </c>
      <c r="M52" s="123">
        <v>1098.27</v>
      </c>
      <c r="N52" s="123">
        <v>1035.1199999999999</v>
      </c>
      <c r="O52" s="123">
        <v>1037.96</v>
      </c>
      <c r="P52" s="123">
        <v>1043.6500000000001</v>
      </c>
      <c r="Q52" s="123">
        <v>1095.3800000000001</v>
      </c>
      <c r="R52" s="123">
        <v>1039.95</v>
      </c>
      <c r="S52" s="123">
        <v>1041</v>
      </c>
      <c r="T52" s="123">
        <v>1084.01</v>
      </c>
      <c r="U52" s="336"/>
      <c r="V52" s="337"/>
      <c r="W52" s="337"/>
      <c r="X52" s="331"/>
      <c r="Y52" s="338"/>
      <c r="Z52" s="337"/>
      <c r="AA52" s="339"/>
      <c r="AB52" s="333"/>
      <c r="AC52" s="265"/>
    </row>
    <row r="53" spans="1:35" ht="32.25" thickBot="1">
      <c r="A53" s="123"/>
      <c r="B53" s="243"/>
      <c r="C53" s="243" t="s">
        <v>221</v>
      </c>
      <c r="D53" s="340">
        <f t="shared" ref="D53:T53" si="13">IF(((D51="")*AND(D52="")),"",(D51-D52)*2)</f>
        <v>1800.8600000000001</v>
      </c>
      <c r="E53" s="340">
        <f t="shared" si="13"/>
        <v>1827.02</v>
      </c>
      <c r="F53" s="340">
        <f t="shared" si="13"/>
        <v>1837.4599999999996</v>
      </c>
      <c r="G53" s="340">
        <f t="shared" si="13"/>
        <v>1840.1</v>
      </c>
      <c r="H53" s="340">
        <f t="shared" si="13"/>
        <v>1862.56</v>
      </c>
      <c r="I53" s="340">
        <f t="shared" si="13"/>
        <v>1896.88</v>
      </c>
      <c r="J53" s="340">
        <f t="shared" si="13"/>
        <v>1931.44</v>
      </c>
      <c r="K53" s="340">
        <f t="shared" si="13"/>
        <v>1880.02</v>
      </c>
      <c r="L53" s="340">
        <f t="shared" si="13"/>
        <v>1926.2799999999997</v>
      </c>
      <c r="M53" s="340">
        <f t="shared" si="13"/>
        <v>1787.38</v>
      </c>
      <c r="N53" s="340">
        <f t="shared" si="13"/>
        <v>1898.94</v>
      </c>
      <c r="O53" s="340">
        <f t="shared" si="13"/>
        <v>1888.6799999999998</v>
      </c>
      <c r="P53" s="340">
        <f t="shared" si="13"/>
        <v>1979.3599999999997</v>
      </c>
      <c r="Q53" s="340">
        <f t="shared" si="13"/>
        <v>1798.4399999999996</v>
      </c>
      <c r="R53" s="340">
        <f t="shared" si="13"/>
        <v>1887.1</v>
      </c>
      <c r="S53" s="340">
        <f t="shared" si="13"/>
        <v>1893.3600000000001</v>
      </c>
      <c r="T53" s="341">
        <f t="shared" si="13"/>
        <v>1849.1599999999999</v>
      </c>
      <c r="U53" s="342"/>
      <c r="V53" s="340"/>
      <c r="W53" s="340"/>
      <c r="X53" s="343"/>
      <c r="Y53" s="344"/>
      <c r="Z53" s="340"/>
      <c r="AA53" s="345"/>
      <c r="AB53" s="333"/>
      <c r="AC53" s="265"/>
    </row>
    <row r="54" spans="1:35">
      <c r="A54" s="346">
        <v>43156</v>
      </c>
      <c r="B54" s="249" t="s">
        <v>76</v>
      </c>
      <c r="C54" s="235" t="s">
        <v>77</v>
      </c>
      <c r="D54" s="123">
        <v>2019.12</v>
      </c>
      <c r="E54" s="123">
        <v>2014.12</v>
      </c>
      <c r="F54" s="123">
        <v>2006.45</v>
      </c>
      <c r="G54" s="123">
        <v>2004.44</v>
      </c>
      <c r="H54" s="123">
        <v>2001.72</v>
      </c>
      <c r="I54" s="123">
        <v>2000.37</v>
      </c>
      <c r="J54" s="123">
        <v>2004.53</v>
      </c>
      <c r="K54" s="123">
        <v>2006.42</v>
      </c>
      <c r="L54" s="123">
        <v>2023.6</v>
      </c>
      <c r="M54" s="123">
        <v>2090.6799999999998</v>
      </c>
      <c r="N54" s="123">
        <v>2008.12</v>
      </c>
      <c r="O54" s="123">
        <v>2004.58</v>
      </c>
      <c r="P54" s="123">
        <v>2028.12</v>
      </c>
      <c r="Q54" s="123">
        <v>2011.26</v>
      </c>
      <c r="R54" s="123">
        <v>2005.61</v>
      </c>
      <c r="S54" s="123">
        <v>2008.85</v>
      </c>
      <c r="T54" s="123">
        <v>2055.94</v>
      </c>
      <c r="U54" s="347">
        <f>IF((T55=""),"",MAX(D56:T56))</f>
        <v>1967.3799999999997</v>
      </c>
      <c r="V54" s="235">
        <f>IF(T55="","",MIN(D56:T56))</f>
        <v>1826.1399999999999</v>
      </c>
      <c r="W54" s="250">
        <f>IF((T56=""),"",AVERAGE(D56:T56))</f>
        <v>1914.7494117647061</v>
      </c>
      <c r="X54" s="331">
        <f>STDEV(D56:T56)</f>
        <v>39.332750423563702</v>
      </c>
      <c r="Y54" s="236">
        <f>IF((T55=""),"",((U54-V54)/(U54+V54))*100)</f>
        <v>3.723191125919985</v>
      </c>
      <c r="Z54" s="228" t="str">
        <f>IF(T55="","",IF(Y54&lt;15,IF(W54&gt;AF54,IF(W54&lt;AG54,"Pass","Fail"),"Fail"),"Fail"))</f>
        <v>Pass</v>
      </c>
      <c r="AA54" s="339"/>
      <c r="AB54" s="333"/>
      <c r="AD54" s="302">
        <v>1600</v>
      </c>
      <c r="AE54" s="302">
        <v>2600</v>
      </c>
      <c r="AF54" s="334">
        <v>1690</v>
      </c>
      <c r="AG54" s="334">
        <v>2125</v>
      </c>
      <c r="AH54" s="335">
        <v>15</v>
      </c>
      <c r="AI54" s="335">
        <v>15</v>
      </c>
    </row>
    <row r="55" spans="1:35">
      <c r="A55" s="123"/>
      <c r="B55" s="235"/>
      <c r="C55" s="235" t="s">
        <v>78</v>
      </c>
      <c r="D55" s="123">
        <v>1106.05</v>
      </c>
      <c r="E55" s="123">
        <v>1080.72</v>
      </c>
      <c r="F55" s="123">
        <v>1068.25</v>
      </c>
      <c r="G55" s="123">
        <v>1063.18</v>
      </c>
      <c r="H55" s="123">
        <v>1053.92</v>
      </c>
      <c r="I55" s="123">
        <v>1032.06</v>
      </c>
      <c r="J55" s="123">
        <v>1048</v>
      </c>
      <c r="K55" s="123">
        <v>1051</v>
      </c>
      <c r="L55" s="123">
        <v>1046.81</v>
      </c>
      <c r="M55" s="123">
        <v>1106.99</v>
      </c>
      <c r="N55" s="123">
        <v>1036.93</v>
      </c>
      <c r="O55" s="123">
        <v>1038.1500000000001</v>
      </c>
      <c r="P55" s="123">
        <v>1045.53</v>
      </c>
      <c r="Q55" s="123">
        <v>1074.53</v>
      </c>
      <c r="R55" s="123">
        <v>1041.08</v>
      </c>
      <c r="S55" s="123">
        <v>1044</v>
      </c>
      <c r="T55" s="123">
        <v>1081.3599999999999</v>
      </c>
      <c r="U55" s="336"/>
      <c r="V55" s="337"/>
      <c r="W55" s="337"/>
      <c r="X55" s="331"/>
      <c r="Y55" s="338"/>
      <c r="Z55" s="337"/>
      <c r="AA55" s="339"/>
      <c r="AB55" s="333"/>
      <c r="AC55" s="265"/>
    </row>
    <row r="56" spans="1:35" ht="32.25" thickBot="1">
      <c r="A56" s="123"/>
      <c r="B56" s="243"/>
      <c r="C56" s="243" t="s">
        <v>221</v>
      </c>
      <c r="D56" s="340">
        <f t="shared" ref="D56:T56" si="14">IF(((D54="")*AND(D55="")),"",(D54-D55)*2)</f>
        <v>1826.1399999999999</v>
      </c>
      <c r="E56" s="340">
        <f t="shared" si="14"/>
        <v>1866.7999999999997</v>
      </c>
      <c r="F56" s="340">
        <f t="shared" si="14"/>
        <v>1876.4</v>
      </c>
      <c r="G56" s="340">
        <f t="shared" si="14"/>
        <v>1882.52</v>
      </c>
      <c r="H56" s="340">
        <f t="shared" si="14"/>
        <v>1895.6</v>
      </c>
      <c r="I56" s="340">
        <f t="shared" si="14"/>
        <v>1936.62</v>
      </c>
      <c r="J56" s="340">
        <f t="shared" si="14"/>
        <v>1913.06</v>
      </c>
      <c r="K56" s="340">
        <f t="shared" si="14"/>
        <v>1910.8400000000001</v>
      </c>
      <c r="L56" s="340">
        <f t="shared" si="14"/>
        <v>1953.58</v>
      </c>
      <c r="M56" s="340">
        <f t="shared" si="14"/>
        <v>1967.3799999999997</v>
      </c>
      <c r="N56" s="340">
        <f t="shared" si="14"/>
        <v>1942.3799999999997</v>
      </c>
      <c r="O56" s="340">
        <f t="shared" si="14"/>
        <v>1932.8599999999997</v>
      </c>
      <c r="P56" s="340">
        <f t="shared" si="14"/>
        <v>1965.1799999999998</v>
      </c>
      <c r="Q56" s="340">
        <f t="shared" si="14"/>
        <v>1873.46</v>
      </c>
      <c r="R56" s="340">
        <f t="shared" si="14"/>
        <v>1929.06</v>
      </c>
      <c r="S56" s="340">
        <f t="shared" si="14"/>
        <v>1929.6999999999998</v>
      </c>
      <c r="T56" s="341">
        <f t="shared" si="14"/>
        <v>1949.1600000000003</v>
      </c>
      <c r="U56" s="342"/>
      <c r="V56" s="340"/>
      <c r="W56" s="340"/>
      <c r="X56" s="343"/>
      <c r="Y56" s="344"/>
      <c r="Z56" s="340"/>
      <c r="AA56" s="345"/>
      <c r="AB56" s="333"/>
      <c r="AC56" s="265"/>
    </row>
    <row r="57" spans="1:35">
      <c r="A57" s="348">
        <v>43178</v>
      </c>
      <c r="B57" s="249" t="s">
        <v>76</v>
      </c>
      <c r="C57" s="235" t="s">
        <v>77</v>
      </c>
      <c r="D57" s="123">
        <v>2027.48</v>
      </c>
      <c r="E57" s="123">
        <v>2017.05</v>
      </c>
      <c r="F57" s="123">
        <v>2010.43</v>
      </c>
      <c r="G57" s="123">
        <v>2007.1</v>
      </c>
      <c r="H57" s="123">
        <v>2006.02</v>
      </c>
      <c r="I57" s="123">
        <v>2007.07</v>
      </c>
      <c r="J57" s="123">
        <v>2007.38</v>
      </c>
      <c r="K57" s="123">
        <v>2014.09</v>
      </c>
      <c r="L57" s="123">
        <v>2023.46</v>
      </c>
      <c r="M57" s="123">
        <v>2091.1799999999998</v>
      </c>
      <c r="N57" s="123">
        <v>2011.61</v>
      </c>
      <c r="O57" s="123">
        <v>2006.57</v>
      </c>
      <c r="P57" s="123">
        <v>1865.92</v>
      </c>
      <c r="Q57" s="123">
        <v>2016.99</v>
      </c>
      <c r="R57" s="123">
        <v>2008.04</v>
      </c>
      <c r="S57" s="123">
        <v>2011.31</v>
      </c>
      <c r="T57" s="123">
        <v>2067.36</v>
      </c>
      <c r="U57" s="347">
        <f>IF((T58=""),"",MAX(D59:T59))</f>
        <v>2172.3599999999997</v>
      </c>
      <c r="V57" s="235">
        <f>IF(T58="","",MIN(D59:T59))</f>
        <v>1749.8400000000001</v>
      </c>
      <c r="W57" s="250">
        <f>IF((T59=""),"",AVERAGE(D59:T59))</f>
        <v>2020.1247058823526</v>
      </c>
      <c r="X57" s="331">
        <f>STDEV(D59:T59)</f>
        <v>83.280001059501529</v>
      </c>
      <c r="Y57" s="236">
        <f>IF((T58=""),"",((U57-V57)/(U57+V57))*100)</f>
        <v>10.772525623374625</v>
      </c>
      <c r="Z57" s="228" t="str">
        <f>IF(T58="","",IF(Y57&lt;15,IF(W57&gt;AF57,IF(W57&lt;AG57,"Pass","Fail"),"Fail"),"Fail"))</f>
        <v>Pass</v>
      </c>
      <c r="AA57" s="339">
        <v>121</v>
      </c>
      <c r="AB57" s="333"/>
      <c r="AD57" s="302">
        <v>1600</v>
      </c>
      <c r="AE57" s="302">
        <v>2600</v>
      </c>
      <c r="AF57" s="334">
        <v>1690</v>
      </c>
      <c r="AG57" s="334">
        <v>2125</v>
      </c>
      <c r="AH57" s="335">
        <v>15</v>
      </c>
      <c r="AI57" s="335">
        <v>15</v>
      </c>
    </row>
    <row r="58" spans="1:35">
      <c r="A58" s="123"/>
      <c r="B58" s="235"/>
      <c r="C58" s="235" t="s">
        <v>78</v>
      </c>
      <c r="D58" s="123">
        <v>1047</v>
      </c>
      <c r="E58" s="123">
        <v>1019</v>
      </c>
      <c r="F58" s="123">
        <v>1010</v>
      </c>
      <c r="G58" s="123">
        <v>1005</v>
      </c>
      <c r="H58" s="123">
        <v>997</v>
      </c>
      <c r="I58" s="123">
        <v>986</v>
      </c>
      <c r="J58" s="123">
        <v>978</v>
      </c>
      <c r="K58" s="123">
        <v>977</v>
      </c>
      <c r="L58" s="123">
        <v>1022</v>
      </c>
      <c r="M58" s="123">
        <v>1005</v>
      </c>
      <c r="N58" s="123">
        <v>981</v>
      </c>
      <c r="O58" s="123">
        <v>983</v>
      </c>
      <c r="P58" s="123">
        <v>991</v>
      </c>
      <c r="Q58" s="123">
        <v>997</v>
      </c>
      <c r="R58" s="123">
        <v>996</v>
      </c>
      <c r="S58" s="123">
        <v>999</v>
      </c>
      <c r="T58" s="123">
        <v>1035</v>
      </c>
      <c r="U58" s="336"/>
      <c r="V58" s="337"/>
      <c r="W58" s="337"/>
      <c r="X58" s="331"/>
      <c r="Y58" s="338"/>
      <c r="Z58" s="337"/>
      <c r="AA58" s="349"/>
      <c r="AB58" s="350"/>
      <c r="AC58" s="265"/>
    </row>
    <row r="59" spans="1:35" ht="32.25" thickBot="1">
      <c r="A59" s="123"/>
      <c r="B59" s="243"/>
      <c r="C59" s="243" t="s">
        <v>221</v>
      </c>
      <c r="D59" s="340">
        <f t="shared" ref="D59:T59" si="15">IF(((D57="")*AND(D58="")),"",(D57-D58)*2)</f>
        <v>1960.96</v>
      </c>
      <c r="E59" s="340">
        <f t="shared" si="15"/>
        <v>1996.1</v>
      </c>
      <c r="F59" s="340">
        <f t="shared" si="15"/>
        <v>2000.8600000000001</v>
      </c>
      <c r="G59" s="340">
        <f t="shared" si="15"/>
        <v>2004.1999999999998</v>
      </c>
      <c r="H59" s="340">
        <f t="shared" si="15"/>
        <v>2018.04</v>
      </c>
      <c r="I59" s="340">
        <f t="shared" si="15"/>
        <v>2042.1399999999999</v>
      </c>
      <c r="J59" s="340">
        <f t="shared" si="15"/>
        <v>2058.7600000000002</v>
      </c>
      <c r="K59" s="340">
        <f t="shared" si="15"/>
        <v>2074.1799999999998</v>
      </c>
      <c r="L59" s="340">
        <f t="shared" si="15"/>
        <v>2002.92</v>
      </c>
      <c r="M59" s="340">
        <f t="shared" si="15"/>
        <v>2172.3599999999997</v>
      </c>
      <c r="N59" s="340">
        <f t="shared" si="15"/>
        <v>2061.2199999999998</v>
      </c>
      <c r="O59" s="340">
        <f t="shared" si="15"/>
        <v>2047.1399999999999</v>
      </c>
      <c r="P59" s="340">
        <f t="shared" si="15"/>
        <v>1749.8400000000001</v>
      </c>
      <c r="Q59" s="340">
        <f t="shared" si="15"/>
        <v>2039.98</v>
      </c>
      <c r="R59" s="340">
        <f t="shared" si="15"/>
        <v>2024.08</v>
      </c>
      <c r="S59" s="340">
        <f t="shared" si="15"/>
        <v>2024.62</v>
      </c>
      <c r="T59" s="341">
        <f t="shared" si="15"/>
        <v>2064.7200000000003</v>
      </c>
      <c r="U59" s="342"/>
      <c r="V59" s="340"/>
      <c r="W59" s="340"/>
      <c r="X59" s="343"/>
      <c r="Y59" s="344"/>
      <c r="Z59" s="340"/>
      <c r="AA59" s="351"/>
      <c r="AB59" s="350"/>
      <c r="AC59" s="265"/>
    </row>
    <row r="60" spans="1:35">
      <c r="A60" s="348">
        <v>43182</v>
      </c>
      <c r="B60" s="249" t="s">
        <v>76</v>
      </c>
      <c r="C60" s="235" t="s">
        <v>77</v>
      </c>
      <c r="D60" s="123">
        <v>2025.24</v>
      </c>
      <c r="E60" s="123">
        <v>2020.53</v>
      </c>
      <c r="F60" s="123">
        <v>2016.62</v>
      </c>
      <c r="G60" s="123">
        <v>2017.1</v>
      </c>
      <c r="H60" s="123">
        <v>2016.82</v>
      </c>
      <c r="I60" s="123">
        <v>2018.25</v>
      </c>
      <c r="J60" s="123">
        <v>2020.41</v>
      </c>
      <c r="K60" s="123">
        <v>2024.06</v>
      </c>
      <c r="L60" s="123">
        <v>2038.05</v>
      </c>
      <c r="M60" s="123">
        <v>2029.8</v>
      </c>
      <c r="N60" s="123">
        <v>2021.29</v>
      </c>
      <c r="O60" s="123">
        <v>2016.23</v>
      </c>
      <c r="P60" s="123">
        <v>2044.97</v>
      </c>
      <c r="Q60" s="123">
        <v>2030.78</v>
      </c>
      <c r="R60" s="123">
        <v>2055.19</v>
      </c>
      <c r="S60" s="123">
        <v>2028.33</v>
      </c>
      <c r="T60" s="123">
        <v>2044.53</v>
      </c>
      <c r="U60" s="347">
        <f>IF((T61=""),"",MAX(D62:T62))</f>
        <v>2101.98</v>
      </c>
      <c r="V60" s="235">
        <f>IF(T61="","",MIN(D62:T62))</f>
        <v>1952.3600000000001</v>
      </c>
      <c r="W60" s="250">
        <f>IF((T62=""),"",AVERAGE(D62:T62))</f>
        <v>2034.8117647058821</v>
      </c>
      <c r="X60" s="331">
        <f>STDEV(D62:T62)</f>
        <v>41.109282442547901</v>
      </c>
      <c r="Y60" s="236">
        <f>IF((T61=""),"",((U60-V60)/(U60+V60))*100)</f>
        <v>3.6903663728251672</v>
      </c>
      <c r="Z60" s="228" t="str">
        <f>IF(T61="","",IF(Y60&lt;15,IF(W60&gt;AF60,IF(W60&lt;AG60,"Pass","Fail"),"Fail"),"Fail"))</f>
        <v>Pass</v>
      </c>
      <c r="AA60" s="339">
        <v>1159</v>
      </c>
      <c r="AB60" s="352" t="s">
        <v>107</v>
      </c>
      <c r="AD60" s="302">
        <v>1600</v>
      </c>
      <c r="AE60" s="302">
        <v>2600</v>
      </c>
      <c r="AF60" s="334">
        <v>1690</v>
      </c>
      <c r="AG60" s="334">
        <v>2125</v>
      </c>
      <c r="AH60" s="335">
        <v>15</v>
      </c>
      <c r="AI60" s="335">
        <v>15</v>
      </c>
    </row>
    <row r="61" spans="1:35">
      <c r="A61" s="123"/>
      <c r="B61" s="235"/>
      <c r="C61" s="235" t="s">
        <v>78</v>
      </c>
      <c r="D61" s="123">
        <v>1049.06</v>
      </c>
      <c r="E61" s="123">
        <v>1023.53</v>
      </c>
      <c r="F61" s="123">
        <v>1015.43</v>
      </c>
      <c r="G61" s="123">
        <v>1014.97</v>
      </c>
      <c r="H61" s="123">
        <v>1010.57</v>
      </c>
      <c r="I61" s="123">
        <v>995.7</v>
      </c>
      <c r="J61" s="123">
        <v>985.77</v>
      </c>
      <c r="K61" s="123">
        <v>984.25</v>
      </c>
      <c r="L61" s="123">
        <v>1023.78</v>
      </c>
      <c r="M61" s="123">
        <v>1009.7</v>
      </c>
      <c r="N61" s="123">
        <v>986.56</v>
      </c>
      <c r="O61" s="123">
        <v>989.58</v>
      </c>
      <c r="P61" s="123">
        <v>999.89</v>
      </c>
      <c r="Q61" s="123">
        <v>1010.54</v>
      </c>
      <c r="R61" s="123">
        <v>1004.2</v>
      </c>
      <c r="S61" s="123">
        <v>1011.77</v>
      </c>
      <c r="T61" s="123">
        <v>1057</v>
      </c>
      <c r="U61" s="336"/>
      <c r="V61" s="337"/>
      <c r="W61" s="337"/>
      <c r="X61" s="331"/>
      <c r="Y61" s="338"/>
      <c r="Z61" s="337"/>
      <c r="AA61" s="339"/>
      <c r="AB61" s="333"/>
      <c r="AC61" s="265"/>
    </row>
    <row r="62" spans="1:35" ht="32.25" thickBot="1">
      <c r="A62" s="123"/>
      <c r="B62" s="243"/>
      <c r="C62" s="243" t="s">
        <v>221</v>
      </c>
      <c r="D62" s="340">
        <f t="shared" ref="D62:T62" si="16">IF(((D60="")*AND(D61="")),"",(D60-D61)*2)</f>
        <v>1952.3600000000001</v>
      </c>
      <c r="E62" s="340">
        <f t="shared" si="16"/>
        <v>1994</v>
      </c>
      <c r="F62" s="340">
        <f t="shared" si="16"/>
        <v>2002.3799999999999</v>
      </c>
      <c r="G62" s="340">
        <f t="shared" si="16"/>
        <v>2004.2599999999998</v>
      </c>
      <c r="H62" s="340">
        <f t="shared" si="16"/>
        <v>2012.4999999999998</v>
      </c>
      <c r="I62" s="340">
        <f t="shared" si="16"/>
        <v>2045.1</v>
      </c>
      <c r="J62" s="340">
        <f t="shared" si="16"/>
        <v>2069.2800000000002</v>
      </c>
      <c r="K62" s="340">
        <f t="shared" si="16"/>
        <v>2079.62</v>
      </c>
      <c r="L62" s="340">
        <f t="shared" si="16"/>
        <v>2028.54</v>
      </c>
      <c r="M62" s="340">
        <f t="shared" si="16"/>
        <v>2040.1999999999998</v>
      </c>
      <c r="N62" s="340">
        <f t="shared" si="16"/>
        <v>2069.46</v>
      </c>
      <c r="O62" s="340">
        <f t="shared" si="16"/>
        <v>2053.3000000000002</v>
      </c>
      <c r="P62" s="340">
        <f t="shared" si="16"/>
        <v>2090.16</v>
      </c>
      <c r="Q62" s="340">
        <f t="shared" si="16"/>
        <v>2040.48</v>
      </c>
      <c r="R62" s="340">
        <f t="shared" si="16"/>
        <v>2101.98</v>
      </c>
      <c r="S62" s="340">
        <f t="shared" si="16"/>
        <v>2033.12</v>
      </c>
      <c r="T62" s="341">
        <f t="shared" si="16"/>
        <v>1975.06</v>
      </c>
      <c r="U62" s="342"/>
      <c r="V62" s="340"/>
      <c r="W62" s="340"/>
      <c r="X62" s="343"/>
      <c r="Y62" s="344"/>
      <c r="Z62" s="340"/>
      <c r="AA62" s="345"/>
      <c r="AB62" s="333"/>
      <c r="AC62" s="265"/>
    </row>
    <row r="63" spans="1:35">
      <c r="A63" s="348">
        <v>43199</v>
      </c>
      <c r="B63" s="249" t="s">
        <v>76</v>
      </c>
      <c r="C63" s="235" t="s">
        <v>77</v>
      </c>
      <c r="D63" s="123">
        <v>2047.38</v>
      </c>
      <c r="E63" s="123">
        <v>2016.95</v>
      </c>
      <c r="F63" s="123">
        <v>1993.87</v>
      </c>
      <c r="G63" s="123">
        <v>1983.85</v>
      </c>
      <c r="H63" s="123">
        <v>1981.97</v>
      </c>
      <c r="I63" s="123">
        <v>1988.46</v>
      </c>
      <c r="J63" s="123">
        <v>2006.88</v>
      </c>
      <c r="K63" s="123">
        <v>2030.28</v>
      </c>
      <c r="L63" s="123">
        <v>2064.4299999999998</v>
      </c>
      <c r="M63" s="123">
        <v>2020.67</v>
      </c>
      <c r="N63" s="123">
        <v>2011.76</v>
      </c>
      <c r="O63" s="123">
        <v>1995.99</v>
      </c>
      <c r="P63" s="123">
        <v>2012.46</v>
      </c>
      <c r="Q63" s="123">
        <v>1996.26</v>
      </c>
      <c r="R63" s="123">
        <v>1997.3</v>
      </c>
      <c r="S63" s="123">
        <v>2013.4</v>
      </c>
      <c r="T63" s="123">
        <v>2078.81</v>
      </c>
      <c r="U63" s="347">
        <f>IF((T64=""),"",MAX(D65:T65))</f>
        <v>2111.38</v>
      </c>
      <c r="V63" s="235">
        <f>IF(T64="","",MIN(D65:T65))</f>
        <v>1953.1800000000003</v>
      </c>
      <c r="W63" s="250">
        <f>IF((T65=""),"",AVERAGE(D65:T65))</f>
        <v>2047.2423529411767</v>
      </c>
      <c r="X63" s="331">
        <f>STDEV(D65:T65)</f>
        <v>41.167202286743326</v>
      </c>
      <c r="Y63" s="236">
        <f>IF((T64=""),"",((U63-V63)/(U63+V63))*100)</f>
        <v>3.8921802113881894</v>
      </c>
      <c r="Z63" s="228" t="str">
        <f>IF(T64="","",IF(Y63&lt;15,IF(W63&gt;AF63,IF(W63&lt;AG63,"Pass","Fail"),"Fail"),"Fail"))</f>
        <v>Pass</v>
      </c>
      <c r="AA63" s="339">
        <v>1159</v>
      </c>
      <c r="AB63" s="333"/>
      <c r="AD63" s="302">
        <v>1600</v>
      </c>
      <c r="AE63" s="302">
        <v>2600</v>
      </c>
      <c r="AF63" s="334">
        <v>1690</v>
      </c>
      <c r="AG63" s="334">
        <v>2125</v>
      </c>
      <c r="AH63" s="335">
        <v>15</v>
      </c>
      <c r="AI63" s="335">
        <v>15</v>
      </c>
    </row>
    <row r="64" spans="1:35">
      <c r="A64" s="123"/>
      <c r="B64" s="235"/>
      <c r="C64" s="235" t="s">
        <v>78</v>
      </c>
      <c r="D64" s="123">
        <v>1070.79</v>
      </c>
      <c r="E64" s="123">
        <v>1022.8</v>
      </c>
      <c r="F64" s="123">
        <v>995.21</v>
      </c>
      <c r="G64" s="123">
        <v>980</v>
      </c>
      <c r="H64" s="123">
        <v>968.48</v>
      </c>
      <c r="I64" s="123">
        <v>960.15</v>
      </c>
      <c r="J64" s="123">
        <v>959.34</v>
      </c>
      <c r="K64" s="123">
        <v>974.59</v>
      </c>
      <c r="L64" s="123">
        <v>1026.1600000000001</v>
      </c>
      <c r="M64" s="123">
        <v>996.73</v>
      </c>
      <c r="N64" s="123">
        <v>976.06</v>
      </c>
      <c r="O64" s="123">
        <v>967.29</v>
      </c>
      <c r="P64" s="123">
        <v>982.01</v>
      </c>
      <c r="Q64" s="123">
        <v>972.46</v>
      </c>
      <c r="R64" s="123">
        <v>970.93</v>
      </c>
      <c r="S64" s="123">
        <v>982.58</v>
      </c>
      <c r="T64" s="123">
        <v>1033.58</v>
      </c>
      <c r="U64" s="336"/>
      <c r="V64" s="337"/>
      <c r="W64" s="337"/>
      <c r="X64" s="331"/>
      <c r="Y64" s="338"/>
      <c r="Z64" s="337"/>
      <c r="AA64" s="339"/>
      <c r="AB64" s="333"/>
      <c r="AC64" s="265"/>
    </row>
    <row r="65" spans="1:35" ht="32.25" thickBot="1">
      <c r="A65" s="123"/>
      <c r="B65" s="243"/>
      <c r="C65" s="243" t="s">
        <v>221</v>
      </c>
      <c r="D65" s="340">
        <f t="shared" ref="D65:T65" si="17">IF(((D63="")*AND(D64="")),"",(D63-D64)*2)</f>
        <v>1953.1800000000003</v>
      </c>
      <c r="E65" s="340">
        <f t="shared" si="17"/>
        <v>1988.3000000000002</v>
      </c>
      <c r="F65" s="340">
        <f t="shared" si="17"/>
        <v>1997.3199999999997</v>
      </c>
      <c r="G65" s="340">
        <f t="shared" si="17"/>
        <v>2007.6999999999998</v>
      </c>
      <c r="H65" s="340">
        <f t="shared" si="17"/>
        <v>2026.98</v>
      </c>
      <c r="I65" s="340">
        <f t="shared" si="17"/>
        <v>2056.62</v>
      </c>
      <c r="J65" s="340">
        <f t="shared" si="17"/>
        <v>2095.08</v>
      </c>
      <c r="K65" s="340">
        <f t="shared" si="17"/>
        <v>2111.38</v>
      </c>
      <c r="L65" s="340">
        <f t="shared" si="17"/>
        <v>2076.5399999999995</v>
      </c>
      <c r="M65" s="340">
        <f t="shared" si="17"/>
        <v>2047.88</v>
      </c>
      <c r="N65" s="340">
        <f t="shared" si="17"/>
        <v>2071.4</v>
      </c>
      <c r="O65" s="340">
        <f t="shared" si="17"/>
        <v>2057.4</v>
      </c>
      <c r="P65" s="340">
        <f t="shared" si="17"/>
        <v>2060.9</v>
      </c>
      <c r="Q65" s="340">
        <f t="shared" si="17"/>
        <v>2047.6</v>
      </c>
      <c r="R65" s="340">
        <f t="shared" si="17"/>
        <v>2052.7399999999998</v>
      </c>
      <c r="S65" s="340">
        <f t="shared" si="17"/>
        <v>2061.6400000000003</v>
      </c>
      <c r="T65" s="341">
        <f t="shared" si="17"/>
        <v>2090.46</v>
      </c>
      <c r="U65" s="342"/>
      <c r="V65" s="340"/>
      <c r="W65" s="340"/>
      <c r="X65" s="343"/>
      <c r="Y65" s="344"/>
      <c r="Z65" s="340"/>
      <c r="AA65" s="345"/>
      <c r="AB65" s="333"/>
      <c r="AC65" s="265"/>
    </row>
    <row r="66" spans="1:35">
      <c r="A66" s="348">
        <v>43203</v>
      </c>
      <c r="B66" s="249" t="s">
        <v>76</v>
      </c>
      <c r="C66" s="235" t="s">
        <v>77</v>
      </c>
      <c r="D66" s="123">
        <v>2015.24</v>
      </c>
      <c r="E66" s="123">
        <v>2002.32</v>
      </c>
      <c r="F66" s="123">
        <v>1998</v>
      </c>
      <c r="G66" s="123">
        <v>1996.16</v>
      </c>
      <c r="H66" s="123">
        <v>1993.95</v>
      </c>
      <c r="I66" s="123">
        <v>1994.68</v>
      </c>
      <c r="J66" s="123">
        <v>1996.41</v>
      </c>
      <c r="K66" s="123">
        <v>2000.42</v>
      </c>
      <c r="L66" s="123">
        <v>2013.97</v>
      </c>
      <c r="M66" s="123">
        <v>2077.9299999999998</v>
      </c>
      <c r="N66" s="123">
        <v>1999.68</v>
      </c>
      <c r="O66" s="123">
        <v>1996.04</v>
      </c>
      <c r="P66" s="123">
        <v>2025.02</v>
      </c>
      <c r="Q66" s="123">
        <v>2004.79</v>
      </c>
      <c r="R66" s="123">
        <v>1997.28</v>
      </c>
      <c r="S66" s="123">
        <v>2001.06</v>
      </c>
      <c r="T66" s="123">
        <v>1869.1</v>
      </c>
      <c r="U66" s="347">
        <f>IF((T67=""),"",MAX(D68:T68))</f>
        <v>2209.7599999999998</v>
      </c>
      <c r="V66" s="235">
        <f>IF(T67="","",MIN(D68:T68))</f>
        <v>1963.52</v>
      </c>
      <c r="W66" s="250">
        <f>IF((T68=""),"",AVERAGE(D68:T68))</f>
        <v>2064.52</v>
      </c>
      <c r="X66" s="331">
        <f>STDEV(D68:T68)</f>
        <v>59.918953178439288</v>
      </c>
      <c r="Y66" s="236">
        <f>IF((T67=""),"",((U66-V66)/(U66+V66))*100)</f>
        <v>5.9003948932254673</v>
      </c>
      <c r="Z66" s="228" t="str">
        <f>IF(T67="","",IF(Y66&lt;15,IF(W66&gt;AF66,IF(W66&lt;AG66,"Pass","Fail"),"Fail"),"Fail"))</f>
        <v>Pass</v>
      </c>
      <c r="AA66" s="339">
        <v>1159</v>
      </c>
      <c r="AB66" s="333"/>
      <c r="AD66" s="302">
        <v>1600</v>
      </c>
      <c r="AE66" s="302">
        <v>2600</v>
      </c>
      <c r="AF66" s="334">
        <v>1690</v>
      </c>
      <c r="AG66" s="334">
        <v>2125</v>
      </c>
      <c r="AH66" s="335">
        <v>15</v>
      </c>
      <c r="AI66" s="335">
        <v>15</v>
      </c>
    </row>
    <row r="67" spans="1:35">
      <c r="A67" s="123"/>
      <c r="B67" s="235"/>
      <c r="C67" s="235" t="s">
        <v>78</v>
      </c>
      <c r="D67" s="123">
        <v>1033.48</v>
      </c>
      <c r="E67" s="123">
        <v>1004.43</v>
      </c>
      <c r="F67" s="123">
        <v>995.35</v>
      </c>
      <c r="G67" s="123">
        <v>986.97</v>
      </c>
      <c r="H67" s="123">
        <v>975.67</v>
      </c>
      <c r="I67" s="123">
        <v>956.27</v>
      </c>
      <c r="J67" s="123">
        <v>939.51</v>
      </c>
      <c r="K67" s="123">
        <v>931.26</v>
      </c>
      <c r="L67" s="123">
        <v>959.47</v>
      </c>
      <c r="M67" s="123">
        <v>973.05</v>
      </c>
      <c r="N67" s="123">
        <v>957.36</v>
      </c>
      <c r="O67" s="123">
        <v>960.75</v>
      </c>
      <c r="P67" s="123">
        <v>985.34</v>
      </c>
      <c r="Q67" s="123">
        <v>976.57</v>
      </c>
      <c r="R67" s="123">
        <v>963.95</v>
      </c>
      <c r="S67" s="123">
        <v>964.92</v>
      </c>
      <c r="T67" s="123">
        <v>869.28</v>
      </c>
      <c r="U67" s="336"/>
      <c r="V67" s="337"/>
      <c r="W67" s="337"/>
      <c r="X67" s="331"/>
      <c r="Y67" s="338"/>
      <c r="Z67" s="337"/>
      <c r="AA67" s="349"/>
      <c r="AB67" s="350"/>
      <c r="AC67" s="265"/>
    </row>
    <row r="68" spans="1:35" ht="32.25" thickBot="1">
      <c r="A68" s="123"/>
      <c r="B68" s="243"/>
      <c r="C68" s="243" t="s">
        <v>221</v>
      </c>
      <c r="D68" s="340">
        <f t="shared" ref="D68:T68" si="18">IF(((D66="")*AND(D67="")),"",(D66-D67)*2)</f>
        <v>1963.52</v>
      </c>
      <c r="E68" s="340">
        <f t="shared" si="18"/>
        <v>1995.78</v>
      </c>
      <c r="F68" s="340">
        <f t="shared" si="18"/>
        <v>2005.3</v>
      </c>
      <c r="G68" s="340">
        <f t="shared" si="18"/>
        <v>2018.38</v>
      </c>
      <c r="H68" s="340">
        <f t="shared" si="18"/>
        <v>2036.5600000000002</v>
      </c>
      <c r="I68" s="340">
        <f t="shared" si="18"/>
        <v>2076.8200000000002</v>
      </c>
      <c r="J68" s="340">
        <f t="shared" si="18"/>
        <v>2113.8000000000002</v>
      </c>
      <c r="K68" s="340">
        <f t="shared" si="18"/>
        <v>2138.3200000000002</v>
      </c>
      <c r="L68" s="340">
        <f t="shared" si="18"/>
        <v>2109</v>
      </c>
      <c r="M68" s="340">
        <f t="shared" si="18"/>
        <v>2209.7599999999998</v>
      </c>
      <c r="N68" s="340">
        <f t="shared" si="18"/>
        <v>2084.6400000000003</v>
      </c>
      <c r="O68" s="340">
        <f t="shared" si="18"/>
        <v>2070.58</v>
      </c>
      <c r="P68" s="340">
        <f t="shared" si="18"/>
        <v>2079.3599999999997</v>
      </c>
      <c r="Q68" s="340">
        <f t="shared" si="18"/>
        <v>2056.4399999999996</v>
      </c>
      <c r="R68" s="340">
        <f t="shared" si="18"/>
        <v>2066.66</v>
      </c>
      <c r="S68" s="340">
        <f t="shared" si="18"/>
        <v>2072.2799999999997</v>
      </c>
      <c r="T68" s="341">
        <f t="shared" si="18"/>
        <v>1999.6399999999999</v>
      </c>
      <c r="U68" s="342"/>
      <c r="V68" s="340"/>
      <c r="W68" s="340"/>
      <c r="X68" s="343"/>
      <c r="Y68" s="344"/>
      <c r="Z68" s="340"/>
      <c r="AA68" s="351"/>
      <c r="AB68" s="350"/>
      <c r="AC68" s="265"/>
    </row>
    <row r="69" spans="1:35">
      <c r="A69" s="348">
        <v>43206</v>
      </c>
      <c r="B69" s="249" t="s">
        <v>76</v>
      </c>
      <c r="C69" s="235" t="s">
        <v>77</v>
      </c>
      <c r="D69" s="123">
        <v>2046.54</v>
      </c>
      <c r="E69" s="123">
        <v>2031.63</v>
      </c>
      <c r="F69" s="123">
        <v>2017.91</v>
      </c>
      <c r="G69" s="123">
        <v>2009.61</v>
      </c>
      <c r="H69" s="123">
        <v>2007.77</v>
      </c>
      <c r="I69" s="123">
        <v>2012.49</v>
      </c>
      <c r="J69" s="123">
        <v>2018.78</v>
      </c>
      <c r="K69" s="123">
        <v>2030.4</v>
      </c>
      <c r="L69" s="123">
        <v>2049.21</v>
      </c>
      <c r="M69" s="123">
        <v>2037.1</v>
      </c>
      <c r="N69" s="123">
        <v>2025.84</v>
      </c>
      <c r="O69" s="123">
        <v>2015.11</v>
      </c>
      <c r="P69" s="123">
        <v>2041.82</v>
      </c>
      <c r="Q69" s="123">
        <v>2022.12</v>
      </c>
      <c r="R69" s="123">
        <v>2050.0700000000002</v>
      </c>
      <c r="S69" s="123">
        <v>2027.72</v>
      </c>
      <c r="T69" s="123">
        <v>2045.62</v>
      </c>
      <c r="U69" s="347">
        <f>IF((T70=""),"",MAX(D71:T71))</f>
        <v>2102.3200000000006</v>
      </c>
      <c r="V69" s="235">
        <f>IF(T70="","",MIN(D71:T71))</f>
        <v>1953.92</v>
      </c>
      <c r="W69" s="250">
        <f>IF((T71=""),"",AVERAGE(D71:T71))</f>
        <v>2037.1058823529413</v>
      </c>
      <c r="X69" s="331">
        <f>STDEV(D71:T71)</f>
        <v>46.334415268084484</v>
      </c>
      <c r="Y69" s="236">
        <f>IF((T70=""),"",((U69-V69)/(U69+V69))*100)</f>
        <v>3.6585606374376396</v>
      </c>
      <c r="Z69" s="228" t="str">
        <f>IF(T70="","",IF(Y69&lt;15,IF(W69&gt;AF69,IF(W69&lt;AG69,"Pass","Fail"),"Fail"),"Fail"))</f>
        <v>Pass</v>
      </c>
      <c r="AA69" s="339">
        <v>1335</v>
      </c>
      <c r="AB69" s="333"/>
      <c r="AD69" s="302">
        <v>1600</v>
      </c>
      <c r="AE69" s="302">
        <v>2600</v>
      </c>
      <c r="AF69" s="334">
        <v>1690</v>
      </c>
      <c r="AG69" s="334">
        <v>2125</v>
      </c>
      <c r="AH69" s="335">
        <v>15</v>
      </c>
      <c r="AI69" s="335">
        <v>15</v>
      </c>
    </row>
    <row r="70" spans="1:35">
      <c r="A70" s="123"/>
      <c r="B70" s="235"/>
      <c r="C70" s="235" t="s">
        <v>78</v>
      </c>
      <c r="D70" s="123">
        <v>1069.58</v>
      </c>
      <c r="E70" s="123">
        <v>1036.98</v>
      </c>
      <c r="F70" s="123">
        <v>1020.67</v>
      </c>
      <c r="G70" s="123">
        <v>1011.33</v>
      </c>
      <c r="H70" s="123">
        <v>1002.41</v>
      </c>
      <c r="I70" s="123">
        <v>988.61</v>
      </c>
      <c r="J70" s="123">
        <v>979.42</v>
      </c>
      <c r="K70" s="123">
        <v>981.72</v>
      </c>
      <c r="L70" s="123">
        <v>1002.41</v>
      </c>
      <c r="M70" s="123">
        <v>1016.08</v>
      </c>
      <c r="N70" s="123">
        <v>994.46</v>
      </c>
      <c r="O70" s="123">
        <v>994.49</v>
      </c>
      <c r="P70" s="123">
        <v>995.14</v>
      </c>
      <c r="Q70" s="123">
        <v>1020.6</v>
      </c>
      <c r="R70" s="123">
        <v>998.91</v>
      </c>
      <c r="S70" s="123">
        <v>1006.97</v>
      </c>
      <c r="T70" s="123">
        <v>1054.56</v>
      </c>
      <c r="U70" s="336"/>
      <c r="V70" s="337"/>
      <c r="W70" s="337"/>
      <c r="X70" s="331"/>
      <c r="Y70" s="338"/>
      <c r="Z70" s="337"/>
      <c r="AA70" s="339"/>
      <c r="AB70" s="333"/>
      <c r="AC70" s="265"/>
    </row>
    <row r="71" spans="1:35" ht="32.25" thickBot="1">
      <c r="A71" s="123"/>
      <c r="B71" s="243"/>
      <c r="C71" s="243" t="s">
        <v>221</v>
      </c>
      <c r="D71" s="340">
        <f t="shared" ref="D71:T71" si="19">IF(((D69="")*AND(D70="")),"",(D69-D70)*2)</f>
        <v>1953.92</v>
      </c>
      <c r="E71" s="340">
        <f t="shared" si="19"/>
        <v>1989.3000000000002</v>
      </c>
      <c r="F71" s="340">
        <f t="shared" si="19"/>
        <v>1994.4800000000002</v>
      </c>
      <c r="G71" s="340">
        <f t="shared" si="19"/>
        <v>1996.5599999999997</v>
      </c>
      <c r="H71" s="340">
        <f t="shared" si="19"/>
        <v>2010.72</v>
      </c>
      <c r="I71" s="340">
        <f t="shared" si="19"/>
        <v>2047.76</v>
      </c>
      <c r="J71" s="340">
        <f t="shared" si="19"/>
        <v>2078.7200000000003</v>
      </c>
      <c r="K71" s="340">
        <f t="shared" si="19"/>
        <v>2097.36</v>
      </c>
      <c r="L71" s="340">
        <f t="shared" si="19"/>
        <v>2093.6000000000004</v>
      </c>
      <c r="M71" s="340">
        <f t="shared" si="19"/>
        <v>2042.0399999999997</v>
      </c>
      <c r="N71" s="340">
        <f t="shared" si="19"/>
        <v>2062.7599999999998</v>
      </c>
      <c r="O71" s="340">
        <f t="shared" si="19"/>
        <v>2041.2399999999998</v>
      </c>
      <c r="P71" s="340">
        <f t="shared" si="19"/>
        <v>2093.3599999999997</v>
      </c>
      <c r="Q71" s="340">
        <f t="shared" si="19"/>
        <v>2003.0399999999997</v>
      </c>
      <c r="R71" s="340">
        <f t="shared" si="19"/>
        <v>2102.3200000000006</v>
      </c>
      <c r="S71" s="340">
        <f t="shared" si="19"/>
        <v>2041.5</v>
      </c>
      <c r="T71" s="341">
        <f t="shared" si="19"/>
        <v>1982.12</v>
      </c>
      <c r="U71" s="342"/>
      <c r="V71" s="340"/>
      <c r="W71" s="340"/>
      <c r="X71" s="343"/>
      <c r="Y71" s="344"/>
      <c r="Z71" s="340"/>
      <c r="AA71" s="345"/>
      <c r="AB71" s="333"/>
      <c r="AC71" s="265"/>
    </row>
    <row r="72" spans="1:35">
      <c r="A72" s="346">
        <v>43214</v>
      </c>
      <c r="B72" s="249" t="s">
        <v>76</v>
      </c>
      <c r="C72" s="235" t="s">
        <v>77</v>
      </c>
      <c r="D72" s="123">
        <v>2052.9499999999998</v>
      </c>
      <c r="E72" s="123">
        <v>2036.97</v>
      </c>
      <c r="F72" s="123">
        <v>2025.25</v>
      </c>
      <c r="G72" s="123">
        <v>2017.73</v>
      </c>
      <c r="H72" s="123">
        <v>2016.37</v>
      </c>
      <c r="I72" s="123">
        <v>2019.65</v>
      </c>
      <c r="J72" s="123">
        <v>2025.15</v>
      </c>
      <c r="K72" s="123">
        <v>2038.16</v>
      </c>
      <c r="L72" s="123">
        <v>2057.4299999999998</v>
      </c>
      <c r="M72" s="123">
        <v>2043.22</v>
      </c>
      <c r="N72" s="123">
        <v>2032.82</v>
      </c>
      <c r="O72" s="123">
        <v>2024.59</v>
      </c>
      <c r="P72" s="123">
        <v>2053.6</v>
      </c>
      <c r="Q72" s="123">
        <v>2032.06</v>
      </c>
      <c r="R72" s="123">
        <v>2062.2399999999998</v>
      </c>
      <c r="S72" s="123">
        <v>2035.31</v>
      </c>
      <c r="T72" s="123">
        <v>2051.63</v>
      </c>
      <c r="U72" s="347">
        <f>IF((T73=""),"",MAX(D74:T74))</f>
        <v>2052.7799999999997</v>
      </c>
      <c r="V72" s="235">
        <f>IF(T73="","",MIN(D74:T74))</f>
        <v>1917.6599999999999</v>
      </c>
      <c r="W72" s="250">
        <f>IF((T74=""),"",AVERAGE(D74:T74))</f>
        <v>1981.6411764705879</v>
      </c>
      <c r="X72" s="331">
        <f>STDEV(D74:T74)</f>
        <v>42.76743590080445</v>
      </c>
      <c r="Y72" s="236">
        <f>IF((T73=""),"",((U72-V72)/(U72+V72))*100)</f>
        <v>3.4031492731284168</v>
      </c>
      <c r="Z72" s="228" t="str">
        <f>IF(T73="","",IF(Y72&lt;15,IF(W72&gt;AF72,IF(W72&lt;AG72,"Pass","Fail"),"Fail"),"Fail"))</f>
        <v>Pass</v>
      </c>
      <c r="AA72" s="339">
        <v>74</v>
      </c>
      <c r="AB72" s="333"/>
      <c r="AD72" s="302">
        <v>1600</v>
      </c>
      <c r="AE72" s="302">
        <v>2600</v>
      </c>
      <c r="AF72" s="334">
        <v>1690</v>
      </c>
      <c r="AG72" s="334">
        <v>2125</v>
      </c>
      <c r="AH72" s="335">
        <v>15</v>
      </c>
      <c r="AI72" s="335">
        <v>15</v>
      </c>
    </row>
    <row r="73" spans="1:35">
      <c r="A73" s="123"/>
      <c r="B73" s="235"/>
      <c r="C73" s="235" t="s">
        <v>78</v>
      </c>
      <c r="D73" s="123">
        <v>1092.1300000000001</v>
      </c>
      <c r="E73" s="123">
        <v>1067.68</v>
      </c>
      <c r="F73" s="123">
        <v>1051.8</v>
      </c>
      <c r="G73" s="123">
        <v>1044.42</v>
      </c>
      <c r="H73" s="123">
        <v>1034.45</v>
      </c>
      <c r="I73" s="123">
        <v>1024.1099999999999</v>
      </c>
      <c r="J73" s="123">
        <v>1015.56</v>
      </c>
      <c r="K73" s="123">
        <v>1020.06</v>
      </c>
      <c r="L73" s="123">
        <v>1058.94</v>
      </c>
      <c r="M73" s="123">
        <v>1048.54</v>
      </c>
      <c r="N73" s="123">
        <v>1027.52</v>
      </c>
      <c r="O73" s="123">
        <v>1025.47</v>
      </c>
      <c r="P73" s="123">
        <v>1033.1199999999999</v>
      </c>
      <c r="Q73" s="123">
        <v>1073.23</v>
      </c>
      <c r="R73" s="123">
        <v>1035.8499999999999</v>
      </c>
      <c r="S73" s="123">
        <v>1042.55</v>
      </c>
      <c r="T73" s="123">
        <v>1085.75</v>
      </c>
      <c r="U73" s="336"/>
      <c r="V73" s="337"/>
      <c r="W73" s="337"/>
      <c r="X73" s="331"/>
      <c r="Y73" s="338"/>
      <c r="Z73" s="337"/>
      <c r="AA73" s="349"/>
      <c r="AB73" s="350"/>
      <c r="AC73" s="265"/>
    </row>
    <row r="74" spans="1:35" ht="32.25" thickBot="1">
      <c r="A74" s="123"/>
      <c r="B74" s="243"/>
      <c r="C74" s="243" t="s">
        <v>221</v>
      </c>
      <c r="D74" s="340">
        <f t="shared" ref="D74:T74" si="20">IF(((D72="")*AND(D73="")),"",(D72-D73)*2)</f>
        <v>1921.6399999999994</v>
      </c>
      <c r="E74" s="340">
        <f t="shared" si="20"/>
        <v>1938.58</v>
      </c>
      <c r="F74" s="340">
        <f t="shared" si="20"/>
        <v>1946.9</v>
      </c>
      <c r="G74" s="340">
        <f t="shared" si="20"/>
        <v>1946.62</v>
      </c>
      <c r="H74" s="340">
        <f t="shared" si="20"/>
        <v>1963.8399999999997</v>
      </c>
      <c r="I74" s="340">
        <f t="shared" si="20"/>
        <v>1991.0800000000004</v>
      </c>
      <c r="J74" s="340">
        <f t="shared" si="20"/>
        <v>2019.1800000000003</v>
      </c>
      <c r="K74" s="340">
        <f t="shared" si="20"/>
        <v>2036.2000000000003</v>
      </c>
      <c r="L74" s="340">
        <f t="shared" si="20"/>
        <v>1996.9799999999996</v>
      </c>
      <c r="M74" s="340">
        <f t="shared" si="20"/>
        <v>1989.3600000000001</v>
      </c>
      <c r="N74" s="340">
        <f t="shared" si="20"/>
        <v>2010.6</v>
      </c>
      <c r="O74" s="340">
        <f t="shared" si="20"/>
        <v>1998.2399999999998</v>
      </c>
      <c r="P74" s="340">
        <f t="shared" si="20"/>
        <v>2040.96</v>
      </c>
      <c r="Q74" s="340">
        <f t="shared" si="20"/>
        <v>1917.6599999999999</v>
      </c>
      <c r="R74" s="340">
        <f t="shared" si="20"/>
        <v>2052.7799999999997</v>
      </c>
      <c r="S74" s="340">
        <f t="shared" si="20"/>
        <v>1985.52</v>
      </c>
      <c r="T74" s="341">
        <f t="shared" si="20"/>
        <v>1931.7600000000002</v>
      </c>
      <c r="U74" s="342"/>
      <c r="V74" s="340"/>
      <c r="W74" s="340"/>
      <c r="X74" s="343"/>
      <c r="Y74" s="344"/>
      <c r="Z74" s="340"/>
      <c r="AA74" s="351"/>
      <c r="AB74" s="350"/>
      <c r="AC74" s="265"/>
    </row>
    <row r="75" spans="1:35">
      <c r="A75" s="346">
        <v>43221</v>
      </c>
      <c r="B75" s="249" t="s">
        <v>76</v>
      </c>
      <c r="C75" s="235" t="s">
        <v>77</v>
      </c>
      <c r="D75" s="123">
        <v>2025.18</v>
      </c>
      <c r="E75" s="123">
        <v>2011.66</v>
      </c>
      <c r="F75" s="123">
        <v>2006.53</v>
      </c>
      <c r="G75" s="123">
        <v>2003.15</v>
      </c>
      <c r="H75" s="123">
        <v>2002.21</v>
      </c>
      <c r="I75" s="123">
        <v>2000.88</v>
      </c>
      <c r="J75" s="123">
        <v>2002.96</v>
      </c>
      <c r="K75" s="123">
        <v>2009.36</v>
      </c>
      <c r="L75" s="123">
        <v>2020.53</v>
      </c>
      <c r="M75" s="123">
        <v>2083.77</v>
      </c>
      <c r="N75" s="123">
        <v>2007.28</v>
      </c>
      <c r="O75" s="123">
        <v>2003.08</v>
      </c>
      <c r="P75" s="123">
        <v>2034.58</v>
      </c>
      <c r="Q75" s="123">
        <v>2015.08</v>
      </c>
      <c r="R75" s="123">
        <v>2004.92</v>
      </c>
      <c r="S75" s="123">
        <v>2008.36</v>
      </c>
      <c r="T75" s="123">
        <v>2061.04</v>
      </c>
      <c r="U75" s="347">
        <f>IF((T76=""),"",MAX(D77:T77))</f>
        <v>2369.6799999999998</v>
      </c>
      <c r="V75" s="235">
        <f>IF(T76="","",MIN(D77:T77))</f>
        <v>1966.02</v>
      </c>
      <c r="W75" s="250">
        <f>IF((T77=""),"",AVERAGE(D77:T77))</f>
        <v>2059.2705882352939</v>
      </c>
      <c r="X75" s="331">
        <f>STDEV(D77:T77)</f>
        <v>86.350476292156856</v>
      </c>
      <c r="Y75" s="236">
        <f>IF((T76=""),"",((U75-V75)/(U75+V75))*100)</f>
        <v>9.3101459971861491</v>
      </c>
      <c r="Z75" s="228" t="str">
        <f>IF(T76="","",IF(Y75&lt;15,IF(W75&gt;AF75,IF(W75&lt;AG75,"Pass","Fail"),"Fail"),"Fail"))</f>
        <v>Pass</v>
      </c>
      <c r="AA75" s="339">
        <v>74</v>
      </c>
      <c r="AB75" s="333"/>
      <c r="AD75" s="302">
        <v>1600</v>
      </c>
      <c r="AE75" s="302">
        <v>2600</v>
      </c>
      <c r="AF75" s="334">
        <v>1690</v>
      </c>
      <c r="AG75" s="334">
        <v>2125</v>
      </c>
      <c r="AH75" s="335">
        <v>15</v>
      </c>
      <c r="AI75" s="335">
        <v>15</v>
      </c>
    </row>
    <row r="76" spans="1:35">
      <c r="A76" s="123"/>
      <c r="B76" s="235"/>
      <c r="C76" s="235" t="s">
        <v>78</v>
      </c>
      <c r="D76" s="123">
        <v>1042.17</v>
      </c>
      <c r="E76" s="123">
        <v>1013.04</v>
      </c>
      <c r="F76" s="123">
        <v>1004.44</v>
      </c>
      <c r="G76" s="123">
        <v>999.24</v>
      </c>
      <c r="H76" s="123">
        <v>991.51</v>
      </c>
      <c r="I76" s="123">
        <v>976.97</v>
      </c>
      <c r="J76" s="123">
        <v>964.67</v>
      </c>
      <c r="K76" s="123">
        <v>962.66</v>
      </c>
      <c r="L76" s="123">
        <v>992.71</v>
      </c>
      <c r="M76" s="123">
        <v>1048.6199999999999</v>
      </c>
      <c r="N76" s="123">
        <v>971.99</v>
      </c>
      <c r="O76" s="123">
        <v>974.74</v>
      </c>
      <c r="P76" s="123">
        <v>849.74</v>
      </c>
      <c r="Q76" s="123">
        <v>995.93</v>
      </c>
      <c r="R76" s="123">
        <v>986.19</v>
      </c>
      <c r="S76" s="123">
        <v>989.97</v>
      </c>
      <c r="T76" s="123">
        <v>1032.18</v>
      </c>
      <c r="U76" s="336"/>
      <c r="V76" s="337"/>
      <c r="W76" s="337"/>
      <c r="X76" s="331"/>
      <c r="Y76" s="338"/>
      <c r="Z76" s="337"/>
      <c r="AA76" s="339"/>
      <c r="AB76" s="333"/>
      <c r="AC76" s="265"/>
    </row>
    <row r="77" spans="1:35" ht="32.25" thickBot="1">
      <c r="A77" s="123"/>
      <c r="B77" s="243"/>
      <c r="C77" s="243" t="s">
        <v>221</v>
      </c>
      <c r="D77" s="340">
        <f t="shared" ref="D77:T77" si="21">IF(((D75="")*AND(D76="")),"",(D75-D76)*2)</f>
        <v>1966.02</v>
      </c>
      <c r="E77" s="340">
        <f t="shared" si="21"/>
        <v>1997.2400000000002</v>
      </c>
      <c r="F77" s="340">
        <f t="shared" si="21"/>
        <v>2004.1799999999998</v>
      </c>
      <c r="G77" s="340">
        <f t="shared" si="21"/>
        <v>2007.8200000000002</v>
      </c>
      <c r="H77" s="340">
        <f t="shared" si="21"/>
        <v>2021.4</v>
      </c>
      <c r="I77" s="340">
        <f t="shared" si="21"/>
        <v>2047.8200000000002</v>
      </c>
      <c r="J77" s="340">
        <f t="shared" si="21"/>
        <v>2076.58</v>
      </c>
      <c r="K77" s="340">
        <f t="shared" si="21"/>
        <v>2093.3999999999996</v>
      </c>
      <c r="L77" s="340">
        <f t="shared" si="21"/>
        <v>2055.64</v>
      </c>
      <c r="M77" s="340">
        <f t="shared" si="21"/>
        <v>2070.3000000000002</v>
      </c>
      <c r="N77" s="340">
        <f t="shared" si="21"/>
        <v>2070.58</v>
      </c>
      <c r="O77" s="340">
        <f t="shared" si="21"/>
        <v>2056.6799999999998</v>
      </c>
      <c r="P77" s="340">
        <f t="shared" si="21"/>
        <v>2369.6799999999998</v>
      </c>
      <c r="Q77" s="340">
        <f t="shared" si="21"/>
        <v>2038.3</v>
      </c>
      <c r="R77" s="340">
        <f t="shared" si="21"/>
        <v>2037.46</v>
      </c>
      <c r="S77" s="340">
        <f t="shared" si="21"/>
        <v>2036.7799999999997</v>
      </c>
      <c r="T77" s="341">
        <f t="shared" si="21"/>
        <v>2057.7199999999998</v>
      </c>
      <c r="U77" s="342"/>
      <c r="V77" s="340"/>
      <c r="W77" s="340"/>
      <c r="X77" s="343"/>
      <c r="Y77" s="344"/>
      <c r="Z77" s="340"/>
      <c r="AA77" s="345"/>
      <c r="AB77" s="333"/>
      <c r="AC77" s="265"/>
    </row>
    <row r="78" spans="1:35">
      <c r="A78" s="346">
        <v>43234</v>
      </c>
      <c r="B78" s="249" t="s">
        <v>76</v>
      </c>
      <c r="C78" s="235" t="s">
        <v>77</v>
      </c>
      <c r="D78" s="123">
        <v>1968.81</v>
      </c>
      <c r="E78" s="123">
        <v>1954.69</v>
      </c>
      <c r="F78" s="123">
        <v>1952.39</v>
      </c>
      <c r="G78" s="123">
        <v>1957.52</v>
      </c>
      <c r="H78" s="123">
        <v>1961.21</v>
      </c>
      <c r="I78" s="123">
        <v>1953.8</v>
      </c>
      <c r="J78" s="123">
        <v>1951.8</v>
      </c>
      <c r="K78" s="123">
        <v>1957.78</v>
      </c>
      <c r="L78" s="123">
        <v>1977.51</v>
      </c>
      <c r="M78" s="123">
        <v>2053.64</v>
      </c>
      <c r="N78" s="123">
        <v>1965.87</v>
      </c>
      <c r="O78" s="123">
        <v>1957.84</v>
      </c>
      <c r="P78" s="123">
        <v>1958.15</v>
      </c>
      <c r="Q78" s="123">
        <v>1978.7</v>
      </c>
      <c r="R78" s="123">
        <v>1940.86</v>
      </c>
      <c r="S78" s="123">
        <v>1940.66</v>
      </c>
      <c r="T78" s="123">
        <v>1953.62</v>
      </c>
      <c r="U78" s="347">
        <f>IF((T79=""),"",MAX(D80:T80))</f>
        <v>2038.0200000000002</v>
      </c>
      <c r="V78" s="235">
        <f>IF(T79="","",MIN(D80:T80))</f>
        <v>1666.6799999999998</v>
      </c>
      <c r="W78" s="250">
        <f>IF((T80=""),"",AVERAGE(D80:T80))</f>
        <v>1772.8023529411767</v>
      </c>
      <c r="X78" s="331">
        <f>STDEV(D80:T80)</f>
        <v>86.593111701322158</v>
      </c>
      <c r="Y78" s="236">
        <f>IF((T79=""),"",((U78-V78)/(U78+V78))*100)</f>
        <v>10.023483682889314</v>
      </c>
      <c r="Z78" s="228" t="str">
        <f>IF(T79="","",IF(Y78&lt;15,IF(W78&gt;AF78,IF(W78&lt;AG78,"Pass","Fail"),"Fail"),"Fail"))</f>
        <v>Pass</v>
      </c>
      <c r="AA78" s="339" t="s">
        <v>85</v>
      </c>
      <c r="AB78" s="333"/>
      <c r="AD78" s="302">
        <v>1600</v>
      </c>
      <c r="AE78" s="302">
        <v>2600</v>
      </c>
      <c r="AF78" s="334">
        <v>1690</v>
      </c>
      <c r="AG78" s="334">
        <v>2125</v>
      </c>
      <c r="AH78" s="335">
        <v>15</v>
      </c>
      <c r="AI78" s="335">
        <v>15</v>
      </c>
    </row>
    <row r="79" spans="1:35">
      <c r="A79" s="123"/>
      <c r="B79" s="235"/>
      <c r="C79" s="235" t="s">
        <v>78</v>
      </c>
      <c r="D79" s="123">
        <v>1126.46</v>
      </c>
      <c r="E79" s="123">
        <v>1106.22</v>
      </c>
      <c r="F79" s="123">
        <v>1102.71</v>
      </c>
      <c r="G79" s="123">
        <v>1106.51</v>
      </c>
      <c r="H79" s="123">
        <v>1095.05</v>
      </c>
      <c r="I79" s="123">
        <v>1065.1500000000001</v>
      </c>
      <c r="J79" s="123">
        <v>1038.8</v>
      </c>
      <c r="K79" s="123">
        <v>1033.8599999999999</v>
      </c>
      <c r="L79" s="123">
        <v>1074.6400000000001</v>
      </c>
      <c r="M79" s="123">
        <v>1145.98</v>
      </c>
      <c r="N79" s="123">
        <v>1067.3699999999999</v>
      </c>
      <c r="O79" s="123">
        <v>1073.0899999999999</v>
      </c>
      <c r="P79" s="123">
        <v>939.14</v>
      </c>
      <c r="Q79" s="123">
        <v>1099.27</v>
      </c>
      <c r="R79" s="123">
        <v>1107.52</v>
      </c>
      <c r="S79" s="123">
        <v>1054.32</v>
      </c>
      <c r="T79" s="123">
        <v>1079.94</v>
      </c>
      <c r="U79" s="336"/>
      <c r="V79" s="337"/>
      <c r="W79" s="337"/>
      <c r="X79" s="331"/>
      <c r="Y79" s="338"/>
      <c r="Z79" s="337"/>
      <c r="AA79" s="339"/>
      <c r="AB79" s="333"/>
      <c r="AC79" s="265"/>
    </row>
    <row r="80" spans="1:35" ht="32.25" thickBot="1">
      <c r="A80" s="123"/>
      <c r="B80" s="243"/>
      <c r="C80" s="243" t="s">
        <v>221</v>
      </c>
      <c r="D80" s="340">
        <f t="shared" ref="D80:T80" si="22">IF(((D78="")*AND(D79="")),"",(D78-D79)*2)</f>
        <v>1684.6999999999998</v>
      </c>
      <c r="E80" s="340">
        <f t="shared" si="22"/>
        <v>1696.94</v>
      </c>
      <c r="F80" s="340">
        <f t="shared" si="22"/>
        <v>1699.3600000000001</v>
      </c>
      <c r="G80" s="340">
        <f t="shared" si="22"/>
        <v>1702.02</v>
      </c>
      <c r="H80" s="340">
        <f t="shared" si="22"/>
        <v>1732.3200000000002</v>
      </c>
      <c r="I80" s="340">
        <f t="shared" si="22"/>
        <v>1777.2999999999997</v>
      </c>
      <c r="J80" s="340">
        <f t="shared" si="22"/>
        <v>1826</v>
      </c>
      <c r="K80" s="340">
        <f t="shared" si="22"/>
        <v>1847.8400000000001</v>
      </c>
      <c r="L80" s="340">
        <f t="shared" si="22"/>
        <v>1805.7399999999998</v>
      </c>
      <c r="M80" s="340">
        <f t="shared" si="22"/>
        <v>1815.3199999999997</v>
      </c>
      <c r="N80" s="340">
        <f t="shared" si="22"/>
        <v>1797</v>
      </c>
      <c r="O80" s="340">
        <f t="shared" si="22"/>
        <v>1769.5</v>
      </c>
      <c r="P80" s="340">
        <f t="shared" si="22"/>
        <v>2038.0200000000002</v>
      </c>
      <c r="Q80" s="340">
        <f t="shared" si="22"/>
        <v>1758.8600000000001</v>
      </c>
      <c r="R80" s="340">
        <f t="shared" si="22"/>
        <v>1666.6799999999998</v>
      </c>
      <c r="S80" s="340">
        <f t="shared" si="22"/>
        <v>1772.6800000000003</v>
      </c>
      <c r="T80" s="341">
        <f t="shared" si="22"/>
        <v>1747.3599999999997</v>
      </c>
      <c r="U80" s="342"/>
      <c r="V80" s="340"/>
      <c r="W80" s="340"/>
      <c r="X80" s="343"/>
      <c r="Y80" s="344"/>
      <c r="Z80" s="340"/>
      <c r="AA80" s="345"/>
      <c r="AB80" s="333"/>
      <c r="AC80" s="265"/>
    </row>
    <row r="81" spans="1:35">
      <c r="A81" s="346">
        <v>43234</v>
      </c>
      <c r="B81" s="249" t="s">
        <v>76</v>
      </c>
      <c r="C81" s="235" t="s">
        <v>77</v>
      </c>
      <c r="D81" s="123">
        <v>3859.23</v>
      </c>
      <c r="E81" s="123">
        <v>3845.53</v>
      </c>
      <c r="F81" s="123">
        <v>3836.94</v>
      </c>
      <c r="G81" s="123">
        <v>3834.82</v>
      </c>
      <c r="H81" s="123">
        <v>3833.16</v>
      </c>
      <c r="I81" s="123">
        <v>3838.05</v>
      </c>
      <c r="J81" s="123">
        <v>3842.21</v>
      </c>
      <c r="K81" s="123">
        <v>3853.68</v>
      </c>
      <c r="L81" s="123">
        <v>3875.9</v>
      </c>
      <c r="M81" s="123">
        <v>3931.42</v>
      </c>
      <c r="N81" s="123">
        <v>3846.22</v>
      </c>
      <c r="O81" s="123">
        <v>3840.17</v>
      </c>
      <c r="P81" s="123">
        <v>3847.26</v>
      </c>
      <c r="Q81" s="123">
        <v>3846.71</v>
      </c>
      <c r="R81" s="123">
        <v>3847.64</v>
      </c>
      <c r="S81" s="123">
        <v>3857.28</v>
      </c>
      <c r="T81" s="123">
        <v>3903.07</v>
      </c>
      <c r="U81" s="347">
        <f>IF((T82=""),"",MAX(D83:T83))</f>
        <v>2194.9000000000005</v>
      </c>
      <c r="V81" s="235">
        <f>IF(T82="","",MIN(D83:T83))</f>
        <v>1978.58</v>
      </c>
      <c r="W81" s="250">
        <f>IF((T83=""),"",AVERAGE(D83:T83))</f>
        <v>2050.9188235294118</v>
      </c>
      <c r="X81" s="331">
        <f>STDEV(D83:T83)</f>
        <v>48.699064400965781</v>
      </c>
      <c r="Y81" s="236">
        <f>IF((T82=""),"",((U81-V81)/(U81+V81))*100)</f>
        <v>5.1832044241256838</v>
      </c>
      <c r="Z81" s="228" t="str">
        <f>IF(T82="","",IF(Y81&lt;15,IF(W81&gt;AF81,IF(W81&lt;AG81,"Pass","Fail"),"Fail"),"Fail"))</f>
        <v>Pass</v>
      </c>
      <c r="AA81" s="339">
        <v>1159</v>
      </c>
      <c r="AB81" s="265" t="s">
        <v>86</v>
      </c>
      <c r="AD81" s="302">
        <v>1600</v>
      </c>
      <c r="AE81" s="302">
        <v>2600</v>
      </c>
      <c r="AF81" s="334">
        <v>1690</v>
      </c>
      <c r="AG81" s="334">
        <v>2125</v>
      </c>
      <c r="AH81" s="335">
        <v>15</v>
      </c>
      <c r="AI81" s="335">
        <v>15</v>
      </c>
    </row>
    <row r="82" spans="1:35">
      <c r="A82" s="123"/>
      <c r="B82" s="235"/>
      <c r="C82" s="235" t="s">
        <v>78</v>
      </c>
      <c r="D82" s="123">
        <v>2869.94</v>
      </c>
      <c r="E82" s="123">
        <v>2838.15</v>
      </c>
      <c r="F82" s="123">
        <v>2831.09</v>
      </c>
      <c r="G82" s="123">
        <v>2825.12</v>
      </c>
      <c r="H82" s="123">
        <v>2821.03</v>
      </c>
      <c r="I82" s="123">
        <v>2808.67</v>
      </c>
      <c r="J82" s="123">
        <v>2800.26</v>
      </c>
      <c r="K82" s="123">
        <v>2800.56</v>
      </c>
      <c r="L82" s="123">
        <v>2864.19</v>
      </c>
      <c r="M82" s="123">
        <v>2833.97</v>
      </c>
      <c r="N82" s="123">
        <v>2806.42</v>
      </c>
      <c r="O82" s="123">
        <v>2805.4</v>
      </c>
      <c r="P82" s="123">
        <v>2831.75</v>
      </c>
      <c r="Q82" s="123">
        <v>2825.6</v>
      </c>
      <c r="R82" s="123">
        <v>2819.38</v>
      </c>
      <c r="S82" s="123">
        <v>2833.33</v>
      </c>
      <c r="T82" s="123">
        <v>2891.62</v>
      </c>
      <c r="U82" s="336"/>
      <c r="V82" s="337"/>
      <c r="W82" s="337"/>
      <c r="X82" s="331"/>
      <c r="Y82" s="338"/>
      <c r="Z82" s="337"/>
      <c r="AA82" s="339"/>
      <c r="AB82" s="333"/>
      <c r="AC82" s="265"/>
    </row>
    <row r="83" spans="1:35" ht="32.25" thickBot="1">
      <c r="A83" s="123"/>
      <c r="B83" s="243"/>
      <c r="C83" s="243" t="s">
        <v>221</v>
      </c>
      <c r="D83" s="340">
        <f t="shared" ref="D83:T83" si="23">IF(((D81="")*AND(D82="")),"",(D81-D82)*2)</f>
        <v>1978.58</v>
      </c>
      <c r="E83" s="340">
        <f t="shared" si="23"/>
        <v>2014.7600000000002</v>
      </c>
      <c r="F83" s="340">
        <f t="shared" si="23"/>
        <v>2011.6999999999998</v>
      </c>
      <c r="G83" s="340">
        <f t="shared" si="23"/>
        <v>2019.4000000000005</v>
      </c>
      <c r="H83" s="340">
        <f t="shared" si="23"/>
        <v>2024.2599999999993</v>
      </c>
      <c r="I83" s="340">
        <f t="shared" si="23"/>
        <v>2058.7600000000002</v>
      </c>
      <c r="J83" s="340">
        <f t="shared" si="23"/>
        <v>2083.8999999999996</v>
      </c>
      <c r="K83" s="340">
        <f t="shared" si="23"/>
        <v>2106.2399999999998</v>
      </c>
      <c r="L83" s="340">
        <f t="shared" si="23"/>
        <v>2023.42</v>
      </c>
      <c r="M83" s="340">
        <f t="shared" si="23"/>
        <v>2194.9000000000005</v>
      </c>
      <c r="N83" s="340">
        <f t="shared" si="23"/>
        <v>2079.5999999999995</v>
      </c>
      <c r="O83" s="340">
        <f t="shared" si="23"/>
        <v>2069.54</v>
      </c>
      <c r="P83" s="340">
        <f t="shared" si="23"/>
        <v>2031.0200000000004</v>
      </c>
      <c r="Q83" s="340">
        <f t="shared" si="23"/>
        <v>2042.2200000000003</v>
      </c>
      <c r="R83" s="340">
        <f t="shared" si="23"/>
        <v>2056.5199999999995</v>
      </c>
      <c r="S83" s="340">
        <f t="shared" si="23"/>
        <v>2047.9000000000005</v>
      </c>
      <c r="T83" s="341">
        <f t="shared" si="23"/>
        <v>2022.9000000000005</v>
      </c>
      <c r="U83" s="342"/>
      <c r="V83" s="340"/>
      <c r="W83" s="340"/>
      <c r="X83" s="343"/>
      <c r="Y83" s="344"/>
      <c r="Z83" s="340"/>
      <c r="AA83" s="345"/>
      <c r="AB83" s="333"/>
      <c r="AC83" s="265"/>
    </row>
    <row r="84" spans="1:35">
      <c r="A84" s="346">
        <v>43238</v>
      </c>
      <c r="B84" s="249" t="s">
        <v>76</v>
      </c>
      <c r="C84" s="235" t="s">
        <v>77</v>
      </c>
      <c r="D84" s="123">
        <v>3796.65</v>
      </c>
      <c r="E84" s="123">
        <v>3787.68</v>
      </c>
      <c r="F84" s="123">
        <v>3782.28</v>
      </c>
      <c r="G84" s="123">
        <v>3775.58</v>
      </c>
      <c r="H84" s="123">
        <v>3777.81</v>
      </c>
      <c r="I84" s="123">
        <v>3779.01</v>
      </c>
      <c r="J84" s="123">
        <v>3782.87</v>
      </c>
      <c r="K84" s="123">
        <v>3793.31</v>
      </c>
      <c r="L84" s="123">
        <v>3819.97</v>
      </c>
      <c r="M84" s="123">
        <v>3802.34</v>
      </c>
      <c r="N84" s="123">
        <v>3792.99</v>
      </c>
      <c r="O84" s="123">
        <v>3778.96</v>
      </c>
      <c r="P84" s="123">
        <v>3777.36</v>
      </c>
      <c r="Q84" s="123">
        <v>3799.72</v>
      </c>
      <c r="R84" s="123">
        <v>3788.97</v>
      </c>
      <c r="S84" s="123">
        <v>3800.82</v>
      </c>
      <c r="T84" s="123">
        <v>3830.81</v>
      </c>
      <c r="U84" s="347">
        <f>IF((T85=""),"",MAX(D86:T86))</f>
        <v>2109.3999999999996</v>
      </c>
      <c r="V84" s="235">
        <f>IF(T85="","",MIN(D86:T86))</f>
        <v>1977.9400000000005</v>
      </c>
      <c r="W84" s="250">
        <f>IF((T86=""),"",AVERAGE(D86:T86))</f>
        <v>2044.2576470588237</v>
      </c>
      <c r="X84" s="331">
        <f>STDEV(D86:T86)</f>
        <v>35.695243298199287</v>
      </c>
      <c r="Y84" s="236">
        <f>IF((T85=""),"",((U84-V84)/(U84+V84))*100)</f>
        <v>3.21627268590328</v>
      </c>
      <c r="Z84" s="228" t="str">
        <f>IF(T85="","",IF(Y84&lt;15,IF(W84&gt;AF84,IF(W84&lt;AG84,"Pass","Fail"),"Fail"),"Fail"))</f>
        <v>Pass</v>
      </c>
      <c r="AA84" s="339">
        <v>64</v>
      </c>
      <c r="AB84" s="333"/>
      <c r="AD84" s="302">
        <v>1600</v>
      </c>
      <c r="AE84" s="302">
        <v>2600</v>
      </c>
      <c r="AF84" s="334">
        <v>1690</v>
      </c>
      <c r="AG84" s="334">
        <v>2125</v>
      </c>
      <c r="AH84" s="335">
        <v>15</v>
      </c>
      <c r="AI84" s="335">
        <v>15</v>
      </c>
    </row>
    <row r="85" spans="1:35">
      <c r="A85" s="123"/>
      <c r="B85" s="235"/>
      <c r="C85" s="235" t="s">
        <v>78</v>
      </c>
      <c r="D85" s="123">
        <v>2807.68</v>
      </c>
      <c r="E85" s="123">
        <v>2781.13</v>
      </c>
      <c r="F85" s="123">
        <v>2772.08</v>
      </c>
      <c r="G85" s="123">
        <v>2769.2</v>
      </c>
      <c r="H85" s="123">
        <v>2760.2</v>
      </c>
      <c r="I85" s="123">
        <v>2747.77</v>
      </c>
      <c r="J85" s="123">
        <v>2741.08</v>
      </c>
      <c r="K85" s="123">
        <v>2738.61</v>
      </c>
      <c r="L85" s="123">
        <v>2782.1</v>
      </c>
      <c r="M85" s="123">
        <v>2772.14</v>
      </c>
      <c r="N85" s="123">
        <v>2748.18</v>
      </c>
      <c r="O85" s="123">
        <v>2747.94</v>
      </c>
      <c r="P85" s="123">
        <v>2773.33</v>
      </c>
      <c r="Q85" s="123">
        <v>2768.95</v>
      </c>
      <c r="R85" s="123">
        <v>2779.08</v>
      </c>
      <c r="S85" s="123">
        <v>2774.44</v>
      </c>
      <c r="T85" s="123">
        <v>2827.03</v>
      </c>
      <c r="U85" s="336"/>
      <c r="V85" s="337"/>
      <c r="W85" s="337"/>
      <c r="X85" s="331"/>
      <c r="Y85" s="338"/>
      <c r="Z85" s="337"/>
      <c r="AA85" s="339"/>
      <c r="AB85" s="333"/>
      <c r="AC85" s="265"/>
    </row>
    <row r="86" spans="1:35" ht="32.25" thickBot="1">
      <c r="A86" s="123"/>
      <c r="B86" s="243"/>
      <c r="C86" s="243" t="s">
        <v>221</v>
      </c>
      <c r="D86" s="340">
        <f t="shared" ref="D86:T86" si="24">IF(((D84="")*AND(D85="")),"",(D84-D85)*2)</f>
        <v>1977.9400000000005</v>
      </c>
      <c r="E86" s="340">
        <f t="shared" si="24"/>
        <v>2013.0999999999995</v>
      </c>
      <c r="F86" s="340">
        <f t="shared" si="24"/>
        <v>2020.4000000000005</v>
      </c>
      <c r="G86" s="340">
        <f t="shared" si="24"/>
        <v>2012.7600000000002</v>
      </c>
      <c r="H86" s="340">
        <f t="shared" si="24"/>
        <v>2035.2200000000003</v>
      </c>
      <c r="I86" s="340">
        <f t="shared" si="24"/>
        <v>2062.4800000000005</v>
      </c>
      <c r="J86" s="340">
        <f t="shared" si="24"/>
        <v>2083.58</v>
      </c>
      <c r="K86" s="340">
        <f t="shared" si="24"/>
        <v>2109.3999999999996</v>
      </c>
      <c r="L86" s="340">
        <f t="shared" si="24"/>
        <v>2075.7399999999998</v>
      </c>
      <c r="M86" s="340">
        <f t="shared" si="24"/>
        <v>2060.4000000000005</v>
      </c>
      <c r="N86" s="340">
        <f t="shared" si="24"/>
        <v>2089.62</v>
      </c>
      <c r="O86" s="340">
        <f t="shared" si="24"/>
        <v>2062.04</v>
      </c>
      <c r="P86" s="340">
        <f t="shared" si="24"/>
        <v>2008.0600000000004</v>
      </c>
      <c r="Q86" s="340">
        <f t="shared" si="24"/>
        <v>2061.54</v>
      </c>
      <c r="R86" s="340">
        <f t="shared" si="24"/>
        <v>2019.7799999999997</v>
      </c>
      <c r="S86" s="340">
        <f t="shared" si="24"/>
        <v>2052.7600000000002</v>
      </c>
      <c r="T86" s="341">
        <f t="shared" si="24"/>
        <v>2007.5599999999995</v>
      </c>
      <c r="U86" s="342"/>
      <c r="V86" s="340"/>
      <c r="W86" s="340"/>
      <c r="X86" s="343"/>
      <c r="Y86" s="344"/>
      <c r="Z86" s="340"/>
      <c r="AA86" s="345"/>
      <c r="AB86" s="333"/>
      <c r="AC86" s="265"/>
    </row>
    <row r="87" spans="1:35">
      <c r="A87" s="346">
        <v>43242</v>
      </c>
      <c r="B87" s="249" t="s">
        <v>76</v>
      </c>
      <c r="C87" s="235" t="s">
        <v>77</v>
      </c>
      <c r="D87" s="123">
        <v>1994.61</v>
      </c>
      <c r="E87" s="123">
        <v>1985.66</v>
      </c>
      <c r="F87" s="123">
        <v>1983.17</v>
      </c>
      <c r="G87" s="123">
        <v>1980.37</v>
      </c>
      <c r="H87" s="123">
        <v>1979.89</v>
      </c>
      <c r="I87" s="123">
        <v>1982.18</v>
      </c>
      <c r="J87" s="123">
        <v>1983.74</v>
      </c>
      <c r="K87" s="123">
        <v>1988.68</v>
      </c>
      <c r="L87" s="123">
        <v>2007.84</v>
      </c>
      <c r="M87" s="123">
        <v>1997.73</v>
      </c>
      <c r="N87" s="123">
        <v>1985.76</v>
      </c>
      <c r="O87" s="123">
        <v>1984.21</v>
      </c>
      <c r="P87" s="123">
        <v>1981.7</v>
      </c>
      <c r="Q87" s="123">
        <v>1981.15</v>
      </c>
      <c r="R87" s="123">
        <v>1986.03</v>
      </c>
      <c r="S87" s="123">
        <v>1992.5</v>
      </c>
      <c r="T87" s="123">
        <v>2013.39</v>
      </c>
      <c r="U87" s="347">
        <f>IF((T88=""),"",MAX(D89:T89))</f>
        <v>2104.36</v>
      </c>
      <c r="V87" s="235">
        <f>IF(T88="","",MIN(D89:T89))</f>
        <v>1972.9599999999998</v>
      </c>
      <c r="W87" s="250">
        <f>IF((T89=""),"",AVERAGE(D89:T89))</f>
        <v>2039.1623529411766</v>
      </c>
      <c r="X87" s="331">
        <f>STDEV(D89:T89)</f>
        <v>34.171003703690779</v>
      </c>
      <c r="Y87" s="236">
        <f>IF((T88=""),"",((U87-V87)/(U87+V87))*100)</f>
        <v>3.2227051102194664</v>
      </c>
      <c r="Z87" s="228" t="str">
        <f>IF(T88="","",IF(Y87&lt;15,IF(W87&gt;AF87,IF(W87&lt;AG87,"Pass","Fail"),"Fail"),"Fail"))</f>
        <v>Pass</v>
      </c>
      <c r="AA87" s="339">
        <v>102</v>
      </c>
      <c r="AB87" s="333"/>
      <c r="AD87" s="302">
        <v>1600</v>
      </c>
      <c r="AE87" s="302">
        <v>2600</v>
      </c>
      <c r="AF87" s="334">
        <v>1690</v>
      </c>
      <c r="AG87" s="334">
        <v>2125</v>
      </c>
      <c r="AH87" s="335">
        <v>15</v>
      </c>
      <c r="AI87" s="335">
        <v>15</v>
      </c>
    </row>
    <row r="88" spans="1:35">
      <c r="A88" s="123"/>
      <c r="B88" s="235"/>
      <c r="C88" s="235" t="s">
        <v>78</v>
      </c>
      <c r="D88" s="123">
        <v>1008.13</v>
      </c>
      <c r="E88" s="123">
        <v>988.52</v>
      </c>
      <c r="F88" s="123">
        <v>983</v>
      </c>
      <c r="G88" s="123">
        <v>976.83</v>
      </c>
      <c r="H88" s="123">
        <v>968.03</v>
      </c>
      <c r="I88" s="123">
        <v>955.85</v>
      </c>
      <c r="J88" s="123">
        <v>944.78</v>
      </c>
      <c r="K88" s="123">
        <v>936.5</v>
      </c>
      <c r="L88" s="123">
        <v>969.54</v>
      </c>
      <c r="M88" s="123">
        <v>968.81</v>
      </c>
      <c r="N88" s="123">
        <v>950.65</v>
      </c>
      <c r="O88" s="123">
        <v>956.27</v>
      </c>
      <c r="P88" s="123">
        <v>962.96</v>
      </c>
      <c r="Q88" s="123">
        <v>968.95</v>
      </c>
      <c r="R88" s="123">
        <v>966.42</v>
      </c>
      <c r="S88" s="123">
        <v>968.36</v>
      </c>
      <c r="T88" s="123">
        <v>1002.13</v>
      </c>
      <c r="U88" s="336"/>
      <c r="V88" s="337"/>
      <c r="W88" s="337"/>
      <c r="X88" s="331"/>
      <c r="Y88" s="338"/>
      <c r="Z88" s="337"/>
      <c r="AA88" s="339"/>
      <c r="AB88" s="333"/>
      <c r="AC88" s="265"/>
    </row>
    <row r="89" spans="1:35" ht="32.25" thickBot="1">
      <c r="A89" s="123"/>
      <c r="B89" s="243"/>
      <c r="C89" s="243" t="s">
        <v>221</v>
      </c>
      <c r="D89" s="340">
        <f t="shared" ref="D89:T89" si="25">IF(((D87="")*AND(D88="")),"",(D87-D88)*2)</f>
        <v>1972.9599999999998</v>
      </c>
      <c r="E89" s="340">
        <f t="shared" si="25"/>
        <v>1994.2800000000002</v>
      </c>
      <c r="F89" s="340">
        <f t="shared" si="25"/>
        <v>2000.3400000000001</v>
      </c>
      <c r="G89" s="340">
        <f t="shared" si="25"/>
        <v>2007.0799999999997</v>
      </c>
      <c r="H89" s="340">
        <f t="shared" si="25"/>
        <v>2023.7200000000003</v>
      </c>
      <c r="I89" s="340">
        <f t="shared" si="25"/>
        <v>2052.66</v>
      </c>
      <c r="J89" s="340">
        <f t="shared" si="25"/>
        <v>2077.92</v>
      </c>
      <c r="K89" s="340">
        <f t="shared" si="25"/>
        <v>2104.36</v>
      </c>
      <c r="L89" s="340">
        <f t="shared" si="25"/>
        <v>2076.6</v>
      </c>
      <c r="M89" s="340">
        <f t="shared" si="25"/>
        <v>2057.84</v>
      </c>
      <c r="N89" s="340">
        <f t="shared" si="25"/>
        <v>2070.2200000000003</v>
      </c>
      <c r="O89" s="340">
        <f t="shared" si="25"/>
        <v>2055.88</v>
      </c>
      <c r="P89" s="340">
        <f t="shared" si="25"/>
        <v>2037.48</v>
      </c>
      <c r="Q89" s="340">
        <f t="shared" si="25"/>
        <v>2024.4</v>
      </c>
      <c r="R89" s="340">
        <f t="shared" si="25"/>
        <v>2039.22</v>
      </c>
      <c r="S89" s="340">
        <f t="shared" si="25"/>
        <v>2048.2799999999997</v>
      </c>
      <c r="T89" s="341">
        <f t="shared" si="25"/>
        <v>2022.5200000000002</v>
      </c>
      <c r="U89" s="342"/>
      <c r="V89" s="340"/>
      <c r="W89" s="340"/>
      <c r="X89" s="343"/>
      <c r="Y89" s="344"/>
      <c r="Z89" s="340"/>
      <c r="AA89" s="345"/>
      <c r="AB89" s="333"/>
      <c r="AC89" s="265"/>
    </row>
    <row r="90" spans="1:35">
      <c r="A90" s="348">
        <v>43243</v>
      </c>
      <c r="B90" s="249" t="s">
        <v>76</v>
      </c>
      <c r="C90" s="235" t="s">
        <v>77</v>
      </c>
      <c r="D90" s="123">
        <v>2048.13</v>
      </c>
      <c r="E90" s="123">
        <v>2035.34</v>
      </c>
      <c r="F90" s="123">
        <v>2027.11</v>
      </c>
      <c r="G90" s="123">
        <v>2017.49</v>
      </c>
      <c r="H90" s="123">
        <v>2014.12</v>
      </c>
      <c r="I90" s="123">
        <v>2019.03</v>
      </c>
      <c r="J90" s="123">
        <v>2027.01</v>
      </c>
      <c r="K90" s="123">
        <v>2036.1</v>
      </c>
      <c r="L90" s="123">
        <v>2058.41</v>
      </c>
      <c r="M90" s="123">
        <v>2056.16</v>
      </c>
      <c r="N90" s="123">
        <v>2038.47</v>
      </c>
      <c r="O90" s="123">
        <v>2026.81</v>
      </c>
      <c r="P90" s="123">
        <v>2016.21</v>
      </c>
      <c r="Q90" s="123">
        <v>2017.22</v>
      </c>
      <c r="R90" s="123">
        <v>2025.51</v>
      </c>
      <c r="S90" s="123">
        <v>2040.24</v>
      </c>
      <c r="T90" s="123">
        <v>2061.36</v>
      </c>
      <c r="U90" s="347">
        <f>IF((T91=""),"",MAX(D92:T92))</f>
        <v>2094.1999999999998</v>
      </c>
      <c r="V90" s="235">
        <f>IF(T91="","",MIN(D92:T92))</f>
        <v>1948.2600000000002</v>
      </c>
      <c r="W90" s="250">
        <f>IF((T92=""),"",AVERAGE(D92:T92))</f>
        <v>2033.3788235294114</v>
      </c>
      <c r="X90" s="331">
        <f>STDEV(D92:T92)</f>
        <v>35.543918938820013</v>
      </c>
      <c r="Y90" s="236">
        <f>IF((T91=""),"",((U90-V90)/(U90+V90))*100)</f>
        <v>3.6101779609445632</v>
      </c>
      <c r="Z90" s="228" t="str">
        <f>IF(T91="","",IF(Y90&lt;15,IF(W90&gt;AF90,IF(W90&lt;AG90,"Pass","Fail"),"Fail"),"Fail"))</f>
        <v>Pass</v>
      </c>
      <c r="AA90" s="339">
        <v>1159</v>
      </c>
      <c r="AB90" s="333"/>
      <c r="AD90" s="302">
        <v>1600</v>
      </c>
      <c r="AE90" s="302">
        <v>2600</v>
      </c>
      <c r="AF90" s="334">
        <v>1690</v>
      </c>
      <c r="AG90" s="334">
        <v>2125</v>
      </c>
      <c r="AH90" s="335">
        <v>15</v>
      </c>
      <c r="AI90" s="335">
        <v>15</v>
      </c>
    </row>
    <row r="91" spans="1:35">
      <c r="A91" s="123"/>
      <c r="B91" s="235"/>
      <c r="C91" s="235" t="s">
        <v>78</v>
      </c>
      <c r="D91" s="123">
        <v>1074</v>
      </c>
      <c r="E91" s="123">
        <v>1039</v>
      </c>
      <c r="F91" s="123">
        <v>1023</v>
      </c>
      <c r="G91" s="123">
        <v>1011</v>
      </c>
      <c r="H91" s="123">
        <v>1001</v>
      </c>
      <c r="I91" s="123">
        <v>992</v>
      </c>
      <c r="J91" s="123">
        <v>988</v>
      </c>
      <c r="K91" s="123">
        <v>989</v>
      </c>
      <c r="L91" s="123">
        <v>1024</v>
      </c>
      <c r="M91" s="123">
        <v>1052</v>
      </c>
      <c r="N91" s="123">
        <v>1006</v>
      </c>
      <c r="O91" s="123">
        <v>1000</v>
      </c>
      <c r="P91" s="123">
        <v>999</v>
      </c>
      <c r="Q91" s="123">
        <v>1002</v>
      </c>
      <c r="R91" s="123">
        <v>1007</v>
      </c>
      <c r="S91" s="123">
        <v>1017</v>
      </c>
      <c r="T91" s="123">
        <v>1057</v>
      </c>
      <c r="U91" s="336"/>
      <c r="V91" s="337"/>
      <c r="W91" s="337"/>
      <c r="X91" s="331"/>
      <c r="Y91" s="338"/>
      <c r="Z91" s="337"/>
      <c r="AA91" s="339"/>
      <c r="AB91" s="333"/>
      <c r="AC91" s="265"/>
    </row>
    <row r="92" spans="1:35" ht="32.25" thickBot="1">
      <c r="A92" s="123"/>
      <c r="B92" s="243"/>
      <c r="C92" s="243" t="s">
        <v>221</v>
      </c>
      <c r="D92" s="340">
        <f t="shared" ref="D92:T92" si="26">IF(((D90="")*AND(D91="")),"",(D90-D91)*2)</f>
        <v>1948.2600000000002</v>
      </c>
      <c r="E92" s="340">
        <f t="shared" si="26"/>
        <v>1992.6799999999998</v>
      </c>
      <c r="F92" s="340">
        <f t="shared" si="26"/>
        <v>2008.2199999999998</v>
      </c>
      <c r="G92" s="340">
        <f t="shared" si="26"/>
        <v>2012.98</v>
      </c>
      <c r="H92" s="340">
        <f t="shared" si="26"/>
        <v>2026.2399999999998</v>
      </c>
      <c r="I92" s="340">
        <f t="shared" si="26"/>
        <v>2054.06</v>
      </c>
      <c r="J92" s="340">
        <f t="shared" si="26"/>
        <v>2078.02</v>
      </c>
      <c r="K92" s="340">
        <f t="shared" si="26"/>
        <v>2094.1999999999998</v>
      </c>
      <c r="L92" s="340">
        <f t="shared" si="26"/>
        <v>2068.8199999999997</v>
      </c>
      <c r="M92" s="340">
        <f t="shared" si="26"/>
        <v>2008.3199999999997</v>
      </c>
      <c r="N92" s="340">
        <f t="shared" si="26"/>
        <v>2064.94</v>
      </c>
      <c r="O92" s="340">
        <f t="shared" si="26"/>
        <v>2053.62</v>
      </c>
      <c r="P92" s="340">
        <f t="shared" si="26"/>
        <v>2034.42</v>
      </c>
      <c r="Q92" s="340">
        <f t="shared" si="26"/>
        <v>2030.44</v>
      </c>
      <c r="R92" s="340">
        <f t="shared" si="26"/>
        <v>2037.02</v>
      </c>
      <c r="S92" s="340">
        <f t="shared" si="26"/>
        <v>2046.48</v>
      </c>
      <c r="T92" s="341">
        <f t="shared" si="26"/>
        <v>2008.7200000000003</v>
      </c>
      <c r="U92" s="342"/>
      <c r="V92" s="340"/>
      <c r="W92" s="340"/>
      <c r="X92" s="343"/>
      <c r="Y92" s="344"/>
      <c r="Z92" s="340"/>
      <c r="AA92" s="345"/>
      <c r="AB92" s="333"/>
      <c r="AC92" s="265"/>
    </row>
    <row r="93" spans="1:35">
      <c r="A93" s="346">
        <v>43248</v>
      </c>
      <c r="B93" s="249" t="s">
        <v>76</v>
      </c>
      <c r="C93" s="235" t="s">
        <v>77</v>
      </c>
      <c r="D93" s="123">
        <v>2026.18</v>
      </c>
      <c r="E93" s="123">
        <v>2014.76</v>
      </c>
      <c r="F93" s="123">
        <v>2009.89</v>
      </c>
      <c r="G93" s="123">
        <v>2005.79</v>
      </c>
      <c r="H93" s="123">
        <v>2003.8</v>
      </c>
      <c r="I93" s="123">
        <v>2006.5</v>
      </c>
      <c r="J93" s="123">
        <v>2008.14</v>
      </c>
      <c r="K93" s="123">
        <v>2011.34</v>
      </c>
      <c r="L93" s="123">
        <v>2024.56</v>
      </c>
      <c r="M93" s="123">
        <v>2014.14</v>
      </c>
      <c r="N93" s="123">
        <v>2008.94</v>
      </c>
      <c r="O93" s="123">
        <v>2007.02</v>
      </c>
      <c r="P93" s="123">
        <v>2006.09</v>
      </c>
      <c r="Q93" s="123">
        <v>2006.16</v>
      </c>
      <c r="R93" s="123">
        <v>2008.3</v>
      </c>
      <c r="S93" s="123">
        <v>2011.85</v>
      </c>
      <c r="T93" s="123">
        <v>2024.62</v>
      </c>
      <c r="U93" s="347">
        <f>IF((T94=""),"",MAX(D95:T95))</f>
        <v>2045.2399999999998</v>
      </c>
      <c r="V93" s="235">
        <f>IF(T94="","",MIN(D95:T95))</f>
        <v>1967.88</v>
      </c>
      <c r="W93" s="250">
        <f>IF((T95=""),"",AVERAGE(D95:T95))</f>
        <v>2005.3035294117649</v>
      </c>
      <c r="X93" s="331">
        <f>STDEV(D95:T95)</f>
        <v>24.624366220569073</v>
      </c>
      <c r="Y93" s="236">
        <f>IF((T94=""),"",((U93-V93)/(U93+V93))*100)</f>
        <v>1.9276772187225819</v>
      </c>
      <c r="Z93" s="228" t="str">
        <f>IF(T94="","",IF(Y93&lt;15,IF(W93&gt;AF93,IF(W93&lt;AG93,"Pass","Fail"),"Fail"),"Fail"))</f>
        <v>Pass</v>
      </c>
      <c r="AA93" s="339">
        <v>1335</v>
      </c>
      <c r="AB93" s="333"/>
      <c r="AD93" s="302">
        <v>1600</v>
      </c>
      <c r="AE93" s="302">
        <v>2600</v>
      </c>
      <c r="AF93" s="334">
        <v>1690</v>
      </c>
      <c r="AG93" s="334">
        <v>2125</v>
      </c>
      <c r="AH93" s="335">
        <v>15</v>
      </c>
      <c r="AI93" s="335">
        <v>15</v>
      </c>
    </row>
    <row r="94" spans="1:35">
      <c r="A94" s="123"/>
      <c r="B94" s="235"/>
      <c r="C94" s="235" t="s">
        <v>78</v>
      </c>
      <c r="D94" s="123">
        <v>1008</v>
      </c>
      <c r="E94" s="123">
        <v>1018</v>
      </c>
      <c r="F94" s="123">
        <v>1007</v>
      </c>
      <c r="G94" s="123">
        <v>1006</v>
      </c>
      <c r="H94" s="123">
        <v>1013</v>
      </c>
      <c r="I94" s="123">
        <v>1018</v>
      </c>
      <c r="J94" s="123">
        <v>1005</v>
      </c>
      <c r="K94" s="123">
        <v>1000</v>
      </c>
      <c r="L94" s="123">
        <v>1002</v>
      </c>
      <c r="M94" s="123">
        <v>1018</v>
      </c>
      <c r="N94" s="123">
        <v>1025</v>
      </c>
      <c r="O94" s="123">
        <v>1015</v>
      </c>
      <c r="P94" s="123">
        <v>1010</v>
      </c>
      <c r="Q94" s="123">
        <v>1012</v>
      </c>
      <c r="R94" s="123">
        <v>1002</v>
      </c>
      <c r="S94" s="123">
        <v>992</v>
      </c>
      <c r="T94" s="123">
        <v>1002</v>
      </c>
      <c r="U94" s="336"/>
      <c r="V94" s="337"/>
      <c r="W94" s="337"/>
      <c r="X94" s="331"/>
      <c r="Y94" s="338"/>
      <c r="Z94" s="337"/>
      <c r="AA94" s="339"/>
      <c r="AB94" s="333"/>
      <c r="AC94" s="265"/>
    </row>
    <row r="95" spans="1:35" ht="32.25" thickBot="1">
      <c r="A95" s="123"/>
      <c r="B95" s="243"/>
      <c r="C95" s="243" t="s">
        <v>221</v>
      </c>
      <c r="D95" s="340">
        <f t="shared" ref="D95:T95" si="27">IF(((D93="")*AND(D94="")),"",(D93-D94)*2)</f>
        <v>2036.3600000000001</v>
      </c>
      <c r="E95" s="340">
        <f t="shared" si="27"/>
        <v>1993.52</v>
      </c>
      <c r="F95" s="340">
        <f t="shared" si="27"/>
        <v>2005.7800000000002</v>
      </c>
      <c r="G95" s="340">
        <f t="shared" si="27"/>
        <v>1999.58</v>
      </c>
      <c r="H95" s="340">
        <f t="shared" si="27"/>
        <v>1981.6</v>
      </c>
      <c r="I95" s="340">
        <f t="shared" si="27"/>
        <v>1977</v>
      </c>
      <c r="J95" s="340">
        <f t="shared" si="27"/>
        <v>2006.2800000000002</v>
      </c>
      <c r="K95" s="340">
        <f t="shared" si="27"/>
        <v>2022.6799999999998</v>
      </c>
      <c r="L95" s="340">
        <f t="shared" si="27"/>
        <v>2045.12</v>
      </c>
      <c r="M95" s="340">
        <f t="shared" si="27"/>
        <v>1992.2800000000002</v>
      </c>
      <c r="N95" s="340">
        <f t="shared" si="27"/>
        <v>1967.88</v>
      </c>
      <c r="O95" s="340">
        <f t="shared" si="27"/>
        <v>1984.04</v>
      </c>
      <c r="P95" s="340">
        <f t="shared" si="27"/>
        <v>1992.1799999999998</v>
      </c>
      <c r="Q95" s="340">
        <f t="shared" si="27"/>
        <v>1988.3200000000002</v>
      </c>
      <c r="R95" s="340">
        <f t="shared" si="27"/>
        <v>2012.6</v>
      </c>
      <c r="S95" s="340">
        <f t="shared" si="27"/>
        <v>2039.6999999999998</v>
      </c>
      <c r="T95" s="341">
        <f t="shared" si="27"/>
        <v>2045.2399999999998</v>
      </c>
      <c r="U95" s="342"/>
      <c r="V95" s="340"/>
      <c r="W95" s="340"/>
      <c r="X95" s="343"/>
      <c r="Y95" s="344"/>
      <c r="Z95" s="340"/>
      <c r="AA95" s="345"/>
      <c r="AB95" s="333"/>
      <c r="AC95" s="265"/>
    </row>
    <row r="96" spans="1:35">
      <c r="A96" s="346">
        <v>43251</v>
      </c>
      <c r="B96" s="249" t="s">
        <v>76</v>
      </c>
      <c r="C96" s="235" t="s">
        <v>77</v>
      </c>
      <c r="D96" s="123">
        <v>2016.51</v>
      </c>
      <c r="E96" s="123">
        <v>2005.85</v>
      </c>
      <c r="F96" s="123">
        <v>2001.2</v>
      </c>
      <c r="G96" s="123">
        <v>1996.41</v>
      </c>
      <c r="H96" s="123">
        <v>1997.17</v>
      </c>
      <c r="I96" s="123">
        <v>1995.14</v>
      </c>
      <c r="J96" s="123">
        <v>1997.77</v>
      </c>
      <c r="K96" s="123">
        <v>2002.92</v>
      </c>
      <c r="L96" s="123">
        <v>2015.83</v>
      </c>
      <c r="M96" s="123">
        <v>2007.66</v>
      </c>
      <c r="N96" s="123">
        <v>2000.6</v>
      </c>
      <c r="O96" s="123">
        <v>1996.68</v>
      </c>
      <c r="P96" s="123">
        <v>1994.76</v>
      </c>
      <c r="Q96" s="123">
        <v>1996.06</v>
      </c>
      <c r="R96" s="123">
        <v>1998.4</v>
      </c>
      <c r="S96" s="123">
        <v>2004.05</v>
      </c>
      <c r="T96" s="123">
        <v>2016.87</v>
      </c>
      <c r="U96" s="347">
        <f>IF((T97=""),"",MAX(D98:T98))</f>
        <v>2114.08</v>
      </c>
      <c r="V96" s="235">
        <f>IF(T97="","",MIN(D98:T98))</f>
        <v>1961.96</v>
      </c>
      <c r="W96" s="250">
        <f>IF((T98=""),"",AVERAGE(D98:T98))</f>
        <v>2042.0847058823526</v>
      </c>
      <c r="X96" s="331">
        <f>STDEV(D98:T98)</f>
        <v>36.451366592633889</v>
      </c>
      <c r="Y96" s="236">
        <f>IF((T97=""),"",((U96-V96)/(U96+V96))*100)</f>
        <v>3.7320536599248264</v>
      </c>
      <c r="Z96" s="228" t="str">
        <f>IF(T97="","",IF(Y96&lt;15,IF(W96&gt;AF96,IF(W96&lt;AG96,"Pass","Fail"),"Fail"),"Fail"))</f>
        <v>Pass</v>
      </c>
      <c r="AA96" s="339"/>
      <c r="AB96" s="333"/>
      <c r="AD96" s="302">
        <v>1600</v>
      </c>
      <c r="AE96" s="302">
        <v>2600</v>
      </c>
      <c r="AF96" s="334">
        <v>1690</v>
      </c>
      <c r="AG96" s="334">
        <v>2125</v>
      </c>
      <c r="AH96" s="335">
        <v>15</v>
      </c>
      <c r="AI96" s="335">
        <v>15</v>
      </c>
    </row>
    <row r="97" spans="1:35">
      <c r="A97" s="123"/>
      <c r="B97" s="235"/>
      <c r="C97" s="235" t="s">
        <v>78</v>
      </c>
      <c r="D97" s="123">
        <v>1035.53</v>
      </c>
      <c r="E97" s="123">
        <v>1007.46</v>
      </c>
      <c r="F97" s="123">
        <v>1000.9</v>
      </c>
      <c r="G97" s="123">
        <v>991.65</v>
      </c>
      <c r="H97" s="123">
        <v>979.62</v>
      </c>
      <c r="I97" s="123">
        <v>964.31</v>
      </c>
      <c r="J97" s="123">
        <v>952.72</v>
      </c>
      <c r="K97" s="123">
        <v>945.88</v>
      </c>
      <c r="L97" s="123">
        <v>994.48</v>
      </c>
      <c r="M97" s="123">
        <v>976.51</v>
      </c>
      <c r="N97" s="123">
        <v>963.92</v>
      </c>
      <c r="O97" s="123">
        <v>967.89</v>
      </c>
      <c r="P97" s="123">
        <v>975.05</v>
      </c>
      <c r="Q97" s="123">
        <v>979.4</v>
      </c>
      <c r="R97" s="123">
        <v>974.72</v>
      </c>
      <c r="S97" s="123">
        <v>975.22</v>
      </c>
      <c r="T97" s="123">
        <v>1000.9</v>
      </c>
      <c r="U97" s="336"/>
      <c r="V97" s="337"/>
      <c r="W97" s="337"/>
      <c r="X97" s="331"/>
      <c r="Y97" s="338"/>
      <c r="Z97" s="337"/>
      <c r="AA97" s="339"/>
      <c r="AB97" s="333"/>
      <c r="AC97" s="265"/>
    </row>
    <row r="98" spans="1:35" ht="32.25" thickBot="1">
      <c r="A98" s="123"/>
      <c r="B98" s="243"/>
      <c r="C98" s="243" t="s">
        <v>221</v>
      </c>
      <c r="D98" s="340">
        <f t="shared" ref="D98:T98" si="28">IF(((D96="")*AND(D97="")),"",(D96-D97)*2)</f>
        <v>1961.96</v>
      </c>
      <c r="E98" s="340">
        <f t="shared" si="28"/>
        <v>1996.7799999999997</v>
      </c>
      <c r="F98" s="340">
        <f t="shared" si="28"/>
        <v>2000.6000000000001</v>
      </c>
      <c r="G98" s="340">
        <f t="shared" si="28"/>
        <v>2009.5200000000002</v>
      </c>
      <c r="H98" s="340">
        <f t="shared" si="28"/>
        <v>2035.1000000000001</v>
      </c>
      <c r="I98" s="340">
        <f t="shared" si="28"/>
        <v>2061.6600000000003</v>
      </c>
      <c r="J98" s="340">
        <f t="shared" si="28"/>
        <v>2090.1</v>
      </c>
      <c r="K98" s="340">
        <f t="shared" si="28"/>
        <v>2114.08</v>
      </c>
      <c r="L98" s="340">
        <f t="shared" si="28"/>
        <v>2042.6999999999998</v>
      </c>
      <c r="M98" s="340">
        <f t="shared" si="28"/>
        <v>2062.3000000000002</v>
      </c>
      <c r="N98" s="340">
        <f t="shared" si="28"/>
        <v>2073.3599999999997</v>
      </c>
      <c r="O98" s="340">
        <f t="shared" si="28"/>
        <v>2057.58</v>
      </c>
      <c r="P98" s="340">
        <f t="shared" si="28"/>
        <v>2039.42</v>
      </c>
      <c r="Q98" s="340">
        <f t="shared" si="28"/>
        <v>2033.32</v>
      </c>
      <c r="R98" s="340">
        <f t="shared" si="28"/>
        <v>2047.3600000000001</v>
      </c>
      <c r="S98" s="340">
        <f t="shared" si="28"/>
        <v>2057.66</v>
      </c>
      <c r="T98" s="341">
        <f t="shared" si="28"/>
        <v>2031.9399999999998</v>
      </c>
      <c r="U98" s="342"/>
      <c r="V98" s="340"/>
      <c r="W98" s="340"/>
      <c r="X98" s="343"/>
      <c r="Y98" s="344"/>
      <c r="Z98" s="340"/>
      <c r="AA98" s="345"/>
      <c r="AB98" s="333"/>
      <c r="AC98" s="265"/>
    </row>
    <row r="99" spans="1:35">
      <c r="A99" s="348">
        <v>43255</v>
      </c>
      <c r="B99" s="249" t="s">
        <v>76</v>
      </c>
      <c r="C99" s="235" t="s">
        <v>77</v>
      </c>
      <c r="D99" s="123">
        <v>2006.98</v>
      </c>
      <c r="E99" s="123">
        <v>2004.16</v>
      </c>
      <c r="F99" s="123">
        <v>2000.87</v>
      </c>
      <c r="G99" s="123">
        <v>1998.55</v>
      </c>
      <c r="H99" s="123">
        <v>1999.93</v>
      </c>
      <c r="I99" s="123">
        <v>2000.59</v>
      </c>
      <c r="J99" s="123">
        <v>2002.73</v>
      </c>
      <c r="K99" s="123">
        <v>2008.24</v>
      </c>
      <c r="L99" s="123">
        <v>2022.97</v>
      </c>
      <c r="M99" s="123">
        <v>2014.15</v>
      </c>
      <c r="N99" s="123">
        <v>2005.16</v>
      </c>
      <c r="O99" s="123">
        <v>2001.17</v>
      </c>
      <c r="P99" s="123">
        <v>2000.91</v>
      </c>
      <c r="Q99" s="123">
        <v>2001.47</v>
      </c>
      <c r="R99" s="123">
        <v>2005.48</v>
      </c>
      <c r="S99" s="123">
        <v>2008.45</v>
      </c>
      <c r="T99" s="123">
        <v>2026.28</v>
      </c>
      <c r="U99" s="347">
        <f>IF((T100=""),"",MAX(D101:T101))</f>
        <v>2058.48</v>
      </c>
      <c r="V99" s="235">
        <f>IF(T100="","",MIN(D101:T101))</f>
        <v>1919.96</v>
      </c>
      <c r="W99" s="250">
        <f>IF((T101=""),"",AVERAGE(D101:T101))</f>
        <v>1997.3047058823529</v>
      </c>
      <c r="X99" s="331">
        <f>STDEV(D101:T101)</f>
        <v>35.374187290602023</v>
      </c>
      <c r="Y99" s="236">
        <f>IF((T100=""),"",((U99-V99)/(U99+V99))*100)</f>
        <v>3.481766722635002</v>
      </c>
      <c r="Z99" s="228" t="str">
        <f>IF(T100="","",IF(Y99&lt;15,IF(W99&gt;AF99,IF(W99&lt;AG99,"Pass","Fail"),"Fail"),"Fail"))</f>
        <v>Pass</v>
      </c>
      <c r="AA99" s="339">
        <v>1335</v>
      </c>
      <c r="AB99" s="333"/>
      <c r="AD99" s="302">
        <v>1600</v>
      </c>
      <c r="AE99" s="302">
        <v>2600</v>
      </c>
      <c r="AF99" s="334">
        <v>1690</v>
      </c>
      <c r="AG99" s="334">
        <v>2125</v>
      </c>
      <c r="AH99" s="335">
        <v>15</v>
      </c>
      <c r="AI99" s="335">
        <v>15</v>
      </c>
    </row>
    <row r="100" spans="1:35">
      <c r="A100" s="123"/>
      <c r="B100" s="235"/>
      <c r="C100" s="235" t="s">
        <v>78</v>
      </c>
      <c r="D100" s="123">
        <v>1047</v>
      </c>
      <c r="E100" s="123">
        <v>1027</v>
      </c>
      <c r="F100" s="123">
        <v>1018</v>
      </c>
      <c r="G100" s="123">
        <v>1014</v>
      </c>
      <c r="H100" s="123">
        <v>1008</v>
      </c>
      <c r="I100" s="123">
        <v>993</v>
      </c>
      <c r="J100" s="123">
        <v>981</v>
      </c>
      <c r="K100" s="123">
        <v>979</v>
      </c>
      <c r="L100" s="123">
        <v>1007</v>
      </c>
      <c r="M100" s="123">
        <v>1027</v>
      </c>
      <c r="N100" s="123">
        <v>990</v>
      </c>
      <c r="O100" s="123">
        <v>991</v>
      </c>
      <c r="P100" s="123">
        <v>999</v>
      </c>
      <c r="Q100" s="123">
        <v>1005</v>
      </c>
      <c r="R100" s="123">
        <v>1002</v>
      </c>
      <c r="S100" s="123">
        <v>1005</v>
      </c>
      <c r="T100" s="123">
        <v>1038</v>
      </c>
      <c r="U100" s="336"/>
      <c r="V100" s="337"/>
      <c r="W100" s="337"/>
      <c r="X100" s="331"/>
      <c r="Y100" s="338"/>
      <c r="Z100" s="337"/>
      <c r="AA100" s="339"/>
      <c r="AB100" s="333"/>
      <c r="AC100" s="265"/>
    </row>
    <row r="101" spans="1:35" ht="32.25" thickBot="1">
      <c r="A101" s="123"/>
      <c r="B101" s="243"/>
      <c r="C101" s="243" t="s">
        <v>221</v>
      </c>
      <c r="D101" s="340">
        <f t="shared" ref="D101:T101" si="29">IF(((D99="")*AND(D100="")),"",(D99-D100)*2)</f>
        <v>1919.96</v>
      </c>
      <c r="E101" s="340">
        <f t="shared" si="29"/>
        <v>1954.3200000000002</v>
      </c>
      <c r="F101" s="340">
        <f t="shared" si="29"/>
        <v>1965.7399999999998</v>
      </c>
      <c r="G101" s="340">
        <f t="shared" si="29"/>
        <v>1969.1</v>
      </c>
      <c r="H101" s="340">
        <f t="shared" si="29"/>
        <v>1983.8600000000001</v>
      </c>
      <c r="I101" s="340">
        <f t="shared" si="29"/>
        <v>2015.1799999999998</v>
      </c>
      <c r="J101" s="340">
        <f t="shared" si="29"/>
        <v>2043.46</v>
      </c>
      <c r="K101" s="340">
        <f t="shared" si="29"/>
        <v>2058.48</v>
      </c>
      <c r="L101" s="340">
        <f t="shared" si="29"/>
        <v>2031.94</v>
      </c>
      <c r="M101" s="340">
        <f t="shared" si="29"/>
        <v>1974.3000000000002</v>
      </c>
      <c r="N101" s="340">
        <f t="shared" si="29"/>
        <v>2030.3200000000002</v>
      </c>
      <c r="O101" s="340">
        <f t="shared" si="29"/>
        <v>2020.3400000000001</v>
      </c>
      <c r="P101" s="340">
        <f t="shared" si="29"/>
        <v>2003.8200000000002</v>
      </c>
      <c r="Q101" s="340">
        <f t="shared" si="29"/>
        <v>1992.94</v>
      </c>
      <c r="R101" s="340">
        <f t="shared" si="29"/>
        <v>2006.96</v>
      </c>
      <c r="S101" s="340">
        <f t="shared" si="29"/>
        <v>2006.9</v>
      </c>
      <c r="T101" s="341">
        <f t="shared" si="29"/>
        <v>1976.56</v>
      </c>
      <c r="U101" s="342"/>
      <c r="V101" s="340"/>
      <c r="W101" s="340"/>
      <c r="X101" s="343"/>
      <c r="Y101" s="344"/>
      <c r="Z101" s="340"/>
      <c r="AA101" s="345"/>
      <c r="AB101" s="333"/>
      <c r="AC101" s="265"/>
    </row>
    <row r="102" spans="1:35">
      <c r="A102" s="348">
        <v>43258</v>
      </c>
      <c r="B102" s="249" t="s">
        <v>76</v>
      </c>
      <c r="C102" s="235" t="s">
        <v>77</v>
      </c>
      <c r="D102" s="123">
        <v>1989.03</v>
      </c>
      <c r="E102" s="123">
        <v>1983.32</v>
      </c>
      <c r="F102" s="123">
        <v>1979.75</v>
      </c>
      <c r="G102" s="123">
        <v>1977.11</v>
      </c>
      <c r="H102" s="123">
        <v>1978.25</v>
      </c>
      <c r="I102" s="123">
        <v>1978.47</v>
      </c>
      <c r="J102" s="123">
        <v>1980.69</v>
      </c>
      <c r="K102" s="123">
        <v>1984.74</v>
      </c>
      <c r="L102" s="123">
        <v>1998.52</v>
      </c>
      <c r="M102" s="123">
        <v>1994.2</v>
      </c>
      <c r="N102" s="123">
        <v>1983.15</v>
      </c>
      <c r="O102" s="123">
        <v>1980.24</v>
      </c>
      <c r="P102" s="123">
        <v>1977.2</v>
      </c>
      <c r="Q102" s="123">
        <v>1978.96</v>
      </c>
      <c r="R102" s="123">
        <v>1980.67</v>
      </c>
      <c r="S102" s="123">
        <v>1987.9</v>
      </c>
      <c r="T102" s="123">
        <v>2005.32</v>
      </c>
      <c r="U102" s="347">
        <f>IF((T103=""),"",MAX(D104:T104))</f>
        <v>2164.6800000000003</v>
      </c>
      <c r="V102" s="235">
        <f>IF(T103="","",MIN(D104:T104))</f>
        <v>1978.04</v>
      </c>
      <c r="W102" s="250">
        <f>IF((T104=""),"",AVERAGE(D104:T104))</f>
        <v>2072.185882352941</v>
      </c>
      <c r="X102" s="331">
        <f>STDEV(D104:T104)</f>
        <v>47.757801857238981</v>
      </c>
      <c r="Y102" s="236">
        <f>IF((T103=""),"",((U102-V102)/(U102+V102))*100)</f>
        <v>4.5052525876718752</v>
      </c>
      <c r="Z102" s="228" t="str">
        <f>IF(T103="","",IF(Y102&lt;15,IF(W102&gt;AF102,IF(W102&lt;AG102,"Pass","Fail"),"Fail"),"Fail"))</f>
        <v>Pass</v>
      </c>
      <c r="AA102" s="339">
        <v>1335</v>
      </c>
      <c r="AB102" s="333"/>
      <c r="AD102" s="302">
        <v>1600</v>
      </c>
      <c r="AE102" s="302">
        <v>2600</v>
      </c>
      <c r="AF102" s="334">
        <v>1690</v>
      </c>
      <c r="AG102" s="334">
        <v>2125</v>
      </c>
      <c r="AH102" s="335">
        <v>15</v>
      </c>
      <c r="AI102" s="335">
        <v>15</v>
      </c>
    </row>
    <row r="103" spans="1:35">
      <c r="A103" s="123"/>
      <c r="B103" s="235"/>
      <c r="C103" s="235" t="s">
        <v>78</v>
      </c>
      <c r="D103" s="123">
        <v>1000.01</v>
      </c>
      <c r="E103" s="123">
        <v>978.56</v>
      </c>
      <c r="F103" s="123">
        <v>970.6</v>
      </c>
      <c r="G103" s="123">
        <v>962.4</v>
      </c>
      <c r="H103" s="123">
        <v>949.1</v>
      </c>
      <c r="I103" s="123">
        <v>932.53</v>
      </c>
      <c r="J103" s="123">
        <v>915.99</v>
      </c>
      <c r="K103" s="123">
        <v>902.4</v>
      </c>
      <c r="L103" s="123">
        <v>929.32</v>
      </c>
      <c r="M103" s="123">
        <v>951.9</v>
      </c>
      <c r="N103" s="123">
        <v>934.06</v>
      </c>
      <c r="O103" s="123">
        <v>937.69</v>
      </c>
      <c r="P103" s="123">
        <v>945.71</v>
      </c>
      <c r="Q103" s="123">
        <v>947.85</v>
      </c>
      <c r="R103" s="123">
        <v>942.88</v>
      </c>
      <c r="S103" s="123">
        <v>941.71</v>
      </c>
      <c r="T103" s="123">
        <v>981.23</v>
      </c>
      <c r="U103" s="336"/>
      <c r="V103" s="337"/>
      <c r="W103" s="337"/>
      <c r="X103" s="331"/>
      <c r="Y103" s="338"/>
      <c r="Z103" s="337"/>
      <c r="AA103" s="339"/>
      <c r="AB103" s="333"/>
      <c r="AC103" s="265"/>
    </row>
    <row r="104" spans="1:35" ht="32.25" thickBot="1">
      <c r="A104" s="123"/>
      <c r="B104" s="243"/>
      <c r="C104" s="243" t="s">
        <v>221</v>
      </c>
      <c r="D104" s="340">
        <f t="shared" ref="D104:T104" si="30">IF(((D102="")*AND(D103="")),"",(D102-D103)*2)</f>
        <v>1978.04</v>
      </c>
      <c r="E104" s="340">
        <f t="shared" si="30"/>
        <v>2009.52</v>
      </c>
      <c r="F104" s="340">
        <f t="shared" si="30"/>
        <v>2018.3</v>
      </c>
      <c r="G104" s="340">
        <f t="shared" si="30"/>
        <v>2029.4199999999998</v>
      </c>
      <c r="H104" s="340">
        <f t="shared" si="30"/>
        <v>2058.3000000000002</v>
      </c>
      <c r="I104" s="340">
        <f t="shared" si="30"/>
        <v>2091.88</v>
      </c>
      <c r="J104" s="340">
        <f t="shared" si="30"/>
        <v>2129.4</v>
      </c>
      <c r="K104" s="340">
        <f t="shared" si="30"/>
        <v>2164.6800000000003</v>
      </c>
      <c r="L104" s="340">
        <f t="shared" si="30"/>
        <v>2138.3999999999996</v>
      </c>
      <c r="M104" s="340">
        <f t="shared" si="30"/>
        <v>2084.6000000000004</v>
      </c>
      <c r="N104" s="340">
        <f t="shared" si="30"/>
        <v>2098.1800000000003</v>
      </c>
      <c r="O104" s="340">
        <f t="shared" si="30"/>
        <v>2085.1</v>
      </c>
      <c r="P104" s="340">
        <f t="shared" si="30"/>
        <v>2062.98</v>
      </c>
      <c r="Q104" s="340">
        <f t="shared" si="30"/>
        <v>2062.2200000000003</v>
      </c>
      <c r="R104" s="340">
        <f t="shared" si="30"/>
        <v>2075.58</v>
      </c>
      <c r="S104" s="340">
        <f t="shared" si="30"/>
        <v>2092.38</v>
      </c>
      <c r="T104" s="341">
        <f t="shared" si="30"/>
        <v>2048.1799999999998</v>
      </c>
      <c r="U104" s="342"/>
      <c r="V104" s="340"/>
      <c r="W104" s="340"/>
      <c r="X104" s="343"/>
      <c r="Y104" s="344"/>
      <c r="Z104" s="340"/>
      <c r="AA104" s="345"/>
      <c r="AB104" s="333"/>
      <c r="AC104" s="265"/>
    </row>
    <row r="105" spans="1:35">
      <c r="A105" s="348">
        <v>43262</v>
      </c>
      <c r="B105" s="249" t="s">
        <v>76</v>
      </c>
      <c r="C105" s="235" t="s">
        <v>77</v>
      </c>
      <c r="D105" s="123">
        <v>1993.82</v>
      </c>
      <c r="E105" s="123">
        <v>1990.88</v>
      </c>
      <c r="F105" s="123">
        <v>1986.95</v>
      </c>
      <c r="G105" s="123">
        <v>1986.4</v>
      </c>
      <c r="H105" s="123">
        <v>1986.02</v>
      </c>
      <c r="I105" s="123">
        <v>1984.42</v>
      </c>
      <c r="J105" s="123">
        <v>1990.71</v>
      </c>
      <c r="K105" s="123">
        <v>1994.33</v>
      </c>
      <c r="L105" s="123">
        <v>2001.31</v>
      </c>
      <c r="M105" s="123">
        <v>1998.32</v>
      </c>
      <c r="N105" s="123">
        <v>1991.56</v>
      </c>
      <c r="O105" s="123">
        <v>1987</v>
      </c>
      <c r="P105" s="123">
        <v>1985.36</v>
      </c>
      <c r="Q105" s="123">
        <v>1987.34</v>
      </c>
      <c r="R105" s="123">
        <v>1991.4</v>
      </c>
      <c r="S105" s="123">
        <v>1996.74</v>
      </c>
      <c r="T105" s="123">
        <v>2011.41</v>
      </c>
      <c r="U105" s="347">
        <f>IF((T106=""),"",MAX(D107:T107))</f>
        <v>2117.8199999999997</v>
      </c>
      <c r="V105" s="235">
        <f>IF(T106="","",MIN(D107:T107))</f>
        <v>1964.12</v>
      </c>
      <c r="W105" s="250">
        <f>IF((T107=""),"",AVERAGE(D107:T107))</f>
        <v>2046.1976470588236</v>
      </c>
      <c r="X105" s="331">
        <f>STDEV(D107:T107)</f>
        <v>40.50568841678465</v>
      </c>
      <c r="Y105" s="236">
        <f>IF((T106=""),"",((U105-V105)/(U105+V105))*100)</f>
        <v>3.7653664679049625</v>
      </c>
      <c r="Z105" s="228" t="str">
        <f>IF(T106="","",IF(Y105&lt;15,IF(W105&gt;AF105,IF(W105&lt;AG105,"Pass","Fail"),"Fail"),"Fail"))</f>
        <v>Pass</v>
      </c>
      <c r="AA105" s="339">
        <v>1159</v>
      </c>
      <c r="AB105" s="265" t="s">
        <v>87</v>
      </c>
      <c r="AD105" s="302">
        <v>1600</v>
      </c>
      <c r="AE105" s="302">
        <v>2600</v>
      </c>
      <c r="AF105" s="334">
        <v>1690</v>
      </c>
      <c r="AG105" s="334">
        <v>2125</v>
      </c>
      <c r="AH105" s="335">
        <v>15</v>
      </c>
      <c r="AI105" s="335">
        <v>15</v>
      </c>
    </row>
    <row r="106" spans="1:35">
      <c r="A106" s="123"/>
      <c r="B106" s="235"/>
      <c r="C106" s="235" t="s">
        <v>78</v>
      </c>
      <c r="D106" s="123">
        <v>1011.76</v>
      </c>
      <c r="E106" s="123">
        <v>995.4</v>
      </c>
      <c r="F106" s="123">
        <v>989.79</v>
      </c>
      <c r="G106" s="123">
        <v>982.89</v>
      </c>
      <c r="H106" s="123">
        <v>970.85</v>
      </c>
      <c r="I106" s="123">
        <v>958</v>
      </c>
      <c r="J106" s="123">
        <v>944.02</v>
      </c>
      <c r="K106" s="123">
        <v>935.42</v>
      </c>
      <c r="L106" s="123">
        <v>959.28</v>
      </c>
      <c r="M106" s="123">
        <v>966.98</v>
      </c>
      <c r="N106" s="123">
        <v>954.24</v>
      </c>
      <c r="O106" s="123">
        <v>959.33</v>
      </c>
      <c r="P106" s="123">
        <v>966.32</v>
      </c>
      <c r="Q106" s="123">
        <v>971.15</v>
      </c>
      <c r="R106" s="123">
        <v>968.7</v>
      </c>
      <c r="S106" s="123">
        <v>969.16</v>
      </c>
      <c r="T106" s="123">
        <v>968</v>
      </c>
      <c r="U106" s="336"/>
      <c r="V106" s="337"/>
      <c r="W106" s="337"/>
      <c r="X106" s="331"/>
      <c r="Y106" s="338"/>
      <c r="Z106" s="337"/>
      <c r="AA106" s="339"/>
      <c r="AB106" s="333"/>
      <c r="AC106" s="265"/>
      <c r="AF106" s="334"/>
      <c r="AG106" s="334"/>
      <c r="AH106" s="335"/>
      <c r="AI106" s="335"/>
    </row>
    <row r="107" spans="1:35" ht="32.25" thickBot="1">
      <c r="A107" s="123"/>
      <c r="B107" s="243"/>
      <c r="C107" s="243" t="s">
        <v>221</v>
      </c>
      <c r="D107" s="340">
        <f t="shared" ref="D107:T107" si="31">IF(((D105="")*AND(D106="")),"",(D105-D106)*2)</f>
        <v>1964.12</v>
      </c>
      <c r="E107" s="340">
        <f t="shared" si="31"/>
        <v>1990.9600000000003</v>
      </c>
      <c r="F107" s="340">
        <f t="shared" si="31"/>
        <v>1994.3200000000002</v>
      </c>
      <c r="G107" s="340">
        <f t="shared" si="31"/>
        <v>2007.0200000000002</v>
      </c>
      <c r="H107" s="340">
        <f t="shared" si="31"/>
        <v>2030.34</v>
      </c>
      <c r="I107" s="340">
        <f t="shared" si="31"/>
        <v>2052.84</v>
      </c>
      <c r="J107" s="340">
        <f t="shared" si="31"/>
        <v>2093.38</v>
      </c>
      <c r="K107" s="340">
        <f t="shared" si="31"/>
        <v>2117.8199999999997</v>
      </c>
      <c r="L107" s="340">
        <f t="shared" si="31"/>
        <v>2084.06</v>
      </c>
      <c r="M107" s="340">
        <f t="shared" si="31"/>
        <v>2062.6799999999998</v>
      </c>
      <c r="N107" s="340">
        <f t="shared" si="31"/>
        <v>2074.64</v>
      </c>
      <c r="O107" s="340">
        <f t="shared" si="31"/>
        <v>2055.34</v>
      </c>
      <c r="P107" s="340">
        <f t="shared" si="31"/>
        <v>2038.0799999999997</v>
      </c>
      <c r="Q107" s="340">
        <f t="shared" si="31"/>
        <v>2032.3799999999999</v>
      </c>
      <c r="R107" s="340">
        <f t="shared" si="31"/>
        <v>2045.4</v>
      </c>
      <c r="S107" s="340">
        <f t="shared" si="31"/>
        <v>2055.16</v>
      </c>
      <c r="T107" s="341">
        <f t="shared" si="31"/>
        <v>2086.8200000000002</v>
      </c>
      <c r="U107" s="342"/>
      <c r="V107" s="340"/>
      <c r="W107" s="340"/>
      <c r="X107" s="343"/>
      <c r="Y107" s="344"/>
      <c r="Z107" s="340"/>
      <c r="AA107" s="345"/>
      <c r="AB107" s="333"/>
      <c r="AC107" s="265"/>
      <c r="AF107" s="334"/>
      <c r="AG107" s="334"/>
      <c r="AH107" s="335"/>
      <c r="AI107" s="335"/>
    </row>
    <row r="108" spans="1:35">
      <c r="A108" s="348">
        <v>43272</v>
      </c>
      <c r="B108" s="249" t="s">
        <v>76</v>
      </c>
      <c r="C108" s="235" t="s">
        <v>77</v>
      </c>
      <c r="D108" s="123">
        <v>2044.23</v>
      </c>
      <c r="E108" s="123">
        <v>2009.69</v>
      </c>
      <c r="F108" s="123">
        <v>1986.86</v>
      </c>
      <c r="G108" s="123">
        <v>1971.06</v>
      </c>
      <c r="H108" s="123">
        <v>1964.13</v>
      </c>
      <c r="I108" s="123">
        <v>1967.84</v>
      </c>
      <c r="J108" s="123">
        <v>1978.73</v>
      </c>
      <c r="K108" s="123">
        <v>1995.12</v>
      </c>
      <c r="L108" s="123">
        <v>2007.96</v>
      </c>
      <c r="M108" s="123">
        <v>2042.14</v>
      </c>
      <c r="N108" s="123">
        <v>2008.47</v>
      </c>
      <c r="O108" s="123">
        <v>1987.22</v>
      </c>
      <c r="P108" s="123">
        <v>1971.64</v>
      </c>
      <c r="Q108" s="123">
        <v>1968.38</v>
      </c>
      <c r="R108" s="123">
        <v>1980.22</v>
      </c>
      <c r="S108" s="123">
        <v>1994.97</v>
      </c>
      <c r="T108" s="123">
        <v>2008.06</v>
      </c>
      <c r="U108" s="347">
        <f>IF((T109=""),"",MAX(D110:T110))</f>
        <v>2112.2399999999998</v>
      </c>
      <c r="V108" s="235">
        <f>IF(T109="","",MIN(D110:T110))</f>
        <v>1958.46</v>
      </c>
      <c r="W108" s="250">
        <f>IF((T110=""),"",AVERAGE(D110:T110))</f>
        <v>2040.7905882352939</v>
      </c>
      <c r="X108" s="331">
        <f>STDEV(D110:T110)</f>
        <v>36.530545518543128</v>
      </c>
      <c r="Y108" s="236">
        <f>IF((T109=""),"",((U108-V108)/(U108+V108))*100)</f>
        <v>3.7777286461787836</v>
      </c>
      <c r="Z108" s="228" t="str">
        <f>IF(T109="","",IF(Y108&lt;15,IF(W108&gt;AF108,IF(W108&lt;AG108,"Pass","Fail"),"Fail"),"Fail"))</f>
        <v>Pass</v>
      </c>
      <c r="AA108" s="339">
        <v>1159</v>
      </c>
      <c r="AB108" s="265" t="s">
        <v>88</v>
      </c>
      <c r="AD108" s="302">
        <v>1600</v>
      </c>
      <c r="AE108" s="302">
        <v>2600</v>
      </c>
      <c r="AF108" s="334">
        <v>1690</v>
      </c>
      <c r="AG108" s="334">
        <v>2125</v>
      </c>
      <c r="AH108" s="335">
        <v>15</v>
      </c>
      <c r="AI108" s="335">
        <v>15</v>
      </c>
    </row>
    <row r="109" spans="1:35">
      <c r="A109" s="123"/>
      <c r="B109" s="235"/>
      <c r="C109" s="235" t="s">
        <v>78</v>
      </c>
      <c r="D109" s="123">
        <v>1065</v>
      </c>
      <c r="E109" s="123">
        <v>1012</v>
      </c>
      <c r="F109" s="123">
        <v>984</v>
      </c>
      <c r="G109" s="123">
        <v>966</v>
      </c>
      <c r="H109" s="123">
        <v>951</v>
      </c>
      <c r="I109" s="123">
        <v>938</v>
      </c>
      <c r="J109" s="123">
        <v>933</v>
      </c>
      <c r="K109" s="123">
        <v>939</v>
      </c>
      <c r="L109" s="123">
        <v>984</v>
      </c>
      <c r="M109" s="123">
        <v>1026</v>
      </c>
      <c r="N109" s="123">
        <v>974</v>
      </c>
      <c r="O109" s="123">
        <v>957</v>
      </c>
      <c r="P109" s="123">
        <v>951</v>
      </c>
      <c r="Q109" s="123">
        <v>949</v>
      </c>
      <c r="R109" s="123">
        <v>953</v>
      </c>
      <c r="S109" s="123">
        <v>964</v>
      </c>
      <c r="T109" s="123">
        <v>994</v>
      </c>
      <c r="U109" s="336"/>
      <c r="V109" s="337"/>
      <c r="W109" s="337"/>
      <c r="X109" s="331"/>
      <c r="Y109" s="338"/>
      <c r="Z109" s="337"/>
      <c r="AA109" s="339"/>
      <c r="AB109" s="333"/>
      <c r="AC109" s="265"/>
    </row>
    <row r="110" spans="1:35" ht="32.25" thickBot="1">
      <c r="A110" s="123"/>
      <c r="B110" s="243"/>
      <c r="C110" s="243" t="s">
        <v>221</v>
      </c>
      <c r="D110" s="340">
        <f t="shared" ref="D110:T110" si="32">IF(((D108="")*AND(D109="")),"",(D108-D109)*2)</f>
        <v>1958.46</v>
      </c>
      <c r="E110" s="340">
        <f t="shared" si="32"/>
        <v>1995.38</v>
      </c>
      <c r="F110" s="340">
        <f t="shared" si="32"/>
        <v>2005.7199999999998</v>
      </c>
      <c r="G110" s="340">
        <f t="shared" si="32"/>
        <v>2010.12</v>
      </c>
      <c r="H110" s="340">
        <f t="shared" si="32"/>
        <v>2026.2600000000002</v>
      </c>
      <c r="I110" s="340">
        <f t="shared" si="32"/>
        <v>2059.6799999999998</v>
      </c>
      <c r="J110" s="340">
        <f t="shared" si="32"/>
        <v>2091.46</v>
      </c>
      <c r="K110" s="340">
        <f t="shared" si="32"/>
        <v>2112.2399999999998</v>
      </c>
      <c r="L110" s="340">
        <f t="shared" si="32"/>
        <v>2047.92</v>
      </c>
      <c r="M110" s="340">
        <f t="shared" si="32"/>
        <v>2032.2800000000002</v>
      </c>
      <c r="N110" s="340">
        <f t="shared" si="32"/>
        <v>2068.94</v>
      </c>
      <c r="O110" s="340">
        <f t="shared" si="32"/>
        <v>2060.44</v>
      </c>
      <c r="P110" s="340">
        <f t="shared" si="32"/>
        <v>2041.2800000000002</v>
      </c>
      <c r="Q110" s="340">
        <f t="shared" si="32"/>
        <v>2038.7600000000002</v>
      </c>
      <c r="R110" s="340">
        <f t="shared" si="32"/>
        <v>2054.44</v>
      </c>
      <c r="S110" s="340">
        <f t="shared" si="32"/>
        <v>2061.94</v>
      </c>
      <c r="T110" s="341">
        <f t="shared" si="32"/>
        <v>2028.12</v>
      </c>
      <c r="U110" s="342"/>
      <c r="V110" s="340"/>
      <c r="W110" s="340"/>
      <c r="X110" s="343"/>
      <c r="Y110" s="344"/>
      <c r="Z110" s="340"/>
      <c r="AA110" s="345"/>
      <c r="AB110" s="333"/>
      <c r="AC110" s="265"/>
    </row>
    <row r="111" spans="1:35">
      <c r="A111" s="346">
        <v>43283</v>
      </c>
      <c r="B111" s="249" t="s">
        <v>76</v>
      </c>
      <c r="C111" s="235" t="s">
        <v>77</v>
      </c>
      <c r="D111" s="123">
        <v>2049.15</v>
      </c>
      <c r="E111" s="123">
        <v>2038.12</v>
      </c>
      <c r="F111" s="123">
        <v>2026.24</v>
      </c>
      <c r="G111" s="123">
        <v>2018.69</v>
      </c>
      <c r="H111" s="123">
        <v>2015.15</v>
      </c>
      <c r="I111" s="123">
        <v>2020.8</v>
      </c>
      <c r="J111" s="123">
        <v>2028.76</v>
      </c>
      <c r="K111" s="123">
        <v>2040.34</v>
      </c>
      <c r="L111" s="123">
        <v>2058.04</v>
      </c>
      <c r="M111" s="123">
        <v>2058.3200000000002</v>
      </c>
      <c r="N111" s="123">
        <v>2040.69</v>
      </c>
      <c r="O111" s="123">
        <v>2029.26</v>
      </c>
      <c r="P111" s="123">
        <v>2018.44</v>
      </c>
      <c r="Q111" s="123">
        <v>2021.1</v>
      </c>
      <c r="R111" s="123">
        <v>2028.49</v>
      </c>
      <c r="S111" s="123">
        <v>2040.51</v>
      </c>
      <c r="T111" s="123">
        <v>2064.66</v>
      </c>
      <c r="U111" s="347">
        <f>IF((T112=""),"",MAX(D113:T113))</f>
        <v>2116.6799999999998</v>
      </c>
      <c r="V111" s="235">
        <f>IF(T112="","",MIN(D113:T113))</f>
        <v>1944.3000000000002</v>
      </c>
      <c r="W111" s="250">
        <f>IF((T113=""),"",AVERAGE(D113:T113))</f>
        <v>2031.0305882352943</v>
      </c>
      <c r="X111" s="331">
        <f>STDEV(D113:T113)</f>
        <v>42.239434843311393</v>
      </c>
      <c r="Y111" s="236">
        <f>IF((T112=""),"",((U111-V111)/(U111+V111))*100)</f>
        <v>4.2447882038325639</v>
      </c>
      <c r="Z111" s="228" t="str">
        <f>IF(T112="","",IF(Y111&lt;15,IF(W111&gt;AF111,IF(W111&lt;AG111,"Pass","Fail"),"Fail"),"Fail"))</f>
        <v>Pass</v>
      </c>
      <c r="AA111" s="339">
        <v>1340</v>
      </c>
      <c r="AB111" s="333"/>
      <c r="AD111" s="302">
        <v>1600</v>
      </c>
      <c r="AE111" s="302">
        <v>2600</v>
      </c>
      <c r="AF111" s="334">
        <v>1690</v>
      </c>
      <c r="AG111" s="334">
        <v>2125</v>
      </c>
      <c r="AH111" s="335">
        <v>15</v>
      </c>
      <c r="AI111" s="335">
        <v>15</v>
      </c>
    </row>
    <row r="112" spans="1:35">
      <c r="A112" s="123"/>
      <c r="B112" s="235"/>
      <c r="C112" s="235" t="s">
        <v>78</v>
      </c>
      <c r="D112" s="123">
        <v>1077</v>
      </c>
      <c r="E112" s="123">
        <v>1047</v>
      </c>
      <c r="F112" s="123">
        <v>1031</v>
      </c>
      <c r="G112" s="123">
        <v>1019</v>
      </c>
      <c r="H112" s="123">
        <v>1007</v>
      </c>
      <c r="I112" s="123">
        <v>992</v>
      </c>
      <c r="J112" s="123">
        <v>983</v>
      </c>
      <c r="K112" s="123">
        <v>982</v>
      </c>
      <c r="L112" s="123">
        <v>1032</v>
      </c>
      <c r="M112" s="123">
        <v>1060</v>
      </c>
      <c r="N112" s="123">
        <v>1010</v>
      </c>
      <c r="O112" s="123">
        <v>1003</v>
      </c>
      <c r="P112" s="123">
        <v>1004</v>
      </c>
      <c r="Q112" s="123">
        <v>1005</v>
      </c>
      <c r="R112" s="123">
        <v>1006</v>
      </c>
      <c r="S112" s="123">
        <v>1015</v>
      </c>
      <c r="T112" s="123">
        <v>1060</v>
      </c>
      <c r="U112" s="336"/>
      <c r="V112" s="337"/>
      <c r="W112" s="337"/>
      <c r="X112" s="331"/>
      <c r="Y112" s="338"/>
      <c r="Z112" s="337"/>
      <c r="AA112" s="339"/>
      <c r="AB112" s="333"/>
      <c r="AC112" s="265"/>
    </row>
    <row r="113" spans="1:35" ht="32.25" thickBot="1">
      <c r="A113" s="123"/>
      <c r="B113" s="243"/>
      <c r="C113" s="243" t="s">
        <v>221</v>
      </c>
      <c r="D113" s="340">
        <f t="shared" ref="D113:T113" si="33">IF(((D111="")*AND(D112="")),"",(D111-D112)*2)</f>
        <v>1944.3000000000002</v>
      </c>
      <c r="E113" s="340">
        <f t="shared" si="33"/>
        <v>1982.2399999999998</v>
      </c>
      <c r="F113" s="340">
        <f t="shared" si="33"/>
        <v>1990.48</v>
      </c>
      <c r="G113" s="340">
        <f t="shared" si="33"/>
        <v>1999.38</v>
      </c>
      <c r="H113" s="340">
        <f t="shared" si="33"/>
        <v>2016.3000000000002</v>
      </c>
      <c r="I113" s="340">
        <f t="shared" si="33"/>
        <v>2057.6</v>
      </c>
      <c r="J113" s="340">
        <f t="shared" si="33"/>
        <v>2091.52</v>
      </c>
      <c r="K113" s="340">
        <f t="shared" si="33"/>
        <v>2116.6799999999998</v>
      </c>
      <c r="L113" s="340">
        <f t="shared" si="33"/>
        <v>2052.08</v>
      </c>
      <c r="M113" s="340">
        <f t="shared" si="33"/>
        <v>1996.6400000000003</v>
      </c>
      <c r="N113" s="340">
        <f t="shared" si="33"/>
        <v>2061.38</v>
      </c>
      <c r="O113" s="340">
        <f t="shared" si="33"/>
        <v>2052.52</v>
      </c>
      <c r="P113" s="340">
        <f t="shared" si="33"/>
        <v>2028.88</v>
      </c>
      <c r="Q113" s="340">
        <f t="shared" si="33"/>
        <v>2032.1999999999998</v>
      </c>
      <c r="R113" s="340">
        <f t="shared" si="33"/>
        <v>2044.98</v>
      </c>
      <c r="S113" s="340">
        <f t="shared" si="33"/>
        <v>2051.02</v>
      </c>
      <c r="T113" s="341">
        <f t="shared" si="33"/>
        <v>2009.3199999999997</v>
      </c>
      <c r="U113" s="342"/>
      <c r="V113" s="340"/>
      <c r="W113" s="340"/>
      <c r="X113" s="343"/>
      <c r="Y113" s="344"/>
      <c r="Z113" s="340"/>
      <c r="AA113" s="345"/>
      <c r="AB113" s="333"/>
      <c r="AC113" s="265"/>
    </row>
    <row r="114" spans="1:35">
      <c r="A114" s="346">
        <v>43283</v>
      </c>
      <c r="B114" s="249" t="s">
        <v>76</v>
      </c>
      <c r="C114" s="235" t="s">
        <v>77</v>
      </c>
      <c r="D114" s="123">
        <v>1996.82</v>
      </c>
      <c r="E114" s="123">
        <v>1986.01</v>
      </c>
      <c r="F114" s="123">
        <v>1981.13</v>
      </c>
      <c r="G114" s="123">
        <v>1979.17</v>
      </c>
      <c r="H114" s="123">
        <v>1975.86</v>
      </c>
      <c r="I114" s="123">
        <v>1978.19</v>
      </c>
      <c r="J114" s="123">
        <v>1979.13</v>
      </c>
      <c r="K114" s="123">
        <v>1983.67</v>
      </c>
      <c r="L114" s="123">
        <v>2004.11</v>
      </c>
      <c r="M114" s="123">
        <v>1993.8</v>
      </c>
      <c r="N114" s="123">
        <v>1985.39</v>
      </c>
      <c r="O114" s="123">
        <v>1980.49</v>
      </c>
      <c r="P114" s="123">
        <v>1979</v>
      </c>
      <c r="Q114" s="123">
        <v>1977.7</v>
      </c>
      <c r="R114" s="123">
        <v>1978.16</v>
      </c>
      <c r="S114" s="123">
        <v>1984.9</v>
      </c>
      <c r="T114" s="123">
        <v>2004.11</v>
      </c>
      <c r="U114" s="347">
        <f>IF((T115=""),"",MAX(D116:T116))</f>
        <v>2203.2199999999998</v>
      </c>
      <c r="V114" s="235">
        <f>IF(T115="","",MIN(D116:T116))</f>
        <v>1957.6</v>
      </c>
      <c r="W114" s="250">
        <f>IF((T116=""),"",AVERAGE(D116:T116))</f>
        <v>2037.1647058823528</v>
      </c>
      <c r="X114" s="331">
        <f>STDEV(D116:T116)</f>
        <v>68.231932601023303</v>
      </c>
      <c r="Y114" s="236">
        <f>IF((T115=""),"",((U114-V114)/(U114+V114))*100)</f>
        <v>5.9031633187688941</v>
      </c>
      <c r="Z114" s="228" t="str">
        <f>IF(T115="","",IF(Y114&lt;15,IF(W114&gt;AF114,IF(W114&lt;AG114,"Pass","Fail"),"Fail"),"Fail"))</f>
        <v>Pass</v>
      </c>
      <c r="AA114" s="339">
        <v>1428</v>
      </c>
      <c r="AB114" s="333"/>
      <c r="AD114" s="302">
        <v>1600</v>
      </c>
      <c r="AE114" s="302">
        <v>2600</v>
      </c>
      <c r="AF114" s="334">
        <v>1690</v>
      </c>
      <c r="AG114" s="334">
        <v>2125</v>
      </c>
      <c r="AH114" s="335">
        <v>15</v>
      </c>
      <c r="AI114" s="335">
        <v>15</v>
      </c>
    </row>
    <row r="115" spans="1:35">
      <c r="A115" s="123"/>
      <c r="B115" s="235"/>
      <c r="C115" s="235" t="s">
        <v>78</v>
      </c>
      <c r="D115" s="123">
        <v>1007.64</v>
      </c>
      <c r="E115" s="123">
        <v>987.5</v>
      </c>
      <c r="F115" s="123">
        <v>979.5</v>
      </c>
      <c r="G115" s="123">
        <v>969.8</v>
      </c>
      <c r="H115" s="123">
        <v>960.8</v>
      </c>
      <c r="I115" s="123">
        <v>946.7</v>
      </c>
      <c r="J115" s="123">
        <v>929.8</v>
      </c>
      <c r="K115" s="123">
        <v>913.1</v>
      </c>
      <c r="L115" s="123">
        <v>902.5</v>
      </c>
      <c r="M115" s="123">
        <v>947.2</v>
      </c>
      <c r="N115" s="123">
        <v>998.4</v>
      </c>
      <c r="O115" s="123">
        <v>989.6</v>
      </c>
      <c r="P115" s="123">
        <v>1000.2</v>
      </c>
      <c r="Q115" s="123">
        <v>978.4</v>
      </c>
      <c r="R115" s="123">
        <v>996.3</v>
      </c>
      <c r="S115" s="123">
        <v>956.4</v>
      </c>
      <c r="T115" s="123">
        <v>967.9</v>
      </c>
      <c r="U115" s="336"/>
      <c r="V115" s="337"/>
      <c r="W115" s="337"/>
      <c r="X115" s="331"/>
      <c r="Y115" s="338"/>
      <c r="Z115" s="337"/>
      <c r="AA115" s="339"/>
      <c r="AB115" s="333"/>
      <c r="AC115" s="265"/>
    </row>
    <row r="116" spans="1:35" ht="32.25" thickBot="1">
      <c r="A116" s="123"/>
      <c r="B116" s="243"/>
      <c r="C116" s="243" t="s">
        <v>221</v>
      </c>
      <c r="D116" s="340">
        <f t="shared" ref="D116:T116" si="34">IF(((D114="")*AND(D115="")),"",(D114-D115)*2)</f>
        <v>1978.36</v>
      </c>
      <c r="E116" s="340">
        <f t="shared" si="34"/>
        <v>1997.02</v>
      </c>
      <c r="F116" s="340">
        <f t="shared" si="34"/>
        <v>2003.2600000000002</v>
      </c>
      <c r="G116" s="340">
        <f t="shared" si="34"/>
        <v>2018.7400000000002</v>
      </c>
      <c r="H116" s="340">
        <f t="shared" si="34"/>
        <v>2030.12</v>
      </c>
      <c r="I116" s="340">
        <f t="shared" si="34"/>
        <v>2062.98</v>
      </c>
      <c r="J116" s="340">
        <f t="shared" si="34"/>
        <v>2098.6600000000003</v>
      </c>
      <c r="K116" s="340">
        <f t="shared" si="34"/>
        <v>2141.1400000000003</v>
      </c>
      <c r="L116" s="340">
        <f t="shared" si="34"/>
        <v>2203.2199999999998</v>
      </c>
      <c r="M116" s="340">
        <f t="shared" si="34"/>
        <v>2093.1999999999998</v>
      </c>
      <c r="N116" s="340">
        <f t="shared" si="34"/>
        <v>1973.9800000000002</v>
      </c>
      <c r="O116" s="340">
        <f t="shared" si="34"/>
        <v>1981.78</v>
      </c>
      <c r="P116" s="340">
        <f t="shared" si="34"/>
        <v>1957.6</v>
      </c>
      <c r="Q116" s="340">
        <f t="shared" si="34"/>
        <v>1998.6000000000001</v>
      </c>
      <c r="R116" s="340">
        <f t="shared" si="34"/>
        <v>1963.7200000000003</v>
      </c>
      <c r="S116" s="340">
        <f t="shared" si="34"/>
        <v>2057</v>
      </c>
      <c r="T116" s="341">
        <f t="shared" si="34"/>
        <v>2072.42</v>
      </c>
      <c r="U116" s="342"/>
      <c r="V116" s="340"/>
      <c r="W116" s="340"/>
      <c r="X116" s="343"/>
      <c r="Y116" s="344"/>
      <c r="Z116" s="340"/>
      <c r="AA116" s="345"/>
      <c r="AB116" s="333"/>
      <c r="AC116" s="265"/>
    </row>
    <row r="117" spans="1:35">
      <c r="A117" s="346">
        <v>43294</v>
      </c>
      <c r="B117" s="249" t="s">
        <v>76</v>
      </c>
      <c r="C117" s="235" t="s">
        <v>77</v>
      </c>
      <c r="D117" s="123">
        <v>3067</v>
      </c>
      <c r="E117" s="123">
        <v>3055</v>
      </c>
      <c r="F117" s="123">
        <v>3050</v>
      </c>
      <c r="G117" s="123">
        <v>3046</v>
      </c>
      <c r="H117" s="123">
        <v>3045</v>
      </c>
      <c r="I117" s="123">
        <v>3045</v>
      </c>
      <c r="J117" s="123">
        <v>3050</v>
      </c>
      <c r="K117" s="123">
        <v>3057</v>
      </c>
      <c r="L117" s="123">
        <v>3074</v>
      </c>
      <c r="M117" s="123">
        <v>3077</v>
      </c>
      <c r="N117" s="123">
        <v>3057</v>
      </c>
      <c r="O117" s="123">
        <v>3049</v>
      </c>
      <c r="P117" s="123">
        <v>3054</v>
      </c>
      <c r="Q117" s="123">
        <v>3047</v>
      </c>
      <c r="R117" s="123">
        <v>3053</v>
      </c>
      <c r="S117" s="123">
        <v>3063</v>
      </c>
      <c r="T117" s="123">
        <v>3063</v>
      </c>
      <c r="U117" s="347">
        <f>IF((T118=""),"",MAX(D119:T119))</f>
        <v>2176</v>
      </c>
      <c r="V117" s="235">
        <f>IF(T118="","",MIN(D119:T119))</f>
        <v>2008</v>
      </c>
      <c r="W117" s="250">
        <f>IF((T119=""),"",AVERAGE(D119:T119))</f>
        <v>2093.8823529411766</v>
      </c>
      <c r="X117" s="331">
        <f>STDEV(D119:T119)</f>
        <v>42.263876941398152</v>
      </c>
      <c r="Y117" s="236">
        <f>IF((T118=""),"",((U117-V117)/(U117+V117))*100)</f>
        <v>4.0152963671128106</v>
      </c>
      <c r="Z117" s="228" t="str">
        <f>IF(T118="","",IF(Y117&lt;15,IF(W117&gt;AF117,IF(W117&lt;AG117,"Pass","Fail"),"Fail"),"Fail"))</f>
        <v>Pass</v>
      </c>
      <c r="AA117" s="339">
        <v>1335</v>
      </c>
      <c r="AB117" s="333"/>
      <c r="AD117" s="302">
        <v>1600</v>
      </c>
      <c r="AE117" s="302">
        <v>2600</v>
      </c>
      <c r="AF117" s="334">
        <v>1690</v>
      </c>
      <c r="AG117" s="334">
        <v>2125</v>
      </c>
      <c r="AH117" s="335">
        <v>15</v>
      </c>
      <c r="AI117" s="335">
        <v>15</v>
      </c>
    </row>
    <row r="118" spans="1:35">
      <c r="A118" s="123"/>
      <c r="B118" s="235"/>
      <c r="C118" s="235" t="s">
        <v>78</v>
      </c>
      <c r="D118" s="123">
        <v>2063</v>
      </c>
      <c r="E118" s="123">
        <v>2039</v>
      </c>
      <c r="F118" s="123">
        <v>2028</v>
      </c>
      <c r="G118" s="123">
        <v>2020</v>
      </c>
      <c r="H118" s="123">
        <v>2008</v>
      </c>
      <c r="I118" s="123">
        <v>1990</v>
      </c>
      <c r="J118" s="123">
        <v>1975</v>
      </c>
      <c r="K118" s="123">
        <v>1969</v>
      </c>
      <c r="L118" s="123">
        <v>2014</v>
      </c>
      <c r="M118" s="123">
        <v>2029</v>
      </c>
      <c r="N118" s="123">
        <v>1996</v>
      </c>
      <c r="O118" s="123">
        <v>2002</v>
      </c>
      <c r="P118" s="123">
        <v>2005</v>
      </c>
      <c r="Q118" s="123">
        <v>2002</v>
      </c>
      <c r="R118" s="123">
        <v>2005</v>
      </c>
      <c r="S118" s="123">
        <v>2004</v>
      </c>
      <c r="T118" s="123">
        <v>2005</v>
      </c>
      <c r="U118" s="336"/>
      <c r="V118" s="337"/>
      <c r="W118" s="337"/>
      <c r="X118" s="331"/>
      <c r="Y118" s="338"/>
      <c r="Z118" s="337"/>
      <c r="AA118" s="339"/>
      <c r="AB118" s="333"/>
      <c r="AC118" s="265"/>
    </row>
    <row r="119" spans="1:35" ht="32.25" thickBot="1">
      <c r="A119" s="123"/>
      <c r="B119" s="243"/>
      <c r="C119" s="243" t="s">
        <v>221</v>
      </c>
      <c r="D119" s="340">
        <f t="shared" ref="D119:T119" si="35">IF(((D117="")*AND(D118="")),"",(D117-D118)*2)</f>
        <v>2008</v>
      </c>
      <c r="E119" s="340">
        <f t="shared" si="35"/>
        <v>2032</v>
      </c>
      <c r="F119" s="340">
        <f t="shared" si="35"/>
        <v>2044</v>
      </c>
      <c r="G119" s="340">
        <f t="shared" si="35"/>
        <v>2052</v>
      </c>
      <c r="H119" s="340">
        <f t="shared" si="35"/>
        <v>2074</v>
      </c>
      <c r="I119" s="340">
        <f t="shared" si="35"/>
        <v>2110</v>
      </c>
      <c r="J119" s="340">
        <f t="shared" si="35"/>
        <v>2150</v>
      </c>
      <c r="K119" s="340">
        <f t="shared" si="35"/>
        <v>2176</v>
      </c>
      <c r="L119" s="340">
        <f t="shared" si="35"/>
        <v>2120</v>
      </c>
      <c r="M119" s="340">
        <f t="shared" si="35"/>
        <v>2096</v>
      </c>
      <c r="N119" s="340">
        <f t="shared" si="35"/>
        <v>2122</v>
      </c>
      <c r="O119" s="340">
        <f t="shared" si="35"/>
        <v>2094</v>
      </c>
      <c r="P119" s="340">
        <f t="shared" si="35"/>
        <v>2098</v>
      </c>
      <c r="Q119" s="340">
        <f t="shared" si="35"/>
        <v>2090</v>
      </c>
      <c r="R119" s="340">
        <f t="shared" si="35"/>
        <v>2096</v>
      </c>
      <c r="S119" s="340">
        <f t="shared" si="35"/>
        <v>2118</v>
      </c>
      <c r="T119" s="341">
        <f t="shared" si="35"/>
        <v>2116</v>
      </c>
      <c r="U119" s="342"/>
      <c r="V119" s="340"/>
      <c r="W119" s="340"/>
      <c r="X119" s="343"/>
      <c r="Y119" s="344"/>
      <c r="Z119" s="340"/>
      <c r="AA119" s="345"/>
      <c r="AB119" s="333"/>
      <c r="AC119" s="265"/>
    </row>
    <row r="120" spans="1:35">
      <c r="A120" s="346">
        <v>43300</v>
      </c>
      <c r="B120" s="249" t="s">
        <v>76</v>
      </c>
      <c r="C120" s="235" t="s">
        <v>77</v>
      </c>
      <c r="D120" s="123">
        <v>2002</v>
      </c>
      <c r="E120" s="123">
        <v>1984</v>
      </c>
      <c r="F120" s="123">
        <v>1979</v>
      </c>
      <c r="G120" s="123">
        <v>1976</v>
      </c>
      <c r="H120" s="123">
        <v>1975</v>
      </c>
      <c r="I120" s="123">
        <v>1974</v>
      </c>
      <c r="J120" s="123">
        <v>1975</v>
      </c>
      <c r="K120" s="123">
        <v>1979</v>
      </c>
      <c r="L120" s="123">
        <v>1993</v>
      </c>
      <c r="M120" s="123">
        <v>1987</v>
      </c>
      <c r="N120" s="123">
        <v>1978</v>
      </c>
      <c r="O120" s="123">
        <v>1976</v>
      </c>
      <c r="P120" s="123">
        <v>1975</v>
      </c>
      <c r="Q120" s="123">
        <v>1975</v>
      </c>
      <c r="R120" s="123">
        <v>1977</v>
      </c>
      <c r="S120" s="123">
        <v>1980</v>
      </c>
      <c r="T120" s="123">
        <v>1996</v>
      </c>
      <c r="U120" s="347">
        <f>IF((T121=""),"",MAX(D122:T122))</f>
        <v>2106</v>
      </c>
      <c r="V120" s="235">
        <f>IF(T121="","",MIN(D122:T122))</f>
        <v>1962</v>
      </c>
      <c r="W120" s="250">
        <f>IF((T122=""),"",AVERAGE(D122:T122))</f>
        <v>2038.2352941176471</v>
      </c>
      <c r="X120" s="331">
        <f>STDEV(D122:T122)</f>
        <v>40.142759950837814</v>
      </c>
      <c r="Y120" s="236">
        <f>IF((T121=""),"",((U120-V120)/(U120+V120))*100)</f>
        <v>3.5398230088495577</v>
      </c>
      <c r="Z120" s="228" t="str">
        <f>IF(T121="","",IF(Y120&lt;15,IF(W120&gt;AF120,IF(W120&lt;AG120,"Pass","Fail"),"Fail"),"Fail"))</f>
        <v>Pass</v>
      </c>
      <c r="AA120" s="339">
        <v>1335</v>
      </c>
      <c r="AB120" s="333"/>
      <c r="AD120" s="302">
        <v>1600</v>
      </c>
      <c r="AE120" s="302">
        <v>2600</v>
      </c>
      <c r="AF120" s="334">
        <v>1690</v>
      </c>
      <c r="AG120" s="334">
        <v>2125</v>
      </c>
      <c r="AH120" s="335">
        <v>15</v>
      </c>
      <c r="AI120" s="335">
        <v>15</v>
      </c>
    </row>
    <row r="121" spans="1:35">
      <c r="A121" s="123"/>
      <c r="B121" s="235"/>
      <c r="C121" s="235" t="s">
        <v>78</v>
      </c>
      <c r="D121" s="123">
        <v>1021</v>
      </c>
      <c r="E121" s="123">
        <v>988</v>
      </c>
      <c r="F121" s="123">
        <v>979</v>
      </c>
      <c r="G121" s="123">
        <v>972</v>
      </c>
      <c r="H121" s="123">
        <v>961</v>
      </c>
      <c r="I121" s="123">
        <v>947</v>
      </c>
      <c r="J121" s="123">
        <v>933</v>
      </c>
      <c r="K121" s="123">
        <v>926</v>
      </c>
      <c r="L121" s="123">
        <v>951</v>
      </c>
      <c r="M121" s="123">
        <v>961</v>
      </c>
      <c r="N121" s="123">
        <v>967</v>
      </c>
      <c r="O121" s="123">
        <v>943</v>
      </c>
      <c r="P121" s="123">
        <v>948</v>
      </c>
      <c r="Q121" s="123">
        <v>956</v>
      </c>
      <c r="R121" s="123">
        <v>955</v>
      </c>
      <c r="S121" s="123">
        <v>990</v>
      </c>
      <c r="T121" s="123">
        <v>958</v>
      </c>
      <c r="U121" s="336"/>
      <c r="V121" s="337"/>
      <c r="W121" s="337"/>
      <c r="X121" s="331"/>
      <c r="Y121" s="338"/>
      <c r="Z121" s="337"/>
      <c r="AA121" s="339"/>
      <c r="AB121" s="333"/>
      <c r="AC121" s="265"/>
    </row>
    <row r="122" spans="1:35" ht="32.25" thickBot="1">
      <c r="A122" s="123"/>
      <c r="B122" s="243"/>
      <c r="C122" s="243" t="s">
        <v>221</v>
      </c>
      <c r="D122" s="340">
        <f t="shared" ref="D122:T122" si="36">IF(((D120="")*AND(D121="")),"",(D120-D121)*2)</f>
        <v>1962</v>
      </c>
      <c r="E122" s="340">
        <f t="shared" si="36"/>
        <v>1992</v>
      </c>
      <c r="F122" s="340">
        <f t="shared" si="36"/>
        <v>2000</v>
      </c>
      <c r="G122" s="340">
        <f t="shared" si="36"/>
        <v>2008</v>
      </c>
      <c r="H122" s="340">
        <f t="shared" si="36"/>
        <v>2028</v>
      </c>
      <c r="I122" s="340">
        <f t="shared" si="36"/>
        <v>2054</v>
      </c>
      <c r="J122" s="340">
        <f t="shared" si="36"/>
        <v>2084</v>
      </c>
      <c r="K122" s="340">
        <f t="shared" si="36"/>
        <v>2106</v>
      </c>
      <c r="L122" s="340">
        <f t="shared" si="36"/>
        <v>2084</v>
      </c>
      <c r="M122" s="340">
        <f t="shared" si="36"/>
        <v>2052</v>
      </c>
      <c r="N122" s="340">
        <f t="shared" si="36"/>
        <v>2022</v>
      </c>
      <c r="O122" s="340">
        <f t="shared" si="36"/>
        <v>2066</v>
      </c>
      <c r="P122" s="340">
        <f t="shared" si="36"/>
        <v>2054</v>
      </c>
      <c r="Q122" s="340">
        <f t="shared" si="36"/>
        <v>2038</v>
      </c>
      <c r="R122" s="340">
        <f t="shared" si="36"/>
        <v>2044</v>
      </c>
      <c r="S122" s="340">
        <f t="shared" si="36"/>
        <v>1980</v>
      </c>
      <c r="T122" s="341">
        <f t="shared" si="36"/>
        <v>2076</v>
      </c>
      <c r="U122" s="342"/>
      <c r="V122" s="340"/>
      <c r="W122" s="340"/>
      <c r="X122" s="343"/>
      <c r="Y122" s="344"/>
      <c r="Z122" s="340"/>
      <c r="AA122" s="345"/>
      <c r="AB122" s="333"/>
      <c r="AC122" s="265"/>
    </row>
    <row r="123" spans="1:35">
      <c r="A123" s="348">
        <v>43305</v>
      </c>
      <c r="B123" s="249" t="s">
        <v>76</v>
      </c>
      <c r="C123" s="235" t="s">
        <v>77</v>
      </c>
      <c r="D123" s="123">
        <v>2059.35</v>
      </c>
      <c r="E123" s="123">
        <v>2029.83</v>
      </c>
      <c r="F123" s="123">
        <v>2008.67</v>
      </c>
      <c r="G123" s="123">
        <v>1997.54</v>
      </c>
      <c r="H123" s="123">
        <v>1993.19</v>
      </c>
      <c r="I123" s="123">
        <v>2004.39</v>
      </c>
      <c r="J123" s="123">
        <v>2021.64</v>
      </c>
      <c r="K123" s="123">
        <v>2043.27</v>
      </c>
      <c r="L123" s="123">
        <v>2075.39</v>
      </c>
      <c r="M123" s="123">
        <v>2030.66</v>
      </c>
      <c r="N123" s="123">
        <v>2026.88</v>
      </c>
      <c r="O123" s="123">
        <v>2009.88</v>
      </c>
      <c r="P123" s="123">
        <v>1998.27</v>
      </c>
      <c r="Q123" s="123">
        <v>1999.06</v>
      </c>
      <c r="R123" s="123">
        <v>2010.17</v>
      </c>
      <c r="S123" s="123">
        <v>2025.71</v>
      </c>
      <c r="T123" s="123">
        <v>2039.1</v>
      </c>
      <c r="U123" s="347">
        <f>IF((T124=""),"",MAX(D125:T125))</f>
        <v>2106.54</v>
      </c>
      <c r="V123" s="235">
        <f>IF(T124="","",MIN(D125:T125))</f>
        <v>1944.6999999999998</v>
      </c>
      <c r="W123" s="250">
        <f>IF((T125=""),"",AVERAGE(D125:T125))</f>
        <v>2040.4705882352941</v>
      </c>
      <c r="X123" s="331">
        <f>STDEV(D125:T125)</f>
        <v>39.764989071824942</v>
      </c>
      <c r="Y123" s="236">
        <f>IF((T124=""),"",((U123-V123)/(U123+V123))*100)</f>
        <v>3.9948262754119765</v>
      </c>
      <c r="Z123" s="228" t="str">
        <f>IF(T124="","",IF(Y123&lt;15,IF(W123&gt;AF123,IF(W123&lt;AG123,"Pass","Fail"),"Fail"),"Fail"))</f>
        <v>Pass</v>
      </c>
      <c r="AA123" s="339">
        <v>1340</v>
      </c>
      <c r="AB123" s="333"/>
      <c r="AD123" s="302">
        <v>1600</v>
      </c>
      <c r="AE123" s="302">
        <v>2600</v>
      </c>
      <c r="AF123" s="334">
        <v>1690</v>
      </c>
      <c r="AG123" s="334">
        <v>2125</v>
      </c>
      <c r="AH123" s="335">
        <v>15</v>
      </c>
      <c r="AI123" s="335">
        <v>15</v>
      </c>
    </row>
    <row r="124" spans="1:35">
      <c r="A124" s="123"/>
      <c r="B124" s="235"/>
      <c r="C124" s="235" t="s">
        <v>78</v>
      </c>
      <c r="D124" s="123">
        <v>1087</v>
      </c>
      <c r="E124" s="123">
        <v>1034</v>
      </c>
      <c r="F124" s="123">
        <v>1008</v>
      </c>
      <c r="G124" s="123">
        <v>991</v>
      </c>
      <c r="H124" s="123">
        <v>979</v>
      </c>
      <c r="I124" s="123">
        <v>975</v>
      </c>
      <c r="J124" s="123">
        <v>978</v>
      </c>
      <c r="K124" s="123">
        <v>990</v>
      </c>
      <c r="L124" s="123">
        <v>1030</v>
      </c>
      <c r="M124" s="123">
        <v>1012</v>
      </c>
      <c r="N124" s="123">
        <v>990</v>
      </c>
      <c r="O124" s="123">
        <v>982</v>
      </c>
      <c r="P124" s="123">
        <v>978</v>
      </c>
      <c r="Q124" s="123">
        <v>982</v>
      </c>
      <c r="R124" s="123">
        <v>988</v>
      </c>
      <c r="S124" s="123">
        <v>998</v>
      </c>
      <c r="T124" s="123">
        <v>1027</v>
      </c>
      <c r="U124" s="336"/>
      <c r="V124" s="337"/>
      <c r="W124" s="337"/>
      <c r="X124" s="331"/>
      <c r="Y124" s="338"/>
      <c r="Z124" s="337"/>
      <c r="AA124" s="339"/>
      <c r="AB124" s="333"/>
      <c r="AC124" s="265"/>
    </row>
    <row r="125" spans="1:35" ht="32.25" thickBot="1">
      <c r="A125" s="123"/>
      <c r="B125" s="243"/>
      <c r="C125" s="243" t="s">
        <v>221</v>
      </c>
      <c r="D125" s="340">
        <f t="shared" ref="D125:T125" si="37">IF(((D123="")*AND(D124="")),"",(D123-D124)*2)</f>
        <v>1944.6999999999998</v>
      </c>
      <c r="E125" s="340">
        <f t="shared" si="37"/>
        <v>1991.6599999999999</v>
      </c>
      <c r="F125" s="340">
        <f t="shared" si="37"/>
        <v>2001.3400000000001</v>
      </c>
      <c r="G125" s="340">
        <f t="shared" si="37"/>
        <v>2013.08</v>
      </c>
      <c r="H125" s="340">
        <f t="shared" si="37"/>
        <v>2028.38</v>
      </c>
      <c r="I125" s="340">
        <f t="shared" si="37"/>
        <v>2058.7800000000002</v>
      </c>
      <c r="J125" s="340">
        <f t="shared" si="37"/>
        <v>2087.2800000000002</v>
      </c>
      <c r="K125" s="340">
        <f t="shared" si="37"/>
        <v>2106.54</v>
      </c>
      <c r="L125" s="340">
        <f t="shared" si="37"/>
        <v>2090.7799999999997</v>
      </c>
      <c r="M125" s="340">
        <f t="shared" si="37"/>
        <v>2037.3200000000002</v>
      </c>
      <c r="N125" s="340">
        <f t="shared" si="37"/>
        <v>2073.7600000000002</v>
      </c>
      <c r="O125" s="340">
        <f t="shared" si="37"/>
        <v>2055.7600000000002</v>
      </c>
      <c r="P125" s="340">
        <f t="shared" si="37"/>
        <v>2040.54</v>
      </c>
      <c r="Q125" s="340">
        <f t="shared" si="37"/>
        <v>2034.12</v>
      </c>
      <c r="R125" s="340">
        <f t="shared" si="37"/>
        <v>2044.3400000000001</v>
      </c>
      <c r="S125" s="340">
        <f t="shared" si="37"/>
        <v>2055.42</v>
      </c>
      <c r="T125" s="341">
        <f t="shared" si="37"/>
        <v>2024.1999999999998</v>
      </c>
      <c r="U125" s="342"/>
      <c r="V125" s="340"/>
      <c r="W125" s="340"/>
      <c r="X125" s="343"/>
      <c r="Y125" s="344"/>
      <c r="Z125" s="340"/>
      <c r="AA125" s="345"/>
      <c r="AB125" s="333"/>
      <c r="AC125" s="265"/>
    </row>
    <row r="126" spans="1:35">
      <c r="A126" s="348">
        <v>43308</v>
      </c>
      <c r="B126" s="249" t="s">
        <v>76</v>
      </c>
      <c r="C126" s="235" t="s">
        <v>77</v>
      </c>
      <c r="D126" s="123">
        <v>2069.9</v>
      </c>
      <c r="E126" s="123">
        <v>2050.2199999999998</v>
      </c>
      <c r="F126" s="123">
        <v>2033.77</v>
      </c>
      <c r="G126" s="123">
        <v>2025.56</v>
      </c>
      <c r="H126" s="123">
        <v>2024.59</v>
      </c>
      <c r="I126" s="123">
        <v>2029.71</v>
      </c>
      <c r="J126" s="123">
        <v>2043.52</v>
      </c>
      <c r="K126" s="123">
        <v>2061.48</v>
      </c>
      <c r="L126" s="123">
        <v>2082.15</v>
      </c>
      <c r="M126" s="123">
        <v>2051.63</v>
      </c>
      <c r="N126" s="123">
        <v>2044.57</v>
      </c>
      <c r="O126" s="123">
        <v>2034.67</v>
      </c>
      <c r="P126" s="123">
        <v>2027.23</v>
      </c>
      <c r="Q126" s="123">
        <v>2028.64</v>
      </c>
      <c r="R126" s="123">
        <v>2035.24</v>
      </c>
      <c r="S126" s="123">
        <v>2046.43</v>
      </c>
      <c r="T126" s="123">
        <v>2060.0100000000002</v>
      </c>
      <c r="U126" s="347">
        <f>IF((T127=""),"",MAX(D128:T128))</f>
        <v>2129.8000000000002</v>
      </c>
      <c r="V126" s="235">
        <f>IF(T127="","",MIN(D128:T128))</f>
        <v>1984.4399999999996</v>
      </c>
      <c r="W126" s="250">
        <f>IF((T128=""),"",AVERAGE(D128:T128))</f>
        <v>2045.5670588235294</v>
      </c>
      <c r="X126" s="331">
        <f>STDEV(D128:T128)</f>
        <v>37.806347311778573</v>
      </c>
      <c r="Y126" s="236">
        <f>IF((T127=""),"",((U126-V126)/(U126+V126))*100)</f>
        <v>3.5330948121645935</v>
      </c>
      <c r="Z126" s="228" t="str">
        <f>IF(T127="","",IF(Y126&lt;15,IF(W126&gt;AF126,IF(W126&lt;AG126,"Pass","Fail"),"Fail"),"Fail"))</f>
        <v>Pass</v>
      </c>
      <c r="AA126" s="339">
        <v>1340</v>
      </c>
      <c r="AB126" s="333"/>
      <c r="AD126" s="302">
        <v>1600</v>
      </c>
      <c r="AE126" s="302">
        <v>2600</v>
      </c>
      <c r="AF126" s="334">
        <v>1690</v>
      </c>
      <c r="AG126" s="334">
        <v>2125</v>
      </c>
      <c r="AH126" s="335">
        <v>15</v>
      </c>
      <c r="AI126" s="335">
        <v>15</v>
      </c>
    </row>
    <row r="127" spans="1:35">
      <c r="A127" s="123"/>
      <c r="B127" s="235"/>
      <c r="C127" s="235" t="s">
        <v>78</v>
      </c>
      <c r="D127" s="123">
        <v>1005</v>
      </c>
      <c r="E127" s="123">
        <v>1058</v>
      </c>
      <c r="F127" s="123">
        <v>1034</v>
      </c>
      <c r="G127" s="123">
        <v>1021</v>
      </c>
      <c r="H127" s="123">
        <v>1012</v>
      </c>
      <c r="I127" s="123">
        <v>1003</v>
      </c>
      <c r="J127" s="123">
        <v>1002</v>
      </c>
      <c r="K127" s="123">
        <v>1011</v>
      </c>
      <c r="L127" s="123">
        <v>1052</v>
      </c>
      <c r="M127" s="123">
        <v>1031</v>
      </c>
      <c r="N127" s="123">
        <v>1011</v>
      </c>
      <c r="O127" s="123">
        <v>1006</v>
      </c>
      <c r="P127" s="123">
        <v>1007</v>
      </c>
      <c r="Q127" s="123">
        <v>1011</v>
      </c>
      <c r="R127" s="123">
        <v>1013</v>
      </c>
      <c r="S127" s="123">
        <v>1022</v>
      </c>
      <c r="T127" s="123">
        <v>1063</v>
      </c>
      <c r="U127" s="336"/>
      <c r="V127" s="337"/>
      <c r="W127" s="337"/>
      <c r="X127" s="331"/>
      <c r="Y127" s="338"/>
      <c r="Z127" s="337"/>
      <c r="AA127" s="339"/>
      <c r="AB127" s="333"/>
      <c r="AC127" s="265"/>
    </row>
    <row r="128" spans="1:35" ht="32.25" thickBot="1">
      <c r="A128" s="123"/>
      <c r="B128" s="243"/>
      <c r="C128" s="243" t="s">
        <v>221</v>
      </c>
      <c r="D128" s="340">
        <f t="shared" ref="D128:T128" si="38">IF(((D126="")*AND(D127="")),"",(D126-D127)*2)</f>
        <v>2129.8000000000002</v>
      </c>
      <c r="E128" s="340">
        <f t="shared" si="38"/>
        <v>1984.4399999999996</v>
      </c>
      <c r="F128" s="340">
        <f t="shared" si="38"/>
        <v>1999.54</v>
      </c>
      <c r="G128" s="340">
        <f t="shared" si="38"/>
        <v>2009.12</v>
      </c>
      <c r="H128" s="340">
        <f t="shared" si="38"/>
        <v>2025.1799999999998</v>
      </c>
      <c r="I128" s="340">
        <f t="shared" si="38"/>
        <v>2053.42</v>
      </c>
      <c r="J128" s="340">
        <f t="shared" si="38"/>
        <v>2083.04</v>
      </c>
      <c r="K128" s="340">
        <f t="shared" si="38"/>
        <v>2100.96</v>
      </c>
      <c r="L128" s="340">
        <f t="shared" si="38"/>
        <v>2060.3000000000002</v>
      </c>
      <c r="M128" s="340">
        <f t="shared" si="38"/>
        <v>2041.2600000000002</v>
      </c>
      <c r="N128" s="340">
        <f t="shared" si="38"/>
        <v>2067.14</v>
      </c>
      <c r="O128" s="340">
        <f t="shared" si="38"/>
        <v>2057.34</v>
      </c>
      <c r="P128" s="340">
        <f t="shared" si="38"/>
        <v>2040.46</v>
      </c>
      <c r="Q128" s="340">
        <f t="shared" si="38"/>
        <v>2035.2800000000002</v>
      </c>
      <c r="R128" s="340">
        <f t="shared" si="38"/>
        <v>2044.48</v>
      </c>
      <c r="S128" s="340">
        <f t="shared" si="38"/>
        <v>2048.86</v>
      </c>
      <c r="T128" s="341">
        <f t="shared" si="38"/>
        <v>1994.0200000000004</v>
      </c>
      <c r="U128" s="342"/>
      <c r="V128" s="340"/>
      <c r="W128" s="340"/>
      <c r="X128" s="343"/>
      <c r="Y128" s="344"/>
      <c r="Z128" s="340"/>
      <c r="AA128" s="345"/>
      <c r="AB128" s="333"/>
      <c r="AC128" s="265"/>
    </row>
    <row r="129" spans="1:35">
      <c r="A129" s="346">
        <v>43314</v>
      </c>
      <c r="B129" s="249" t="s">
        <v>76</v>
      </c>
      <c r="C129" s="235" t="s">
        <v>77</v>
      </c>
      <c r="D129" s="123">
        <v>2049.15</v>
      </c>
      <c r="E129" s="123">
        <v>2038.12</v>
      </c>
      <c r="F129" s="123">
        <v>2026.24</v>
      </c>
      <c r="G129" s="123">
        <v>2018.69</v>
      </c>
      <c r="H129" s="123">
        <v>2015.15</v>
      </c>
      <c r="I129" s="123">
        <v>2020.8</v>
      </c>
      <c r="J129" s="123">
        <v>2028.76</v>
      </c>
      <c r="K129" s="123">
        <v>2040.34</v>
      </c>
      <c r="L129" s="123">
        <v>2058.04</v>
      </c>
      <c r="M129" s="123">
        <v>2058.3200000000002</v>
      </c>
      <c r="N129" s="123">
        <v>2040.69</v>
      </c>
      <c r="O129" s="123">
        <v>2029.26</v>
      </c>
      <c r="P129" s="123">
        <v>2018.44</v>
      </c>
      <c r="Q129" s="123">
        <v>2021.1</v>
      </c>
      <c r="R129" s="123">
        <v>2028.49</v>
      </c>
      <c r="S129" s="123">
        <v>2040.51</v>
      </c>
      <c r="T129" s="123">
        <v>2064.66</v>
      </c>
      <c r="U129" s="347">
        <f>IF((T130=""),"",MAX(D131:T131))</f>
        <v>2099.2999999999997</v>
      </c>
      <c r="V129" s="235">
        <f>IF(T130="","",MIN(D131:T131))</f>
        <v>1941.02</v>
      </c>
      <c r="W129" s="250">
        <f>IF((T131=""),"",AVERAGE(D131:T131))</f>
        <v>2033.4211764705885</v>
      </c>
      <c r="X129" s="331">
        <f>STDEV(D131:T131)</f>
        <v>40.803867139395145</v>
      </c>
      <c r="Y129" s="236">
        <f>IF((T130=""),"",((U129-V129)/(U129+V129))*100)</f>
        <v>3.9175114842388661</v>
      </c>
      <c r="Z129" s="228" t="str">
        <f>IF(T130="","",IF(Y129&lt;15,IF(W129&gt;AF129,IF(W129&lt;AG129,"Pass","Fail"),"Fail"),"Fail"))</f>
        <v>Pass</v>
      </c>
      <c r="AA129" s="339">
        <v>74</v>
      </c>
      <c r="AB129" s="333"/>
      <c r="AD129" s="302">
        <v>1600</v>
      </c>
      <c r="AE129" s="302">
        <v>2600</v>
      </c>
      <c r="AF129" s="334">
        <v>1690</v>
      </c>
      <c r="AG129" s="334">
        <v>2125</v>
      </c>
      <c r="AH129" s="335">
        <v>15</v>
      </c>
      <c r="AI129" s="335">
        <v>15</v>
      </c>
    </row>
    <row r="130" spans="1:35">
      <c r="A130" s="123"/>
      <c r="B130" s="235"/>
      <c r="C130" s="235" t="s">
        <v>78</v>
      </c>
      <c r="D130" s="123">
        <v>1078.6400000000001</v>
      </c>
      <c r="E130" s="123">
        <v>1044.72</v>
      </c>
      <c r="F130" s="123">
        <v>1031.69</v>
      </c>
      <c r="G130" s="123">
        <v>1022</v>
      </c>
      <c r="H130" s="123">
        <v>1010.88</v>
      </c>
      <c r="I130" s="123">
        <v>1000.48</v>
      </c>
      <c r="J130" s="123">
        <v>992.75</v>
      </c>
      <c r="K130" s="123">
        <v>990.69</v>
      </c>
      <c r="L130" s="123">
        <v>1017.9</v>
      </c>
      <c r="M130" s="123">
        <v>1024.3699999999999</v>
      </c>
      <c r="N130" s="123">
        <v>1004.21</v>
      </c>
      <c r="O130" s="123">
        <v>1003.89</v>
      </c>
      <c r="P130" s="123">
        <v>1007</v>
      </c>
      <c r="Q130" s="123">
        <v>1011</v>
      </c>
      <c r="R130" s="123">
        <v>1011.46</v>
      </c>
      <c r="S130" s="123">
        <v>1015</v>
      </c>
      <c r="T130" s="123">
        <v>1046</v>
      </c>
      <c r="U130" s="336"/>
      <c r="V130" s="337"/>
      <c r="W130" s="337"/>
      <c r="X130" s="331"/>
      <c r="Y130" s="338"/>
      <c r="Z130" s="337"/>
      <c r="AA130" s="339"/>
      <c r="AB130" s="333"/>
      <c r="AC130" s="265"/>
    </row>
    <row r="131" spans="1:35" ht="32.25" thickBot="1">
      <c r="A131" s="123"/>
      <c r="B131" s="243"/>
      <c r="C131" s="243" t="s">
        <v>221</v>
      </c>
      <c r="D131" s="340">
        <f t="shared" ref="D131:T131" si="39">IF(((D129="")*AND(D130="")),"",(D129-D130)*2)</f>
        <v>1941.02</v>
      </c>
      <c r="E131" s="340">
        <f t="shared" si="39"/>
        <v>1986.7999999999997</v>
      </c>
      <c r="F131" s="340">
        <f t="shared" si="39"/>
        <v>1989.1</v>
      </c>
      <c r="G131" s="340">
        <f t="shared" si="39"/>
        <v>1993.38</v>
      </c>
      <c r="H131" s="340">
        <f t="shared" si="39"/>
        <v>2008.5400000000002</v>
      </c>
      <c r="I131" s="340">
        <f t="shared" si="39"/>
        <v>2040.6399999999999</v>
      </c>
      <c r="J131" s="340">
        <f t="shared" si="39"/>
        <v>2072.02</v>
      </c>
      <c r="K131" s="340">
        <f t="shared" si="39"/>
        <v>2099.2999999999997</v>
      </c>
      <c r="L131" s="340">
        <f t="shared" si="39"/>
        <v>2080.2799999999997</v>
      </c>
      <c r="M131" s="340">
        <f t="shared" si="39"/>
        <v>2067.9000000000005</v>
      </c>
      <c r="N131" s="340">
        <f t="shared" si="39"/>
        <v>2072.96</v>
      </c>
      <c r="O131" s="340">
        <f t="shared" si="39"/>
        <v>2050.7399999999998</v>
      </c>
      <c r="P131" s="340">
        <f t="shared" si="39"/>
        <v>2022.88</v>
      </c>
      <c r="Q131" s="340">
        <f t="shared" si="39"/>
        <v>2020.1999999999998</v>
      </c>
      <c r="R131" s="340">
        <f t="shared" si="39"/>
        <v>2034.06</v>
      </c>
      <c r="S131" s="340">
        <f t="shared" si="39"/>
        <v>2051.02</v>
      </c>
      <c r="T131" s="341">
        <f t="shared" si="39"/>
        <v>2037.3199999999997</v>
      </c>
      <c r="U131" s="342"/>
      <c r="V131" s="340"/>
      <c r="W131" s="340"/>
      <c r="X131" s="343"/>
      <c r="Y131" s="344"/>
      <c r="Z131" s="340"/>
      <c r="AA131" s="345"/>
      <c r="AB131" s="333"/>
      <c r="AC131" s="265"/>
    </row>
    <row r="132" spans="1:35">
      <c r="A132" s="346">
        <v>43318</v>
      </c>
      <c r="B132" s="249" t="s">
        <v>76</v>
      </c>
      <c r="C132" s="235" t="s">
        <v>77</v>
      </c>
      <c r="D132" s="123">
        <v>2049.15</v>
      </c>
      <c r="E132" s="123">
        <v>2038.12</v>
      </c>
      <c r="F132" s="123">
        <v>2026.24</v>
      </c>
      <c r="G132" s="123">
        <v>2018.69</v>
      </c>
      <c r="H132" s="123">
        <v>2015.15</v>
      </c>
      <c r="I132" s="123">
        <v>2020.8</v>
      </c>
      <c r="J132" s="123">
        <v>2028.76</v>
      </c>
      <c r="K132" s="123">
        <v>2040.34</v>
      </c>
      <c r="L132" s="123">
        <v>2058.04</v>
      </c>
      <c r="M132" s="123">
        <v>2058.3200000000002</v>
      </c>
      <c r="N132" s="123">
        <v>2040.69</v>
      </c>
      <c r="O132" s="123">
        <v>2029.26</v>
      </c>
      <c r="P132" s="123">
        <v>2018.44</v>
      </c>
      <c r="Q132" s="123">
        <v>2021.1</v>
      </c>
      <c r="R132" s="123">
        <v>2028.49</v>
      </c>
      <c r="S132" s="123">
        <v>2040.51</v>
      </c>
      <c r="T132" s="123">
        <v>2064.66</v>
      </c>
      <c r="U132" s="347">
        <f>IF((T133=""),"",MAX(D134:T134))</f>
        <v>2128.6799999999998</v>
      </c>
      <c r="V132" s="235">
        <f>IF(T133="","",MIN(D134:T134))</f>
        <v>1960.3000000000002</v>
      </c>
      <c r="W132" s="250">
        <f>IF((T134=""),"",AVERAGE(D134:T134))</f>
        <v>2060.5600000000004</v>
      </c>
      <c r="X132" s="331">
        <f>STDEV(D134:T134)</f>
        <v>41.111253325579838</v>
      </c>
      <c r="Y132" s="236">
        <f>IF((T133=""),"",((U132-V132)/(U132+V132))*100)</f>
        <v>4.1178973729389643</v>
      </c>
      <c r="Z132" s="228" t="str">
        <f>IF(T133="","",IF(Y132&lt;15,IF(W132&gt;AF132,IF(W132&lt;AG132,"Pass","Fail"),"Fail"),"Fail"))</f>
        <v>Pass</v>
      </c>
      <c r="AA132" s="339">
        <v>74</v>
      </c>
      <c r="AB132" s="265" t="s">
        <v>89</v>
      </c>
      <c r="AD132" s="302">
        <v>1600</v>
      </c>
      <c r="AE132" s="302">
        <v>2600</v>
      </c>
      <c r="AF132" s="334">
        <v>1690</v>
      </c>
      <c r="AG132" s="334">
        <v>2125</v>
      </c>
      <c r="AH132" s="335">
        <v>15</v>
      </c>
      <c r="AI132" s="335">
        <v>15</v>
      </c>
    </row>
    <row r="133" spans="1:35">
      <c r="A133" s="123"/>
      <c r="B133" s="235"/>
      <c r="C133" s="235" t="s">
        <v>78</v>
      </c>
      <c r="D133" s="123">
        <v>1069</v>
      </c>
      <c r="E133" s="123">
        <v>1031</v>
      </c>
      <c r="F133" s="123">
        <v>1014</v>
      </c>
      <c r="G133" s="123">
        <v>1004</v>
      </c>
      <c r="H133" s="123">
        <v>993</v>
      </c>
      <c r="I133" s="123">
        <v>981</v>
      </c>
      <c r="J133" s="123">
        <v>974</v>
      </c>
      <c r="K133" s="123">
        <v>976</v>
      </c>
      <c r="L133" s="123">
        <v>1026</v>
      </c>
      <c r="M133" s="123">
        <v>1014</v>
      </c>
      <c r="N133" s="123">
        <v>989</v>
      </c>
      <c r="O133" s="123">
        <v>985</v>
      </c>
      <c r="P133" s="123">
        <v>988</v>
      </c>
      <c r="Q133" s="123">
        <v>992</v>
      </c>
      <c r="R133" s="123">
        <v>993</v>
      </c>
      <c r="S133" s="123">
        <v>1002</v>
      </c>
      <c r="T133" s="123">
        <v>1051</v>
      </c>
      <c r="U133" s="336"/>
      <c r="V133" s="337"/>
      <c r="W133" s="337"/>
      <c r="X133" s="331"/>
      <c r="Y133" s="338"/>
      <c r="Z133" s="337"/>
      <c r="AA133" s="339"/>
      <c r="AB133" s="333"/>
      <c r="AC133" s="265"/>
    </row>
    <row r="134" spans="1:35" ht="32.25" thickBot="1">
      <c r="A134" s="123"/>
      <c r="B134" s="243"/>
      <c r="C134" s="243" t="s">
        <v>221</v>
      </c>
      <c r="D134" s="340">
        <f t="shared" ref="D134:T134" si="40">IF(((D132="")*AND(D133="")),"",(D132-D133)*2)</f>
        <v>1960.3000000000002</v>
      </c>
      <c r="E134" s="340">
        <f t="shared" si="40"/>
        <v>2014.2399999999998</v>
      </c>
      <c r="F134" s="340">
        <f t="shared" si="40"/>
        <v>2024.48</v>
      </c>
      <c r="G134" s="340">
        <f t="shared" si="40"/>
        <v>2029.38</v>
      </c>
      <c r="H134" s="340">
        <f t="shared" si="40"/>
        <v>2044.3000000000002</v>
      </c>
      <c r="I134" s="340">
        <f t="shared" si="40"/>
        <v>2079.6</v>
      </c>
      <c r="J134" s="340">
        <f t="shared" si="40"/>
        <v>2109.52</v>
      </c>
      <c r="K134" s="340">
        <f t="shared" si="40"/>
        <v>2128.6799999999998</v>
      </c>
      <c r="L134" s="340">
        <f t="shared" si="40"/>
        <v>2064.08</v>
      </c>
      <c r="M134" s="340">
        <f t="shared" si="40"/>
        <v>2088.6400000000003</v>
      </c>
      <c r="N134" s="340">
        <f t="shared" si="40"/>
        <v>2103.38</v>
      </c>
      <c r="O134" s="340">
        <f t="shared" si="40"/>
        <v>2088.52</v>
      </c>
      <c r="P134" s="340">
        <f t="shared" si="40"/>
        <v>2060.88</v>
      </c>
      <c r="Q134" s="340">
        <f t="shared" si="40"/>
        <v>2058.1999999999998</v>
      </c>
      <c r="R134" s="340">
        <f t="shared" si="40"/>
        <v>2070.98</v>
      </c>
      <c r="S134" s="340">
        <f t="shared" si="40"/>
        <v>2077.02</v>
      </c>
      <c r="T134" s="341">
        <f t="shared" si="40"/>
        <v>2027.3199999999997</v>
      </c>
      <c r="U134" s="342"/>
      <c r="V134" s="340"/>
      <c r="W134" s="340"/>
      <c r="X134" s="343"/>
      <c r="Y134" s="344"/>
      <c r="Z134" s="340"/>
      <c r="AA134" s="345"/>
      <c r="AB134" s="333"/>
      <c r="AC134" s="265"/>
    </row>
    <row r="135" spans="1:35">
      <c r="A135" s="346">
        <v>43321</v>
      </c>
      <c r="B135" s="249" t="s">
        <v>76</v>
      </c>
      <c r="C135" s="235" t="s">
        <v>77</v>
      </c>
      <c r="D135" s="123">
        <v>2097.06</v>
      </c>
      <c r="E135" s="123">
        <v>2084.7600000000002</v>
      </c>
      <c r="F135" s="123">
        <v>2081.94</v>
      </c>
      <c r="G135" s="123">
        <v>2080.06</v>
      </c>
      <c r="H135" s="123">
        <v>2080.62</v>
      </c>
      <c r="I135" s="123">
        <v>2079.94</v>
      </c>
      <c r="J135" s="123">
        <v>2078.9699999999998</v>
      </c>
      <c r="K135" s="123">
        <v>2082.29</v>
      </c>
      <c r="L135" s="123">
        <v>2093.81</v>
      </c>
      <c r="M135" s="123">
        <v>2086.5300000000002</v>
      </c>
      <c r="N135" s="123">
        <v>2080.7800000000002</v>
      </c>
      <c r="O135" s="123">
        <v>2078.06</v>
      </c>
      <c r="P135" s="123">
        <v>2078.35</v>
      </c>
      <c r="Q135" s="123">
        <v>2080.79</v>
      </c>
      <c r="R135" s="123">
        <v>2080.17</v>
      </c>
      <c r="S135" s="123">
        <v>2082.5700000000002</v>
      </c>
      <c r="T135" s="123">
        <v>2092.09</v>
      </c>
      <c r="U135" s="347">
        <f>IF((T136=""),"",MAX(D137:T137))</f>
        <v>2116.94</v>
      </c>
      <c r="V135" s="235">
        <f>IF(T136="","",MIN(D137:T137))</f>
        <v>1990.44</v>
      </c>
      <c r="W135" s="250">
        <f>IF((T137=""),"",AVERAGE(D137:T137))</f>
        <v>2049.6588235294116</v>
      </c>
      <c r="X135" s="331">
        <f>STDEV(D137:T137)</f>
        <v>34.341916421909396</v>
      </c>
      <c r="Y135" s="236">
        <f>IF((T136=""),"",((U135-V135)/(U135+V135))*100)</f>
        <v>3.0798221737457938</v>
      </c>
      <c r="Z135" s="228" t="str">
        <f>IF(T136="","",IF(Y135&lt;15,IF(W135&gt;AF135,IF(W135&lt;AG135,"Pass","Fail"),"Fail"),"Fail"))</f>
        <v>Pass</v>
      </c>
      <c r="AA135" s="339">
        <v>1428</v>
      </c>
      <c r="AB135" s="333"/>
      <c r="AD135" s="302">
        <v>1600</v>
      </c>
      <c r="AE135" s="302">
        <v>2600</v>
      </c>
      <c r="AF135" s="334">
        <v>1690</v>
      </c>
      <c r="AG135" s="334">
        <v>2125</v>
      </c>
      <c r="AH135" s="335">
        <v>15</v>
      </c>
      <c r="AI135" s="335">
        <v>15</v>
      </c>
    </row>
    <row r="136" spans="1:35">
      <c r="A136" s="123"/>
      <c r="B136" s="235"/>
      <c r="C136" s="235" t="s">
        <v>78</v>
      </c>
      <c r="D136" s="123">
        <v>1101.8399999999999</v>
      </c>
      <c r="E136" s="123">
        <v>1081.49</v>
      </c>
      <c r="F136" s="123">
        <v>1076.1099999999999</v>
      </c>
      <c r="G136" s="123">
        <v>1073.43</v>
      </c>
      <c r="H136" s="123">
        <v>1063</v>
      </c>
      <c r="I136" s="123">
        <v>1052.17</v>
      </c>
      <c r="J136" s="123">
        <v>1038.73</v>
      </c>
      <c r="K136" s="123">
        <v>1027.29</v>
      </c>
      <c r="L136" s="123">
        <v>1035.3399999999999</v>
      </c>
      <c r="M136" s="123">
        <v>1050.6400000000001</v>
      </c>
      <c r="N136" s="123">
        <v>1044.52</v>
      </c>
      <c r="O136" s="123">
        <v>1051.58</v>
      </c>
      <c r="P136" s="123">
        <v>1059.8399999999999</v>
      </c>
      <c r="Q136" s="123">
        <v>1061.95</v>
      </c>
      <c r="R136" s="123">
        <v>1056.5899999999999</v>
      </c>
      <c r="S136" s="123">
        <v>1054.51</v>
      </c>
      <c r="T136" s="123">
        <v>1067.6600000000001</v>
      </c>
      <c r="U136" s="336"/>
      <c r="V136" s="337"/>
      <c r="W136" s="337"/>
      <c r="X136" s="331"/>
      <c r="Y136" s="338"/>
      <c r="Z136" s="337"/>
      <c r="AA136" s="339"/>
      <c r="AB136" s="333"/>
      <c r="AC136" s="265"/>
    </row>
    <row r="137" spans="1:35" ht="32.25" thickBot="1">
      <c r="A137" s="123"/>
      <c r="B137" s="243"/>
      <c r="C137" s="243" t="s">
        <v>221</v>
      </c>
      <c r="D137" s="340">
        <f t="shared" ref="D137:T137" si="41">IF(((D135="")*AND(D136="")),"",(D135-D136)*2)</f>
        <v>1990.44</v>
      </c>
      <c r="E137" s="340">
        <f t="shared" si="41"/>
        <v>2006.5400000000004</v>
      </c>
      <c r="F137" s="340">
        <f t="shared" si="41"/>
        <v>2011.6600000000003</v>
      </c>
      <c r="G137" s="340">
        <f t="shared" si="41"/>
        <v>2013.2599999999998</v>
      </c>
      <c r="H137" s="340">
        <f t="shared" si="41"/>
        <v>2035.2399999999998</v>
      </c>
      <c r="I137" s="340">
        <f t="shared" si="41"/>
        <v>2055.54</v>
      </c>
      <c r="J137" s="340">
        <f t="shared" si="41"/>
        <v>2080.4799999999996</v>
      </c>
      <c r="K137" s="340">
        <f t="shared" si="41"/>
        <v>2110</v>
      </c>
      <c r="L137" s="340">
        <f t="shared" si="41"/>
        <v>2116.94</v>
      </c>
      <c r="M137" s="340">
        <f t="shared" si="41"/>
        <v>2071.7800000000002</v>
      </c>
      <c r="N137" s="340">
        <f t="shared" si="41"/>
        <v>2072.5200000000004</v>
      </c>
      <c r="O137" s="340">
        <f t="shared" si="41"/>
        <v>2052.96</v>
      </c>
      <c r="P137" s="340">
        <f t="shared" si="41"/>
        <v>2037.02</v>
      </c>
      <c r="Q137" s="340">
        <f t="shared" si="41"/>
        <v>2037.6799999999998</v>
      </c>
      <c r="R137" s="340">
        <f t="shared" si="41"/>
        <v>2047.1600000000003</v>
      </c>
      <c r="S137" s="340">
        <f t="shared" si="41"/>
        <v>2056.1200000000003</v>
      </c>
      <c r="T137" s="341">
        <f t="shared" si="41"/>
        <v>2048.86</v>
      </c>
      <c r="U137" s="342"/>
      <c r="V137" s="340"/>
      <c r="W137" s="340"/>
      <c r="X137" s="343"/>
      <c r="Y137" s="344"/>
      <c r="Z137" s="340"/>
      <c r="AA137" s="345"/>
      <c r="AB137" s="333"/>
      <c r="AC137" s="265"/>
    </row>
    <row r="138" spans="1:35">
      <c r="A138" s="346">
        <v>43325</v>
      </c>
      <c r="B138" s="249" t="s">
        <v>76</v>
      </c>
      <c r="C138" s="235" t="s">
        <v>77</v>
      </c>
      <c r="D138" s="123">
        <v>2080.66</v>
      </c>
      <c r="E138" s="123">
        <v>2069.66</v>
      </c>
      <c r="F138" s="123">
        <v>2063.39</v>
      </c>
      <c r="G138" s="123">
        <v>2060.5300000000002</v>
      </c>
      <c r="H138" s="123">
        <v>2056.79</v>
      </c>
      <c r="I138" s="123">
        <v>2059.02</v>
      </c>
      <c r="J138" s="123">
        <v>2059.36</v>
      </c>
      <c r="K138" s="123">
        <v>2064.8200000000002</v>
      </c>
      <c r="L138" s="123">
        <v>2076.84</v>
      </c>
      <c r="M138" s="123">
        <v>2067.77</v>
      </c>
      <c r="N138" s="123">
        <v>2063.54</v>
      </c>
      <c r="O138" s="123">
        <v>2059.21</v>
      </c>
      <c r="P138" s="123">
        <v>2057.4</v>
      </c>
      <c r="Q138" s="123">
        <v>2058.54</v>
      </c>
      <c r="R138" s="123">
        <v>2061.5700000000002</v>
      </c>
      <c r="S138" s="123">
        <v>2066.2399999999998</v>
      </c>
      <c r="T138" s="123">
        <v>2076.98</v>
      </c>
      <c r="U138" s="347">
        <f>IF((T139=""),"",MAX(D140:T140))</f>
        <v>2141.6400000000003</v>
      </c>
      <c r="V138" s="235">
        <f>IF(T139="","",MIN(D140:T140))</f>
        <v>1955.3199999999997</v>
      </c>
      <c r="W138" s="250">
        <f>IF((T140=""),"",AVERAGE(D140:T140))</f>
        <v>2065.8023529411762</v>
      </c>
      <c r="X138" s="331">
        <f>STDEV(D140:T140)</f>
        <v>42.513096148335954</v>
      </c>
      <c r="Y138" s="236">
        <f>IF((T139=""),"",((U138-V138)/(U138+V138))*100)</f>
        <v>4.547762243224259</v>
      </c>
      <c r="Z138" s="228" t="str">
        <f>IF(T139="","",IF(Y138&lt;15,IF(W138&gt;AF138,IF(W138&lt;AG138,"Pass","Fail"),"Fail"),"Fail"))</f>
        <v>Pass</v>
      </c>
      <c r="AA138" s="339">
        <v>1159</v>
      </c>
      <c r="AB138" s="333"/>
      <c r="AD138" s="302">
        <v>1600</v>
      </c>
      <c r="AE138" s="302">
        <v>2600</v>
      </c>
      <c r="AF138" s="334">
        <v>1690</v>
      </c>
      <c r="AG138" s="334">
        <v>2125</v>
      </c>
      <c r="AH138" s="335">
        <v>15</v>
      </c>
      <c r="AI138" s="335">
        <v>15</v>
      </c>
    </row>
    <row r="139" spans="1:35">
      <c r="A139" s="123"/>
      <c r="B139" s="235"/>
      <c r="C139" s="235" t="s">
        <v>78</v>
      </c>
      <c r="D139" s="123">
        <v>1103</v>
      </c>
      <c r="E139" s="123">
        <v>1060</v>
      </c>
      <c r="F139" s="123">
        <v>1050</v>
      </c>
      <c r="G139" s="123">
        <v>1041</v>
      </c>
      <c r="H139" s="123">
        <v>1029</v>
      </c>
      <c r="I139" s="123">
        <v>1014</v>
      </c>
      <c r="J139" s="123">
        <v>1000</v>
      </c>
      <c r="K139" s="123">
        <v>994</v>
      </c>
      <c r="L139" s="123">
        <v>1036</v>
      </c>
      <c r="M139" s="123">
        <v>1032</v>
      </c>
      <c r="N139" s="123">
        <v>1013</v>
      </c>
      <c r="O139" s="123">
        <v>1017</v>
      </c>
      <c r="P139" s="123">
        <v>1024</v>
      </c>
      <c r="Q139" s="123">
        <v>1028</v>
      </c>
      <c r="R139" s="123">
        <v>1024</v>
      </c>
      <c r="S139" s="123">
        <v>1022</v>
      </c>
      <c r="T139" s="123">
        <v>1056</v>
      </c>
      <c r="U139" s="336"/>
      <c r="V139" s="337"/>
      <c r="W139" s="337"/>
      <c r="X139" s="331"/>
      <c r="Y139" s="338"/>
      <c r="Z139" s="337"/>
      <c r="AA139" s="339"/>
      <c r="AB139" s="333"/>
      <c r="AC139" s="265"/>
    </row>
    <row r="140" spans="1:35" ht="32.25" thickBot="1">
      <c r="A140" s="123"/>
      <c r="B140" s="243"/>
      <c r="C140" s="243" t="s">
        <v>221</v>
      </c>
      <c r="D140" s="340">
        <f t="shared" ref="D140:T140" si="42">IF(((D138="")*AND(D139="")),"",(D138-D139)*2)</f>
        <v>1955.3199999999997</v>
      </c>
      <c r="E140" s="340">
        <f t="shared" si="42"/>
        <v>2019.3199999999997</v>
      </c>
      <c r="F140" s="340">
        <f t="shared" si="42"/>
        <v>2026.7799999999997</v>
      </c>
      <c r="G140" s="340">
        <f t="shared" si="42"/>
        <v>2039.0600000000004</v>
      </c>
      <c r="H140" s="340">
        <f t="shared" si="42"/>
        <v>2055.58</v>
      </c>
      <c r="I140" s="340">
        <f t="shared" si="42"/>
        <v>2090.04</v>
      </c>
      <c r="J140" s="340">
        <f t="shared" si="42"/>
        <v>2118.7200000000003</v>
      </c>
      <c r="K140" s="340">
        <f t="shared" si="42"/>
        <v>2141.6400000000003</v>
      </c>
      <c r="L140" s="340">
        <f t="shared" si="42"/>
        <v>2081.6800000000003</v>
      </c>
      <c r="M140" s="340">
        <f t="shared" si="42"/>
        <v>2071.54</v>
      </c>
      <c r="N140" s="340">
        <f t="shared" si="42"/>
        <v>2101.08</v>
      </c>
      <c r="O140" s="340">
        <f t="shared" si="42"/>
        <v>2084.42</v>
      </c>
      <c r="P140" s="340">
        <f t="shared" si="42"/>
        <v>2066.8000000000002</v>
      </c>
      <c r="Q140" s="340">
        <f t="shared" si="42"/>
        <v>2061.08</v>
      </c>
      <c r="R140" s="340">
        <f t="shared" si="42"/>
        <v>2075.1400000000003</v>
      </c>
      <c r="S140" s="340">
        <f t="shared" si="42"/>
        <v>2088.4799999999996</v>
      </c>
      <c r="T140" s="341">
        <f t="shared" si="42"/>
        <v>2041.96</v>
      </c>
      <c r="U140" s="342"/>
      <c r="V140" s="340"/>
      <c r="W140" s="340"/>
      <c r="X140" s="343"/>
      <c r="Y140" s="344"/>
      <c r="Z140" s="340"/>
      <c r="AA140" s="345"/>
      <c r="AB140" s="333"/>
      <c r="AC140" s="265"/>
    </row>
    <row r="141" spans="1:35">
      <c r="A141" s="348">
        <v>43336</v>
      </c>
      <c r="B141" s="249" t="s">
        <v>76</v>
      </c>
      <c r="C141" s="235" t="s">
        <v>77</v>
      </c>
      <c r="D141" s="288">
        <v>2055</v>
      </c>
      <c r="E141" s="289">
        <v>2014</v>
      </c>
      <c r="F141" s="289">
        <v>1991</v>
      </c>
      <c r="G141" s="289">
        <v>1978</v>
      </c>
      <c r="H141" s="289">
        <v>1975</v>
      </c>
      <c r="I141" s="289">
        <v>1984</v>
      </c>
      <c r="J141" s="289">
        <v>2001</v>
      </c>
      <c r="K141" s="289">
        <v>2025</v>
      </c>
      <c r="L141" s="289">
        <v>2062</v>
      </c>
      <c r="M141" s="289">
        <v>2020</v>
      </c>
      <c r="N141" s="289">
        <v>2009</v>
      </c>
      <c r="O141" s="289">
        <v>1992</v>
      </c>
      <c r="P141" s="289">
        <v>1980</v>
      </c>
      <c r="Q141" s="289">
        <v>1979</v>
      </c>
      <c r="R141" s="289">
        <v>1990</v>
      </c>
      <c r="S141" s="289">
        <v>2008</v>
      </c>
      <c r="T141" s="289">
        <v>2038</v>
      </c>
      <c r="U141" s="347">
        <f>IF((T142=""),"",MAX(D143:T143))</f>
        <v>2050</v>
      </c>
      <c r="V141" s="235">
        <f>IF(T142="","",MIN(D143:T143))</f>
        <v>1964</v>
      </c>
      <c r="W141" s="250">
        <f>IF((T143=""),"",AVERAGE(D143:T143))</f>
        <v>2012.9411764705883</v>
      </c>
      <c r="X141" s="331">
        <f>STDEV(D143:T143)</f>
        <v>26.010744386299514</v>
      </c>
      <c r="Y141" s="236">
        <f>IF((T142=""),"",((U141-V141)/(U141+V141))*100)</f>
        <v>2.142501245640259</v>
      </c>
      <c r="Z141" s="228" t="str">
        <f>IF(T142="","",IF(Y141&lt;15,IF(W141&gt;AF141,IF(W141&lt;AG141,"Pass","Fail"),"Fail"),"Fail"))</f>
        <v>Pass</v>
      </c>
      <c r="AA141" s="339"/>
      <c r="AB141" s="333"/>
      <c r="AC141" s="323" t="s">
        <v>91</v>
      </c>
      <c r="AD141" s="302">
        <v>1600</v>
      </c>
      <c r="AE141" s="302">
        <v>2600</v>
      </c>
      <c r="AF141" s="334">
        <v>1690</v>
      </c>
      <c r="AG141" s="334">
        <v>2125</v>
      </c>
      <c r="AH141" s="335">
        <v>15</v>
      </c>
      <c r="AI141" s="335">
        <v>15</v>
      </c>
    </row>
    <row r="142" spans="1:35">
      <c r="A142" s="123"/>
      <c r="B142" s="235"/>
      <c r="C142" s="235" t="s">
        <v>78</v>
      </c>
      <c r="D142" s="288">
        <v>1073</v>
      </c>
      <c r="E142" s="289">
        <v>1020</v>
      </c>
      <c r="F142" s="289">
        <v>993</v>
      </c>
      <c r="G142" s="289">
        <v>978</v>
      </c>
      <c r="H142" s="289">
        <v>971</v>
      </c>
      <c r="I142" s="289">
        <v>970</v>
      </c>
      <c r="J142" s="289">
        <v>979</v>
      </c>
      <c r="K142" s="289">
        <v>1000</v>
      </c>
      <c r="L142" s="289">
        <v>1066</v>
      </c>
      <c r="M142" s="289">
        <v>1004</v>
      </c>
      <c r="N142" s="289">
        <v>986</v>
      </c>
      <c r="O142" s="289">
        <v>974</v>
      </c>
      <c r="P142" s="289">
        <v>969</v>
      </c>
      <c r="Q142" s="289">
        <v>973</v>
      </c>
      <c r="R142" s="289">
        <v>981</v>
      </c>
      <c r="S142" s="289">
        <v>999</v>
      </c>
      <c r="T142" s="289">
        <v>1055</v>
      </c>
      <c r="U142" s="336"/>
      <c r="V142" s="337"/>
      <c r="W142" s="337"/>
      <c r="X142" s="331"/>
      <c r="Y142" s="338"/>
      <c r="Z142" s="337"/>
      <c r="AA142" s="339"/>
      <c r="AB142" s="333"/>
      <c r="AC142" s="259"/>
    </row>
    <row r="143" spans="1:35" ht="32.25" thickBot="1">
      <c r="A143" s="123"/>
      <c r="B143" s="243"/>
      <c r="C143" s="243" t="s">
        <v>221</v>
      </c>
      <c r="D143" s="340">
        <f t="shared" ref="D143:T143" si="43">IF(((D141="")*AND(D142="")),"",(D141-D142)*2)</f>
        <v>1964</v>
      </c>
      <c r="E143" s="340">
        <f t="shared" si="43"/>
        <v>1988</v>
      </c>
      <c r="F143" s="340">
        <f t="shared" si="43"/>
        <v>1996</v>
      </c>
      <c r="G143" s="340">
        <f t="shared" si="43"/>
        <v>2000</v>
      </c>
      <c r="H143" s="340">
        <f t="shared" si="43"/>
        <v>2008</v>
      </c>
      <c r="I143" s="340">
        <f t="shared" si="43"/>
        <v>2028</v>
      </c>
      <c r="J143" s="340">
        <f t="shared" si="43"/>
        <v>2044</v>
      </c>
      <c r="K143" s="340">
        <f t="shared" si="43"/>
        <v>2050</v>
      </c>
      <c r="L143" s="340">
        <f t="shared" si="43"/>
        <v>1992</v>
      </c>
      <c r="M143" s="340">
        <f t="shared" si="43"/>
        <v>2032</v>
      </c>
      <c r="N143" s="340">
        <f t="shared" si="43"/>
        <v>2046</v>
      </c>
      <c r="O143" s="340">
        <f t="shared" si="43"/>
        <v>2036</v>
      </c>
      <c r="P143" s="340">
        <f t="shared" si="43"/>
        <v>2022</v>
      </c>
      <c r="Q143" s="340">
        <f t="shared" si="43"/>
        <v>2012</v>
      </c>
      <c r="R143" s="340">
        <f t="shared" si="43"/>
        <v>2018</v>
      </c>
      <c r="S143" s="340">
        <f t="shared" si="43"/>
        <v>2018</v>
      </c>
      <c r="T143" s="341">
        <f t="shared" si="43"/>
        <v>1966</v>
      </c>
      <c r="U143" s="342"/>
      <c r="V143" s="340"/>
      <c r="W143" s="340"/>
      <c r="X143" s="343"/>
      <c r="Y143" s="344"/>
      <c r="Z143" s="340"/>
      <c r="AA143" s="345"/>
      <c r="AB143" s="333"/>
      <c r="AC143" s="265"/>
    </row>
    <row r="144" spans="1:35">
      <c r="A144" s="346">
        <v>43340</v>
      </c>
      <c r="B144" s="249" t="s">
        <v>76</v>
      </c>
      <c r="C144" s="235" t="s">
        <v>77</v>
      </c>
      <c r="D144" s="288">
        <v>2040</v>
      </c>
      <c r="E144" s="289">
        <v>2015</v>
      </c>
      <c r="F144" s="289">
        <v>1996</v>
      </c>
      <c r="G144" s="289">
        <v>1985</v>
      </c>
      <c r="H144" s="289">
        <v>1979</v>
      </c>
      <c r="I144" s="289">
        <v>1990</v>
      </c>
      <c r="J144" s="289">
        <v>2006</v>
      </c>
      <c r="K144" s="289">
        <v>2028</v>
      </c>
      <c r="L144" s="289">
        <v>2049</v>
      </c>
      <c r="M144" s="289">
        <v>2020</v>
      </c>
      <c r="N144" s="289">
        <v>2010</v>
      </c>
      <c r="O144" s="289">
        <v>1996</v>
      </c>
      <c r="P144" s="289">
        <v>1985</v>
      </c>
      <c r="Q144" s="289">
        <v>1987</v>
      </c>
      <c r="R144" s="289">
        <v>1997</v>
      </c>
      <c r="S144" s="289">
        <v>2011</v>
      </c>
      <c r="T144" s="289">
        <v>2027</v>
      </c>
      <c r="U144" s="347">
        <f>IF((T145=""),"",MAX(D146:T146))</f>
        <v>2060</v>
      </c>
      <c r="V144" s="235">
        <f>IF(T145="","",MIN(D146:T146))</f>
        <v>1948</v>
      </c>
      <c r="W144" s="250">
        <f>IF((T146=""),"",AVERAGE(D146:T146))</f>
        <v>2015.1764705882354</v>
      </c>
      <c r="X144" s="331">
        <f>STDEV(D146:T146)</f>
        <v>28.134132504214627</v>
      </c>
      <c r="Y144" s="236">
        <f>IF((T145=""),"",((U144-V144)/(U144+V144))*100)</f>
        <v>2.7944111776447107</v>
      </c>
      <c r="Z144" s="228" t="str">
        <f>IF(T145="","",IF(Y144&lt;15,IF(W144&gt;AF144,IF(W144&lt;AG144,"Pass","Fail"),"Fail"),"Fail"))</f>
        <v>Pass</v>
      </c>
      <c r="AA144" s="339">
        <v>1340</v>
      </c>
      <c r="AB144" s="333"/>
      <c r="AD144" s="302">
        <v>1600</v>
      </c>
      <c r="AE144" s="302">
        <v>2600</v>
      </c>
      <c r="AF144" s="334">
        <v>1690</v>
      </c>
      <c r="AG144" s="334">
        <v>2125</v>
      </c>
      <c r="AH144" s="335">
        <v>15</v>
      </c>
      <c r="AI144" s="335">
        <v>15</v>
      </c>
    </row>
    <row r="145" spans="1:35">
      <c r="A145" s="123"/>
      <c r="B145" s="235"/>
      <c r="C145" s="235" t="s">
        <v>78</v>
      </c>
      <c r="D145" s="288">
        <v>1066</v>
      </c>
      <c r="E145" s="289">
        <v>1022</v>
      </c>
      <c r="F145" s="289">
        <v>999</v>
      </c>
      <c r="G145" s="289">
        <v>982</v>
      </c>
      <c r="H145" s="289">
        <v>972</v>
      </c>
      <c r="I145" s="289">
        <v>973</v>
      </c>
      <c r="J145" s="289">
        <v>982</v>
      </c>
      <c r="K145" s="289">
        <v>998</v>
      </c>
      <c r="L145" s="289">
        <v>1056</v>
      </c>
      <c r="M145" s="289">
        <v>1010</v>
      </c>
      <c r="N145" s="289">
        <v>988</v>
      </c>
      <c r="O145" s="289">
        <v>978</v>
      </c>
      <c r="P145" s="289">
        <v>973</v>
      </c>
      <c r="Q145" s="289">
        <v>977</v>
      </c>
      <c r="R145" s="289">
        <v>984</v>
      </c>
      <c r="S145" s="289">
        <v>998</v>
      </c>
      <c r="T145" s="289">
        <v>1034</v>
      </c>
      <c r="U145" s="336"/>
      <c r="V145" s="337"/>
      <c r="W145" s="337"/>
      <c r="X145" s="331"/>
      <c r="Y145" s="338"/>
      <c r="Z145" s="337"/>
      <c r="AA145" s="339"/>
      <c r="AB145" s="333"/>
      <c r="AC145" s="265"/>
    </row>
    <row r="146" spans="1:35" ht="32.25" thickBot="1">
      <c r="A146" s="123"/>
      <c r="B146" s="243"/>
      <c r="C146" s="243" t="s">
        <v>221</v>
      </c>
      <c r="D146" s="340">
        <f t="shared" ref="D146:T146" si="44">IF(((D144="")*AND(D145="")),"",(D144-D145)*2)</f>
        <v>1948</v>
      </c>
      <c r="E146" s="340">
        <f t="shared" si="44"/>
        <v>1986</v>
      </c>
      <c r="F146" s="340">
        <f t="shared" si="44"/>
        <v>1994</v>
      </c>
      <c r="G146" s="340">
        <f t="shared" si="44"/>
        <v>2006</v>
      </c>
      <c r="H146" s="340">
        <f t="shared" si="44"/>
        <v>2014</v>
      </c>
      <c r="I146" s="340">
        <f t="shared" si="44"/>
        <v>2034</v>
      </c>
      <c r="J146" s="340">
        <f t="shared" si="44"/>
        <v>2048</v>
      </c>
      <c r="K146" s="340">
        <f t="shared" si="44"/>
        <v>2060</v>
      </c>
      <c r="L146" s="340">
        <f t="shared" si="44"/>
        <v>1986</v>
      </c>
      <c r="M146" s="340">
        <f t="shared" si="44"/>
        <v>2020</v>
      </c>
      <c r="N146" s="340">
        <f t="shared" si="44"/>
        <v>2044</v>
      </c>
      <c r="O146" s="340">
        <f t="shared" si="44"/>
        <v>2036</v>
      </c>
      <c r="P146" s="340">
        <f t="shared" si="44"/>
        <v>2024</v>
      </c>
      <c r="Q146" s="340">
        <f t="shared" si="44"/>
        <v>2020</v>
      </c>
      <c r="R146" s="340">
        <f t="shared" si="44"/>
        <v>2026</v>
      </c>
      <c r="S146" s="340">
        <f t="shared" si="44"/>
        <v>2026</v>
      </c>
      <c r="T146" s="341">
        <f t="shared" si="44"/>
        <v>1986</v>
      </c>
      <c r="U146" s="342"/>
      <c r="V146" s="340"/>
      <c r="W146" s="340"/>
      <c r="X146" s="343"/>
      <c r="Y146" s="344"/>
      <c r="Z146" s="340"/>
      <c r="AA146" s="345"/>
      <c r="AB146" s="333"/>
      <c r="AC146" s="265"/>
    </row>
    <row r="147" spans="1:35">
      <c r="A147" s="346">
        <v>43344</v>
      </c>
      <c r="B147" s="249" t="s">
        <v>76</v>
      </c>
      <c r="C147" s="235" t="s">
        <v>77</v>
      </c>
      <c r="D147" s="123">
        <v>2027.55</v>
      </c>
      <c r="E147" s="123">
        <v>2020.81</v>
      </c>
      <c r="F147" s="123">
        <v>2015.17</v>
      </c>
      <c r="G147" s="123">
        <v>2012.86</v>
      </c>
      <c r="H147" s="123">
        <v>2011.5</v>
      </c>
      <c r="I147" s="123">
        <v>2012.41</v>
      </c>
      <c r="J147" s="123">
        <v>2013.65</v>
      </c>
      <c r="K147" s="123">
        <v>2016.72</v>
      </c>
      <c r="L147" s="123">
        <v>2021.1</v>
      </c>
      <c r="M147" s="123">
        <v>2019.41</v>
      </c>
      <c r="N147" s="123">
        <v>2017.01</v>
      </c>
      <c r="O147" s="123">
        <v>2013.85</v>
      </c>
      <c r="P147" s="123">
        <v>2010.78</v>
      </c>
      <c r="Q147" s="123">
        <v>2011.99</v>
      </c>
      <c r="R147" s="123">
        <v>2014.33</v>
      </c>
      <c r="S147" s="123">
        <v>2018.76</v>
      </c>
      <c r="T147" s="123">
        <v>2021.4</v>
      </c>
      <c r="U147" s="347">
        <f>IF((T148=""),"",MAX(D149:T149))</f>
        <v>2123.44</v>
      </c>
      <c r="V147" s="235">
        <f>IF(T148="","",MIN(D149:T149))</f>
        <v>1949.1</v>
      </c>
      <c r="W147" s="250">
        <f>IF((T149=""),"",AVERAGE(D149:T149))</f>
        <v>2048.9764705882353</v>
      </c>
      <c r="X147" s="331">
        <f>STDEV(D149:T149)</f>
        <v>42.674258772293967</v>
      </c>
      <c r="Y147" s="236">
        <f>IF((T148=""),"",((U147-V147)/(U147+V147))*100)</f>
        <v>4.2808664862714707</v>
      </c>
      <c r="Z147" s="228" t="str">
        <f>IF(T148="","",IF(Y147&lt;15,IF(W147&gt;AF147,IF(W147&lt;AG147,"Pass","Fail"),"Fail"),"Fail"))</f>
        <v>Pass</v>
      </c>
      <c r="AA147" s="339">
        <v>1428</v>
      </c>
      <c r="AB147" s="333"/>
      <c r="AD147" s="302">
        <v>1600</v>
      </c>
      <c r="AE147" s="302">
        <v>2600</v>
      </c>
      <c r="AF147" s="334">
        <v>1690</v>
      </c>
      <c r="AG147" s="334">
        <v>2125</v>
      </c>
      <c r="AH147" s="335">
        <v>15</v>
      </c>
      <c r="AI147" s="335">
        <v>15</v>
      </c>
    </row>
    <row r="148" spans="1:35">
      <c r="A148" s="123"/>
      <c r="B148" s="235"/>
      <c r="C148" s="235" t="s">
        <v>78</v>
      </c>
      <c r="D148" s="123">
        <v>1053</v>
      </c>
      <c r="E148" s="123">
        <v>1023</v>
      </c>
      <c r="F148" s="123">
        <v>1014</v>
      </c>
      <c r="G148" s="123">
        <v>1006</v>
      </c>
      <c r="H148" s="123">
        <v>996</v>
      </c>
      <c r="I148" s="123">
        <v>978</v>
      </c>
      <c r="J148" s="123">
        <v>963</v>
      </c>
      <c r="K148" s="123">
        <v>955</v>
      </c>
      <c r="L148" s="123">
        <v>978</v>
      </c>
      <c r="M148" s="123">
        <v>1001</v>
      </c>
      <c r="N148" s="123">
        <v>980</v>
      </c>
      <c r="O148" s="123">
        <v>983</v>
      </c>
      <c r="P148" s="123">
        <v>991</v>
      </c>
      <c r="Q148" s="123">
        <v>992</v>
      </c>
      <c r="R148" s="123">
        <v>984</v>
      </c>
      <c r="S148" s="123">
        <v>982</v>
      </c>
      <c r="T148" s="123">
        <v>984</v>
      </c>
      <c r="U148" s="336"/>
      <c r="V148" s="337"/>
      <c r="W148" s="337"/>
      <c r="X148" s="331"/>
      <c r="Y148" s="338"/>
      <c r="Z148" s="337"/>
      <c r="AA148" s="339"/>
      <c r="AB148" s="333"/>
      <c r="AC148" s="265"/>
    </row>
    <row r="149" spans="1:35" ht="32.25" thickBot="1">
      <c r="A149" s="123"/>
      <c r="B149" s="243"/>
      <c r="C149" s="243" t="s">
        <v>221</v>
      </c>
      <c r="D149" s="340">
        <f t="shared" ref="D149:T149" si="45">IF(((D147="")*AND(D148="")),"",(D147-D148)*2)</f>
        <v>1949.1</v>
      </c>
      <c r="E149" s="340">
        <f t="shared" si="45"/>
        <v>1995.62</v>
      </c>
      <c r="F149" s="340">
        <f t="shared" si="45"/>
        <v>2002.3400000000001</v>
      </c>
      <c r="G149" s="340">
        <f t="shared" si="45"/>
        <v>2013.7199999999998</v>
      </c>
      <c r="H149" s="340">
        <f t="shared" si="45"/>
        <v>2031</v>
      </c>
      <c r="I149" s="340">
        <f t="shared" si="45"/>
        <v>2068.8200000000002</v>
      </c>
      <c r="J149" s="340">
        <f t="shared" si="45"/>
        <v>2101.3000000000002</v>
      </c>
      <c r="K149" s="340">
        <f t="shared" si="45"/>
        <v>2123.44</v>
      </c>
      <c r="L149" s="340">
        <f t="shared" si="45"/>
        <v>2086.1999999999998</v>
      </c>
      <c r="M149" s="340">
        <f t="shared" si="45"/>
        <v>2036.8200000000002</v>
      </c>
      <c r="N149" s="340">
        <f t="shared" si="45"/>
        <v>2074.02</v>
      </c>
      <c r="O149" s="340">
        <f t="shared" si="45"/>
        <v>2061.6999999999998</v>
      </c>
      <c r="P149" s="340">
        <f t="shared" si="45"/>
        <v>2039.56</v>
      </c>
      <c r="Q149" s="340">
        <f t="shared" si="45"/>
        <v>2039.98</v>
      </c>
      <c r="R149" s="340">
        <f t="shared" si="45"/>
        <v>2060.66</v>
      </c>
      <c r="S149" s="340">
        <f t="shared" si="45"/>
        <v>2073.52</v>
      </c>
      <c r="T149" s="341">
        <f t="shared" si="45"/>
        <v>2074.8000000000002</v>
      </c>
      <c r="U149" s="342"/>
      <c r="V149" s="340"/>
      <c r="W149" s="340"/>
      <c r="X149" s="343"/>
      <c r="Y149" s="344"/>
      <c r="Z149" s="340"/>
      <c r="AA149" s="345"/>
      <c r="AB149" s="333"/>
      <c r="AC149" s="265"/>
    </row>
    <row r="150" spans="1:35">
      <c r="A150" s="346">
        <v>43348</v>
      </c>
      <c r="B150" s="249" t="s">
        <v>76</v>
      </c>
      <c r="C150" s="235" t="s">
        <v>77</v>
      </c>
      <c r="D150" s="123">
        <v>2057.16</v>
      </c>
      <c r="E150" s="123">
        <v>2044.81</v>
      </c>
      <c r="F150" s="123">
        <v>2038.17</v>
      </c>
      <c r="G150" s="123">
        <v>2033.33</v>
      </c>
      <c r="H150" s="123">
        <v>2032.25</v>
      </c>
      <c r="I150" s="123">
        <v>2034.57</v>
      </c>
      <c r="J150" s="123">
        <v>2038.77</v>
      </c>
      <c r="K150" s="123">
        <v>2046.94</v>
      </c>
      <c r="L150" s="123">
        <v>2057.5</v>
      </c>
      <c r="M150" s="123">
        <v>2051.16</v>
      </c>
      <c r="N150" s="123">
        <v>2044.23</v>
      </c>
      <c r="O150" s="123">
        <v>2038.73</v>
      </c>
      <c r="P150" s="123">
        <v>2033.09</v>
      </c>
      <c r="Q150" s="123">
        <v>2033.54</v>
      </c>
      <c r="R150" s="123">
        <v>2037.85</v>
      </c>
      <c r="S150" s="123">
        <v>2044.98</v>
      </c>
      <c r="T150" s="123">
        <v>2052.64</v>
      </c>
      <c r="U150" s="347">
        <f>IF((T151=""),"",MAX(D152:T152))</f>
        <v>2119.88</v>
      </c>
      <c r="V150" s="235">
        <f>IF(T151="","",MIN(D152:T152))</f>
        <v>1970.3199999999997</v>
      </c>
      <c r="W150" s="250">
        <f>IF((T152=""),"",AVERAGE(D152:T152))</f>
        <v>2057.0258823529412</v>
      </c>
      <c r="X150" s="331">
        <f>STDEV(D152:T152)</f>
        <v>37.15401779397888</v>
      </c>
      <c r="Y150" s="236">
        <f>IF((T151=""),"",((U150-V150)/(U150+V150))*100)</f>
        <v>3.6565449122292404</v>
      </c>
      <c r="Z150" s="228" t="str">
        <f>IF(T151="","",IF(Y150&lt;15,IF(W150&gt;AF150,IF(W150&lt;AG150,"Pass","Fail"),"Fail"),"Fail"))</f>
        <v>Pass</v>
      </c>
      <c r="AA150" s="339">
        <v>121</v>
      </c>
      <c r="AB150" s="333"/>
      <c r="AD150" s="302">
        <v>1600</v>
      </c>
      <c r="AE150" s="302">
        <v>2600</v>
      </c>
      <c r="AF150" s="334">
        <v>1690</v>
      </c>
      <c r="AG150" s="334">
        <v>2125</v>
      </c>
      <c r="AH150" s="335">
        <v>15</v>
      </c>
      <c r="AI150" s="335">
        <v>15</v>
      </c>
    </row>
    <row r="151" spans="1:35">
      <c r="A151" s="123"/>
      <c r="B151" s="235"/>
      <c r="C151" s="235" t="s">
        <v>78</v>
      </c>
      <c r="D151" s="123">
        <v>1072</v>
      </c>
      <c r="E151" s="123">
        <v>1038</v>
      </c>
      <c r="F151" s="123">
        <v>1024</v>
      </c>
      <c r="G151" s="123">
        <v>1013</v>
      </c>
      <c r="H151" s="123">
        <v>1001</v>
      </c>
      <c r="I151" s="123">
        <v>992</v>
      </c>
      <c r="J151" s="123">
        <v>986</v>
      </c>
      <c r="K151" s="123">
        <v>987</v>
      </c>
      <c r="L151" s="123">
        <v>1038</v>
      </c>
      <c r="M151" s="123">
        <v>1025</v>
      </c>
      <c r="N151" s="123">
        <v>1001</v>
      </c>
      <c r="O151" s="123">
        <v>999</v>
      </c>
      <c r="P151" s="123">
        <v>999</v>
      </c>
      <c r="Q151" s="123">
        <v>1003</v>
      </c>
      <c r="R151" s="123">
        <v>1003</v>
      </c>
      <c r="S151" s="123">
        <v>1007</v>
      </c>
      <c r="T151" s="123">
        <v>1047</v>
      </c>
      <c r="U151" s="336"/>
      <c r="V151" s="337"/>
      <c r="W151" s="337"/>
      <c r="X151" s="331"/>
      <c r="Y151" s="338"/>
      <c r="Z151" s="337"/>
      <c r="AA151" s="339"/>
      <c r="AB151" s="333"/>
      <c r="AC151" s="265"/>
    </row>
    <row r="152" spans="1:35" ht="32.25" thickBot="1">
      <c r="A152" s="123"/>
      <c r="B152" s="243"/>
      <c r="C152" s="243" t="s">
        <v>221</v>
      </c>
      <c r="D152" s="340">
        <f t="shared" ref="D152:T152" si="46">IF(((D150="")*AND(D151="")),"",(D150-D151)*2)</f>
        <v>1970.3199999999997</v>
      </c>
      <c r="E152" s="340">
        <f t="shared" si="46"/>
        <v>2013.62</v>
      </c>
      <c r="F152" s="340">
        <f t="shared" si="46"/>
        <v>2028.3400000000001</v>
      </c>
      <c r="G152" s="340">
        <f t="shared" si="46"/>
        <v>2040.6599999999999</v>
      </c>
      <c r="H152" s="340">
        <f t="shared" si="46"/>
        <v>2062.5</v>
      </c>
      <c r="I152" s="340">
        <f t="shared" si="46"/>
        <v>2085.14</v>
      </c>
      <c r="J152" s="340">
        <f t="shared" si="46"/>
        <v>2105.54</v>
      </c>
      <c r="K152" s="340">
        <f t="shared" si="46"/>
        <v>2119.88</v>
      </c>
      <c r="L152" s="340">
        <f t="shared" si="46"/>
        <v>2039</v>
      </c>
      <c r="M152" s="340">
        <f t="shared" si="46"/>
        <v>2052.3199999999997</v>
      </c>
      <c r="N152" s="340">
        <f t="shared" si="46"/>
        <v>2086.46</v>
      </c>
      <c r="O152" s="340">
        <f t="shared" si="46"/>
        <v>2079.46</v>
      </c>
      <c r="P152" s="340">
        <f t="shared" si="46"/>
        <v>2068.1799999999998</v>
      </c>
      <c r="Q152" s="340">
        <f t="shared" si="46"/>
        <v>2061.08</v>
      </c>
      <c r="R152" s="340">
        <f t="shared" si="46"/>
        <v>2069.6999999999998</v>
      </c>
      <c r="S152" s="340">
        <f t="shared" si="46"/>
        <v>2075.96</v>
      </c>
      <c r="T152" s="341">
        <f t="shared" si="46"/>
        <v>2011.2799999999997</v>
      </c>
      <c r="U152" s="342"/>
      <c r="V152" s="340"/>
      <c r="W152" s="340"/>
      <c r="X152" s="343"/>
      <c r="Y152" s="344"/>
      <c r="Z152" s="340"/>
      <c r="AA152" s="345"/>
      <c r="AB152" s="333"/>
      <c r="AC152" s="265"/>
    </row>
    <row r="153" spans="1:35">
      <c r="A153" s="346">
        <v>43352</v>
      </c>
      <c r="B153" s="249" t="s">
        <v>76</v>
      </c>
      <c r="C153" s="235" t="s">
        <v>77</v>
      </c>
      <c r="D153" s="123">
        <v>2040</v>
      </c>
      <c r="E153" s="123">
        <v>2028</v>
      </c>
      <c r="F153" s="123">
        <v>2022</v>
      </c>
      <c r="G153" s="123">
        <v>2019</v>
      </c>
      <c r="H153" s="123">
        <v>2015</v>
      </c>
      <c r="I153" s="123">
        <v>2017</v>
      </c>
      <c r="J153" s="123">
        <v>2019</v>
      </c>
      <c r="K153" s="123">
        <v>2023</v>
      </c>
      <c r="L153" s="123">
        <v>2031</v>
      </c>
      <c r="M153" s="123">
        <v>2024</v>
      </c>
      <c r="N153" s="123">
        <v>2023</v>
      </c>
      <c r="O153" s="123">
        <v>2019</v>
      </c>
      <c r="P153" s="123">
        <v>2017</v>
      </c>
      <c r="Q153" s="123">
        <v>2017</v>
      </c>
      <c r="R153" s="123">
        <v>2021</v>
      </c>
      <c r="S153" s="123">
        <v>2025</v>
      </c>
      <c r="T153" s="123">
        <v>2030</v>
      </c>
      <c r="U153" s="347">
        <f>IF((T154=""),"",MAX(D155:T155))</f>
        <v>1958</v>
      </c>
      <c r="V153" s="235">
        <f>IF(T154="","",MIN(D155:T155))</f>
        <v>1866</v>
      </c>
      <c r="W153" s="250">
        <f>IF((T155=""),"",AVERAGE(D155:T155))</f>
        <v>1915.7647058823529</v>
      </c>
      <c r="X153" s="331">
        <f>STDEV(D155:T155)</f>
        <v>23.998774478514282</v>
      </c>
      <c r="Y153" s="236">
        <f>IF((T154=""),"",((U153-V153)/(U153+V153))*100)</f>
        <v>2.4058577405857742</v>
      </c>
      <c r="Z153" s="228" t="str">
        <f>IF(T154="","",IF(Y153&lt;15,IF(W153&gt;AF153,IF(W153&lt;AG153,"Pass","Fail"),"Fail"),"Fail"))</f>
        <v>Pass</v>
      </c>
      <c r="AA153" s="339">
        <v>74</v>
      </c>
      <c r="AB153" s="333"/>
      <c r="AD153" s="302">
        <v>1600</v>
      </c>
      <c r="AE153" s="302">
        <v>2600</v>
      </c>
      <c r="AF153" s="334">
        <v>1690</v>
      </c>
      <c r="AG153" s="334">
        <v>2125</v>
      </c>
      <c r="AH153" s="335">
        <v>15</v>
      </c>
      <c r="AI153" s="335">
        <v>15</v>
      </c>
    </row>
    <row r="154" spans="1:35">
      <c r="A154" s="123"/>
      <c r="B154" s="235"/>
      <c r="C154" s="235" t="s">
        <v>78</v>
      </c>
      <c r="D154" s="123">
        <v>1099</v>
      </c>
      <c r="E154" s="123">
        <v>1077</v>
      </c>
      <c r="F154" s="123">
        <v>1072</v>
      </c>
      <c r="G154" s="123">
        <v>1068</v>
      </c>
      <c r="H154" s="123">
        <v>1062</v>
      </c>
      <c r="I154" s="123">
        <v>1054</v>
      </c>
      <c r="J154" s="123">
        <v>1047</v>
      </c>
      <c r="K154" s="123">
        <v>1044</v>
      </c>
      <c r="L154" s="123">
        <v>1082</v>
      </c>
      <c r="M154" s="123">
        <v>1061</v>
      </c>
      <c r="N154" s="123">
        <v>1048</v>
      </c>
      <c r="O154" s="123">
        <v>1051</v>
      </c>
      <c r="P154" s="123">
        <v>1058</v>
      </c>
      <c r="Q154" s="123">
        <v>1063</v>
      </c>
      <c r="R154" s="123">
        <v>1061</v>
      </c>
      <c r="S154" s="123">
        <v>1062</v>
      </c>
      <c r="T154" s="123">
        <v>1097</v>
      </c>
      <c r="U154" s="336"/>
      <c r="V154" s="337"/>
      <c r="W154" s="337"/>
      <c r="X154" s="331"/>
      <c r="Y154" s="338"/>
      <c r="Z154" s="337"/>
      <c r="AA154" s="339"/>
      <c r="AB154" s="333"/>
      <c r="AC154" s="265"/>
    </row>
    <row r="155" spans="1:35" ht="32.25" thickBot="1">
      <c r="A155" s="123"/>
      <c r="B155" s="243"/>
      <c r="C155" s="243" t="s">
        <v>221</v>
      </c>
      <c r="D155" s="340">
        <f t="shared" ref="D155:T155" si="47">IF(((D153="")*AND(D154="")),"",(D153-D154)*2)</f>
        <v>1882</v>
      </c>
      <c r="E155" s="340">
        <f t="shared" si="47"/>
        <v>1902</v>
      </c>
      <c r="F155" s="340">
        <f t="shared" si="47"/>
        <v>1900</v>
      </c>
      <c r="G155" s="340">
        <f t="shared" si="47"/>
        <v>1902</v>
      </c>
      <c r="H155" s="340">
        <f t="shared" si="47"/>
        <v>1906</v>
      </c>
      <c r="I155" s="340">
        <f t="shared" si="47"/>
        <v>1926</v>
      </c>
      <c r="J155" s="340">
        <f t="shared" si="47"/>
        <v>1944</v>
      </c>
      <c r="K155" s="340">
        <f t="shared" si="47"/>
        <v>1958</v>
      </c>
      <c r="L155" s="340">
        <f t="shared" si="47"/>
        <v>1898</v>
      </c>
      <c r="M155" s="340">
        <f t="shared" si="47"/>
        <v>1926</v>
      </c>
      <c r="N155" s="340">
        <f t="shared" si="47"/>
        <v>1950</v>
      </c>
      <c r="O155" s="340">
        <f t="shared" si="47"/>
        <v>1936</v>
      </c>
      <c r="P155" s="340">
        <f t="shared" si="47"/>
        <v>1918</v>
      </c>
      <c r="Q155" s="340">
        <f t="shared" si="47"/>
        <v>1908</v>
      </c>
      <c r="R155" s="340">
        <f t="shared" si="47"/>
        <v>1920</v>
      </c>
      <c r="S155" s="340">
        <f t="shared" si="47"/>
        <v>1926</v>
      </c>
      <c r="T155" s="341">
        <f t="shared" si="47"/>
        <v>1866</v>
      </c>
      <c r="U155" s="342"/>
      <c r="V155" s="340"/>
      <c r="W155" s="340"/>
      <c r="X155" s="343"/>
      <c r="Y155" s="344"/>
      <c r="Z155" s="340"/>
      <c r="AA155" s="345"/>
      <c r="AB155" s="333"/>
      <c r="AC155" s="265"/>
    </row>
    <row r="156" spans="1:35">
      <c r="A156" s="346">
        <v>43357</v>
      </c>
      <c r="B156" s="249" t="s">
        <v>76</v>
      </c>
      <c r="C156" s="235" t="s">
        <v>77</v>
      </c>
      <c r="D156" s="123">
        <v>2026.47</v>
      </c>
      <c r="E156" s="123">
        <v>2014.95</v>
      </c>
      <c r="F156" s="123">
        <v>2009.49</v>
      </c>
      <c r="G156" s="123">
        <v>2005.96</v>
      </c>
      <c r="H156" s="123">
        <v>2006.67</v>
      </c>
      <c r="I156" s="123">
        <v>2004.54</v>
      </c>
      <c r="J156" s="123">
        <v>2005.34</v>
      </c>
      <c r="K156" s="123">
        <v>2009.7</v>
      </c>
      <c r="L156" s="123">
        <v>2019.11</v>
      </c>
      <c r="M156" s="123">
        <v>2012.9</v>
      </c>
      <c r="N156" s="123">
        <v>2007.89</v>
      </c>
      <c r="O156" s="123">
        <v>2007.37</v>
      </c>
      <c r="P156" s="123">
        <v>2003.37</v>
      </c>
      <c r="Q156" s="123">
        <v>2005.36</v>
      </c>
      <c r="R156" s="123">
        <v>2006.98</v>
      </c>
      <c r="S156" s="123">
        <v>2013.75</v>
      </c>
      <c r="T156" s="123">
        <v>2021.56</v>
      </c>
      <c r="U156" s="347">
        <f>IF((T157=""),"",MAX(D158:T158))</f>
        <v>2032.2199999999998</v>
      </c>
      <c r="V156" s="235">
        <f>IF(T157="","",MIN(D158:T158))</f>
        <v>1938.62</v>
      </c>
      <c r="W156" s="250">
        <f>IF((T158=""),"",AVERAGE(D158:T158))</f>
        <v>1989.9400000000003</v>
      </c>
      <c r="X156" s="331">
        <f>STDEV(D158:T158)</f>
        <v>24.899310231410031</v>
      </c>
      <c r="Y156" s="236">
        <f>IF((T157=""),"",((U156-V156)/(U156+V156))*100)</f>
        <v>2.3571838704153256</v>
      </c>
      <c r="Z156" s="228" t="str">
        <f>IF(T157="","",IF(Y156&lt;15,IF(W156&gt;AF156,IF(W156&lt;AG156,"Pass","Fail"),"Fail"),"Fail"))</f>
        <v>Pass</v>
      </c>
      <c r="AA156" s="339">
        <v>1159</v>
      </c>
      <c r="AB156" s="265" t="s">
        <v>92</v>
      </c>
      <c r="AD156" s="302">
        <v>1600</v>
      </c>
      <c r="AE156" s="302">
        <v>2600</v>
      </c>
      <c r="AF156" s="334">
        <v>1690</v>
      </c>
      <c r="AG156" s="334">
        <v>2125</v>
      </c>
      <c r="AH156" s="335">
        <v>15</v>
      </c>
      <c r="AI156" s="335">
        <v>15</v>
      </c>
    </row>
    <row r="157" spans="1:35">
      <c r="A157" s="123"/>
      <c r="B157" s="235"/>
      <c r="C157" s="235" t="s">
        <v>78</v>
      </c>
      <c r="D157" s="123">
        <v>1035.23</v>
      </c>
      <c r="E157" s="123">
        <v>1018</v>
      </c>
      <c r="F157" s="123">
        <v>1010</v>
      </c>
      <c r="G157" s="123">
        <v>1003</v>
      </c>
      <c r="H157" s="123">
        <v>1005</v>
      </c>
      <c r="I157" s="123">
        <v>1035.23</v>
      </c>
      <c r="J157" s="123">
        <v>1018</v>
      </c>
      <c r="K157" s="123">
        <v>1010</v>
      </c>
      <c r="L157" s="123">
        <v>1003</v>
      </c>
      <c r="M157" s="123">
        <v>1005</v>
      </c>
      <c r="N157" s="123">
        <v>1035.23</v>
      </c>
      <c r="O157" s="123">
        <v>1018</v>
      </c>
      <c r="P157" s="123">
        <v>1010</v>
      </c>
      <c r="Q157" s="123">
        <v>1003</v>
      </c>
      <c r="R157" s="123">
        <v>1005</v>
      </c>
      <c r="S157" s="123">
        <v>1035.23</v>
      </c>
      <c r="T157" s="123">
        <v>1018</v>
      </c>
      <c r="U157" s="336"/>
      <c r="V157" s="337"/>
      <c r="W157" s="337"/>
      <c r="X157" s="331"/>
      <c r="Y157" s="338"/>
      <c r="Z157" s="337"/>
      <c r="AA157" s="339"/>
      <c r="AB157" s="333"/>
      <c r="AC157" s="265"/>
    </row>
    <row r="158" spans="1:35" ht="32.25" thickBot="1">
      <c r="A158" s="123"/>
      <c r="B158" s="243"/>
      <c r="C158" s="243" t="s">
        <v>221</v>
      </c>
      <c r="D158" s="340">
        <f t="shared" ref="D158:T158" si="48">IF(((D156="")*AND(D157="")),"",(D156-D157)*2)</f>
        <v>1982.48</v>
      </c>
      <c r="E158" s="340">
        <f t="shared" si="48"/>
        <v>1993.9</v>
      </c>
      <c r="F158" s="340">
        <f t="shared" si="48"/>
        <v>1998.98</v>
      </c>
      <c r="G158" s="340">
        <f t="shared" si="48"/>
        <v>2005.92</v>
      </c>
      <c r="H158" s="340">
        <f t="shared" si="48"/>
        <v>2003.3400000000001</v>
      </c>
      <c r="I158" s="340">
        <f t="shared" si="48"/>
        <v>1938.62</v>
      </c>
      <c r="J158" s="340">
        <f t="shared" si="48"/>
        <v>1974.6799999999998</v>
      </c>
      <c r="K158" s="340">
        <f t="shared" si="48"/>
        <v>1999.4</v>
      </c>
      <c r="L158" s="340">
        <f t="shared" si="48"/>
        <v>2032.2199999999998</v>
      </c>
      <c r="M158" s="340">
        <f t="shared" si="48"/>
        <v>2015.8000000000002</v>
      </c>
      <c r="N158" s="340">
        <f t="shared" si="48"/>
        <v>1945.3200000000002</v>
      </c>
      <c r="O158" s="340">
        <f t="shared" si="48"/>
        <v>1978.7399999999998</v>
      </c>
      <c r="P158" s="340">
        <f t="shared" si="48"/>
        <v>1986.7399999999998</v>
      </c>
      <c r="Q158" s="340">
        <f t="shared" si="48"/>
        <v>2004.7199999999998</v>
      </c>
      <c r="R158" s="340">
        <f t="shared" si="48"/>
        <v>2003.96</v>
      </c>
      <c r="S158" s="340">
        <f t="shared" si="48"/>
        <v>1957.04</v>
      </c>
      <c r="T158" s="341">
        <f t="shared" si="48"/>
        <v>2007.12</v>
      </c>
      <c r="U158" s="342"/>
      <c r="V158" s="340"/>
      <c r="W158" s="340"/>
      <c r="X158" s="343"/>
      <c r="Y158" s="344"/>
      <c r="Z158" s="340"/>
      <c r="AA158" s="345"/>
      <c r="AB158" s="333"/>
      <c r="AC158" s="265"/>
    </row>
    <row r="159" spans="1:35">
      <c r="A159" s="346">
        <v>43362</v>
      </c>
      <c r="B159" s="249" t="s">
        <v>76</v>
      </c>
      <c r="C159" s="235" t="s">
        <v>77</v>
      </c>
      <c r="D159" s="123">
        <v>2518.1999999999998</v>
      </c>
      <c r="E159" s="123">
        <v>2506.7199999999998</v>
      </c>
      <c r="F159" s="123">
        <v>2501.31</v>
      </c>
      <c r="G159" s="123">
        <v>2493.94</v>
      </c>
      <c r="H159" s="123">
        <v>2492.59</v>
      </c>
      <c r="I159" s="123">
        <v>2492.17</v>
      </c>
      <c r="J159" s="123">
        <v>2498.36</v>
      </c>
      <c r="K159" s="123">
        <v>2501.8000000000002</v>
      </c>
      <c r="L159" s="123">
        <v>2508.5300000000002</v>
      </c>
      <c r="M159" s="123">
        <v>2502.92</v>
      </c>
      <c r="N159" s="123">
        <v>2498.91</v>
      </c>
      <c r="O159" s="123">
        <v>2496.94</v>
      </c>
      <c r="P159" s="123">
        <v>2493.19</v>
      </c>
      <c r="Q159" s="123">
        <v>2497.3200000000002</v>
      </c>
      <c r="R159" s="123">
        <v>2498.67</v>
      </c>
      <c r="S159" s="123">
        <v>2504.87</v>
      </c>
      <c r="T159" s="123">
        <v>2510.46</v>
      </c>
      <c r="U159" s="347">
        <f>IF((T160=""),"",MAX(D161:T161))</f>
        <v>2183.1800000000003</v>
      </c>
      <c r="V159" s="235">
        <f>IF(T160="","",MIN(D161:T161))</f>
        <v>2007.8599999999997</v>
      </c>
      <c r="W159" s="250">
        <f>IF((T161=""),"",AVERAGE(D161:T161))</f>
        <v>2092.9964705882353</v>
      </c>
      <c r="X159" s="331">
        <f>STDEV(D161:T161)</f>
        <v>46.842437615528937</v>
      </c>
      <c r="Y159" s="236">
        <f>IF((T160=""),"",((U159-V159)/(U159+V159))*100)</f>
        <v>4.1832098953959074</v>
      </c>
      <c r="Z159" s="228" t="str">
        <f>IF(T160="","",IF(Y159&lt;15,IF(W159&gt;AF159,IF(W159&lt;AG159,"Pass","Fail"),"Fail"),"Fail"))</f>
        <v>Pass</v>
      </c>
      <c r="AA159" s="339">
        <v>1340</v>
      </c>
      <c r="AB159" s="333"/>
      <c r="AD159" s="302">
        <v>1600</v>
      </c>
      <c r="AE159" s="302">
        <v>2600</v>
      </c>
      <c r="AF159" s="334">
        <v>1690</v>
      </c>
      <c r="AG159" s="334">
        <v>2125</v>
      </c>
      <c r="AH159" s="335">
        <v>15</v>
      </c>
      <c r="AI159" s="335">
        <v>15</v>
      </c>
    </row>
    <row r="160" spans="1:35">
      <c r="A160" s="123"/>
      <c r="B160" s="235"/>
      <c r="C160" s="235" t="s">
        <v>78</v>
      </c>
      <c r="D160" s="123">
        <v>1514.27</v>
      </c>
      <c r="E160" s="123">
        <v>1491.69</v>
      </c>
      <c r="F160" s="123">
        <v>1480.7</v>
      </c>
      <c r="G160" s="123">
        <v>1471.87</v>
      </c>
      <c r="H160" s="123">
        <v>1458.04</v>
      </c>
      <c r="I160" s="123">
        <v>1441.35</v>
      </c>
      <c r="J160" s="123">
        <v>1425.55</v>
      </c>
      <c r="K160" s="123">
        <v>1417.02</v>
      </c>
      <c r="L160" s="123">
        <v>1416.94</v>
      </c>
      <c r="M160" s="123">
        <v>1451.11</v>
      </c>
      <c r="N160" s="123">
        <v>1447.33</v>
      </c>
      <c r="O160" s="123">
        <v>1450.21</v>
      </c>
      <c r="P160" s="123">
        <v>1455.19</v>
      </c>
      <c r="Q160" s="123">
        <v>1454.28</v>
      </c>
      <c r="R160" s="123">
        <v>1448.48</v>
      </c>
      <c r="S160" s="123">
        <v>1446.9</v>
      </c>
      <c r="T160" s="123">
        <v>1455.5</v>
      </c>
      <c r="U160" s="336"/>
      <c r="V160" s="337"/>
      <c r="W160" s="337"/>
      <c r="X160" s="331"/>
      <c r="Y160" s="338"/>
      <c r="Z160" s="337"/>
      <c r="AA160" s="339"/>
      <c r="AB160" s="333"/>
      <c r="AC160" s="265"/>
    </row>
    <row r="161" spans="1:35" ht="32.25" thickBot="1">
      <c r="A161" s="123"/>
      <c r="B161" s="243"/>
      <c r="C161" s="243" t="s">
        <v>221</v>
      </c>
      <c r="D161" s="340">
        <f t="shared" ref="D161:T161" si="49">IF(((D159="")*AND(D160="")),"",(D159-D160)*2)</f>
        <v>2007.8599999999997</v>
      </c>
      <c r="E161" s="340">
        <f t="shared" si="49"/>
        <v>2030.0599999999995</v>
      </c>
      <c r="F161" s="340">
        <f t="shared" si="49"/>
        <v>2041.2199999999998</v>
      </c>
      <c r="G161" s="340">
        <f t="shared" si="49"/>
        <v>2044.1400000000003</v>
      </c>
      <c r="H161" s="340">
        <f t="shared" si="49"/>
        <v>2069.1000000000004</v>
      </c>
      <c r="I161" s="340">
        <f t="shared" si="49"/>
        <v>2101.6400000000003</v>
      </c>
      <c r="J161" s="340">
        <f t="shared" si="49"/>
        <v>2145.6200000000003</v>
      </c>
      <c r="K161" s="340">
        <f t="shared" si="49"/>
        <v>2169.5600000000004</v>
      </c>
      <c r="L161" s="340">
        <f t="shared" si="49"/>
        <v>2183.1800000000003</v>
      </c>
      <c r="M161" s="340">
        <f t="shared" si="49"/>
        <v>2103.6200000000003</v>
      </c>
      <c r="N161" s="340">
        <f t="shared" si="49"/>
        <v>2103.16</v>
      </c>
      <c r="O161" s="340">
        <f t="shared" si="49"/>
        <v>2093.46</v>
      </c>
      <c r="P161" s="340">
        <f t="shared" si="49"/>
        <v>2076</v>
      </c>
      <c r="Q161" s="340">
        <f t="shared" si="49"/>
        <v>2086.0800000000004</v>
      </c>
      <c r="R161" s="340">
        <f t="shared" si="49"/>
        <v>2100.38</v>
      </c>
      <c r="S161" s="340">
        <f t="shared" si="49"/>
        <v>2115.9399999999996</v>
      </c>
      <c r="T161" s="341">
        <f t="shared" si="49"/>
        <v>2109.92</v>
      </c>
      <c r="U161" s="342"/>
      <c r="V161" s="340"/>
      <c r="W161" s="340"/>
      <c r="X161" s="343"/>
      <c r="Y161" s="344"/>
      <c r="Z161" s="340"/>
      <c r="AA161" s="345"/>
      <c r="AB161" s="333"/>
      <c r="AC161" s="265"/>
    </row>
    <row r="162" spans="1:35">
      <c r="A162" s="346">
        <v>43367</v>
      </c>
      <c r="B162" s="249" t="s">
        <v>76</v>
      </c>
      <c r="C162" s="235" t="s">
        <v>77</v>
      </c>
      <c r="D162" s="123">
        <v>4425.38</v>
      </c>
      <c r="E162" s="123">
        <v>4385.76</v>
      </c>
      <c r="F162" s="123">
        <v>4370.12</v>
      </c>
      <c r="G162" s="123">
        <v>4362.49</v>
      </c>
      <c r="H162" s="123">
        <v>4356.63</v>
      </c>
      <c r="I162" s="123">
        <v>4334.28</v>
      </c>
      <c r="J162" s="123">
        <v>4320.54</v>
      </c>
      <c r="K162" s="123">
        <v>4325.55</v>
      </c>
      <c r="L162" s="123">
        <v>4354.92</v>
      </c>
      <c r="M162" s="123">
        <v>4363.08</v>
      </c>
      <c r="N162" s="123">
        <v>4341.83</v>
      </c>
      <c r="O162" s="123">
        <v>4334.28</v>
      </c>
      <c r="P162" s="123">
        <v>4346.46</v>
      </c>
      <c r="Q162" s="123">
        <v>4349.82</v>
      </c>
      <c r="R162" s="123">
        <v>4341.62</v>
      </c>
      <c r="S162" s="123">
        <v>4343.91</v>
      </c>
      <c r="T162" s="123">
        <v>4370.8900000000003</v>
      </c>
      <c r="U162" s="347">
        <f>IF((T163=""),"",MAX(D164:T164))</f>
        <v>1843.1000000000004</v>
      </c>
      <c r="V162" s="235">
        <f>IF(T163="","",MIN(D164:T164))</f>
        <v>1710.9799999999996</v>
      </c>
      <c r="W162" s="250">
        <f>IF((T164=""),"",AVERAGE(D164:T164))</f>
        <v>1769.8305882352938</v>
      </c>
      <c r="X162" s="331">
        <f>STDEV(D164:T164)</f>
        <v>39.43815609130781</v>
      </c>
      <c r="Y162" s="236">
        <f>IF((T163=""),"",((U162-V162)/(U162+V162))*100)</f>
        <v>3.7174177283572911</v>
      </c>
      <c r="Z162" s="228" t="str">
        <f>IF(T163="","",IF(Y162&lt;15,IF(W162&gt;AF162,IF(W162&lt;AG162,"Pass","Fail"),"Fail"),"Fail"))</f>
        <v>Pass</v>
      </c>
      <c r="AA162" s="339">
        <v>1340</v>
      </c>
      <c r="AB162" s="333"/>
      <c r="AD162" s="302">
        <v>1600</v>
      </c>
      <c r="AE162" s="302">
        <v>2600</v>
      </c>
      <c r="AF162" s="334">
        <v>1690</v>
      </c>
      <c r="AG162" s="334">
        <v>2125</v>
      </c>
      <c r="AH162" s="335">
        <v>15</v>
      </c>
      <c r="AI162" s="335">
        <v>15</v>
      </c>
    </row>
    <row r="163" spans="1:35">
      <c r="A163" s="123"/>
      <c r="B163" s="235"/>
      <c r="C163" s="235" t="s">
        <v>78</v>
      </c>
      <c r="D163" s="123">
        <v>3550</v>
      </c>
      <c r="E163" s="123">
        <v>3521</v>
      </c>
      <c r="F163" s="123">
        <v>3509</v>
      </c>
      <c r="G163" s="123">
        <v>3507</v>
      </c>
      <c r="H163" s="123">
        <v>3495</v>
      </c>
      <c r="I163" s="123">
        <v>3452</v>
      </c>
      <c r="J163" s="123">
        <v>3421</v>
      </c>
      <c r="K163" s="123">
        <v>3404</v>
      </c>
      <c r="L163" s="123">
        <v>3442</v>
      </c>
      <c r="M163" s="123">
        <v>3452</v>
      </c>
      <c r="N163" s="123">
        <v>3437</v>
      </c>
      <c r="O163" s="123">
        <v>3453</v>
      </c>
      <c r="P163" s="123">
        <v>3474</v>
      </c>
      <c r="Q163" s="123">
        <v>3472</v>
      </c>
      <c r="R163" s="123">
        <v>3461</v>
      </c>
      <c r="S163" s="123">
        <v>3457</v>
      </c>
      <c r="T163" s="123">
        <v>3477</v>
      </c>
      <c r="U163" s="336"/>
      <c r="V163" s="337"/>
      <c r="W163" s="337"/>
      <c r="X163" s="331"/>
      <c r="Y163" s="338"/>
      <c r="Z163" s="337"/>
      <c r="AA163" s="339"/>
      <c r="AB163" s="333"/>
      <c r="AC163" s="265"/>
    </row>
    <row r="164" spans="1:35" ht="32.25" thickBot="1">
      <c r="A164" s="123"/>
      <c r="B164" s="243"/>
      <c r="C164" s="243" t="s">
        <v>221</v>
      </c>
      <c r="D164" s="340">
        <f t="shared" ref="D164:T164" si="50">IF(((D162="")*AND(D163="")),"",(D162-D163)*2)</f>
        <v>1750.7600000000002</v>
      </c>
      <c r="E164" s="340">
        <f t="shared" si="50"/>
        <v>1729.5200000000004</v>
      </c>
      <c r="F164" s="340">
        <f t="shared" si="50"/>
        <v>1722.2399999999998</v>
      </c>
      <c r="G164" s="340">
        <f t="shared" si="50"/>
        <v>1710.9799999999996</v>
      </c>
      <c r="H164" s="340">
        <f t="shared" si="50"/>
        <v>1723.2600000000002</v>
      </c>
      <c r="I164" s="340">
        <f t="shared" si="50"/>
        <v>1764.5599999999995</v>
      </c>
      <c r="J164" s="340">
        <f t="shared" si="50"/>
        <v>1799.08</v>
      </c>
      <c r="K164" s="340">
        <f t="shared" si="50"/>
        <v>1843.1000000000004</v>
      </c>
      <c r="L164" s="340">
        <f t="shared" si="50"/>
        <v>1825.8400000000001</v>
      </c>
      <c r="M164" s="340">
        <f t="shared" si="50"/>
        <v>1822.1599999999999</v>
      </c>
      <c r="N164" s="340">
        <f t="shared" si="50"/>
        <v>1809.6599999999999</v>
      </c>
      <c r="O164" s="340">
        <f t="shared" si="50"/>
        <v>1762.5599999999995</v>
      </c>
      <c r="P164" s="340">
        <f t="shared" si="50"/>
        <v>1744.92</v>
      </c>
      <c r="Q164" s="340">
        <f t="shared" si="50"/>
        <v>1755.6399999999994</v>
      </c>
      <c r="R164" s="340">
        <f t="shared" si="50"/>
        <v>1761.2399999999998</v>
      </c>
      <c r="S164" s="340">
        <f t="shared" si="50"/>
        <v>1773.8199999999997</v>
      </c>
      <c r="T164" s="341">
        <f t="shared" si="50"/>
        <v>1787.7800000000007</v>
      </c>
      <c r="U164" s="342"/>
      <c r="V164" s="340"/>
      <c r="W164" s="340"/>
      <c r="X164" s="343"/>
      <c r="Y164" s="344"/>
      <c r="Z164" s="340"/>
      <c r="AA164" s="345"/>
      <c r="AB164" s="333"/>
      <c r="AC164" s="265"/>
    </row>
    <row r="165" spans="1:35">
      <c r="A165" s="346">
        <v>43367</v>
      </c>
      <c r="B165" s="249" t="s">
        <v>76</v>
      </c>
      <c r="C165" s="235" t="s">
        <v>77</v>
      </c>
      <c r="D165" s="123">
        <v>3930.55</v>
      </c>
      <c r="E165" s="123">
        <v>3857.58</v>
      </c>
      <c r="F165" s="123">
        <v>3811.75</v>
      </c>
      <c r="G165" s="123">
        <v>3782.68</v>
      </c>
      <c r="H165" s="123">
        <v>3780.11</v>
      </c>
      <c r="I165" s="123">
        <v>3796.93</v>
      </c>
      <c r="J165" s="123">
        <v>3832.78</v>
      </c>
      <c r="K165" s="123">
        <v>3883.87</v>
      </c>
      <c r="L165" s="123">
        <v>3954.96</v>
      </c>
      <c r="M165" s="123">
        <v>3860.69</v>
      </c>
      <c r="N165" s="123">
        <v>3847.39</v>
      </c>
      <c r="O165" s="123">
        <v>3812.43</v>
      </c>
      <c r="P165" s="123">
        <v>3788.98</v>
      </c>
      <c r="Q165" s="123">
        <v>3787.08</v>
      </c>
      <c r="R165" s="123">
        <v>3810.8</v>
      </c>
      <c r="S165" s="123">
        <v>3844.18</v>
      </c>
      <c r="T165" s="123">
        <v>3898.66</v>
      </c>
      <c r="U165" s="347">
        <f>IF((T166=""),"",MAX(D167:T167))</f>
        <v>2142.7600000000002</v>
      </c>
      <c r="V165" s="235">
        <f>IF(T166="","",MIN(D167:T167))</f>
        <v>2050.3600000000006</v>
      </c>
      <c r="W165" s="250">
        <f>IF((T167=""),"",AVERAGE(D167:T167))</f>
        <v>2090.9752941176471</v>
      </c>
      <c r="X165" s="331">
        <f>STDEV(D167:T167)</f>
        <v>27.686616378145445</v>
      </c>
      <c r="Y165" s="236">
        <f>IF((T166=""),"",((U165-V165)/(U165+V165))*100)</f>
        <v>2.2036097225931912</v>
      </c>
      <c r="Z165" s="228" t="str">
        <f>IF(T166="","",IF(Y165&lt;15,IF(W165&gt;AF165,IF(W165&lt;AG165,"Pass","Fail"),"Fail"),"Fail"))</f>
        <v>Pass</v>
      </c>
      <c r="AA165" s="339">
        <v>1428</v>
      </c>
      <c r="AB165" s="333"/>
      <c r="AC165" s="323" t="s">
        <v>108</v>
      </c>
      <c r="AD165" s="302">
        <v>1600</v>
      </c>
      <c r="AE165" s="302">
        <v>2600</v>
      </c>
      <c r="AF165" s="334">
        <v>1690</v>
      </c>
      <c r="AG165" s="334">
        <v>2125</v>
      </c>
      <c r="AH165" s="335">
        <v>15</v>
      </c>
      <c r="AI165" s="335">
        <v>15</v>
      </c>
    </row>
    <row r="166" spans="1:35">
      <c r="A166" s="123"/>
      <c r="B166" s="235"/>
      <c r="C166" s="235" t="s">
        <v>78</v>
      </c>
      <c r="D166" s="123">
        <v>2905.37</v>
      </c>
      <c r="E166" s="123">
        <v>2822.57</v>
      </c>
      <c r="F166" s="123">
        <v>2775.88</v>
      </c>
      <c r="G166" s="123">
        <v>2750.83</v>
      </c>
      <c r="H166" s="123">
        <v>2741.61</v>
      </c>
      <c r="I166" s="123">
        <v>2743.91</v>
      </c>
      <c r="J166" s="123">
        <v>2766.6</v>
      </c>
      <c r="K166" s="123">
        <v>2812.49</v>
      </c>
      <c r="L166" s="123">
        <v>2921.02</v>
      </c>
      <c r="M166" s="123">
        <v>2813.06</v>
      </c>
      <c r="N166" s="123">
        <v>2782.49</v>
      </c>
      <c r="O166" s="123">
        <v>2754.88</v>
      </c>
      <c r="P166" s="123">
        <v>2742.72</v>
      </c>
      <c r="Q166" s="123">
        <v>2746.01</v>
      </c>
      <c r="R166" s="123">
        <v>2761.98</v>
      </c>
      <c r="S166" s="123">
        <v>2794.72</v>
      </c>
      <c r="T166" s="123">
        <v>2871.99</v>
      </c>
      <c r="U166" s="336"/>
      <c r="V166" s="337"/>
      <c r="W166" s="337"/>
      <c r="X166" s="331"/>
      <c r="Y166" s="338"/>
      <c r="Z166" s="337"/>
      <c r="AA166" s="339"/>
      <c r="AB166" s="333"/>
      <c r="AC166" s="265"/>
    </row>
    <row r="167" spans="1:35" ht="32.25" thickBot="1">
      <c r="A167" s="123"/>
      <c r="B167" s="243"/>
      <c r="C167" s="243" t="s">
        <v>221</v>
      </c>
      <c r="D167" s="340">
        <f t="shared" ref="D167:T167" si="51">IF(((D165="")*AND(D166="")),"",(D165-D166)*2)</f>
        <v>2050.3600000000006</v>
      </c>
      <c r="E167" s="340">
        <f t="shared" si="51"/>
        <v>2070.0199999999995</v>
      </c>
      <c r="F167" s="340">
        <f t="shared" si="51"/>
        <v>2071.7399999999998</v>
      </c>
      <c r="G167" s="340">
        <f t="shared" si="51"/>
        <v>2063.6999999999998</v>
      </c>
      <c r="H167" s="340">
        <f t="shared" si="51"/>
        <v>2077</v>
      </c>
      <c r="I167" s="340">
        <f t="shared" si="51"/>
        <v>2106.04</v>
      </c>
      <c r="J167" s="340">
        <f t="shared" si="51"/>
        <v>2132.3600000000006</v>
      </c>
      <c r="K167" s="340">
        <f t="shared" si="51"/>
        <v>2142.7600000000002</v>
      </c>
      <c r="L167" s="340">
        <f t="shared" si="51"/>
        <v>2067.88</v>
      </c>
      <c r="M167" s="340">
        <f t="shared" si="51"/>
        <v>2095.2600000000002</v>
      </c>
      <c r="N167" s="340">
        <f t="shared" si="51"/>
        <v>2129.8000000000002</v>
      </c>
      <c r="O167" s="340">
        <f t="shared" si="51"/>
        <v>2115.0999999999995</v>
      </c>
      <c r="P167" s="340">
        <f t="shared" si="51"/>
        <v>2092.5200000000004</v>
      </c>
      <c r="Q167" s="340">
        <f t="shared" si="51"/>
        <v>2082.1399999999994</v>
      </c>
      <c r="R167" s="340">
        <f t="shared" si="51"/>
        <v>2097.6400000000003</v>
      </c>
      <c r="S167" s="340">
        <f t="shared" si="51"/>
        <v>2098.92</v>
      </c>
      <c r="T167" s="341">
        <f t="shared" si="51"/>
        <v>2053.34</v>
      </c>
      <c r="U167" s="342"/>
      <c r="V167" s="340"/>
      <c r="W167" s="340"/>
      <c r="X167" s="343"/>
      <c r="Y167" s="344"/>
      <c r="Z167" s="340"/>
      <c r="AA167" s="345"/>
      <c r="AB167" s="333"/>
      <c r="AC167" s="265"/>
    </row>
    <row r="168" spans="1:35">
      <c r="A168" s="346">
        <v>43367</v>
      </c>
      <c r="B168" s="249" t="s">
        <v>76</v>
      </c>
      <c r="C168" s="235" t="s">
        <v>77</v>
      </c>
      <c r="D168" s="123">
        <v>5450.75</v>
      </c>
      <c r="E168" s="123">
        <v>5415.78</v>
      </c>
      <c r="F168" s="123">
        <v>5396.82</v>
      </c>
      <c r="G168" s="123">
        <v>5389.73</v>
      </c>
      <c r="H168" s="123">
        <v>5385.12</v>
      </c>
      <c r="I168" s="123">
        <v>5388.68</v>
      </c>
      <c r="J168" s="123">
        <v>5396.49</v>
      </c>
      <c r="K168" s="123">
        <v>5411.96</v>
      </c>
      <c r="L168" s="123">
        <v>5455.36</v>
      </c>
      <c r="M168" s="123">
        <v>5428.57</v>
      </c>
      <c r="N168" s="123">
        <v>5404.86</v>
      </c>
      <c r="O168" s="123">
        <v>5388.85</v>
      </c>
      <c r="P168" s="123">
        <v>5385.31</v>
      </c>
      <c r="Q168" s="123">
        <v>5379.78</v>
      </c>
      <c r="R168" s="123">
        <v>5390.77</v>
      </c>
      <c r="S168" s="123">
        <v>5400.58</v>
      </c>
      <c r="T168" s="123">
        <v>5409.08</v>
      </c>
      <c r="U168" s="347">
        <f>IF((T169=""),"",MAX(D170:T170))</f>
        <v>2120.6799999999985</v>
      </c>
      <c r="V168" s="235">
        <f>IF(T169="","",MIN(D170:T170))</f>
        <v>1987.0200000000004</v>
      </c>
      <c r="W168" s="250">
        <f>IF((T170=""),"",AVERAGE(D170:T170))</f>
        <v>2061.9211764705883</v>
      </c>
      <c r="X168" s="331">
        <f>STDEV(D170:T170)</f>
        <v>37.225846176136812</v>
      </c>
      <c r="Y168" s="236">
        <f>IF((T169=""),"",((U168-V168)/(U168+V168))*100)</f>
        <v>3.2538890376609313</v>
      </c>
      <c r="Z168" s="228" t="str">
        <f>IF(T169="","",IF(Y168&lt;15,IF(W168&gt;AF168,IF(W168&lt;AG168,"Pass","Fail"),"Fail"),"Fail"))</f>
        <v>Pass</v>
      </c>
      <c r="AA168" s="339">
        <v>1428</v>
      </c>
      <c r="AB168" s="333"/>
      <c r="AC168" s="323" t="s">
        <v>109</v>
      </c>
      <c r="AD168" s="302">
        <v>1600</v>
      </c>
      <c r="AE168" s="302">
        <v>2600</v>
      </c>
      <c r="AF168" s="334">
        <v>1690</v>
      </c>
      <c r="AG168" s="334">
        <v>2125</v>
      </c>
      <c r="AH168" s="335">
        <v>15</v>
      </c>
      <c r="AI168" s="335">
        <v>15</v>
      </c>
    </row>
    <row r="169" spans="1:35">
      <c r="A169" s="123"/>
      <c r="B169" s="235"/>
      <c r="C169" s="235" t="s">
        <v>78</v>
      </c>
      <c r="D169" s="123">
        <v>4443.5</v>
      </c>
      <c r="E169" s="123">
        <v>4395.6499999999996</v>
      </c>
      <c r="F169" s="123">
        <v>4373.2</v>
      </c>
      <c r="G169" s="123">
        <v>4364.83</v>
      </c>
      <c r="H169" s="123">
        <v>4360.2299999999996</v>
      </c>
      <c r="I169" s="123">
        <v>4344.6400000000003</v>
      </c>
      <c r="J169" s="123">
        <v>4339.62</v>
      </c>
      <c r="K169" s="123">
        <v>4356.1400000000003</v>
      </c>
      <c r="L169" s="123">
        <v>4450.45</v>
      </c>
      <c r="M169" s="123">
        <v>4395.25</v>
      </c>
      <c r="N169" s="123">
        <v>4344.5200000000004</v>
      </c>
      <c r="O169" s="123">
        <v>4343.24</v>
      </c>
      <c r="P169" s="123">
        <v>4348.05</v>
      </c>
      <c r="Q169" s="123">
        <v>4355.3100000000004</v>
      </c>
      <c r="R169" s="123">
        <v>4356.95</v>
      </c>
      <c r="S169" s="123">
        <v>4365.01</v>
      </c>
      <c r="T169" s="123">
        <v>4415.57</v>
      </c>
      <c r="U169" s="336"/>
      <c r="V169" s="337"/>
      <c r="W169" s="337"/>
      <c r="X169" s="331"/>
      <c r="Y169" s="338"/>
      <c r="Z169" s="337"/>
      <c r="AA169" s="339"/>
      <c r="AB169" s="333"/>
      <c r="AC169" s="265"/>
    </row>
    <row r="170" spans="1:35" ht="32.25" thickBot="1">
      <c r="A170" s="123"/>
      <c r="B170" s="243"/>
      <c r="C170" s="243" t="s">
        <v>221</v>
      </c>
      <c r="D170" s="340">
        <f t="shared" ref="D170:T170" si="52">IF(((D168="")*AND(D169="")),"",(D168-D169)*2)</f>
        <v>2014.5</v>
      </c>
      <c r="E170" s="340">
        <f t="shared" si="52"/>
        <v>2040.2600000000002</v>
      </c>
      <c r="F170" s="340">
        <f t="shared" si="52"/>
        <v>2047.2399999999998</v>
      </c>
      <c r="G170" s="340">
        <f t="shared" si="52"/>
        <v>2049.7999999999993</v>
      </c>
      <c r="H170" s="340">
        <f t="shared" si="52"/>
        <v>2049.7800000000007</v>
      </c>
      <c r="I170" s="340">
        <f t="shared" si="52"/>
        <v>2088.08</v>
      </c>
      <c r="J170" s="340">
        <f t="shared" si="52"/>
        <v>2113.7399999999998</v>
      </c>
      <c r="K170" s="340">
        <f t="shared" si="52"/>
        <v>2111.6399999999994</v>
      </c>
      <c r="L170" s="340">
        <f t="shared" si="52"/>
        <v>2009.8199999999997</v>
      </c>
      <c r="M170" s="340">
        <f t="shared" si="52"/>
        <v>2066.6399999999994</v>
      </c>
      <c r="N170" s="340">
        <f t="shared" si="52"/>
        <v>2120.6799999999985</v>
      </c>
      <c r="O170" s="340">
        <f t="shared" si="52"/>
        <v>2091.2200000000012</v>
      </c>
      <c r="P170" s="340">
        <f t="shared" si="52"/>
        <v>2074.5200000000004</v>
      </c>
      <c r="Q170" s="340">
        <f t="shared" si="52"/>
        <v>2048.9399999999987</v>
      </c>
      <c r="R170" s="340">
        <f t="shared" si="52"/>
        <v>2067.6400000000012</v>
      </c>
      <c r="S170" s="340">
        <f t="shared" si="52"/>
        <v>2071.1399999999994</v>
      </c>
      <c r="T170" s="341">
        <f t="shared" si="52"/>
        <v>1987.0200000000004</v>
      </c>
      <c r="U170" s="342"/>
      <c r="V170" s="340"/>
      <c r="W170" s="340"/>
      <c r="X170" s="343"/>
      <c r="Y170" s="344"/>
      <c r="Z170" s="340"/>
      <c r="AA170" s="345"/>
      <c r="AB170" s="333"/>
      <c r="AC170" s="265"/>
    </row>
    <row r="171" spans="1:35">
      <c r="A171" s="346">
        <v>43368</v>
      </c>
      <c r="B171" s="249" t="s">
        <v>76</v>
      </c>
      <c r="C171" s="235" t="s">
        <v>77</v>
      </c>
      <c r="D171" s="123">
        <v>2002</v>
      </c>
      <c r="E171" s="123">
        <v>1984</v>
      </c>
      <c r="F171" s="123">
        <v>1979</v>
      </c>
      <c r="G171" s="123">
        <v>1976</v>
      </c>
      <c r="H171" s="123">
        <v>1975</v>
      </c>
      <c r="I171" s="123">
        <v>1974</v>
      </c>
      <c r="J171" s="123">
        <v>1975</v>
      </c>
      <c r="K171" s="123">
        <v>1979</v>
      </c>
      <c r="L171" s="123">
        <v>1993</v>
      </c>
      <c r="M171" s="123">
        <v>1987</v>
      </c>
      <c r="N171" s="123">
        <v>1978</v>
      </c>
      <c r="O171" s="123">
        <v>1976</v>
      </c>
      <c r="P171" s="123">
        <v>1975</v>
      </c>
      <c r="Q171" s="123">
        <v>1975</v>
      </c>
      <c r="R171" s="123">
        <v>1977</v>
      </c>
      <c r="S171" s="123">
        <v>1980</v>
      </c>
      <c r="T171" s="123">
        <v>1996</v>
      </c>
      <c r="U171" s="347">
        <f>IF((T172=""),"",MAX(D173:T173))</f>
        <v>2129.58</v>
      </c>
      <c r="V171" s="235">
        <f>IF(T172="","",MIN(D173:T173))</f>
        <v>2013.02</v>
      </c>
      <c r="W171" s="250">
        <f>IF((T173=""),"",AVERAGE(D173:T173))</f>
        <v>2098.3235294117644</v>
      </c>
      <c r="X171" s="331">
        <f>STDEV(D173:T173)</f>
        <v>31.253575983632739</v>
      </c>
      <c r="Y171" s="236">
        <f>IF((T172=""),"",((U171-V171)/(U171+V171))*100)</f>
        <v>2.8136918843238532</v>
      </c>
      <c r="Z171" s="228" t="str">
        <f>IF(T172="","",IF(Y171&lt;15,IF(W171&gt;AF171,IF(W171&lt;AG171,"Pass","Fail"),"Fail"),"Fail"))</f>
        <v>Pass</v>
      </c>
      <c r="AA171" s="339">
        <v>1340</v>
      </c>
      <c r="AB171" s="333"/>
      <c r="AD171" s="302">
        <v>1600</v>
      </c>
      <c r="AE171" s="302">
        <v>2600</v>
      </c>
      <c r="AF171" s="334">
        <v>1690</v>
      </c>
      <c r="AG171" s="334">
        <v>2125</v>
      </c>
      <c r="AH171" s="335">
        <v>15</v>
      </c>
      <c r="AI171" s="335">
        <v>15</v>
      </c>
    </row>
    <row r="172" spans="1:35">
      <c r="A172" s="123"/>
      <c r="B172" s="235"/>
      <c r="C172" s="235" t="s">
        <v>78</v>
      </c>
      <c r="D172" s="123">
        <v>995.49</v>
      </c>
      <c r="E172" s="123">
        <v>958.94</v>
      </c>
      <c r="F172" s="123">
        <v>934.83</v>
      </c>
      <c r="G172" s="123">
        <v>924.28</v>
      </c>
      <c r="H172" s="123">
        <v>918.33</v>
      </c>
      <c r="I172" s="123">
        <v>911.59</v>
      </c>
      <c r="J172" s="123">
        <v>911.7</v>
      </c>
      <c r="K172" s="123">
        <v>926.81</v>
      </c>
      <c r="L172" s="123">
        <v>958.19</v>
      </c>
      <c r="M172" s="123">
        <v>933.48</v>
      </c>
      <c r="N172" s="123">
        <v>919.4</v>
      </c>
      <c r="O172" s="123">
        <v>911.21</v>
      </c>
      <c r="P172" s="123">
        <v>913.2</v>
      </c>
      <c r="Q172" s="123">
        <v>916.79</v>
      </c>
      <c r="R172" s="123">
        <v>919.26</v>
      </c>
      <c r="S172" s="123">
        <v>932.3</v>
      </c>
      <c r="T172" s="123">
        <v>959.45</v>
      </c>
      <c r="U172" s="336"/>
      <c r="V172" s="337"/>
      <c r="W172" s="337"/>
      <c r="X172" s="331"/>
      <c r="Y172" s="338"/>
      <c r="Z172" s="337"/>
      <c r="AA172" s="339"/>
      <c r="AB172" s="333"/>
      <c r="AC172" s="265"/>
    </row>
    <row r="173" spans="1:35" ht="32.25" thickBot="1">
      <c r="A173" s="123"/>
      <c r="B173" s="243"/>
      <c r="C173" s="243" t="s">
        <v>221</v>
      </c>
      <c r="D173" s="340">
        <f t="shared" ref="D173:T173" si="53">IF(((D171="")*AND(D172="")),"",(D171-D172)*2)</f>
        <v>2013.02</v>
      </c>
      <c r="E173" s="340">
        <f t="shared" si="53"/>
        <v>2050.12</v>
      </c>
      <c r="F173" s="340">
        <f t="shared" si="53"/>
        <v>2088.34</v>
      </c>
      <c r="G173" s="340">
        <f t="shared" si="53"/>
        <v>2103.44</v>
      </c>
      <c r="H173" s="340">
        <f t="shared" si="53"/>
        <v>2113.34</v>
      </c>
      <c r="I173" s="340">
        <f t="shared" si="53"/>
        <v>2124.8199999999997</v>
      </c>
      <c r="J173" s="340">
        <f t="shared" si="53"/>
        <v>2126.6</v>
      </c>
      <c r="K173" s="340">
        <f t="shared" si="53"/>
        <v>2104.38</v>
      </c>
      <c r="L173" s="340">
        <f t="shared" si="53"/>
        <v>2069.62</v>
      </c>
      <c r="M173" s="340">
        <f t="shared" si="53"/>
        <v>2107.04</v>
      </c>
      <c r="N173" s="340">
        <f t="shared" si="53"/>
        <v>2117.1999999999998</v>
      </c>
      <c r="O173" s="340">
        <f t="shared" si="53"/>
        <v>2129.58</v>
      </c>
      <c r="P173" s="340">
        <f t="shared" si="53"/>
        <v>2123.6</v>
      </c>
      <c r="Q173" s="340">
        <f t="shared" si="53"/>
        <v>2116.42</v>
      </c>
      <c r="R173" s="340">
        <f t="shared" si="53"/>
        <v>2115.48</v>
      </c>
      <c r="S173" s="340">
        <f t="shared" si="53"/>
        <v>2095.4</v>
      </c>
      <c r="T173" s="341">
        <f t="shared" si="53"/>
        <v>2073.1</v>
      </c>
      <c r="U173" s="342"/>
      <c r="V173" s="340"/>
      <c r="W173" s="340"/>
      <c r="X173" s="343"/>
      <c r="Y173" s="344"/>
      <c r="Z173" s="340"/>
      <c r="AA173" s="345"/>
      <c r="AB173" s="333"/>
      <c r="AC173" s="265"/>
    </row>
    <row r="174" spans="1:35">
      <c r="A174" s="346">
        <v>43370</v>
      </c>
      <c r="B174" s="249" t="s">
        <v>76</v>
      </c>
      <c r="C174" s="235" t="s">
        <v>77</v>
      </c>
      <c r="D174" s="288">
        <v>5552</v>
      </c>
      <c r="E174" s="289">
        <v>5491</v>
      </c>
      <c r="F174" s="289">
        <v>5452</v>
      </c>
      <c r="G174" s="289">
        <v>5417</v>
      </c>
      <c r="H174" s="289">
        <v>5405</v>
      </c>
      <c r="I174" s="289">
        <v>5404</v>
      </c>
      <c r="J174" s="289">
        <v>5421</v>
      </c>
      <c r="K174" s="289">
        <v>5456</v>
      </c>
      <c r="L174" s="289">
        <v>5517</v>
      </c>
      <c r="M174" s="289">
        <v>5469</v>
      </c>
      <c r="N174" s="289">
        <v>5442</v>
      </c>
      <c r="O174" s="289">
        <v>5427</v>
      </c>
      <c r="P174" s="289">
        <v>5417</v>
      </c>
      <c r="Q174" s="289">
        <v>5413</v>
      </c>
      <c r="R174" s="289">
        <v>5428</v>
      </c>
      <c r="S174" s="289">
        <v>5443</v>
      </c>
      <c r="T174" s="289">
        <v>5434</v>
      </c>
      <c r="U174" s="347">
        <f>IF((T175=""),"",MAX(D176:T176))</f>
        <v>2166</v>
      </c>
      <c r="V174" s="235">
        <f>IF(T175="","",MIN(D176:T176))</f>
        <v>2002</v>
      </c>
      <c r="W174" s="250">
        <f>IF((T176=""),"",AVERAGE(D176:T176))</f>
        <v>2090.2352941176468</v>
      </c>
      <c r="X174" s="331">
        <f>STDEV(D176:T176)</f>
        <v>47.528319731193832</v>
      </c>
      <c r="Y174" s="236">
        <f>IF((T175=""),"",((U174-V174)/(U174+V174))*100)</f>
        <v>3.9347408829174668</v>
      </c>
      <c r="Z174" s="228" t="str">
        <f>IF(T175="","",IF(Y174&lt;15,IF(W174&gt;AF174,IF(W174&lt;AG174,"Pass","Fail"),"Fail"),"Fail"))</f>
        <v>Pass</v>
      </c>
      <c r="AA174" s="339">
        <v>1340</v>
      </c>
      <c r="AB174" s="333"/>
      <c r="AD174" s="302">
        <v>1600</v>
      </c>
      <c r="AE174" s="302">
        <v>2600</v>
      </c>
      <c r="AF174" s="334">
        <v>1690</v>
      </c>
      <c r="AG174" s="334">
        <v>2125</v>
      </c>
      <c r="AH174" s="335">
        <v>15</v>
      </c>
      <c r="AI174" s="335">
        <v>15</v>
      </c>
    </row>
    <row r="175" spans="1:35">
      <c r="A175" s="123"/>
      <c r="B175" s="235"/>
      <c r="C175" s="235" t="s">
        <v>78</v>
      </c>
      <c r="D175" s="288">
        <v>4551</v>
      </c>
      <c r="E175" s="289">
        <v>4467</v>
      </c>
      <c r="F175" s="289">
        <v>4425</v>
      </c>
      <c r="G175" s="289">
        <v>4400</v>
      </c>
      <c r="H175" s="289">
        <v>4378</v>
      </c>
      <c r="I175" s="289">
        <v>4356</v>
      </c>
      <c r="J175" s="289">
        <v>4347</v>
      </c>
      <c r="K175" s="289">
        <v>4373</v>
      </c>
      <c r="L175" s="289">
        <v>4454</v>
      </c>
      <c r="M175" s="289">
        <v>4442</v>
      </c>
      <c r="N175" s="289">
        <v>4377</v>
      </c>
      <c r="O175" s="289">
        <v>4365</v>
      </c>
      <c r="P175" s="289">
        <v>4368</v>
      </c>
      <c r="Q175" s="289">
        <v>4337</v>
      </c>
      <c r="R175" s="289">
        <v>4380</v>
      </c>
      <c r="S175" s="289">
        <v>4389</v>
      </c>
      <c r="T175" s="289">
        <v>4412</v>
      </c>
      <c r="U175" s="336"/>
      <c r="V175" s="337"/>
      <c r="W175" s="337"/>
      <c r="X175" s="331"/>
      <c r="Y175" s="338"/>
      <c r="Z175" s="337"/>
      <c r="AA175" s="339"/>
      <c r="AB175" s="333"/>
      <c r="AC175" s="265"/>
      <c r="AF175" s="334"/>
      <c r="AG175" s="334"/>
      <c r="AH175" s="335"/>
      <c r="AI175" s="335"/>
    </row>
    <row r="176" spans="1:35" ht="32.25" thickBot="1">
      <c r="A176" s="123"/>
      <c r="B176" s="243"/>
      <c r="C176" s="243" t="s">
        <v>221</v>
      </c>
      <c r="D176" s="340">
        <f t="shared" ref="D176:T176" si="54">IF(((D174="")*AND(D175="")),"",(D174-D175)*2)</f>
        <v>2002</v>
      </c>
      <c r="E176" s="340">
        <f t="shared" si="54"/>
        <v>2048</v>
      </c>
      <c r="F176" s="340">
        <f t="shared" si="54"/>
        <v>2054</v>
      </c>
      <c r="G176" s="340">
        <f t="shared" si="54"/>
        <v>2034</v>
      </c>
      <c r="H176" s="340">
        <f t="shared" si="54"/>
        <v>2054</v>
      </c>
      <c r="I176" s="340">
        <f t="shared" si="54"/>
        <v>2096</v>
      </c>
      <c r="J176" s="340">
        <f t="shared" si="54"/>
        <v>2148</v>
      </c>
      <c r="K176" s="340">
        <f t="shared" si="54"/>
        <v>2166</v>
      </c>
      <c r="L176" s="340">
        <f t="shared" si="54"/>
        <v>2126</v>
      </c>
      <c r="M176" s="340">
        <f t="shared" si="54"/>
        <v>2054</v>
      </c>
      <c r="N176" s="340">
        <f t="shared" si="54"/>
        <v>2130</v>
      </c>
      <c r="O176" s="340">
        <f t="shared" si="54"/>
        <v>2124</v>
      </c>
      <c r="P176" s="340">
        <f t="shared" si="54"/>
        <v>2098</v>
      </c>
      <c r="Q176" s="340">
        <f t="shared" si="54"/>
        <v>2152</v>
      </c>
      <c r="R176" s="340">
        <f t="shared" si="54"/>
        <v>2096</v>
      </c>
      <c r="S176" s="340">
        <f t="shared" si="54"/>
        <v>2108</v>
      </c>
      <c r="T176" s="341">
        <f t="shared" si="54"/>
        <v>2044</v>
      </c>
      <c r="U176" s="342"/>
      <c r="V176" s="340"/>
      <c r="W176" s="340"/>
      <c r="X176" s="343"/>
      <c r="Y176" s="344"/>
      <c r="Z176" s="340"/>
      <c r="AA176" s="345"/>
      <c r="AB176" s="333"/>
      <c r="AC176" s="265"/>
      <c r="AF176" s="334"/>
      <c r="AG176" s="334"/>
      <c r="AH176" s="335"/>
      <c r="AI176" s="335"/>
    </row>
    <row r="177" spans="1:35">
      <c r="A177" s="346">
        <v>43375</v>
      </c>
      <c r="B177" s="249" t="s">
        <v>76</v>
      </c>
      <c r="C177" s="235" t="s">
        <v>77</v>
      </c>
      <c r="D177" s="123">
        <v>4482.78</v>
      </c>
      <c r="E177" s="123">
        <v>4425.7</v>
      </c>
      <c r="F177" s="123">
        <v>4391.2</v>
      </c>
      <c r="G177" s="123">
        <v>4370.72</v>
      </c>
      <c r="H177" s="123">
        <v>4350.49</v>
      </c>
      <c r="I177" s="123">
        <v>4329.49</v>
      </c>
      <c r="J177" s="123">
        <v>4323.0600000000004</v>
      </c>
      <c r="K177" s="123">
        <v>4343.7299999999996</v>
      </c>
      <c r="L177" s="123">
        <v>4389.8</v>
      </c>
      <c r="M177" s="123">
        <v>4363.59</v>
      </c>
      <c r="N177" s="123">
        <v>4340.46</v>
      </c>
      <c r="O177" s="123">
        <v>4343.32</v>
      </c>
      <c r="P177" s="123">
        <v>4348.5200000000004</v>
      </c>
      <c r="Q177" s="123">
        <v>4350.97</v>
      </c>
      <c r="R177" s="123">
        <v>4341.57</v>
      </c>
      <c r="S177" s="123">
        <v>4355.51</v>
      </c>
      <c r="T177" s="123">
        <v>4368.84</v>
      </c>
      <c r="U177" s="347">
        <f>IF((T178=""),"",MAX(D179:T179))</f>
        <v>1873.3000000000002</v>
      </c>
      <c r="V177" s="235">
        <f>IF(T178="","",MIN(D179:T179))</f>
        <v>1693.9600000000009</v>
      </c>
      <c r="W177" s="250">
        <f>IF((T179=""),"",AVERAGE(D179:T179))</f>
        <v>1765.671764705882</v>
      </c>
      <c r="X177" s="331">
        <f>STDEV(D179:T179)</f>
        <v>45.729004504156507</v>
      </c>
      <c r="Y177" s="236">
        <f>IF((T178=""),"",((U177-V177)/(U177+V177))*100)</f>
        <v>5.0273879672353337</v>
      </c>
      <c r="Z177" s="228" t="str">
        <f>IF(T178="","",IF(Y177&lt;15,IF(W177&gt;AF177,IF(W177&lt;AG177,"Pass","Fail"),"Fail"),"Fail"))</f>
        <v>Pass</v>
      </c>
      <c r="AA177" s="339">
        <v>1340</v>
      </c>
      <c r="AB177" s="333"/>
      <c r="AD177" s="302">
        <v>1600</v>
      </c>
      <c r="AE177" s="302">
        <v>2600</v>
      </c>
      <c r="AF177" s="334">
        <v>1690</v>
      </c>
      <c r="AG177" s="334">
        <v>2125</v>
      </c>
      <c r="AH177" s="335">
        <v>15</v>
      </c>
      <c r="AI177" s="335">
        <v>15</v>
      </c>
    </row>
    <row r="178" spans="1:35">
      <c r="A178" s="123"/>
      <c r="B178" s="235"/>
      <c r="C178" s="235" t="s">
        <v>78</v>
      </c>
      <c r="D178" s="123">
        <v>3601.07</v>
      </c>
      <c r="E178" s="123">
        <v>3552.26</v>
      </c>
      <c r="F178" s="123">
        <v>3530.93</v>
      </c>
      <c r="G178" s="123">
        <v>3523.74</v>
      </c>
      <c r="H178" s="123">
        <v>3497.77</v>
      </c>
      <c r="I178" s="123">
        <v>3458.93</v>
      </c>
      <c r="J178" s="123">
        <v>3424.19</v>
      </c>
      <c r="K178" s="123">
        <v>3422.52</v>
      </c>
      <c r="L178" s="123">
        <v>3453.15</v>
      </c>
      <c r="M178" s="123">
        <v>3461.51</v>
      </c>
      <c r="N178" s="123">
        <v>3454.07</v>
      </c>
      <c r="O178" s="123">
        <v>3457.01</v>
      </c>
      <c r="P178" s="123">
        <v>3482.02</v>
      </c>
      <c r="Q178" s="123">
        <v>3472.72</v>
      </c>
      <c r="R178" s="123">
        <v>3467.85</v>
      </c>
      <c r="S178" s="123">
        <v>3471.13</v>
      </c>
      <c r="T178" s="123">
        <v>3480.67</v>
      </c>
      <c r="U178" s="336"/>
      <c r="V178" s="337"/>
      <c r="W178" s="337"/>
      <c r="X178" s="331"/>
      <c r="Y178" s="338"/>
      <c r="Z178" s="337"/>
      <c r="AA178" s="339"/>
      <c r="AB178" s="333"/>
      <c r="AC178" s="265"/>
      <c r="AF178" s="334"/>
      <c r="AG178" s="334"/>
      <c r="AH178" s="335"/>
      <c r="AI178" s="335"/>
    </row>
    <row r="179" spans="1:35" ht="32.25" thickBot="1">
      <c r="A179" s="123"/>
      <c r="B179" s="243"/>
      <c r="C179" s="243" t="s">
        <v>221</v>
      </c>
      <c r="D179" s="340">
        <f t="shared" ref="D179:T179" si="55">IF(((D177="")*AND(D178="")),"",(D177-D178)*2)</f>
        <v>1763.4199999999992</v>
      </c>
      <c r="E179" s="340">
        <f t="shared" si="55"/>
        <v>1746.8799999999992</v>
      </c>
      <c r="F179" s="340">
        <f t="shared" si="55"/>
        <v>1720.54</v>
      </c>
      <c r="G179" s="340">
        <f t="shared" si="55"/>
        <v>1693.9600000000009</v>
      </c>
      <c r="H179" s="340">
        <f t="shared" si="55"/>
        <v>1705.4399999999996</v>
      </c>
      <c r="I179" s="340">
        <f t="shared" si="55"/>
        <v>1741.12</v>
      </c>
      <c r="J179" s="340">
        <f t="shared" si="55"/>
        <v>1797.7400000000007</v>
      </c>
      <c r="K179" s="340">
        <f t="shared" si="55"/>
        <v>1842.4199999999992</v>
      </c>
      <c r="L179" s="340">
        <f t="shared" si="55"/>
        <v>1873.3000000000002</v>
      </c>
      <c r="M179" s="340">
        <f t="shared" si="55"/>
        <v>1804.1599999999999</v>
      </c>
      <c r="N179" s="340">
        <f t="shared" si="55"/>
        <v>1772.7799999999997</v>
      </c>
      <c r="O179" s="340">
        <f t="shared" si="55"/>
        <v>1772.619999999999</v>
      </c>
      <c r="P179" s="340">
        <f t="shared" si="55"/>
        <v>1733.0000000000009</v>
      </c>
      <c r="Q179" s="340">
        <f t="shared" si="55"/>
        <v>1756.5000000000009</v>
      </c>
      <c r="R179" s="340">
        <f t="shared" si="55"/>
        <v>1747.4399999999996</v>
      </c>
      <c r="S179" s="340">
        <f t="shared" si="55"/>
        <v>1768.7600000000002</v>
      </c>
      <c r="T179" s="341">
        <f t="shared" si="55"/>
        <v>1776.3400000000001</v>
      </c>
      <c r="U179" s="342"/>
      <c r="V179" s="340"/>
      <c r="W179" s="340"/>
      <c r="X179" s="343"/>
      <c r="Y179" s="344"/>
      <c r="Z179" s="340"/>
      <c r="AA179" s="345"/>
      <c r="AB179" s="333"/>
      <c r="AC179" s="265"/>
      <c r="AF179" s="334"/>
      <c r="AG179" s="334"/>
      <c r="AH179" s="335"/>
      <c r="AI179" s="335"/>
    </row>
    <row r="180" spans="1:35">
      <c r="A180" s="346">
        <v>43378</v>
      </c>
      <c r="B180" s="249" t="s">
        <v>76</v>
      </c>
      <c r="C180" s="235" t="s">
        <v>77</v>
      </c>
      <c r="D180" s="123">
        <v>4478.41</v>
      </c>
      <c r="E180" s="123">
        <v>4439.1099999999997</v>
      </c>
      <c r="F180" s="123">
        <v>4417.72</v>
      </c>
      <c r="G180" s="123">
        <v>4406.55</v>
      </c>
      <c r="H180" s="123">
        <v>4396.93</v>
      </c>
      <c r="I180" s="123">
        <v>4379.6000000000004</v>
      </c>
      <c r="J180" s="123">
        <v>4379.24</v>
      </c>
      <c r="K180" s="123">
        <v>4378.92</v>
      </c>
      <c r="L180" s="123">
        <v>4410.8900000000003</v>
      </c>
      <c r="M180" s="123">
        <v>4406.7299999999996</v>
      </c>
      <c r="N180" s="123">
        <v>4375.1400000000003</v>
      </c>
      <c r="O180" s="123">
        <v>4386.53</v>
      </c>
      <c r="P180" s="123">
        <v>4390.3900000000003</v>
      </c>
      <c r="Q180" s="123">
        <v>4395.59</v>
      </c>
      <c r="R180" s="123">
        <v>4394.8100000000004</v>
      </c>
      <c r="S180" s="123">
        <v>4404.8999999999996</v>
      </c>
      <c r="T180" s="123">
        <v>4428.97</v>
      </c>
      <c r="U180" s="347">
        <f>IF((T181=""),"",MAX(D182:T182))</f>
        <v>1922.5200000000004</v>
      </c>
      <c r="V180" s="235">
        <f>IF(T181="","",MIN(D182:T182))</f>
        <v>1754.0200000000004</v>
      </c>
      <c r="W180" s="250">
        <f>IF((T182=""),"",AVERAGE(D182:T182))</f>
        <v>1817.7200000000003</v>
      </c>
      <c r="X180" s="331">
        <f>STDEV(D182:T182)</f>
        <v>45.442804160834839</v>
      </c>
      <c r="Y180" s="236">
        <f>IF((T181=""),"",((U180-V180)/(U180+V180))*100)</f>
        <v>4.5831134708176702</v>
      </c>
      <c r="Z180" s="228" t="str">
        <f>IF(T181="","",IF(Y180&lt;15,IF(W180&gt;AF180,IF(W180&lt;AG180,"Pass","Fail"),"Fail"),"Fail"))</f>
        <v>Pass</v>
      </c>
      <c r="AA180" s="339">
        <v>1340</v>
      </c>
      <c r="AB180" s="333"/>
      <c r="AD180" s="302">
        <v>1600</v>
      </c>
      <c r="AE180" s="302">
        <v>2600</v>
      </c>
      <c r="AF180" s="334">
        <v>1690</v>
      </c>
      <c r="AG180" s="334">
        <v>2125</v>
      </c>
      <c r="AH180" s="335">
        <v>15</v>
      </c>
      <c r="AI180" s="335">
        <v>15</v>
      </c>
    </row>
    <row r="181" spans="1:35">
      <c r="A181" s="123"/>
      <c r="B181" s="235"/>
      <c r="C181" s="235" t="s">
        <v>78</v>
      </c>
      <c r="D181" s="123">
        <v>3579.59</v>
      </c>
      <c r="E181" s="123">
        <v>3550.23</v>
      </c>
      <c r="F181" s="123">
        <v>3540.71</v>
      </c>
      <c r="G181" s="123">
        <v>3526.16</v>
      </c>
      <c r="H181" s="123">
        <v>3499.83</v>
      </c>
      <c r="I181" s="123">
        <v>3477.29</v>
      </c>
      <c r="J181" s="123">
        <v>3451.28</v>
      </c>
      <c r="K181" s="123">
        <v>3434.59</v>
      </c>
      <c r="L181" s="123">
        <v>3449.63</v>
      </c>
      <c r="M181" s="123">
        <v>3478.76</v>
      </c>
      <c r="N181" s="123">
        <v>3464.19</v>
      </c>
      <c r="O181" s="123">
        <v>3482.54</v>
      </c>
      <c r="P181" s="123">
        <v>3501.26</v>
      </c>
      <c r="Q181" s="123">
        <v>3500.28</v>
      </c>
      <c r="R181" s="123">
        <v>3492.43</v>
      </c>
      <c r="S181" s="123">
        <v>3489.05</v>
      </c>
      <c r="T181" s="123">
        <v>3501.99</v>
      </c>
      <c r="U181" s="336"/>
      <c r="V181" s="337"/>
      <c r="W181" s="337"/>
      <c r="X181" s="331"/>
      <c r="Y181" s="338"/>
      <c r="Z181" s="337"/>
      <c r="AA181" s="339"/>
      <c r="AB181" s="333"/>
      <c r="AC181" s="265"/>
      <c r="AF181" s="334"/>
      <c r="AG181" s="334"/>
      <c r="AH181" s="335"/>
      <c r="AI181" s="335"/>
    </row>
    <row r="182" spans="1:35" ht="32.25" thickBot="1">
      <c r="A182" s="123"/>
      <c r="B182" s="243"/>
      <c r="C182" s="243" t="s">
        <v>221</v>
      </c>
      <c r="D182" s="353">
        <f t="shared" ref="D182:T182" si="56">IF(((D180="")*AND(D181="")),"",(D180-D181)*2)</f>
        <v>1797.6399999999994</v>
      </c>
      <c r="E182" s="353">
        <f t="shared" si="56"/>
        <v>1777.7599999999993</v>
      </c>
      <c r="F182" s="353">
        <f t="shared" si="56"/>
        <v>1754.0200000000004</v>
      </c>
      <c r="G182" s="353">
        <f t="shared" si="56"/>
        <v>1760.7800000000007</v>
      </c>
      <c r="H182" s="353">
        <f t="shared" si="56"/>
        <v>1794.2000000000007</v>
      </c>
      <c r="I182" s="353">
        <f t="shared" si="56"/>
        <v>1804.6200000000008</v>
      </c>
      <c r="J182" s="353">
        <f t="shared" si="56"/>
        <v>1855.9199999999992</v>
      </c>
      <c r="K182" s="353">
        <f t="shared" si="56"/>
        <v>1888.6599999999999</v>
      </c>
      <c r="L182" s="353">
        <f t="shared" si="56"/>
        <v>1922.5200000000004</v>
      </c>
      <c r="M182" s="353">
        <f t="shared" si="56"/>
        <v>1855.9399999999987</v>
      </c>
      <c r="N182" s="353">
        <f t="shared" si="56"/>
        <v>1821.9000000000005</v>
      </c>
      <c r="O182" s="353">
        <f t="shared" si="56"/>
        <v>1807.9799999999996</v>
      </c>
      <c r="P182" s="353">
        <f t="shared" si="56"/>
        <v>1778.2600000000002</v>
      </c>
      <c r="Q182" s="353">
        <f t="shared" si="56"/>
        <v>1790.62</v>
      </c>
      <c r="R182" s="353">
        <f t="shared" si="56"/>
        <v>1804.7600000000011</v>
      </c>
      <c r="S182" s="353">
        <f t="shared" si="56"/>
        <v>1831.6999999999989</v>
      </c>
      <c r="T182" s="354">
        <f t="shared" si="56"/>
        <v>1853.9600000000009</v>
      </c>
      <c r="U182" s="355"/>
      <c r="V182" s="353"/>
      <c r="W182" s="353"/>
      <c r="X182" s="230"/>
      <c r="Y182" s="356"/>
      <c r="Z182" s="353"/>
      <c r="AA182" s="357"/>
      <c r="AB182" s="333"/>
      <c r="AC182" s="265"/>
      <c r="AF182" s="334"/>
      <c r="AG182" s="334"/>
      <c r="AH182" s="335"/>
      <c r="AI182" s="335"/>
    </row>
    <row r="183" spans="1:35">
      <c r="A183" s="358">
        <v>43382</v>
      </c>
      <c r="B183" s="249" t="s">
        <v>76</v>
      </c>
      <c r="C183" s="235" t="s">
        <v>77</v>
      </c>
      <c r="D183" s="337">
        <v>4466.09</v>
      </c>
      <c r="E183" s="337">
        <v>4436.43</v>
      </c>
      <c r="F183" s="337">
        <v>4418.18</v>
      </c>
      <c r="G183" s="337">
        <v>4410.8500000000004</v>
      </c>
      <c r="H183" s="337">
        <v>4407.16</v>
      </c>
      <c r="I183" s="337">
        <v>4375.6400000000003</v>
      </c>
      <c r="J183" s="337">
        <v>4363.46</v>
      </c>
      <c r="K183" s="337">
        <v>4362.91</v>
      </c>
      <c r="L183" s="337">
        <v>4399.8999999999996</v>
      </c>
      <c r="M183" s="337">
        <v>4399.28</v>
      </c>
      <c r="N183" s="337">
        <v>4380.17</v>
      </c>
      <c r="O183" s="337">
        <v>4374.3100000000004</v>
      </c>
      <c r="P183" s="337">
        <v>4384.51</v>
      </c>
      <c r="Q183" s="337">
        <v>4383.16</v>
      </c>
      <c r="R183" s="337">
        <v>4383.55</v>
      </c>
      <c r="S183" s="337">
        <v>4387.08</v>
      </c>
      <c r="T183" s="337">
        <v>4406.6899999999996</v>
      </c>
      <c r="U183" s="235">
        <f>IF((T184=""),"",MAX(D185:T185))</f>
        <v>1864.8599999999997</v>
      </c>
      <c r="V183" s="235">
        <f>IF(T184="","",MIN(D185:T185))</f>
        <v>1715.5200000000004</v>
      </c>
      <c r="W183" s="235">
        <f>IF((T185=""),"",AVERAGE(D185:T185))</f>
        <v>1781.541176470588</v>
      </c>
      <c r="X183" s="359">
        <f>STDEV(D185:T185)</f>
        <v>40.195906800685499</v>
      </c>
      <c r="Y183" s="236">
        <f>IF((T184=""),"",((U183-V183)/(U183+V183))*100)</f>
        <v>4.1710656410771829</v>
      </c>
      <c r="Z183" s="228" t="str">
        <f>IF(T184="","",IF(Y183&lt;15,IF(W183&gt;AF183,IF(W183&lt;AG183,"Pass","Fail"),"Fail"),"Fail"))</f>
        <v>Pass</v>
      </c>
      <c r="AA183" s="360">
        <v>1335</v>
      </c>
      <c r="AB183" s="333"/>
      <c r="AD183" s="302">
        <v>1600</v>
      </c>
      <c r="AE183" s="302">
        <v>2600</v>
      </c>
      <c r="AF183" s="334">
        <v>1690</v>
      </c>
      <c r="AG183" s="334">
        <v>2125</v>
      </c>
      <c r="AH183" s="335">
        <v>15</v>
      </c>
      <c r="AI183" s="335">
        <v>15</v>
      </c>
    </row>
    <row r="184" spans="1:35">
      <c r="A184" s="123"/>
      <c r="B184" s="235"/>
      <c r="C184" s="235" t="s">
        <v>78</v>
      </c>
      <c r="D184" s="337">
        <v>3586.92</v>
      </c>
      <c r="E184" s="337">
        <v>3560.9</v>
      </c>
      <c r="F184" s="337">
        <v>3547.02</v>
      </c>
      <c r="G184" s="337">
        <v>3553.09</v>
      </c>
      <c r="H184" s="337">
        <v>3544.64</v>
      </c>
      <c r="I184" s="337">
        <v>3485.15</v>
      </c>
      <c r="J184" s="337">
        <v>3455.58</v>
      </c>
      <c r="K184" s="337">
        <v>3447.92</v>
      </c>
      <c r="L184" s="337">
        <v>3467.47</v>
      </c>
      <c r="M184" s="337">
        <v>3488.25</v>
      </c>
      <c r="N184" s="337">
        <v>3471.02</v>
      </c>
      <c r="O184" s="337">
        <v>3485.77</v>
      </c>
      <c r="P184" s="337">
        <v>3504.22</v>
      </c>
      <c r="Q184" s="337">
        <v>3508.09</v>
      </c>
      <c r="R184" s="337">
        <v>3491.92</v>
      </c>
      <c r="S184" s="337">
        <v>3488.47</v>
      </c>
      <c r="T184" s="337">
        <v>3509.84</v>
      </c>
      <c r="U184" s="337"/>
      <c r="V184" s="337"/>
      <c r="W184" s="337"/>
      <c r="X184" s="359"/>
      <c r="Y184" s="338"/>
      <c r="Z184" s="337"/>
      <c r="AA184" s="360"/>
      <c r="AB184" s="333"/>
      <c r="AC184" s="265"/>
      <c r="AF184" s="334"/>
      <c r="AG184" s="334"/>
      <c r="AH184" s="335"/>
      <c r="AI184" s="335"/>
    </row>
    <row r="185" spans="1:35" ht="32.25" thickBot="1">
      <c r="A185" s="123"/>
      <c r="B185" s="243"/>
      <c r="C185" s="243" t="s">
        <v>221</v>
      </c>
      <c r="D185" s="353">
        <f t="shared" ref="D185:T185" si="57">IF(((D183="")*AND(D184="")),"",(D183-D184)*2)</f>
        <v>1758.3400000000001</v>
      </c>
      <c r="E185" s="353">
        <f t="shared" si="57"/>
        <v>1751.0600000000004</v>
      </c>
      <c r="F185" s="353">
        <f t="shared" si="57"/>
        <v>1742.3200000000006</v>
      </c>
      <c r="G185" s="353">
        <f t="shared" si="57"/>
        <v>1715.5200000000004</v>
      </c>
      <c r="H185" s="353">
        <f t="shared" si="57"/>
        <v>1725.04</v>
      </c>
      <c r="I185" s="353">
        <f t="shared" si="57"/>
        <v>1780.9800000000005</v>
      </c>
      <c r="J185" s="353">
        <f t="shared" si="57"/>
        <v>1815.7600000000002</v>
      </c>
      <c r="K185" s="353">
        <f t="shared" si="57"/>
        <v>1829.9799999999996</v>
      </c>
      <c r="L185" s="353">
        <f t="shared" si="57"/>
        <v>1864.8599999999997</v>
      </c>
      <c r="M185" s="353">
        <f t="shared" si="57"/>
        <v>1822.0599999999995</v>
      </c>
      <c r="N185" s="353">
        <f t="shared" si="57"/>
        <v>1818.3000000000002</v>
      </c>
      <c r="O185" s="353">
        <f t="shared" si="57"/>
        <v>1777.0800000000008</v>
      </c>
      <c r="P185" s="353">
        <f t="shared" si="57"/>
        <v>1760.5800000000008</v>
      </c>
      <c r="Q185" s="353">
        <f t="shared" si="57"/>
        <v>1750.1399999999994</v>
      </c>
      <c r="R185" s="353">
        <f t="shared" si="57"/>
        <v>1783.2600000000002</v>
      </c>
      <c r="S185" s="353">
        <f t="shared" si="57"/>
        <v>1797.2200000000003</v>
      </c>
      <c r="T185" s="353">
        <f t="shared" si="57"/>
        <v>1793.6999999999989</v>
      </c>
      <c r="U185" s="353"/>
      <c r="V185" s="353"/>
      <c r="W185" s="353"/>
      <c r="X185" s="361"/>
      <c r="Y185" s="356"/>
      <c r="Z185" s="353"/>
      <c r="AA185" s="362"/>
      <c r="AB185" s="333"/>
      <c r="AC185" s="265"/>
      <c r="AF185" s="334"/>
      <c r="AG185" s="334"/>
      <c r="AH185" s="335"/>
      <c r="AI185" s="335"/>
    </row>
    <row r="186" spans="1:35">
      <c r="A186" s="358">
        <v>43385</v>
      </c>
      <c r="B186" s="249" t="s">
        <v>76</v>
      </c>
      <c r="C186" s="235" t="s">
        <v>77</v>
      </c>
      <c r="D186" s="337">
        <v>4442.01</v>
      </c>
      <c r="E186" s="337">
        <v>4404.62</v>
      </c>
      <c r="F186" s="337">
        <v>4387.8599999999997</v>
      </c>
      <c r="G186" s="337">
        <v>4386.71</v>
      </c>
      <c r="H186" s="337">
        <v>4380.57</v>
      </c>
      <c r="I186" s="337">
        <v>4355.84</v>
      </c>
      <c r="J186" s="337">
        <v>4349.3100000000004</v>
      </c>
      <c r="K186" s="337">
        <v>4354.45</v>
      </c>
      <c r="L186" s="337">
        <v>4388.1099999999997</v>
      </c>
      <c r="M186" s="337">
        <v>4376.62</v>
      </c>
      <c r="N186" s="337">
        <v>4348.8100000000004</v>
      </c>
      <c r="O186" s="337">
        <v>4347.71</v>
      </c>
      <c r="P186" s="337">
        <v>4360.59</v>
      </c>
      <c r="Q186" s="337">
        <v>4363.2299999999996</v>
      </c>
      <c r="R186" s="337">
        <v>4361.3500000000004</v>
      </c>
      <c r="S186" s="337">
        <v>4370.76</v>
      </c>
      <c r="T186" s="337">
        <v>4397.8999999999996</v>
      </c>
      <c r="U186" s="235">
        <f>IF((T187=""),"",MAX(D188:T188))</f>
        <v>1871.8999999999996</v>
      </c>
      <c r="V186" s="235">
        <f>IF(T187="","",MIN(D188:T188))</f>
        <v>1724.3199999999997</v>
      </c>
      <c r="W186" s="235">
        <f>IF((T188=""),"",AVERAGE(D188:T188))</f>
        <v>1785.3164705882355</v>
      </c>
      <c r="X186" s="359">
        <f>STDEV(D188:T188)</f>
        <v>46.219695604414277</v>
      </c>
      <c r="Y186" s="236">
        <f>IF((T187=""),"",((U186-V186)/(U186+V186))*100)</f>
        <v>4.1037533854992176</v>
      </c>
      <c r="Z186" s="228" t="str">
        <f>IF(T187="","",IF(Y186&lt;15,IF(W186&gt;AF186,IF(W186&lt;AG186,"Pass","Fail"),"Fail"),"Fail"))</f>
        <v>Pass</v>
      </c>
      <c r="AA186" s="360">
        <v>102</v>
      </c>
      <c r="AB186" s="265" t="s">
        <v>93</v>
      </c>
      <c r="AD186" s="302">
        <v>1600</v>
      </c>
      <c r="AE186" s="302">
        <v>2600</v>
      </c>
      <c r="AF186" s="334">
        <v>1690</v>
      </c>
      <c r="AG186" s="334">
        <v>2125</v>
      </c>
      <c r="AH186" s="335">
        <v>15</v>
      </c>
      <c r="AI186" s="335">
        <v>15</v>
      </c>
    </row>
    <row r="187" spans="1:35">
      <c r="A187" s="123"/>
      <c r="B187" s="235"/>
      <c r="C187" s="235" t="s">
        <v>78</v>
      </c>
      <c r="D187" s="123">
        <v>3560.54</v>
      </c>
      <c r="E187" s="123">
        <v>3533.7</v>
      </c>
      <c r="F187" s="123">
        <v>3523.92</v>
      </c>
      <c r="G187" s="123">
        <v>3524.55</v>
      </c>
      <c r="H187" s="123">
        <v>3517.15</v>
      </c>
      <c r="I187" s="123">
        <v>3464.79</v>
      </c>
      <c r="J187" s="123">
        <v>3435.84</v>
      </c>
      <c r="K187" s="123">
        <v>3418.5</v>
      </c>
      <c r="L187" s="123">
        <v>3457.54</v>
      </c>
      <c r="M187" s="123">
        <v>3463.46</v>
      </c>
      <c r="N187" s="123">
        <v>3447.36</v>
      </c>
      <c r="O187" s="123">
        <v>3460.86</v>
      </c>
      <c r="P187" s="123">
        <v>3490.75</v>
      </c>
      <c r="Q187" s="123">
        <v>3478.75</v>
      </c>
      <c r="R187" s="123">
        <v>3469.77</v>
      </c>
      <c r="S187" s="123">
        <v>3459.24</v>
      </c>
      <c r="T187" s="123">
        <v>3494.54</v>
      </c>
      <c r="U187" s="337"/>
      <c r="V187" s="337"/>
      <c r="W187" s="337"/>
      <c r="X187" s="359"/>
      <c r="Y187" s="338"/>
      <c r="Z187" s="337"/>
      <c r="AA187" s="360"/>
      <c r="AB187" s="333"/>
      <c r="AC187" s="265"/>
      <c r="AF187" s="334"/>
      <c r="AG187" s="334"/>
      <c r="AH187" s="335"/>
      <c r="AI187" s="335"/>
    </row>
    <row r="188" spans="1:35" ht="32.25" thickBot="1">
      <c r="A188" s="123"/>
      <c r="B188" s="243"/>
      <c r="C188" s="243" t="s">
        <v>221</v>
      </c>
      <c r="D188" s="340">
        <f t="shared" ref="D188:T188" si="58">IF(((D186="")*AND(D187="")),"",(D186-D187)*2)</f>
        <v>1762.9400000000005</v>
      </c>
      <c r="E188" s="340">
        <f t="shared" si="58"/>
        <v>1741.8400000000001</v>
      </c>
      <c r="F188" s="340">
        <f t="shared" si="58"/>
        <v>1727.8799999999992</v>
      </c>
      <c r="G188" s="340">
        <f t="shared" si="58"/>
        <v>1724.3199999999997</v>
      </c>
      <c r="H188" s="340">
        <f t="shared" si="58"/>
        <v>1726.8399999999992</v>
      </c>
      <c r="I188" s="340">
        <f t="shared" si="58"/>
        <v>1782.1000000000004</v>
      </c>
      <c r="J188" s="340">
        <f t="shared" si="58"/>
        <v>1826.9400000000005</v>
      </c>
      <c r="K188" s="340">
        <f t="shared" si="58"/>
        <v>1871.8999999999996</v>
      </c>
      <c r="L188" s="340">
        <f t="shared" si="58"/>
        <v>1861.1399999999994</v>
      </c>
      <c r="M188" s="340">
        <f t="shared" si="58"/>
        <v>1826.3199999999997</v>
      </c>
      <c r="N188" s="340">
        <f t="shared" si="58"/>
        <v>1802.9000000000005</v>
      </c>
      <c r="O188" s="340">
        <f t="shared" si="58"/>
        <v>1773.6999999999998</v>
      </c>
      <c r="P188" s="340">
        <f t="shared" si="58"/>
        <v>1739.6800000000003</v>
      </c>
      <c r="Q188" s="340">
        <f t="shared" si="58"/>
        <v>1768.9599999999991</v>
      </c>
      <c r="R188" s="340">
        <f t="shared" si="58"/>
        <v>1783.1600000000008</v>
      </c>
      <c r="S188" s="340">
        <f t="shared" si="58"/>
        <v>1823.0400000000009</v>
      </c>
      <c r="T188" s="340">
        <f t="shared" si="58"/>
        <v>1806.7199999999993</v>
      </c>
      <c r="U188" s="340"/>
      <c r="V188" s="340"/>
      <c r="W188" s="340"/>
      <c r="X188" s="363"/>
      <c r="Y188" s="344"/>
      <c r="Z188" s="340"/>
      <c r="AA188" s="364"/>
      <c r="AB188" s="333"/>
      <c r="AC188" s="265"/>
      <c r="AF188" s="334"/>
      <c r="AG188" s="334"/>
      <c r="AH188" s="335"/>
      <c r="AI188" s="335"/>
    </row>
    <row r="189" spans="1:35">
      <c r="A189" s="346">
        <v>43388</v>
      </c>
      <c r="B189" s="249" t="s">
        <v>76</v>
      </c>
      <c r="C189" s="235" t="s">
        <v>77</v>
      </c>
      <c r="D189" s="123">
        <v>5492</v>
      </c>
      <c r="E189" s="123">
        <v>5452</v>
      </c>
      <c r="F189" s="123">
        <v>5435</v>
      </c>
      <c r="G189" s="123">
        <v>5425</v>
      </c>
      <c r="H189" s="123">
        <v>5413</v>
      </c>
      <c r="I189" s="123">
        <v>5415</v>
      </c>
      <c r="J189" s="123">
        <v>5427</v>
      </c>
      <c r="K189" s="123">
        <v>5446</v>
      </c>
      <c r="L189" s="123">
        <v>5495</v>
      </c>
      <c r="M189" s="123">
        <v>5467</v>
      </c>
      <c r="N189" s="123">
        <v>5441</v>
      </c>
      <c r="O189" s="123">
        <v>5428</v>
      </c>
      <c r="P189" s="123">
        <v>5422</v>
      </c>
      <c r="Q189" s="123">
        <v>5414</v>
      </c>
      <c r="R189" s="123">
        <v>5421</v>
      </c>
      <c r="S189" s="123">
        <v>5431</v>
      </c>
      <c r="T189" s="123">
        <v>5443</v>
      </c>
      <c r="U189" s="347">
        <f>IF((T190=""),"",MAX(D191:T191))</f>
        <v>2152</v>
      </c>
      <c r="V189" s="235">
        <f>IF(T190="","",MIN(D191:T191))</f>
        <v>2014</v>
      </c>
      <c r="W189" s="250">
        <f>IF((T191=""),"",AVERAGE(D191:T191))</f>
        <v>2086.2352941176468</v>
      </c>
      <c r="X189" s="331">
        <f>STDEV(D191:T191)</f>
        <v>35.460417037460076</v>
      </c>
      <c r="Y189" s="236">
        <f>IF((T190=""),"",((U189-V189)/(U189+V189))*100)</f>
        <v>3.3125300048007684</v>
      </c>
      <c r="Z189" s="228" t="str">
        <f>IF(T190="","",IF(Y189&lt;15,IF(W189&gt;AF189,IF(W189&lt;AG189,"Pass","Fail"),"Fail"),"Fail"))</f>
        <v>Pass</v>
      </c>
      <c r="AA189" s="339">
        <v>1340</v>
      </c>
      <c r="AB189" s="333"/>
      <c r="AD189" s="302">
        <v>1600</v>
      </c>
      <c r="AE189" s="302">
        <v>2600</v>
      </c>
      <c r="AF189" s="334">
        <v>1690</v>
      </c>
      <c r="AG189" s="334">
        <v>2125</v>
      </c>
      <c r="AH189" s="335">
        <v>15</v>
      </c>
      <c r="AI189" s="335">
        <v>15</v>
      </c>
    </row>
    <row r="190" spans="1:35">
      <c r="A190" s="123"/>
      <c r="B190" s="235"/>
      <c r="C190" s="235" t="s">
        <v>78</v>
      </c>
      <c r="D190" s="123">
        <v>4485</v>
      </c>
      <c r="E190" s="123">
        <v>4426</v>
      </c>
      <c r="F190" s="123">
        <v>4408</v>
      </c>
      <c r="G190" s="123">
        <v>4392</v>
      </c>
      <c r="H190" s="123">
        <v>4380</v>
      </c>
      <c r="I190" s="123">
        <v>4368</v>
      </c>
      <c r="J190" s="123">
        <v>4358</v>
      </c>
      <c r="K190" s="123">
        <v>4370</v>
      </c>
      <c r="L190" s="123">
        <v>4448</v>
      </c>
      <c r="M190" s="123">
        <v>4421</v>
      </c>
      <c r="N190" s="123">
        <v>4376</v>
      </c>
      <c r="O190" s="123">
        <v>4371</v>
      </c>
      <c r="P190" s="123">
        <v>4374</v>
      </c>
      <c r="Q190" s="123">
        <v>4378</v>
      </c>
      <c r="R190" s="123">
        <v>4376</v>
      </c>
      <c r="S190" s="123">
        <v>4383</v>
      </c>
      <c r="T190" s="123">
        <v>4420</v>
      </c>
      <c r="U190" s="336"/>
      <c r="V190" s="337"/>
      <c r="W190" s="337"/>
      <c r="X190" s="331"/>
      <c r="Y190" s="338"/>
      <c r="Z190" s="337"/>
      <c r="AA190" s="339"/>
      <c r="AB190" s="333"/>
      <c r="AC190" s="265"/>
      <c r="AF190" s="334"/>
      <c r="AG190" s="334"/>
      <c r="AH190" s="335"/>
      <c r="AI190" s="335"/>
    </row>
    <row r="191" spans="1:35" ht="32.25" thickBot="1">
      <c r="A191" s="123"/>
      <c r="B191" s="243"/>
      <c r="C191" s="243" t="s">
        <v>221</v>
      </c>
      <c r="D191" s="353">
        <f t="shared" ref="D191:T191" si="59">IF(((D189="")*AND(D190="")),"",(D189-D190)*2)</f>
        <v>2014</v>
      </c>
      <c r="E191" s="353">
        <f t="shared" si="59"/>
        <v>2052</v>
      </c>
      <c r="F191" s="353">
        <f t="shared" si="59"/>
        <v>2054</v>
      </c>
      <c r="G191" s="353">
        <f t="shared" si="59"/>
        <v>2066</v>
      </c>
      <c r="H191" s="353">
        <f t="shared" si="59"/>
        <v>2066</v>
      </c>
      <c r="I191" s="353">
        <f t="shared" si="59"/>
        <v>2094</v>
      </c>
      <c r="J191" s="353">
        <f t="shared" si="59"/>
        <v>2138</v>
      </c>
      <c r="K191" s="353">
        <f t="shared" si="59"/>
        <v>2152</v>
      </c>
      <c r="L191" s="353">
        <f t="shared" si="59"/>
        <v>2094</v>
      </c>
      <c r="M191" s="353">
        <f t="shared" si="59"/>
        <v>2092</v>
      </c>
      <c r="N191" s="353">
        <f t="shared" si="59"/>
        <v>2130</v>
      </c>
      <c r="O191" s="353">
        <f t="shared" si="59"/>
        <v>2114</v>
      </c>
      <c r="P191" s="353">
        <f t="shared" si="59"/>
        <v>2096</v>
      </c>
      <c r="Q191" s="353">
        <f t="shared" si="59"/>
        <v>2072</v>
      </c>
      <c r="R191" s="353">
        <f t="shared" si="59"/>
        <v>2090</v>
      </c>
      <c r="S191" s="353">
        <f t="shared" si="59"/>
        <v>2096</v>
      </c>
      <c r="T191" s="354">
        <f t="shared" si="59"/>
        <v>2046</v>
      </c>
      <c r="U191" s="355"/>
      <c r="V191" s="353"/>
      <c r="W191" s="353"/>
      <c r="X191" s="230"/>
      <c r="Y191" s="356"/>
      <c r="Z191" s="353"/>
      <c r="AA191" s="357"/>
      <c r="AB191" s="333"/>
      <c r="AC191" s="265"/>
      <c r="AF191" s="334"/>
      <c r="AG191" s="334"/>
      <c r="AH191" s="335"/>
      <c r="AI191" s="335"/>
    </row>
    <row r="192" spans="1:35">
      <c r="A192" s="348">
        <v>43391</v>
      </c>
      <c r="B192" s="249" t="s">
        <v>76</v>
      </c>
      <c r="C192" s="235" t="s">
        <v>77</v>
      </c>
      <c r="D192" s="123">
        <v>5518.23</v>
      </c>
      <c r="E192" s="123">
        <v>5495.63</v>
      </c>
      <c r="F192" s="123">
        <v>5477.54</v>
      </c>
      <c r="G192" s="123">
        <v>5467.55</v>
      </c>
      <c r="H192" s="123">
        <v>5453.99</v>
      </c>
      <c r="I192" s="123">
        <v>5460.56</v>
      </c>
      <c r="J192" s="123">
        <v>5464.92</v>
      </c>
      <c r="K192" s="123">
        <v>5478.17</v>
      </c>
      <c r="L192" s="123">
        <v>5504.34</v>
      </c>
      <c r="M192" s="123">
        <v>5486.92</v>
      </c>
      <c r="N192" s="123">
        <v>5476.74</v>
      </c>
      <c r="O192" s="123">
        <v>5472.96</v>
      </c>
      <c r="P192" s="123">
        <v>5464.77</v>
      </c>
      <c r="Q192" s="123">
        <v>5456.21</v>
      </c>
      <c r="R192" s="123">
        <v>5469.24</v>
      </c>
      <c r="S192" s="123">
        <v>5478.64</v>
      </c>
      <c r="T192" s="123">
        <v>5483.86</v>
      </c>
      <c r="U192" s="235">
        <f>IF((T193=""),"",MAX(D194:T194))</f>
        <v>2157.9799999999996</v>
      </c>
      <c r="V192" s="235">
        <f>IF(T193="","",MIN(D194:T194))</f>
        <v>2052.5</v>
      </c>
      <c r="W192" s="235">
        <f>IF((T194=""),"",AVERAGE(D194:T194))</f>
        <v>2102.5705882352941</v>
      </c>
      <c r="X192" s="359">
        <f>STDEV(D194:T194)</f>
        <v>35.282165549783642</v>
      </c>
      <c r="Y192" s="236">
        <f>IF((T193=""),"",((U192-V192)/(U192+V192))*100)</f>
        <v>2.5051775569531163</v>
      </c>
      <c r="Z192" s="228" t="str">
        <f>IF(T193="","",IF(Y192&lt;15,IF(W192&gt;AF192,IF(W192&lt;AG192,"Pass","Fail"),"Fail"),"Fail"))</f>
        <v>Pass</v>
      </c>
      <c r="AA192" s="360">
        <v>121</v>
      </c>
      <c r="AB192" s="265" t="s">
        <v>94</v>
      </c>
      <c r="AD192" s="302">
        <v>1600</v>
      </c>
      <c r="AE192" s="302">
        <v>2600</v>
      </c>
      <c r="AF192" s="334">
        <v>1690</v>
      </c>
      <c r="AG192" s="334">
        <v>2125</v>
      </c>
      <c r="AH192" s="335">
        <v>15</v>
      </c>
      <c r="AI192" s="335">
        <v>15</v>
      </c>
    </row>
    <row r="193" spans="1:35">
      <c r="A193" s="123"/>
      <c r="B193" s="235"/>
      <c r="C193" s="235" t="s">
        <v>78</v>
      </c>
      <c r="D193" s="123">
        <v>4491.62</v>
      </c>
      <c r="E193" s="123">
        <v>4464.3599999999997</v>
      </c>
      <c r="F193" s="123">
        <v>4451.29</v>
      </c>
      <c r="G193" s="123">
        <v>4433.71</v>
      </c>
      <c r="H193" s="123">
        <v>4420.5</v>
      </c>
      <c r="I193" s="123">
        <v>4410.3</v>
      </c>
      <c r="J193" s="123">
        <v>4398.38</v>
      </c>
      <c r="K193" s="123">
        <v>4399.21</v>
      </c>
      <c r="L193" s="123">
        <v>4425.3500000000004</v>
      </c>
      <c r="M193" s="123">
        <v>4419.17</v>
      </c>
      <c r="N193" s="123">
        <v>4403.47</v>
      </c>
      <c r="O193" s="123">
        <v>4415.2700000000004</v>
      </c>
      <c r="P193" s="123">
        <v>4416.07</v>
      </c>
      <c r="Q193" s="123">
        <v>4416.7299999999996</v>
      </c>
      <c r="R193" s="123">
        <v>4416.04</v>
      </c>
      <c r="S193" s="123">
        <v>4427.49</v>
      </c>
      <c r="T193" s="123">
        <v>4429.46</v>
      </c>
      <c r="U193" s="337"/>
      <c r="V193" s="337"/>
      <c r="W193" s="337"/>
      <c r="X193" s="359"/>
      <c r="Y193" s="338"/>
      <c r="Z193" s="337"/>
      <c r="AA193" s="360"/>
      <c r="AB193" s="265"/>
      <c r="AC193" s="265"/>
      <c r="AF193" s="334"/>
      <c r="AG193" s="334"/>
      <c r="AH193" s="335"/>
      <c r="AI193" s="335"/>
    </row>
    <row r="194" spans="1:35" ht="32.25" thickBot="1">
      <c r="A194" s="123"/>
      <c r="B194" s="243"/>
      <c r="C194" s="243" t="s">
        <v>221</v>
      </c>
      <c r="D194" s="340">
        <f t="shared" ref="D194:T194" si="60">IF(((D192="")*AND(D193="")),"",(D192-D193)*2)</f>
        <v>2053.2199999999993</v>
      </c>
      <c r="E194" s="340">
        <f t="shared" si="60"/>
        <v>2062.5400000000009</v>
      </c>
      <c r="F194" s="340">
        <f t="shared" si="60"/>
        <v>2052.5</v>
      </c>
      <c r="G194" s="340">
        <f t="shared" si="60"/>
        <v>2067.6800000000003</v>
      </c>
      <c r="H194" s="340">
        <f t="shared" si="60"/>
        <v>2066.9799999999996</v>
      </c>
      <c r="I194" s="340">
        <f t="shared" si="60"/>
        <v>2100.5200000000004</v>
      </c>
      <c r="J194" s="340">
        <f t="shared" si="60"/>
        <v>2133.08</v>
      </c>
      <c r="K194" s="340">
        <f t="shared" si="60"/>
        <v>2157.92</v>
      </c>
      <c r="L194" s="340">
        <f t="shared" si="60"/>
        <v>2157.9799999999996</v>
      </c>
      <c r="M194" s="340">
        <f t="shared" si="60"/>
        <v>2135.5</v>
      </c>
      <c r="N194" s="340">
        <f t="shared" si="60"/>
        <v>2146.5399999999991</v>
      </c>
      <c r="O194" s="340">
        <f t="shared" si="60"/>
        <v>2115.3799999999992</v>
      </c>
      <c r="P194" s="340">
        <f t="shared" si="60"/>
        <v>2097.4000000000015</v>
      </c>
      <c r="Q194" s="340">
        <f t="shared" si="60"/>
        <v>2078.9600000000009</v>
      </c>
      <c r="R194" s="340">
        <f t="shared" si="60"/>
        <v>2106.3999999999996</v>
      </c>
      <c r="S194" s="340">
        <f t="shared" si="60"/>
        <v>2102.3000000000011</v>
      </c>
      <c r="T194" s="340">
        <f t="shared" si="60"/>
        <v>2108.7999999999993</v>
      </c>
      <c r="U194" s="340"/>
      <c r="V194" s="340"/>
      <c r="W194" s="340"/>
      <c r="X194" s="363"/>
      <c r="Y194" s="344"/>
      <c r="Z194" s="340"/>
      <c r="AA194" s="364"/>
      <c r="AB194" s="265"/>
      <c r="AC194" s="265"/>
      <c r="AF194" s="334"/>
      <c r="AG194" s="334"/>
      <c r="AH194" s="335"/>
      <c r="AI194" s="335"/>
    </row>
    <row r="195" spans="1:35">
      <c r="A195" s="348">
        <v>43395</v>
      </c>
      <c r="B195" s="249" t="s">
        <v>76</v>
      </c>
      <c r="C195" s="235" t="s">
        <v>77</v>
      </c>
      <c r="D195" s="123">
        <v>4491.62</v>
      </c>
      <c r="E195" s="123">
        <v>4464.3599999999997</v>
      </c>
      <c r="F195" s="123">
        <v>4451.29</v>
      </c>
      <c r="G195" s="123">
        <v>4433.71</v>
      </c>
      <c r="H195" s="123">
        <v>4420.5</v>
      </c>
      <c r="I195" s="123">
        <v>4410.3</v>
      </c>
      <c r="J195" s="123">
        <v>4398.38</v>
      </c>
      <c r="K195" s="123">
        <v>4399.21</v>
      </c>
      <c r="L195" s="123">
        <v>4425.3500000000004</v>
      </c>
      <c r="M195" s="123">
        <v>4419.17</v>
      </c>
      <c r="N195" s="123">
        <v>4403.47</v>
      </c>
      <c r="O195" s="123">
        <v>4415.2700000000004</v>
      </c>
      <c r="P195" s="123">
        <v>4416.07</v>
      </c>
      <c r="Q195" s="123">
        <v>4416.7299999999996</v>
      </c>
      <c r="R195" s="123">
        <v>4416.04</v>
      </c>
      <c r="S195" s="123">
        <v>4427.49</v>
      </c>
      <c r="T195" s="123">
        <v>4429.46</v>
      </c>
      <c r="U195" s="235">
        <f>IF((T196=""),"",MAX(D197:T197))</f>
        <v>1902.6800000000003</v>
      </c>
      <c r="V195" s="235">
        <f>IF(T196="","",MIN(D197:T197))</f>
        <v>1747.8199999999997</v>
      </c>
      <c r="W195" s="235">
        <f>IF((T197=""),"",AVERAGE(D197:T197))</f>
        <v>1805.150588235294</v>
      </c>
      <c r="X195" s="359">
        <f>STDEV(D197:T197)</f>
        <v>45.920919044400414</v>
      </c>
      <c r="Y195" s="236">
        <f>IF((T196=""),"",((U195-V195)/(U195+V195))*100)</f>
        <v>4.2421586084098228</v>
      </c>
      <c r="Z195" s="228" t="str">
        <f>IF(T196="","",IF(Y195&lt;15,IF(W195&gt;AF195,IF(W195&lt;AG195,"Pass","Fail"),"Fail"),"Fail"))</f>
        <v>Pass</v>
      </c>
      <c r="AA195" s="360">
        <v>121</v>
      </c>
      <c r="AB195" s="265" t="s">
        <v>95</v>
      </c>
      <c r="AD195" s="302">
        <v>1600</v>
      </c>
      <c r="AE195" s="302">
        <v>2600</v>
      </c>
      <c r="AF195" s="334">
        <v>1690</v>
      </c>
      <c r="AG195" s="334">
        <v>2125</v>
      </c>
      <c r="AH195" s="335">
        <v>15</v>
      </c>
      <c r="AI195" s="335">
        <v>15</v>
      </c>
    </row>
    <row r="196" spans="1:35">
      <c r="A196" s="123"/>
      <c r="B196" s="235"/>
      <c r="C196" s="235" t="s">
        <v>78</v>
      </c>
      <c r="D196" s="123">
        <v>3615.46</v>
      </c>
      <c r="E196" s="123">
        <v>3583.25</v>
      </c>
      <c r="F196" s="123">
        <v>3566.19</v>
      </c>
      <c r="G196" s="123">
        <v>3559.8</v>
      </c>
      <c r="H196" s="123">
        <v>3539.87</v>
      </c>
      <c r="I196" s="123">
        <v>3507.86</v>
      </c>
      <c r="J196" s="123">
        <v>3472.15</v>
      </c>
      <c r="K196" s="123">
        <v>3463.6</v>
      </c>
      <c r="L196" s="123">
        <v>3474.01</v>
      </c>
      <c r="M196" s="123">
        <v>3500.74</v>
      </c>
      <c r="N196" s="123">
        <v>3497.93</v>
      </c>
      <c r="O196" s="123">
        <v>3510.78</v>
      </c>
      <c r="P196" s="123">
        <v>3534.98</v>
      </c>
      <c r="Q196" s="123">
        <v>3530.76</v>
      </c>
      <c r="R196" s="123">
        <v>3517.15</v>
      </c>
      <c r="S196" s="123">
        <v>3516.88</v>
      </c>
      <c r="T196" s="123">
        <v>3503.23</v>
      </c>
      <c r="U196" s="337"/>
      <c r="V196" s="337"/>
      <c r="W196" s="337"/>
      <c r="X196" s="359"/>
      <c r="Y196" s="338"/>
      <c r="Z196" s="337"/>
      <c r="AA196" s="360"/>
      <c r="AB196" s="333"/>
      <c r="AC196" s="265"/>
      <c r="AF196" s="334"/>
      <c r="AG196" s="334"/>
      <c r="AH196" s="335"/>
      <c r="AI196" s="335"/>
    </row>
    <row r="197" spans="1:35" ht="32.25" thickBot="1">
      <c r="A197" s="123"/>
      <c r="B197" s="243"/>
      <c r="C197" s="243" t="s">
        <v>221</v>
      </c>
      <c r="D197" s="340">
        <f t="shared" ref="D197:T197" si="61">IF(((D195="")*AND(D196="")),"",(D195-D196)*2)</f>
        <v>1752.3199999999997</v>
      </c>
      <c r="E197" s="340">
        <f t="shared" si="61"/>
        <v>1762.2199999999993</v>
      </c>
      <c r="F197" s="340">
        <f t="shared" si="61"/>
        <v>1770.1999999999998</v>
      </c>
      <c r="G197" s="340">
        <f t="shared" si="61"/>
        <v>1747.8199999999997</v>
      </c>
      <c r="H197" s="340">
        <f t="shared" si="61"/>
        <v>1761.2600000000002</v>
      </c>
      <c r="I197" s="340">
        <f t="shared" si="61"/>
        <v>1804.88</v>
      </c>
      <c r="J197" s="340">
        <f t="shared" si="61"/>
        <v>1852.46</v>
      </c>
      <c r="K197" s="340">
        <f t="shared" si="61"/>
        <v>1871.2200000000003</v>
      </c>
      <c r="L197" s="340">
        <f t="shared" si="61"/>
        <v>1902.6800000000003</v>
      </c>
      <c r="M197" s="340">
        <f t="shared" si="61"/>
        <v>1836.8600000000006</v>
      </c>
      <c r="N197" s="340">
        <f t="shared" si="61"/>
        <v>1811.0800000000008</v>
      </c>
      <c r="O197" s="340">
        <f t="shared" si="61"/>
        <v>1808.9800000000005</v>
      </c>
      <c r="P197" s="340">
        <f t="shared" si="61"/>
        <v>1762.1799999999994</v>
      </c>
      <c r="Q197" s="340">
        <f t="shared" si="61"/>
        <v>1771.9399999999987</v>
      </c>
      <c r="R197" s="340">
        <f t="shared" si="61"/>
        <v>1797.7799999999997</v>
      </c>
      <c r="S197" s="340">
        <f t="shared" si="61"/>
        <v>1821.2199999999993</v>
      </c>
      <c r="T197" s="340">
        <f t="shared" si="61"/>
        <v>1852.46</v>
      </c>
      <c r="U197" s="340"/>
      <c r="V197" s="340"/>
      <c r="W197" s="340"/>
      <c r="X197" s="363"/>
      <c r="Y197" s="344"/>
      <c r="Z197" s="340"/>
      <c r="AA197" s="364"/>
      <c r="AB197" s="333"/>
      <c r="AC197" s="265"/>
      <c r="AF197" s="334"/>
      <c r="AG197" s="334"/>
      <c r="AH197" s="335"/>
      <c r="AI197" s="335"/>
    </row>
    <row r="198" spans="1:35">
      <c r="A198" s="348">
        <v>43398</v>
      </c>
      <c r="B198" s="249" t="s">
        <v>76</v>
      </c>
      <c r="C198" s="235" t="s">
        <v>77</v>
      </c>
      <c r="D198" s="123">
        <v>5500.05</v>
      </c>
      <c r="E198" s="123">
        <v>5480.57</v>
      </c>
      <c r="F198" s="123">
        <v>5460.37</v>
      </c>
      <c r="G198" s="123">
        <v>5436.08</v>
      </c>
      <c r="H198" s="123">
        <v>5434.28</v>
      </c>
      <c r="I198" s="123">
        <v>5438.46</v>
      </c>
      <c r="J198" s="123">
        <v>5445.17</v>
      </c>
      <c r="K198" s="123">
        <v>5461.34</v>
      </c>
      <c r="L198" s="123">
        <v>5469.56</v>
      </c>
      <c r="M198" s="123">
        <v>5457.23</v>
      </c>
      <c r="N198" s="123">
        <v>5450.98</v>
      </c>
      <c r="O198" s="123">
        <v>5444.45</v>
      </c>
      <c r="P198" s="123">
        <v>5441.94</v>
      </c>
      <c r="Q198" s="123">
        <v>5438.62</v>
      </c>
      <c r="R198" s="123">
        <v>5447.85</v>
      </c>
      <c r="S198" s="123">
        <v>5446.6</v>
      </c>
      <c r="T198" s="123">
        <v>5454.82</v>
      </c>
      <c r="U198" s="235">
        <f>IF((T199=""),"",MAX(D200:T200))</f>
        <v>2203.16</v>
      </c>
      <c r="V198" s="235">
        <f>IF(T199="","",MIN(D200:T200))</f>
        <v>2057.58</v>
      </c>
      <c r="W198" s="235">
        <f>IF((T200=""),"",AVERAGE(D200:T200))</f>
        <v>2145.276470588235</v>
      </c>
      <c r="X198" s="359">
        <f>STDEV(D200:T200)</f>
        <v>39.714053706020856</v>
      </c>
      <c r="Y198" s="236">
        <f>IF((T199=""),"",((U198-V198)/(U198+V198))*100)</f>
        <v>3.4167773673117803</v>
      </c>
      <c r="Z198" s="228" t="str">
        <f>IF(T199="","",IF(Y198&lt;15,IF(W198&gt;AF198,IF(W198&lt;AG198,"Pass","Fail"),"Fail"),"Fail"))</f>
        <v>Fail</v>
      </c>
      <c r="AA198" s="360">
        <v>121</v>
      </c>
      <c r="AB198" s="333"/>
      <c r="AD198" s="302">
        <v>1600</v>
      </c>
      <c r="AE198" s="302">
        <v>2600</v>
      </c>
      <c r="AF198" s="334">
        <v>1690</v>
      </c>
      <c r="AG198" s="334">
        <v>2125</v>
      </c>
      <c r="AH198" s="335">
        <v>15</v>
      </c>
      <c r="AI198" s="335">
        <v>15</v>
      </c>
    </row>
    <row r="199" spans="1:35">
      <c r="A199" s="123"/>
      <c r="B199" s="235"/>
      <c r="C199" s="235" t="s">
        <v>78</v>
      </c>
      <c r="D199" s="123">
        <v>4471.26</v>
      </c>
      <c r="E199" s="123">
        <v>4434.62</v>
      </c>
      <c r="F199" s="123">
        <v>4408.55</v>
      </c>
      <c r="G199" s="123">
        <v>4388.71</v>
      </c>
      <c r="H199" s="123">
        <v>4368.59</v>
      </c>
      <c r="I199" s="123">
        <v>4348.74</v>
      </c>
      <c r="J199" s="123">
        <v>4343.59</v>
      </c>
      <c r="K199" s="123">
        <v>4359.8900000000003</v>
      </c>
      <c r="L199" s="123">
        <v>4379.8900000000003</v>
      </c>
      <c r="M199" s="123">
        <v>4379.82</v>
      </c>
      <c r="N199" s="123">
        <v>4368.34</v>
      </c>
      <c r="O199" s="123">
        <v>4361.04</v>
      </c>
      <c r="P199" s="123">
        <v>4365.51</v>
      </c>
      <c r="Q199" s="123">
        <v>4359.62</v>
      </c>
      <c r="R199" s="123">
        <v>4375.13</v>
      </c>
      <c r="S199" s="123">
        <v>4374.97</v>
      </c>
      <c r="T199" s="123">
        <v>4385.25</v>
      </c>
      <c r="U199" s="337"/>
      <c r="V199" s="337"/>
      <c r="W199" s="337"/>
      <c r="X199" s="359"/>
      <c r="Y199" s="338"/>
      <c r="Z199" s="337"/>
      <c r="AA199" s="360"/>
      <c r="AB199" s="333"/>
      <c r="AC199" s="265"/>
      <c r="AF199" s="334"/>
      <c r="AG199" s="334"/>
      <c r="AH199" s="335"/>
      <c r="AI199" s="335"/>
    </row>
    <row r="200" spans="1:35" ht="32.25" thickBot="1">
      <c r="A200" s="123"/>
      <c r="B200" s="243"/>
      <c r="C200" s="243" t="s">
        <v>221</v>
      </c>
      <c r="D200" s="340">
        <f t="shared" ref="D200:T200" si="62">IF(((D198="")*AND(D199="")),"",(D198-D199)*2)</f>
        <v>2057.58</v>
      </c>
      <c r="E200" s="340">
        <f t="shared" si="62"/>
        <v>2091.8999999999996</v>
      </c>
      <c r="F200" s="340">
        <f t="shared" si="62"/>
        <v>2103.6399999999994</v>
      </c>
      <c r="G200" s="340">
        <f t="shared" si="62"/>
        <v>2094.7399999999998</v>
      </c>
      <c r="H200" s="340">
        <f t="shared" si="62"/>
        <v>2131.3799999999992</v>
      </c>
      <c r="I200" s="340">
        <f t="shared" si="62"/>
        <v>2179.4400000000005</v>
      </c>
      <c r="J200" s="340">
        <f t="shared" si="62"/>
        <v>2203.16</v>
      </c>
      <c r="K200" s="340">
        <f t="shared" si="62"/>
        <v>2202.8999999999996</v>
      </c>
      <c r="L200" s="340">
        <f t="shared" si="62"/>
        <v>2179.34</v>
      </c>
      <c r="M200" s="340">
        <f t="shared" si="62"/>
        <v>2154.8199999999997</v>
      </c>
      <c r="N200" s="340">
        <f t="shared" si="62"/>
        <v>2165.2799999999988</v>
      </c>
      <c r="O200" s="340">
        <f t="shared" si="62"/>
        <v>2166.8199999999997</v>
      </c>
      <c r="P200" s="340">
        <f t="shared" si="62"/>
        <v>2152.8599999999988</v>
      </c>
      <c r="Q200" s="340">
        <f t="shared" si="62"/>
        <v>2158</v>
      </c>
      <c r="R200" s="340">
        <f t="shared" si="62"/>
        <v>2145.4400000000005</v>
      </c>
      <c r="S200" s="340">
        <f t="shared" si="62"/>
        <v>2143.2600000000002</v>
      </c>
      <c r="T200" s="340">
        <f t="shared" si="62"/>
        <v>2139.1399999999994</v>
      </c>
      <c r="U200" s="340"/>
      <c r="V200" s="340"/>
      <c r="W200" s="340"/>
      <c r="X200" s="363"/>
      <c r="Y200" s="344"/>
      <c r="Z200" s="340"/>
      <c r="AA200" s="364"/>
      <c r="AB200" s="333"/>
      <c r="AC200" s="265"/>
      <c r="AF200" s="334"/>
      <c r="AG200" s="334"/>
      <c r="AH200" s="335"/>
      <c r="AI200" s="335"/>
    </row>
    <row r="201" spans="1:35">
      <c r="A201" s="346">
        <v>43401</v>
      </c>
      <c r="B201" s="249" t="s">
        <v>76</v>
      </c>
      <c r="C201" s="235" t="s">
        <v>77</v>
      </c>
      <c r="D201" s="288">
        <v>4542</v>
      </c>
      <c r="E201" s="289">
        <v>4483</v>
      </c>
      <c r="F201" s="289">
        <v>4449</v>
      </c>
      <c r="G201" s="289">
        <v>4421</v>
      </c>
      <c r="H201" s="289">
        <v>4397</v>
      </c>
      <c r="I201" s="289">
        <v>4383</v>
      </c>
      <c r="J201" s="289">
        <v>4380</v>
      </c>
      <c r="K201" s="289">
        <v>4397</v>
      </c>
      <c r="L201" s="289">
        <v>4481</v>
      </c>
      <c r="M201" s="289">
        <v>4443</v>
      </c>
      <c r="N201" s="289">
        <v>4401</v>
      </c>
      <c r="O201" s="289">
        <v>4394</v>
      </c>
      <c r="P201" s="289">
        <v>4394</v>
      </c>
      <c r="Q201" s="289">
        <v>4397</v>
      </c>
      <c r="R201" s="289">
        <v>4404</v>
      </c>
      <c r="S201" s="289">
        <v>4414</v>
      </c>
      <c r="T201" s="365">
        <v>4437</v>
      </c>
      <c r="U201" s="347">
        <f>IF((T202=""),"",MAX(D203:T203))</f>
        <v>1914</v>
      </c>
      <c r="V201" s="235">
        <f>IF(T202="","",MIN(D203:T203))</f>
        <v>1754</v>
      </c>
      <c r="W201" s="250">
        <f>IF((T203=""),"",AVERAGE(D203:T203))</f>
        <v>1807.5294117647059</v>
      </c>
      <c r="X201" s="331">
        <f>STDEV(D203:T203)</f>
        <v>43.090192687923235</v>
      </c>
      <c r="Y201" s="236">
        <f>IF((T202=""),"",((U201-V201)/(U201+V201))*100)</f>
        <v>4.3620501635768809</v>
      </c>
      <c r="Z201" s="228" t="str">
        <f>IF(T202="","",IF(Y201&lt;15,IF(W201&gt;AF201,IF(W201&lt;AG201,"Pass","Fail"),"Fail"),"Fail"))</f>
        <v>Pass</v>
      </c>
      <c r="AA201" s="339">
        <v>1340</v>
      </c>
      <c r="AB201" s="333"/>
      <c r="AD201" s="302">
        <v>1600</v>
      </c>
      <c r="AE201" s="302">
        <v>2600</v>
      </c>
      <c r="AF201" s="334">
        <v>1690</v>
      </c>
      <c r="AG201" s="334">
        <v>2125</v>
      </c>
      <c r="AH201" s="335">
        <v>15</v>
      </c>
      <c r="AI201" s="335">
        <v>15</v>
      </c>
    </row>
    <row r="202" spans="1:35">
      <c r="A202" s="123"/>
      <c r="B202" s="235"/>
      <c r="C202" s="235" t="s">
        <v>78</v>
      </c>
      <c r="D202" s="288">
        <v>3644</v>
      </c>
      <c r="E202" s="289">
        <v>3595</v>
      </c>
      <c r="F202" s="289">
        <v>3569</v>
      </c>
      <c r="G202" s="289">
        <v>3544</v>
      </c>
      <c r="H202" s="289">
        <v>3513</v>
      </c>
      <c r="I202" s="289">
        <v>3488</v>
      </c>
      <c r="J202" s="289">
        <v>3465</v>
      </c>
      <c r="K202" s="289">
        <v>3459</v>
      </c>
      <c r="L202" s="289">
        <v>3524</v>
      </c>
      <c r="M202" s="289">
        <v>3526</v>
      </c>
      <c r="N202" s="289">
        <v>3486</v>
      </c>
      <c r="O202" s="289">
        <v>3495</v>
      </c>
      <c r="P202" s="289">
        <v>3504</v>
      </c>
      <c r="Q202" s="289">
        <v>3513</v>
      </c>
      <c r="R202" s="289">
        <v>3508</v>
      </c>
      <c r="S202" s="289">
        <v>3502</v>
      </c>
      <c r="T202" s="289">
        <v>3518</v>
      </c>
      <c r="U202" s="336"/>
      <c r="V202" s="337"/>
      <c r="W202" s="337"/>
      <c r="X202" s="331"/>
      <c r="Y202" s="338"/>
      <c r="Z202" s="337"/>
      <c r="AA202" s="339"/>
      <c r="AB202" s="333"/>
      <c r="AC202" s="265"/>
      <c r="AF202" s="334"/>
      <c r="AG202" s="334"/>
      <c r="AH202" s="335"/>
      <c r="AI202" s="335"/>
    </row>
    <row r="203" spans="1:35" ht="32.25" thickBot="1">
      <c r="A203" s="123"/>
      <c r="B203" s="243"/>
      <c r="C203" s="243" t="s">
        <v>221</v>
      </c>
      <c r="D203" s="353">
        <f t="shared" ref="D203:T203" si="63">IF(((D201="")*AND(D202="")),"",(D201-D202)*2)</f>
        <v>1796</v>
      </c>
      <c r="E203" s="353">
        <f t="shared" si="63"/>
        <v>1776</v>
      </c>
      <c r="F203" s="353">
        <f t="shared" si="63"/>
        <v>1760</v>
      </c>
      <c r="G203" s="353">
        <f t="shared" si="63"/>
        <v>1754</v>
      </c>
      <c r="H203" s="353">
        <f t="shared" si="63"/>
        <v>1768</v>
      </c>
      <c r="I203" s="353">
        <f t="shared" si="63"/>
        <v>1790</v>
      </c>
      <c r="J203" s="353">
        <f t="shared" si="63"/>
        <v>1830</v>
      </c>
      <c r="K203" s="353">
        <f t="shared" si="63"/>
        <v>1876</v>
      </c>
      <c r="L203" s="353">
        <f t="shared" si="63"/>
        <v>1914</v>
      </c>
      <c r="M203" s="353">
        <f t="shared" si="63"/>
        <v>1834</v>
      </c>
      <c r="N203" s="353">
        <f t="shared" si="63"/>
        <v>1830</v>
      </c>
      <c r="O203" s="353">
        <f t="shared" si="63"/>
        <v>1798</v>
      </c>
      <c r="P203" s="353">
        <f t="shared" si="63"/>
        <v>1780</v>
      </c>
      <c r="Q203" s="353">
        <f t="shared" si="63"/>
        <v>1768</v>
      </c>
      <c r="R203" s="353">
        <f t="shared" si="63"/>
        <v>1792</v>
      </c>
      <c r="S203" s="353">
        <f t="shared" si="63"/>
        <v>1824</v>
      </c>
      <c r="T203" s="354">
        <f t="shared" si="63"/>
        <v>1838</v>
      </c>
      <c r="U203" s="355"/>
      <c r="V203" s="353"/>
      <c r="W203" s="353"/>
      <c r="X203" s="230"/>
      <c r="Y203" s="356"/>
      <c r="Z203" s="353"/>
      <c r="AA203" s="357"/>
      <c r="AB203" s="333"/>
      <c r="AC203" s="265"/>
      <c r="AF203" s="334"/>
      <c r="AG203" s="334"/>
      <c r="AH203" s="335"/>
      <c r="AI203" s="335"/>
    </row>
    <row r="204" spans="1:35">
      <c r="A204" s="348">
        <v>43402</v>
      </c>
      <c r="B204" s="249" t="s">
        <v>76</v>
      </c>
      <c r="C204" s="235" t="s">
        <v>77</v>
      </c>
      <c r="D204" s="123">
        <v>3587.35</v>
      </c>
      <c r="E204" s="123">
        <v>3566.26</v>
      </c>
      <c r="F204" s="123">
        <v>3530.51</v>
      </c>
      <c r="G204" s="123">
        <v>3520.28</v>
      </c>
      <c r="H204" s="123">
        <v>3492.5</v>
      </c>
      <c r="I204" s="123">
        <v>3467.64</v>
      </c>
      <c r="J204" s="123">
        <v>3440.4</v>
      </c>
      <c r="K204" s="123">
        <v>3436.84</v>
      </c>
      <c r="L204" s="123">
        <v>3449.81</v>
      </c>
      <c r="M204" s="123">
        <v>3462.1</v>
      </c>
      <c r="N204" s="123">
        <v>3466.43</v>
      </c>
      <c r="O204" s="123">
        <v>3478.05</v>
      </c>
      <c r="P204" s="123">
        <v>3485.77</v>
      </c>
      <c r="Q204" s="123">
        <v>3492.65</v>
      </c>
      <c r="R204" s="123">
        <v>3483.67</v>
      </c>
      <c r="S204" s="123">
        <v>3479.19</v>
      </c>
      <c r="T204" s="123">
        <v>3475.58</v>
      </c>
      <c r="U204" s="235">
        <f>IF((T205=""),"",MAX(D206:T206))</f>
        <v>1939.8000000000002</v>
      </c>
      <c r="V204" s="235">
        <f>IF(T205="","",MIN(D206:T206))</f>
        <v>1752.96</v>
      </c>
      <c r="W204" s="235">
        <f>IF((T206=""),"",AVERAGE(D206:T206))</f>
        <v>1821.3941176470587</v>
      </c>
      <c r="X204" s="359">
        <f>STDEV(D206:T206)</f>
        <v>51.840178319863966</v>
      </c>
      <c r="Y204" s="236">
        <f>IF((T205=""),"",((U204-V204)/(U204+V204))*100)</f>
        <v>5.0596301953010787</v>
      </c>
      <c r="Z204" s="228" t="str">
        <f>IF(T205="","",IF(Y204&lt;15,IF(W204&gt;AF204,IF(W204&lt;AG204,"Pass","Fail"),"Fail"),"Fail"))</f>
        <v>Pass</v>
      </c>
      <c r="AA204" s="360">
        <v>1428</v>
      </c>
      <c r="AB204" s="265" t="s">
        <v>110</v>
      </c>
      <c r="AD204" s="302">
        <v>1600</v>
      </c>
      <c r="AE204" s="302">
        <v>2600</v>
      </c>
      <c r="AF204" s="334">
        <v>1690</v>
      </c>
      <c r="AG204" s="334">
        <v>2125</v>
      </c>
      <c r="AH204" s="335">
        <v>15</v>
      </c>
      <c r="AI204" s="335">
        <v>15</v>
      </c>
    </row>
    <row r="205" spans="1:35">
      <c r="A205" s="123"/>
      <c r="B205" s="235"/>
      <c r="C205" s="235" t="s">
        <v>78</v>
      </c>
      <c r="D205" s="123">
        <v>2710.87</v>
      </c>
      <c r="E205" s="123">
        <v>2687.31</v>
      </c>
      <c r="F205" s="123">
        <v>2649.6</v>
      </c>
      <c r="G205" s="123">
        <v>2636.11</v>
      </c>
      <c r="H205" s="123">
        <v>2606.7600000000002</v>
      </c>
      <c r="I205" s="123">
        <v>2554.2600000000002</v>
      </c>
      <c r="J205" s="123">
        <v>2513.62</v>
      </c>
      <c r="K205" s="123">
        <v>2488.9899999999998</v>
      </c>
      <c r="L205" s="123">
        <v>2479.91</v>
      </c>
      <c r="M205" s="123">
        <v>2527.6</v>
      </c>
      <c r="N205" s="123">
        <v>2541.94</v>
      </c>
      <c r="O205" s="123">
        <v>2572.83</v>
      </c>
      <c r="P205" s="123">
        <v>2587.54</v>
      </c>
      <c r="Q205" s="123">
        <v>2587.6799999999998</v>
      </c>
      <c r="R205" s="123">
        <v>2574.62</v>
      </c>
      <c r="S205" s="123">
        <v>2562.54</v>
      </c>
      <c r="T205" s="123">
        <v>2551</v>
      </c>
      <c r="U205" s="337"/>
      <c r="V205" s="337"/>
      <c r="W205" s="337"/>
      <c r="X205" s="359"/>
      <c r="Y205" s="338"/>
      <c r="Z205" s="337"/>
      <c r="AA205" s="360"/>
      <c r="AB205" s="333"/>
      <c r="AC205" s="265"/>
      <c r="AF205" s="334"/>
      <c r="AG205" s="334"/>
      <c r="AH205" s="335"/>
      <c r="AI205" s="335"/>
    </row>
    <row r="206" spans="1:35" ht="32.25" thickBot="1">
      <c r="A206" s="123"/>
      <c r="B206" s="243"/>
      <c r="C206" s="243" t="s">
        <v>221</v>
      </c>
      <c r="D206" s="340">
        <f t="shared" ref="D206:T206" si="64">IF(((D204="")*AND(D205="")),"",(D204-D205)*2)</f>
        <v>1752.96</v>
      </c>
      <c r="E206" s="340">
        <f t="shared" si="64"/>
        <v>1757.9000000000005</v>
      </c>
      <c r="F206" s="340">
        <f t="shared" si="64"/>
        <v>1761.8200000000006</v>
      </c>
      <c r="G206" s="340">
        <f t="shared" si="64"/>
        <v>1768.3400000000001</v>
      </c>
      <c r="H206" s="340">
        <f t="shared" si="64"/>
        <v>1771.4799999999996</v>
      </c>
      <c r="I206" s="340">
        <f t="shared" si="64"/>
        <v>1826.7599999999993</v>
      </c>
      <c r="J206" s="340">
        <f t="shared" si="64"/>
        <v>1853.5600000000004</v>
      </c>
      <c r="K206" s="340">
        <f t="shared" si="64"/>
        <v>1895.7000000000007</v>
      </c>
      <c r="L206" s="340">
        <f t="shared" si="64"/>
        <v>1939.8000000000002</v>
      </c>
      <c r="M206" s="340">
        <f t="shared" si="64"/>
        <v>1869</v>
      </c>
      <c r="N206" s="340">
        <f t="shared" si="64"/>
        <v>1848.9799999999996</v>
      </c>
      <c r="O206" s="340">
        <f t="shared" si="64"/>
        <v>1810.4400000000005</v>
      </c>
      <c r="P206" s="340">
        <f t="shared" si="64"/>
        <v>1796.46</v>
      </c>
      <c r="Q206" s="340">
        <f t="shared" si="64"/>
        <v>1809.9400000000005</v>
      </c>
      <c r="R206" s="340">
        <f t="shared" si="64"/>
        <v>1818.1000000000004</v>
      </c>
      <c r="S206" s="340">
        <f t="shared" si="64"/>
        <v>1833.3000000000002</v>
      </c>
      <c r="T206" s="340">
        <f t="shared" si="64"/>
        <v>1849.1599999999999</v>
      </c>
      <c r="U206" s="340"/>
      <c r="V206" s="340"/>
      <c r="W206" s="340"/>
      <c r="X206" s="363"/>
      <c r="Y206" s="344"/>
      <c r="Z206" s="340"/>
      <c r="AA206" s="364"/>
      <c r="AB206" s="333"/>
      <c r="AC206" s="265"/>
      <c r="AF206" s="334"/>
      <c r="AG206" s="334"/>
      <c r="AH206" s="335"/>
      <c r="AI206" s="335"/>
    </row>
    <row r="207" spans="1:35">
      <c r="A207" s="348">
        <v>43404</v>
      </c>
      <c r="B207" s="249" t="s">
        <v>76</v>
      </c>
      <c r="C207" s="235" t="s">
        <v>77</v>
      </c>
      <c r="D207" s="123">
        <v>5514.22</v>
      </c>
      <c r="E207" s="123">
        <v>5481</v>
      </c>
      <c r="F207" s="123">
        <v>5464.62</v>
      </c>
      <c r="G207" s="123">
        <v>5437.1</v>
      </c>
      <c r="H207" s="123">
        <v>5437.38</v>
      </c>
      <c r="I207" s="123">
        <v>5432.73</v>
      </c>
      <c r="J207" s="123">
        <v>5434.39</v>
      </c>
      <c r="K207" s="123">
        <v>5459.38</v>
      </c>
      <c r="L207" s="123">
        <v>5483.84</v>
      </c>
      <c r="M207" s="123">
        <v>5463.62</v>
      </c>
      <c r="N207" s="123">
        <v>5451.74</v>
      </c>
      <c r="O207" s="123">
        <v>5443.12</v>
      </c>
      <c r="P207" s="123">
        <v>5430.65</v>
      </c>
      <c r="Q207" s="123">
        <v>5427.98</v>
      </c>
      <c r="R207" s="123">
        <v>5432.84</v>
      </c>
      <c r="S207" s="123">
        <v>5449.16</v>
      </c>
      <c r="T207" s="123">
        <v>5460.63</v>
      </c>
      <c r="U207" s="347">
        <f>IF((T208=""),"",MAX(D209:T209))</f>
        <v>2187.6399999999994</v>
      </c>
      <c r="V207" s="235">
        <f>IF(T208="","",MIN(D209:T209))</f>
        <v>2046.92</v>
      </c>
      <c r="W207" s="250">
        <f>IF((T209=""),"",AVERAGE(D209:T209))</f>
        <v>2114.9682352941172</v>
      </c>
      <c r="X207" s="331">
        <f>STDEV(D209:T209)</f>
        <v>42.847579312502489</v>
      </c>
      <c r="Y207" s="236">
        <f>IF((T208=""),"",((U207-V207)/(U207+V207))*100)</f>
        <v>3.3231315650268121</v>
      </c>
      <c r="Z207" s="228" t="str">
        <f>IF(T208="","",IF(Y207&lt;15,IF(W207&gt;AF207,IF(W207&lt;AG207,"Pass","Fail"),"Fail"),"Fail"))</f>
        <v>Pass</v>
      </c>
      <c r="AA207" s="339">
        <v>1335</v>
      </c>
      <c r="AB207" s="265" t="s">
        <v>96</v>
      </c>
      <c r="AD207" s="302">
        <v>1600</v>
      </c>
      <c r="AE207" s="302">
        <v>2600</v>
      </c>
      <c r="AF207" s="334">
        <v>1690</v>
      </c>
      <c r="AG207" s="334">
        <v>2125</v>
      </c>
      <c r="AH207" s="335">
        <v>15</v>
      </c>
      <c r="AI207" s="335">
        <v>15</v>
      </c>
    </row>
    <row r="208" spans="1:35">
      <c r="A208" s="123"/>
      <c r="B208" s="235"/>
      <c r="C208" s="235" t="s">
        <v>78</v>
      </c>
      <c r="D208" s="123">
        <v>4490.76</v>
      </c>
      <c r="E208" s="123">
        <v>4451.54</v>
      </c>
      <c r="F208" s="123">
        <v>4426.0200000000004</v>
      </c>
      <c r="G208" s="123">
        <v>4405.88</v>
      </c>
      <c r="H208" s="123">
        <v>4393.4399999999996</v>
      </c>
      <c r="I208" s="123">
        <v>4376.93</v>
      </c>
      <c r="J208" s="123">
        <v>4352.6499999999996</v>
      </c>
      <c r="K208" s="123">
        <v>4365.5600000000004</v>
      </c>
      <c r="L208" s="123">
        <v>4391.2299999999996</v>
      </c>
      <c r="M208" s="123">
        <v>4392.7299999999996</v>
      </c>
      <c r="N208" s="123">
        <v>4376.8500000000004</v>
      </c>
      <c r="O208" s="123">
        <v>4379.7</v>
      </c>
      <c r="P208" s="123">
        <v>4383.8500000000004</v>
      </c>
      <c r="Q208" s="123">
        <v>4382.66</v>
      </c>
      <c r="R208" s="123">
        <v>4381.67</v>
      </c>
      <c r="S208" s="123">
        <v>4378.74</v>
      </c>
      <c r="T208" s="123">
        <v>4396.96</v>
      </c>
      <c r="U208" s="336"/>
      <c r="V208" s="337"/>
      <c r="W208" s="337"/>
      <c r="X208" s="331"/>
      <c r="Y208" s="338"/>
      <c r="Z208" s="337"/>
      <c r="AA208" s="339"/>
      <c r="AB208" s="333"/>
      <c r="AC208" s="265"/>
      <c r="AF208" s="334"/>
      <c r="AG208" s="334"/>
      <c r="AH208" s="335"/>
      <c r="AI208" s="335"/>
    </row>
    <row r="209" spans="1:35" ht="32.25" thickBot="1">
      <c r="A209" s="123"/>
      <c r="B209" s="243"/>
      <c r="C209" s="243" t="s">
        <v>221</v>
      </c>
      <c r="D209" s="353">
        <f t="shared" ref="D209:T209" si="65">IF(((D207="")*AND(D208="")),"",(D207-D208)*2)</f>
        <v>2046.92</v>
      </c>
      <c r="E209" s="353">
        <f t="shared" si="65"/>
        <v>2058.92</v>
      </c>
      <c r="F209" s="353">
        <f t="shared" si="65"/>
        <v>2077.1999999999989</v>
      </c>
      <c r="G209" s="353">
        <f t="shared" si="65"/>
        <v>2062.4400000000005</v>
      </c>
      <c r="H209" s="353">
        <f t="shared" si="65"/>
        <v>2087.880000000001</v>
      </c>
      <c r="I209" s="353">
        <f t="shared" si="65"/>
        <v>2111.5999999999985</v>
      </c>
      <c r="J209" s="353">
        <f t="shared" si="65"/>
        <v>2163.4800000000014</v>
      </c>
      <c r="K209" s="353">
        <f t="shared" si="65"/>
        <v>2187.6399999999994</v>
      </c>
      <c r="L209" s="353">
        <f t="shared" si="65"/>
        <v>2185.2200000000012</v>
      </c>
      <c r="M209" s="353">
        <f t="shared" si="65"/>
        <v>2141.7800000000007</v>
      </c>
      <c r="N209" s="353">
        <f t="shared" si="65"/>
        <v>2149.7799999999988</v>
      </c>
      <c r="O209" s="353">
        <f t="shared" si="65"/>
        <v>2126.84</v>
      </c>
      <c r="P209" s="353">
        <f t="shared" si="65"/>
        <v>2093.5999999999985</v>
      </c>
      <c r="Q209" s="353">
        <f t="shared" si="65"/>
        <v>2090.6399999999994</v>
      </c>
      <c r="R209" s="353">
        <f t="shared" si="65"/>
        <v>2102.34</v>
      </c>
      <c r="S209" s="353">
        <f t="shared" si="65"/>
        <v>2140.84</v>
      </c>
      <c r="T209" s="354">
        <f t="shared" si="65"/>
        <v>2127.34</v>
      </c>
      <c r="U209" s="355"/>
      <c r="V209" s="353"/>
      <c r="W209" s="353"/>
      <c r="X209" s="230"/>
      <c r="Y209" s="356"/>
      <c r="Z209" s="353"/>
      <c r="AA209" s="357"/>
      <c r="AB209" s="333"/>
      <c r="AC209" s="265"/>
      <c r="AF209" s="334"/>
      <c r="AG209" s="334"/>
      <c r="AH209" s="335"/>
      <c r="AI209" s="335"/>
    </row>
    <row r="210" spans="1:35">
      <c r="A210" s="348">
        <v>43409</v>
      </c>
      <c r="B210" s="249" t="s">
        <v>76</v>
      </c>
      <c r="C210" s="235" t="s">
        <v>77</v>
      </c>
      <c r="D210" s="123">
        <v>5519.96</v>
      </c>
      <c r="E210" s="123">
        <v>5505.68</v>
      </c>
      <c r="F210" s="123">
        <v>5482.94</v>
      </c>
      <c r="G210" s="123">
        <v>5460.74</v>
      </c>
      <c r="H210" s="123">
        <v>5450.46</v>
      </c>
      <c r="I210" s="123">
        <v>5457.07</v>
      </c>
      <c r="J210" s="123">
        <v>5459.95</v>
      </c>
      <c r="K210" s="123">
        <v>5475.18</v>
      </c>
      <c r="L210" s="123">
        <v>5476</v>
      </c>
      <c r="M210" s="123">
        <v>5482.18</v>
      </c>
      <c r="N210" s="123">
        <v>5470.71</v>
      </c>
      <c r="O210" s="123">
        <v>5461.66</v>
      </c>
      <c r="P210" s="123">
        <v>5458.97</v>
      </c>
      <c r="Q210" s="123">
        <v>5459.05</v>
      </c>
      <c r="R210" s="123">
        <v>5460.91</v>
      </c>
      <c r="S210" s="123">
        <v>5475.29</v>
      </c>
      <c r="T210" s="123">
        <v>5475.77</v>
      </c>
      <c r="U210" s="347">
        <f>IF((T211=""),"",MAX(D212:T212))</f>
        <v>2205.6000000000004</v>
      </c>
      <c r="V210" s="235">
        <f>IF(T211="","",MIN(D212:T212))</f>
        <v>2033.08</v>
      </c>
      <c r="W210" s="250">
        <f>IF((T212=""),"",AVERAGE(D212:T212))</f>
        <v>2122.967058823529</v>
      </c>
      <c r="X210" s="331">
        <f>STDEV(D212:T212)</f>
        <v>43.033942383412231</v>
      </c>
      <c r="Y210" s="236">
        <f>IF((T211=""),"",((U210-V210)/(U210+V210))*100)</f>
        <v>4.0701350420414002</v>
      </c>
      <c r="Z210" s="228" t="str">
        <f>IF(T211="","",IF(Y210&lt;15,IF(W210&gt;AF210,IF(W210&lt;AG210,"Pass","Fail"),"Fail"),"Fail"))</f>
        <v>Pass</v>
      </c>
      <c r="AA210" s="339">
        <v>1335</v>
      </c>
      <c r="AB210" s="333"/>
      <c r="AD210" s="302">
        <v>1600</v>
      </c>
      <c r="AE210" s="302">
        <v>2600</v>
      </c>
      <c r="AF210" s="334">
        <v>1690</v>
      </c>
      <c r="AG210" s="334">
        <v>2125</v>
      </c>
      <c r="AH210" s="335">
        <v>15</v>
      </c>
      <c r="AI210" s="335">
        <v>15</v>
      </c>
    </row>
    <row r="211" spans="1:35">
      <c r="A211" s="123"/>
      <c r="B211" s="235"/>
      <c r="C211" s="235" t="s">
        <v>78</v>
      </c>
      <c r="D211" s="123">
        <v>4503.42</v>
      </c>
      <c r="E211" s="123">
        <v>4463.3999999999996</v>
      </c>
      <c r="F211" s="123">
        <v>4438.72</v>
      </c>
      <c r="G211" s="123">
        <v>4430.68</v>
      </c>
      <c r="H211" s="123">
        <v>4404.8900000000003</v>
      </c>
      <c r="I211" s="123">
        <v>4390.92</v>
      </c>
      <c r="J211" s="123">
        <v>4376.1099999999997</v>
      </c>
      <c r="K211" s="123">
        <v>4372.38</v>
      </c>
      <c r="L211" s="123">
        <v>4394.79</v>
      </c>
      <c r="M211" s="123">
        <v>4405.62</v>
      </c>
      <c r="N211" s="123">
        <v>4393.91</v>
      </c>
      <c r="O211" s="123">
        <v>4401.63</v>
      </c>
      <c r="P211" s="123">
        <v>4408.43</v>
      </c>
      <c r="Q211" s="123">
        <v>4401.97</v>
      </c>
      <c r="R211" s="123">
        <v>4393.42</v>
      </c>
      <c r="S211" s="123">
        <v>4402.55</v>
      </c>
      <c r="T211" s="123">
        <v>4404.46</v>
      </c>
      <c r="U211" s="336"/>
      <c r="V211" s="337"/>
      <c r="W211" s="337"/>
      <c r="X211" s="331"/>
      <c r="Y211" s="338"/>
      <c r="Z211" s="337"/>
      <c r="AA211" s="339"/>
      <c r="AB211" s="333"/>
      <c r="AC211" s="265"/>
      <c r="AF211" s="334"/>
      <c r="AG211" s="334"/>
      <c r="AH211" s="335"/>
      <c r="AI211" s="335"/>
    </row>
    <row r="212" spans="1:35" ht="32.25" thickBot="1">
      <c r="A212" s="123"/>
      <c r="B212" s="243"/>
      <c r="C212" s="243" t="s">
        <v>221</v>
      </c>
      <c r="D212" s="353">
        <f t="shared" ref="D212:T212" si="66">IF(((D210="")*AND(D211="")),"",(D210-D211)*2)</f>
        <v>2033.08</v>
      </c>
      <c r="E212" s="353">
        <f t="shared" si="66"/>
        <v>2084.5600000000013</v>
      </c>
      <c r="F212" s="353">
        <f t="shared" si="66"/>
        <v>2088.4399999999987</v>
      </c>
      <c r="G212" s="353">
        <f t="shared" si="66"/>
        <v>2060.119999999999</v>
      </c>
      <c r="H212" s="353">
        <f t="shared" si="66"/>
        <v>2091.1399999999994</v>
      </c>
      <c r="I212" s="353">
        <f t="shared" si="66"/>
        <v>2132.2999999999993</v>
      </c>
      <c r="J212" s="353">
        <f t="shared" si="66"/>
        <v>2167.6800000000003</v>
      </c>
      <c r="K212" s="353">
        <f t="shared" si="66"/>
        <v>2205.6000000000004</v>
      </c>
      <c r="L212" s="353">
        <f t="shared" si="66"/>
        <v>2162.42</v>
      </c>
      <c r="M212" s="353">
        <f t="shared" si="66"/>
        <v>2153.1200000000008</v>
      </c>
      <c r="N212" s="353">
        <f t="shared" si="66"/>
        <v>2153.6000000000004</v>
      </c>
      <c r="O212" s="353">
        <f t="shared" si="66"/>
        <v>2120.0599999999995</v>
      </c>
      <c r="P212" s="353">
        <f t="shared" si="66"/>
        <v>2101.08</v>
      </c>
      <c r="Q212" s="353">
        <f t="shared" si="66"/>
        <v>2114.16</v>
      </c>
      <c r="R212" s="353">
        <f t="shared" si="66"/>
        <v>2134.9799999999996</v>
      </c>
      <c r="S212" s="353">
        <f t="shared" si="66"/>
        <v>2145.4799999999996</v>
      </c>
      <c r="T212" s="354">
        <f t="shared" si="66"/>
        <v>2142.6200000000008</v>
      </c>
      <c r="U212" s="355"/>
      <c r="V212" s="353"/>
      <c r="W212" s="353"/>
      <c r="X212" s="230"/>
      <c r="Y212" s="356"/>
      <c r="Z212" s="353"/>
      <c r="AA212" s="357"/>
      <c r="AB212" s="333"/>
      <c r="AC212" s="265"/>
      <c r="AF212" s="334"/>
      <c r="AG212" s="334"/>
      <c r="AH212" s="335"/>
      <c r="AI212" s="335"/>
    </row>
    <row r="213" spans="1:35">
      <c r="A213" s="348">
        <v>43413</v>
      </c>
      <c r="B213" s="249" t="s">
        <v>76</v>
      </c>
      <c r="C213" s="235" t="s">
        <v>77</v>
      </c>
      <c r="D213" s="123">
        <v>3784.36</v>
      </c>
      <c r="E213" s="123">
        <v>3767.09</v>
      </c>
      <c r="F213" s="123">
        <v>3763.27</v>
      </c>
      <c r="G213" s="123">
        <v>3756.08</v>
      </c>
      <c r="H213" s="123">
        <v>3751.17</v>
      </c>
      <c r="I213" s="123">
        <v>3750.93</v>
      </c>
      <c r="J213" s="123">
        <v>3757.9</v>
      </c>
      <c r="K213" s="123">
        <v>3764.63</v>
      </c>
      <c r="L213" s="123">
        <v>3775.6</v>
      </c>
      <c r="M213" s="123">
        <v>3768.77</v>
      </c>
      <c r="N213" s="123">
        <v>3761.62</v>
      </c>
      <c r="O213" s="123">
        <v>3755.95</v>
      </c>
      <c r="P213" s="123">
        <v>3755.32</v>
      </c>
      <c r="Q213" s="123">
        <v>3755.07</v>
      </c>
      <c r="R213" s="123">
        <v>3759.73</v>
      </c>
      <c r="S213" s="123">
        <v>3767</v>
      </c>
      <c r="T213" s="123">
        <v>3774.98</v>
      </c>
      <c r="U213" s="347">
        <f>IF((T214=""),"",MAX(D215:T215))</f>
        <v>2182.66</v>
      </c>
      <c r="V213" s="235">
        <f>IF(T214="","",MIN(D215:T215))</f>
        <v>2031.3200000000006</v>
      </c>
      <c r="W213" s="250">
        <f>IF((T215=""),"",AVERAGE(D215:T215))</f>
        <v>2100.38</v>
      </c>
      <c r="X213" s="331">
        <f>STDEV(D215:T215)</f>
        <v>41.019817771413841</v>
      </c>
      <c r="Y213" s="236">
        <f>IF((T214=""),"",((U213-V213)/(U213+V213))*100)</f>
        <v>3.5913791712347765</v>
      </c>
      <c r="Z213" s="228" t="str">
        <f>IF(T214="","",IF(Y213&lt;15,IF(W213&gt;AF213,IF(W213&lt;AG213,"Pass","Fail"),"Fail"),"Fail"))</f>
        <v>Pass</v>
      </c>
      <c r="AA213" s="339">
        <v>1428</v>
      </c>
      <c r="AB213" s="333"/>
      <c r="AD213" s="302">
        <v>1600</v>
      </c>
      <c r="AE213" s="302">
        <v>2600</v>
      </c>
      <c r="AF213" s="334">
        <v>1690</v>
      </c>
      <c r="AG213" s="334">
        <v>2125</v>
      </c>
      <c r="AH213" s="335">
        <v>15</v>
      </c>
      <c r="AI213" s="335">
        <v>15</v>
      </c>
    </row>
    <row r="214" spans="1:35">
      <c r="A214" s="123"/>
      <c r="B214" s="235"/>
      <c r="C214" s="235" t="s">
        <v>78</v>
      </c>
      <c r="D214" s="123">
        <v>2768.7</v>
      </c>
      <c r="E214" s="123">
        <v>2746.63</v>
      </c>
      <c r="F214" s="123">
        <v>2735.14</v>
      </c>
      <c r="G214" s="123">
        <v>2724.09</v>
      </c>
      <c r="H214" s="123">
        <v>2713.98</v>
      </c>
      <c r="I214" s="123">
        <v>2699.11</v>
      </c>
      <c r="J214" s="123">
        <v>2688.31</v>
      </c>
      <c r="K214" s="123">
        <v>2679.7</v>
      </c>
      <c r="L214" s="123">
        <v>2684.27</v>
      </c>
      <c r="M214" s="123">
        <v>2709.62</v>
      </c>
      <c r="N214" s="123">
        <v>2702.89</v>
      </c>
      <c r="O214" s="123">
        <v>2706.78</v>
      </c>
      <c r="P214" s="123">
        <v>2711.8</v>
      </c>
      <c r="Q214" s="123">
        <v>2711.36</v>
      </c>
      <c r="R214" s="123">
        <v>2708.61</v>
      </c>
      <c r="S214" s="123">
        <v>2706.01</v>
      </c>
      <c r="T214" s="123">
        <v>2719.24</v>
      </c>
      <c r="U214" s="336"/>
      <c r="V214" s="337"/>
      <c r="W214" s="337"/>
      <c r="X214" s="331"/>
      <c r="Y214" s="338"/>
      <c r="Z214" s="337"/>
      <c r="AA214" s="339"/>
      <c r="AB214" s="333"/>
      <c r="AC214" s="265"/>
      <c r="AF214" s="334"/>
      <c r="AG214" s="334"/>
      <c r="AH214" s="335"/>
      <c r="AI214" s="335"/>
    </row>
    <row r="215" spans="1:35" ht="32.25" thickBot="1">
      <c r="A215" s="123"/>
      <c r="B215" s="243"/>
      <c r="C215" s="243" t="s">
        <v>221</v>
      </c>
      <c r="D215" s="353">
        <f t="shared" ref="D215:T215" si="67">IF(((D213="")*AND(D214="")),"",(D213-D214)*2)</f>
        <v>2031.3200000000006</v>
      </c>
      <c r="E215" s="353">
        <f t="shared" si="67"/>
        <v>2040.92</v>
      </c>
      <c r="F215" s="353">
        <f t="shared" si="67"/>
        <v>2056.2600000000002</v>
      </c>
      <c r="G215" s="353">
        <f t="shared" si="67"/>
        <v>2063.9799999999996</v>
      </c>
      <c r="H215" s="353">
        <f t="shared" si="67"/>
        <v>2074.38</v>
      </c>
      <c r="I215" s="353">
        <f t="shared" si="67"/>
        <v>2103.6399999999994</v>
      </c>
      <c r="J215" s="353">
        <f t="shared" si="67"/>
        <v>2139.1800000000003</v>
      </c>
      <c r="K215" s="353">
        <f t="shared" si="67"/>
        <v>2169.8600000000006</v>
      </c>
      <c r="L215" s="353">
        <f t="shared" si="67"/>
        <v>2182.66</v>
      </c>
      <c r="M215" s="353">
        <f t="shared" si="67"/>
        <v>2118.3000000000002</v>
      </c>
      <c r="N215" s="353">
        <f t="shared" si="67"/>
        <v>2117.46</v>
      </c>
      <c r="O215" s="353">
        <f t="shared" si="67"/>
        <v>2098.3399999999992</v>
      </c>
      <c r="P215" s="353">
        <f t="shared" si="67"/>
        <v>2087.04</v>
      </c>
      <c r="Q215" s="353">
        <f t="shared" si="67"/>
        <v>2087.42</v>
      </c>
      <c r="R215" s="353">
        <f t="shared" si="67"/>
        <v>2102.2399999999998</v>
      </c>
      <c r="S215" s="353">
        <f t="shared" si="67"/>
        <v>2121.9799999999996</v>
      </c>
      <c r="T215" s="354">
        <f t="shared" si="67"/>
        <v>2111.4800000000005</v>
      </c>
      <c r="U215" s="355"/>
      <c r="V215" s="353"/>
      <c r="W215" s="353"/>
      <c r="X215" s="230"/>
      <c r="Y215" s="356"/>
      <c r="Z215" s="353"/>
      <c r="AA215" s="357"/>
      <c r="AB215" s="333"/>
      <c r="AC215" s="265"/>
      <c r="AF215" s="334"/>
      <c r="AG215" s="334"/>
      <c r="AH215" s="335"/>
      <c r="AI215" s="335"/>
    </row>
    <row r="216" spans="1:35">
      <c r="A216" s="348">
        <v>43420</v>
      </c>
      <c r="B216" s="249" t="s">
        <v>76</v>
      </c>
      <c r="C216" s="235" t="s">
        <v>77</v>
      </c>
      <c r="D216" s="123">
        <v>4502.29</v>
      </c>
      <c r="E216" s="123">
        <v>4457.3599999999997</v>
      </c>
      <c r="F216" s="123">
        <v>4446.6400000000003</v>
      </c>
      <c r="G216" s="123">
        <v>4424.87</v>
      </c>
      <c r="H216" s="123">
        <v>4407.2700000000004</v>
      </c>
      <c r="I216" s="123">
        <v>4385.01</v>
      </c>
      <c r="J216" s="123">
        <v>4374.1499999999996</v>
      </c>
      <c r="K216" s="123">
        <v>4373.71</v>
      </c>
      <c r="L216" s="123">
        <v>4389.79</v>
      </c>
      <c r="M216" s="123">
        <v>4403.37</v>
      </c>
      <c r="N216" s="123">
        <v>4388.3599999999997</v>
      </c>
      <c r="O216" s="123">
        <v>4389.08</v>
      </c>
      <c r="P216" s="123">
        <v>4397.2700000000004</v>
      </c>
      <c r="Q216" s="123">
        <v>4398.45</v>
      </c>
      <c r="R216" s="123">
        <v>4389.16</v>
      </c>
      <c r="S216" s="123">
        <v>4395</v>
      </c>
      <c r="T216" s="123">
        <v>4402.4799999999996</v>
      </c>
      <c r="U216" s="347">
        <f>IF((T217=""),"",MAX(D218:T218))</f>
        <v>1875.4399999999996</v>
      </c>
      <c r="V216" s="235">
        <f>IF(T217="","",MIN(D218:T218))</f>
        <v>1726.9399999999996</v>
      </c>
      <c r="W216" s="250">
        <f>IF((T218=""),"",AVERAGE(D218:T218))</f>
        <v>1778.778823529412</v>
      </c>
      <c r="X216" s="331">
        <f>STDEV(D218:T218)</f>
        <v>44.504668558808433</v>
      </c>
      <c r="Y216" s="236">
        <f>IF((T217=""),"",((U216-V216)/(U216+V216))*100)</f>
        <v>4.122274718380627</v>
      </c>
      <c r="Z216" s="228" t="str">
        <f>IF(T217="","",IF(Y216&lt;15,IF(W216&gt;AF216,IF(W216&lt;AG216,"Pass","Fail"),"Fail"),"Fail"))</f>
        <v>Pass</v>
      </c>
      <c r="AA216" s="339">
        <v>1428</v>
      </c>
      <c r="AB216" s="333"/>
      <c r="AD216" s="302">
        <v>1600</v>
      </c>
      <c r="AE216" s="302">
        <v>2600</v>
      </c>
      <c r="AF216" s="334">
        <v>1690</v>
      </c>
      <c r="AG216" s="334">
        <v>2125</v>
      </c>
      <c r="AH216" s="335">
        <v>15</v>
      </c>
      <c r="AI216" s="335">
        <v>15</v>
      </c>
    </row>
    <row r="217" spans="1:35">
      <c r="A217" s="123"/>
      <c r="B217" s="235"/>
      <c r="C217" s="235" t="s">
        <v>78</v>
      </c>
      <c r="D217" s="123">
        <v>3621.81</v>
      </c>
      <c r="E217" s="123">
        <v>3593.87</v>
      </c>
      <c r="F217" s="123">
        <v>3573.59</v>
      </c>
      <c r="G217" s="123">
        <v>3561.4</v>
      </c>
      <c r="H217" s="123">
        <v>3543.59</v>
      </c>
      <c r="I217" s="123">
        <v>3499.51</v>
      </c>
      <c r="J217" s="123">
        <v>3461.5</v>
      </c>
      <c r="K217" s="123">
        <v>3445.26</v>
      </c>
      <c r="L217" s="123">
        <v>3452.07</v>
      </c>
      <c r="M217" s="123">
        <v>3499.21</v>
      </c>
      <c r="N217" s="123">
        <v>3490.26</v>
      </c>
      <c r="O217" s="123">
        <v>3505.16</v>
      </c>
      <c r="P217" s="123">
        <v>3523.2</v>
      </c>
      <c r="Q217" s="123">
        <v>3527.55</v>
      </c>
      <c r="R217" s="123">
        <v>3506.79</v>
      </c>
      <c r="S217" s="123">
        <v>3499.93</v>
      </c>
      <c r="T217" s="123">
        <v>3499.94</v>
      </c>
      <c r="U217" s="336"/>
      <c r="V217" s="337"/>
      <c r="W217" s="337"/>
      <c r="X217" s="331"/>
      <c r="Y217" s="338"/>
      <c r="Z217" s="337"/>
      <c r="AA217" s="339"/>
      <c r="AB217" s="333"/>
      <c r="AC217" s="265"/>
      <c r="AF217" s="334"/>
      <c r="AG217" s="334"/>
      <c r="AH217" s="335"/>
      <c r="AI217" s="335"/>
    </row>
    <row r="218" spans="1:35" ht="32.25" thickBot="1">
      <c r="A218" s="123"/>
      <c r="B218" s="243"/>
      <c r="C218" s="243" t="s">
        <v>221</v>
      </c>
      <c r="D218" s="353">
        <f t="shared" ref="D218:T218" si="68">IF(((D216="")*AND(D217="")),"",(D216-D217)*2)</f>
        <v>1760.96</v>
      </c>
      <c r="E218" s="353">
        <f t="shared" si="68"/>
        <v>1726.9799999999996</v>
      </c>
      <c r="F218" s="353">
        <f t="shared" si="68"/>
        <v>1746.1000000000004</v>
      </c>
      <c r="G218" s="353">
        <f t="shared" si="68"/>
        <v>1726.9399999999996</v>
      </c>
      <c r="H218" s="353">
        <f t="shared" si="68"/>
        <v>1727.3600000000006</v>
      </c>
      <c r="I218" s="353">
        <f t="shared" si="68"/>
        <v>1771</v>
      </c>
      <c r="J218" s="353">
        <f t="shared" si="68"/>
        <v>1825.2999999999993</v>
      </c>
      <c r="K218" s="353">
        <f t="shared" si="68"/>
        <v>1856.8999999999996</v>
      </c>
      <c r="L218" s="353">
        <f t="shared" si="68"/>
        <v>1875.4399999999996</v>
      </c>
      <c r="M218" s="353">
        <f t="shared" si="68"/>
        <v>1808.3199999999997</v>
      </c>
      <c r="N218" s="353">
        <f t="shared" si="68"/>
        <v>1796.1999999999989</v>
      </c>
      <c r="O218" s="353">
        <f t="shared" si="68"/>
        <v>1767.8400000000001</v>
      </c>
      <c r="P218" s="353">
        <f t="shared" si="68"/>
        <v>1748.1400000000012</v>
      </c>
      <c r="Q218" s="353">
        <f t="shared" si="68"/>
        <v>1741.7999999999993</v>
      </c>
      <c r="R218" s="353">
        <f t="shared" si="68"/>
        <v>1764.7399999999998</v>
      </c>
      <c r="S218" s="353">
        <f t="shared" si="68"/>
        <v>1790.1400000000003</v>
      </c>
      <c r="T218" s="354">
        <f t="shared" si="68"/>
        <v>1805.079999999999</v>
      </c>
      <c r="U218" s="355"/>
      <c r="V218" s="353"/>
      <c r="W218" s="353"/>
      <c r="X218" s="230"/>
      <c r="Y218" s="356"/>
      <c r="Z218" s="353"/>
      <c r="AA218" s="357"/>
      <c r="AB218" s="333"/>
      <c r="AC218" s="265"/>
      <c r="AF218" s="334"/>
      <c r="AG218" s="334"/>
      <c r="AH218" s="335"/>
      <c r="AI218" s="335"/>
    </row>
    <row r="219" spans="1:35">
      <c r="A219" s="348">
        <v>43424</v>
      </c>
      <c r="B219" s="249" t="s">
        <v>76</v>
      </c>
      <c r="C219" s="235" t="s">
        <v>77</v>
      </c>
      <c r="D219" s="123">
        <v>2793.29</v>
      </c>
      <c r="E219" s="123">
        <v>2784.55</v>
      </c>
      <c r="F219" s="123">
        <v>2784.68</v>
      </c>
      <c r="G219" s="123">
        <v>2788.24</v>
      </c>
      <c r="H219" s="123">
        <v>2789.39</v>
      </c>
      <c r="I219" s="123">
        <v>2787.72</v>
      </c>
      <c r="J219" s="123">
        <v>2784.93</v>
      </c>
      <c r="K219" s="123">
        <v>2790.27</v>
      </c>
      <c r="L219" s="123">
        <v>2802.41</v>
      </c>
      <c r="M219" s="123">
        <v>2790.13</v>
      </c>
      <c r="N219" s="123">
        <v>2784.82</v>
      </c>
      <c r="O219" s="123">
        <v>2783.27</v>
      </c>
      <c r="P219" s="123">
        <v>2786.89</v>
      </c>
      <c r="Q219" s="123">
        <v>2784.12</v>
      </c>
      <c r="R219" s="123">
        <v>2780.76</v>
      </c>
      <c r="S219" s="123">
        <v>2783.46</v>
      </c>
      <c r="T219" s="123">
        <v>2794.27</v>
      </c>
      <c r="U219" s="235">
        <f>IF((T220=""),"",MAX(D221:T221))</f>
        <v>1890.54</v>
      </c>
      <c r="V219" s="235">
        <f>IF(T220="","",MIN(D221:T221))</f>
        <v>1674.58</v>
      </c>
      <c r="W219" s="235">
        <f>IF((T221=""),"",AVERAGE(D221:T221))</f>
        <v>1793.6705882352942</v>
      </c>
      <c r="X219" s="359">
        <f>STDEV(D221:T221)</f>
        <v>54.257793503628129</v>
      </c>
      <c r="Y219" s="236">
        <f>IF((T220=""),"",((U219-V219)/(U219+V219))*100)</f>
        <v>6.057580109505432</v>
      </c>
      <c r="Z219" s="228" t="str">
        <f>IF(T220="","",IF(Y219&lt;15,IF(W219&gt;AF219,IF(W219&lt;AG219,"Pass","Fail"),"Fail"),"Fail"))</f>
        <v>Pass</v>
      </c>
      <c r="AA219" s="339">
        <v>1335</v>
      </c>
      <c r="AB219" s="265" t="s">
        <v>97</v>
      </c>
      <c r="AD219" s="302">
        <v>1600</v>
      </c>
      <c r="AE219" s="302">
        <v>2600</v>
      </c>
      <c r="AF219" s="334">
        <v>1690</v>
      </c>
      <c r="AG219" s="334">
        <v>2125</v>
      </c>
      <c r="AH219" s="335">
        <v>15</v>
      </c>
      <c r="AI219" s="335">
        <v>15</v>
      </c>
    </row>
    <row r="220" spans="1:35">
      <c r="A220" s="123"/>
      <c r="B220" s="235"/>
      <c r="C220" s="235" t="s">
        <v>78</v>
      </c>
      <c r="D220" s="337">
        <v>1956</v>
      </c>
      <c r="E220" s="337">
        <v>1920</v>
      </c>
      <c r="F220" s="337">
        <v>1913</v>
      </c>
      <c r="G220" s="337">
        <v>1914</v>
      </c>
      <c r="H220" s="337">
        <v>1903</v>
      </c>
      <c r="I220" s="337">
        <v>1879</v>
      </c>
      <c r="J220" s="337">
        <v>1856</v>
      </c>
      <c r="K220" s="337">
        <v>1845</v>
      </c>
      <c r="L220" s="337">
        <v>1865</v>
      </c>
      <c r="M220" s="337">
        <v>1910</v>
      </c>
      <c r="N220" s="337">
        <v>1874</v>
      </c>
      <c r="O220" s="337">
        <v>1879</v>
      </c>
      <c r="P220" s="337">
        <v>1893</v>
      </c>
      <c r="Q220" s="337">
        <v>1893</v>
      </c>
      <c r="R220" s="337">
        <v>1878</v>
      </c>
      <c r="S220" s="337">
        <v>1874</v>
      </c>
      <c r="T220" s="337">
        <v>1895</v>
      </c>
      <c r="U220" s="337"/>
      <c r="V220" s="337"/>
      <c r="W220" s="337"/>
      <c r="X220" s="359"/>
      <c r="Y220" s="338"/>
      <c r="Z220" s="337"/>
      <c r="AA220" s="339"/>
      <c r="AB220" s="333"/>
      <c r="AC220" s="265"/>
      <c r="AF220" s="334"/>
      <c r="AG220" s="334"/>
      <c r="AH220" s="335"/>
      <c r="AI220" s="335"/>
    </row>
    <row r="221" spans="1:35" ht="32.25" thickBot="1">
      <c r="A221" s="123"/>
      <c r="B221" s="243"/>
      <c r="C221" s="243" t="s">
        <v>221</v>
      </c>
      <c r="D221" s="337">
        <f t="shared" ref="D221:T221" si="69">IF(((D219="")*AND(D220="")),"",(D219-D220)*2)</f>
        <v>1674.58</v>
      </c>
      <c r="E221" s="337">
        <f t="shared" si="69"/>
        <v>1729.1000000000004</v>
      </c>
      <c r="F221" s="337">
        <f t="shared" si="69"/>
        <v>1743.3599999999997</v>
      </c>
      <c r="G221" s="337">
        <f t="shared" si="69"/>
        <v>1748.4799999999996</v>
      </c>
      <c r="H221" s="337">
        <f t="shared" si="69"/>
        <v>1772.7799999999997</v>
      </c>
      <c r="I221" s="337">
        <f t="shared" si="69"/>
        <v>1817.4399999999996</v>
      </c>
      <c r="J221" s="337">
        <f t="shared" si="69"/>
        <v>1857.8599999999997</v>
      </c>
      <c r="K221" s="337">
        <f t="shared" si="69"/>
        <v>1890.54</v>
      </c>
      <c r="L221" s="337">
        <f t="shared" si="69"/>
        <v>1874.8199999999997</v>
      </c>
      <c r="M221" s="337">
        <f t="shared" si="69"/>
        <v>1760.2600000000002</v>
      </c>
      <c r="N221" s="337">
        <f t="shared" si="69"/>
        <v>1821.6400000000003</v>
      </c>
      <c r="O221" s="337">
        <f t="shared" si="69"/>
        <v>1808.54</v>
      </c>
      <c r="P221" s="337">
        <f t="shared" si="69"/>
        <v>1787.7799999999997</v>
      </c>
      <c r="Q221" s="337">
        <f t="shared" si="69"/>
        <v>1782.2399999999998</v>
      </c>
      <c r="R221" s="337">
        <f t="shared" si="69"/>
        <v>1805.5200000000004</v>
      </c>
      <c r="S221" s="337">
        <f t="shared" si="69"/>
        <v>1818.92</v>
      </c>
      <c r="T221" s="337">
        <f t="shared" si="69"/>
        <v>1798.54</v>
      </c>
      <c r="U221" s="337"/>
      <c r="V221" s="337"/>
      <c r="W221" s="337"/>
      <c r="X221" s="366"/>
      <c r="Y221" s="338"/>
      <c r="Z221" s="337"/>
      <c r="AA221" s="339"/>
      <c r="AB221" s="333"/>
      <c r="AC221" s="265"/>
      <c r="AF221" s="334"/>
      <c r="AG221" s="334"/>
      <c r="AH221" s="335"/>
      <c r="AI221" s="335"/>
    </row>
    <row r="222" spans="1:35">
      <c r="A222" s="348">
        <v>43430</v>
      </c>
      <c r="B222" s="249" t="s">
        <v>76</v>
      </c>
      <c r="C222" s="235" t="s">
        <v>77</v>
      </c>
      <c r="D222" s="123">
        <v>5453.18</v>
      </c>
      <c r="E222" s="123">
        <v>5405.18</v>
      </c>
      <c r="F222" s="123">
        <v>5360.14</v>
      </c>
      <c r="G222" s="123">
        <v>5342.6</v>
      </c>
      <c r="H222" s="123">
        <v>5333.08</v>
      </c>
      <c r="I222" s="123">
        <v>5332.02</v>
      </c>
      <c r="J222" s="123">
        <v>5349.69</v>
      </c>
      <c r="K222" s="123">
        <v>5366.12</v>
      </c>
      <c r="L222" s="123">
        <v>5399.17</v>
      </c>
      <c r="M222" s="123">
        <v>5367.58</v>
      </c>
      <c r="N222" s="123">
        <v>5363.36</v>
      </c>
      <c r="O222" s="123">
        <v>5345.9</v>
      </c>
      <c r="P222" s="123">
        <v>5342.68</v>
      </c>
      <c r="Q222" s="123">
        <v>5333.15</v>
      </c>
      <c r="R222" s="123">
        <v>5345.15</v>
      </c>
      <c r="S222" s="123">
        <v>5370.78</v>
      </c>
      <c r="T222" s="123">
        <v>5388.9</v>
      </c>
      <c r="U222" s="235">
        <f>IF((T223=""),"",MAX(D224:T224))</f>
        <v>2197.2399999999998</v>
      </c>
      <c r="V222" s="235">
        <f>IF(T223="","",MIN(D224:T224))</f>
        <v>2041.1599999999999</v>
      </c>
      <c r="W222" s="235">
        <f>IF((T224=""),"",AVERAGE(D224:T224))</f>
        <v>2118.6552941176478</v>
      </c>
      <c r="X222" s="359">
        <f>STDEV(D224:T224)</f>
        <v>45.858000681130449</v>
      </c>
      <c r="Y222" s="236">
        <f>IF((T223=""),"",((U222-V222)/(U222+V222))*100)</f>
        <v>3.6825217063042639</v>
      </c>
      <c r="Z222" s="228" t="str">
        <f>IF(T223="","",IF(Y222&lt;15,IF(W222&gt;AF222,IF(W222&lt;AG222,"Pass","Fail"),"Fail"),"Fail"))</f>
        <v>Pass</v>
      </c>
      <c r="AA222" s="339">
        <v>74</v>
      </c>
      <c r="AB222" s="333"/>
      <c r="AD222" s="302">
        <v>1600</v>
      </c>
      <c r="AE222" s="302">
        <v>2600</v>
      </c>
      <c r="AF222" s="334">
        <v>1690</v>
      </c>
      <c r="AG222" s="334">
        <v>2125</v>
      </c>
      <c r="AH222" s="335">
        <v>15</v>
      </c>
      <c r="AI222" s="335">
        <v>15</v>
      </c>
    </row>
    <row r="223" spans="1:35">
      <c r="A223" s="123"/>
      <c r="B223" s="235"/>
      <c r="C223" s="235" t="s">
        <v>78</v>
      </c>
      <c r="D223" s="123">
        <v>4432.6000000000004</v>
      </c>
      <c r="E223" s="123">
        <v>4374.6899999999996</v>
      </c>
      <c r="F223" s="123">
        <v>4333.5</v>
      </c>
      <c r="G223" s="123">
        <v>4303.3599999999997</v>
      </c>
      <c r="H223" s="123">
        <v>4286.6899999999996</v>
      </c>
      <c r="I223" s="123">
        <v>4266.33</v>
      </c>
      <c r="J223" s="123">
        <v>4265.4399999999996</v>
      </c>
      <c r="K223" s="123">
        <v>4268.08</v>
      </c>
      <c r="L223" s="123">
        <v>4300.55</v>
      </c>
      <c r="M223" s="123">
        <v>4307.4799999999996</v>
      </c>
      <c r="N223" s="123">
        <v>4299.1499999999996</v>
      </c>
      <c r="O223" s="123">
        <v>4290.33</v>
      </c>
      <c r="P223" s="123">
        <v>4285.66</v>
      </c>
      <c r="Q223" s="123">
        <v>4281.4799999999996</v>
      </c>
      <c r="R223" s="123">
        <v>4289.03</v>
      </c>
      <c r="S223" s="123">
        <v>4293.76</v>
      </c>
      <c r="T223" s="123">
        <v>4311.9799999999996</v>
      </c>
      <c r="U223" s="337"/>
      <c r="V223" s="337"/>
      <c r="W223" s="337"/>
      <c r="X223" s="359"/>
      <c r="Y223" s="338"/>
      <c r="Z223" s="337"/>
      <c r="AA223" s="339"/>
      <c r="AB223" s="333"/>
      <c r="AC223" s="265"/>
      <c r="AF223" s="334"/>
      <c r="AG223" s="334"/>
      <c r="AH223" s="335"/>
      <c r="AI223" s="335"/>
    </row>
    <row r="224" spans="1:35" ht="32.25" thickBot="1">
      <c r="A224" s="123"/>
      <c r="B224" s="243"/>
      <c r="C224" s="243" t="s">
        <v>221</v>
      </c>
      <c r="D224" s="337">
        <f t="shared" ref="D224:T224" si="70">IF(((D222="")*AND(D223="")),"",(D222-D223)*2)</f>
        <v>2041.1599999999999</v>
      </c>
      <c r="E224" s="337">
        <f t="shared" si="70"/>
        <v>2060.9800000000014</v>
      </c>
      <c r="F224" s="337">
        <f t="shared" si="70"/>
        <v>2053.2800000000007</v>
      </c>
      <c r="G224" s="337">
        <f t="shared" si="70"/>
        <v>2078.4800000000014</v>
      </c>
      <c r="H224" s="337">
        <f t="shared" si="70"/>
        <v>2092.7800000000007</v>
      </c>
      <c r="I224" s="337">
        <f t="shared" si="70"/>
        <v>2131.380000000001</v>
      </c>
      <c r="J224" s="337">
        <f t="shared" si="70"/>
        <v>2168.5</v>
      </c>
      <c r="K224" s="337">
        <f t="shared" si="70"/>
        <v>2196.08</v>
      </c>
      <c r="L224" s="337">
        <f t="shared" si="70"/>
        <v>2197.2399999999998</v>
      </c>
      <c r="M224" s="337">
        <f t="shared" si="70"/>
        <v>2120.2000000000007</v>
      </c>
      <c r="N224" s="337">
        <f t="shared" si="70"/>
        <v>2128.42</v>
      </c>
      <c r="O224" s="337">
        <f t="shared" si="70"/>
        <v>2111.1399999999994</v>
      </c>
      <c r="P224" s="337">
        <f t="shared" si="70"/>
        <v>2114.0400000000009</v>
      </c>
      <c r="Q224" s="337">
        <f t="shared" si="70"/>
        <v>2103.34</v>
      </c>
      <c r="R224" s="337">
        <f t="shared" si="70"/>
        <v>2112.2399999999998</v>
      </c>
      <c r="S224" s="337">
        <f t="shared" si="70"/>
        <v>2154.0399999999991</v>
      </c>
      <c r="T224" s="337">
        <f t="shared" si="70"/>
        <v>2153.84</v>
      </c>
      <c r="U224" s="337"/>
      <c r="V224" s="337"/>
      <c r="W224" s="337"/>
      <c r="X224" s="366"/>
      <c r="Y224" s="338"/>
      <c r="Z224" s="337"/>
      <c r="AA224" s="339"/>
      <c r="AB224" s="333"/>
      <c r="AC224" s="265"/>
      <c r="AF224" s="334"/>
      <c r="AG224" s="334"/>
      <c r="AH224" s="335"/>
      <c r="AI224" s="335"/>
    </row>
    <row r="225" spans="1:35">
      <c r="A225" s="346">
        <v>43438</v>
      </c>
      <c r="B225" s="249" t="s">
        <v>76</v>
      </c>
      <c r="C225" s="235" t="s">
        <v>77</v>
      </c>
      <c r="D225" s="288">
        <v>5269</v>
      </c>
      <c r="E225" s="289">
        <v>5245</v>
      </c>
      <c r="F225" s="289">
        <v>5230</v>
      </c>
      <c r="G225" s="289">
        <v>5219</v>
      </c>
      <c r="H225" s="289">
        <v>5214</v>
      </c>
      <c r="I225" s="289">
        <v>5226</v>
      </c>
      <c r="J225" s="289">
        <v>5231</v>
      </c>
      <c r="K225" s="289">
        <v>5245</v>
      </c>
      <c r="L225" s="289">
        <v>5287</v>
      </c>
      <c r="M225" s="289">
        <v>5262</v>
      </c>
      <c r="N225" s="289">
        <v>5243</v>
      </c>
      <c r="O225" s="289">
        <v>5225</v>
      </c>
      <c r="P225" s="289">
        <v>5216</v>
      </c>
      <c r="Q225" s="289">
        <v>5220</v>
      </c>
      <c r="R225" s="289">
        <v>5226</v>
      </c>
      <c r="S225" s="289">
        <v>5232</v>
      </c>
      <c r="T225" s="365">
        <v>5253</v>
      </c>
      <c r="U225" s="347">
        <f>IF((T226=""),"",MAX(D227:T227))</f>
        <v>2184</v>
      </c>
      <c r="V225" s="235">
        <f>IF(T226="","",MIN(D227:T227))</f>
        <v>2026</v>
      </c>
      <c r="W225" s="250">
        <f>IF((T227=""),"",AVERAGE(D227:T227))</f>
        <v>2121.6470588235293</v>
      </c>
      <c r="X225" s="331">
        <f>STDEV(D227:T227)</f>
        <v>36.367810589294812</v>
      </c>
      <c r="Y225" s="236">
        <f>IF((T226=""),"",((U225-V225)/(U225+V225))*100)</f>
        <v>3.7529691211401426</v>
      </c>
      <c r="Z225" s="228" t="str">
        <f>IF(T226="","",IF(Y225&lt;15,IF(W225&gt;AF225,IF(W225&lt;AG225,"Pass","Fail"),"Fail"),"Fail"))</f>
        <v>Pass</v>
      </c>
      <c r="AA225" s="339">
        <v>1340</v>
      </c>
      <c r="AB225" s="333"/>
      <c r="AD225" s="302">
        <v>1600</v>
      </c>
      <c r="AE225" s="302">
        <v>2600</v>
      </c>
      <c r="AF225" s="334">
        <v>1690</v>
      </c>
      <c r="AG225" s="334">
        <v>2125</v>
      </c>
      <c r="AH225" s="335">
        <v>15</v>
      </c>
      <c r="AI225" s="335">
        <v>15</v>
      </c>
    </row>
    <row r="226" spans="1:35">
      <c r="A226" s="123"/>
      <c r="B226" s="235"/>
      <c r="C226" s="235" t="s">
        <v>78</v>
      </c>
      <c r="D226" s="288">
        <v>4256</v>
      </c>
      <c r="E226" s="289">
        <v>4195</v>
      </c>
      <c r="F226" s="289">
        <v>4175</v>
      </c>
      <c r="G226" s="289">
        <v>4164</v>
      </c>
      <c r="H226" s="289">
        <v>4161</v>
      </c>
      <c r="I226" s="289">
        <v>4153</v>
      </c>
      <c r="J226" s="289">
        <v>4151</v>
      </c>
      <c r="K226" s="289">
        <v>4153</v>
      </c>
      <c r="L226" s="289">
        <v>4228</v>
      </c>
      <c r="M226" s="289">
        <v>4221</v>
      </c>
      <c r="N226" s="289">
        <v>4160</v>
      </c>
      <c r="O226" s="289">
        <v>4156</v>
      </c>
      <c r="P226" s="289">
        <v>4158</v>
      </c>
      <c r="Q226" s="289">
        <v>4158</v>
      </c>
      <c r="R226" s="289">
        <v>4156</v>
      </c>
      <c r="S226" s="289">
        <v>4161</v>
      </c>
      <c r="T226" s="289">
        <v>4203</v>
      </c>
      <c r="U226" s="336"/>
      <c r="V226" s="337"/>
      <c r="W226" s="337"/>
      <c r="X226" s="331"/>
      <c r="Y226" s="338"/>
      <c r="Z226" s="337"/>
      <c r="AA226" s="339"/>
      <c r="AB226" s="333"/>
      <c r="AC226" s="265"/>
      <c r="AF226" s="334"/>
      <c r="AG226" s="334"/>
      <c r="AH226" s="335"/>
      <c r="AI226" s="335"/>
    </row>
    <row r="227" spans="1:35" ht="32.25" thickBot="1">
      <c r="A227" s="123"/>
      <c r="B227" s="243"/>
      <c r="C227" s="243" t="s">
        <v>221</v>
      </c>
      <c r="D227" s="353">
        <f t="shared" ref="D227:T227" si="71">IF(((D225="")*AND(D226="")),"",(D225-D226)*2)</f>
        <v>2026</v>
      </c>
      <c r="E227" s="353">
        <f t="shared" si="71"/>
        <v>2100</v>
      </c>
      <c r="F227" s="353">
        <f t="shared" si="71"/>
        <v>2110</v>
      </c>
      <c r="G227" s="353">
        <f t="shared" si="71"/>
        <v>2110</v>
      </c>
      <c r="H227" s="353">
        <f t="shared" si="71"/>
        <v>2106</v>
      </c>
      <c r="I227" s="353">
        <f t="shared" si="71"/>
        <v>2146</v>
      </c>
      <c r="J227" s="353">
        <f t="shared" si="71"/>
        <v>2160</v>
      </c>
      <c r="K227" s="353">
        <f t="shared" si="71"/>
        <v>2184</v>
      </c>
      <c r="L227" s="353">
        <f t="shared" si="71"/>
        <v>2118</v>
      </c>
      <c r="M227" s="353">
        <f t="shared" si="71"/>
        <v>2082</v>
      </c>
      <c r="N227" s="353">
        <f t="shared" si="71"/>
        <v>2166</v>
      </c>
      <c r="O227" s="353">
        <f t="shared" si="71"/>
        <v>2138</v>
      </c>
      <c r="P227" s="353">
        <f t="shared" si="71"/>
        <v>2116</v>
      </c>
      <c r="Q227" s="353">
        <f t="shared" si="71"/>
        <v>2124</v>
      </c>
      <c r="R227" s="353">
        <f t="shared" si="71"/>
        <v>2140</v>
      </c>
      <c r="S227" s="353">
        <f t="shared" si="71"/>
        <v>2142</v>
      </c>
      <c r="T227" s="354">
        <f t="shared" si="71"/>
        <v>2100</v>
      </c>
      <c r="U227" s="355"/>
      <c r="V227" s="353"/>
      <c r="W227" s="353"/>
      <c r="X227" s="230"/>
      <c r="Y227" s="356"/>
      <c r="Z227" s="353"/>
      <c r="AA227" s="357"/>
      <c r="AB227" s="333"/>
      <c r="AC227" s="265"/>
      <c r="AF227" s="334"/>
      <c r="AG227" s="334"/>
      <c r="AH227" s="335"/>
      <c r="AI227" s="335"/>
    </row>
    <row r="228" spans="1:35">
      <c r="A228" s="346">
        <v>43452</v>
      </c>
      <c r="B228" s="268" t="s">
        <v>76</v>
      </c>
      <c r="C228" s="235" t="s">
        <v>77</v>
      </c>
      <c r="D228" s="123">
        <v>4200.8900000000003</v>
      </c>
      <c r="E228" s="123">
        <v>4169.22</v>
      </c>
      <c r="F228" s="123">
        <v>4161.34</v>
      </c>
      <c r="G228" s="123">
        <v>4161.1400000000003</v>
      </c>
      <c r="H228" s="123">
        <v>4146.22</v>
      </c>
      <c r="I228" s="123">
        <v>4136.21</v>
      </c>
      <c r="J228" s="123">
        <v>4136.83</v>
      </c>
      <c r="K228" s="123">
        <v>4136.8</v>
      </c>
      <c r="L228" s="123">
        <v>4153.5600000000004</v>
      </c>
      <c r="M228" s="123">
        <v>4153.46</v>
      </c>
      <c r="N228" s="123">
        <v>4143.1899999999996</v>
      </c>
      <c r="O228" s="123">
        <v>4142.93</v>
      </c>
      <c r="P228" s="123">
        <v>4140.47</v>
      </c>
      <c r="Q228" s="123">
        <v>4143.6099999999997</v>
      </c>
      <c r="R228" s="123">
        <v>4133.29</v>
      </c>
      <c r="S228" s="123">
        <v>4142.8900000000003</v>
      </c>
      <c r="T228" s="123">
        <v>4158.54</v>
      </c>
      <c r="U228" s="347">
        <f>IF((T229=""),"",MAX(D230:T230))</f>
        <v>1961.0600000000004</v>
      </c>
      <c r="V228" s="235">
        <f>IF(T229="","",MIN(D230:T230))</f>
        <v>1453.0600000000004</v>
      </c>
      <c r="W228" s="250">
        <f>IF((T230=""),"",AVERAGE(D230:T230))</f>
        <v>1558.6141176470589</v>
      </c>
      <c r="X228" s="331">
        <f>STDEV(D230:T230)</f>
        <v>118.24932108995513</v>
      </c>
      <c r="Y228" s="236">
        <f>IF((T229=""),"",((U228-V228)/(U228+V228))*100)</f>
        <v>14.87938326713765</v>
      </c>
      <c r="Z228" s="228" t="str">
        <f>IF(T229="","",IF(Y228&lt;15,IF(W228&gt;AF228,IF(W228&lt;AG228,"Pass","Fail"),"Fail"),"Fail"))</f>
        <v>Fail</v>
      </c>
      <c r="AA228" s="339">
        <v>1340</v>
      </c>
      <c r="AB228" s="333"/>
      <c r="AD228" s="302">
        <v>1600</v>
      </c>
      <c r="AE228" s="302">
        <v>2600</v>
      </c>
      <c r="AF228" s="334">
        <v>1690</v>
      </c>
      <c r="AG228" s="334">
        <v>2125</v>
      </c>
      <c r="AH228" s="335">
        <v>15</v>
      </c>
      <c r="AI228" s="335">
        <v>15</v>
      </c>
    </row>
    <row r="229" spans="1:35">
      <c r="A229" s="123"/>
      <c r="B229" s="276"/>
      <c r="C229" s="235" t="s">
        <v>78</v>
      </c>
      <c r="D229" s="123">
        <v>3466.01</v>
      </c>
      <c r="E229" s="123">
        <v>3442.69</v>
      </c>
      <c r="F229" s="123">
        <v>3429.3</v>
      </c>
      <c r="G229" s="123">
        <v>3418.79</v>
      </c>
      <c r="H229" s="123">
        <v>3400.07</v>
      </c>
      <c r="I229" s="123">
        <v>3371.6</v>
      </c>
      <c r="J229" s="123">
        <v>3342.73</v>
      </c>
      <c r="K229" s="123">
        <v>3324.49</v>
      </c>
      <c r="L229" s="123">
        <v>3326.76</v>
      </c>
      <c r="M229" s="123">
        <v>3365.89</v>
      </c>
      <c r="N229" s="123">
        <v>3364.67</v>
      </c>
      <c r="O229" s="123">
        <v>3162.4</v>
      </c>
      <c r="P229" s="123">
        <v>3391.64</v>
      </c>
      <c r="Q229" s="123">
        <v>3390.21</v>
      </c>
      <c r="R229" s="123">
        <v>3375.86</v>
      </c>
      <c r="S229" s="123">
        <v>3366.75</v>
      </c>
      <c r="T229" s="123">
        <v>3372.51</v>
      </c>
      <c r="U229" s="336"/>
      <c r="V229" s="337"/>
      <c r="W229" s="337"/>
      <c r="X229" s="331"/>
      <c r="Y229" s="338"/>
      <c r="Z229" s="337"/>
      <c r="AA229" s="339"/>
      <c r="AB229" s="333"/>
      <c r="AC229" s="265"/>
      <c r="AF229" s="334"/>
      <c r="AG229" s="334"/>
      <c r="AH229" s="335"/>
      <c r="AI229" s="335"/>
    </row>
    <row r="230" spans="1:35" ht="32.25" thickBot="1">
      <c r="A230" s="123"/>
      <c r="B230" s="281"/>
      <c r="C230" s="243" t="s">
        <v>221</v>
      </c>
      <c r="D230" s="353">
        <f t="shared" ref="D230:T230" si="72">IF(((D228="")*AND(D229="")),"",(D228-D229)*2)</f>
        <v>1469.7600000000002</v>
      </c>
      <c r="E230" s="353">
        <f t="shared" si="72"/>
        <v>1453.0600000000004</v>
      </c>
      <c r="F230" s="353">
        <f t="shared" si="72"/>
        <v>1464.08</v>
      </c>
      <c r="G230" s="353">
        <f t="shared" si="72"/>
        <v>1484.7000000000007</v>
      </c>
      <c r="H230" s="353">
        <f t="shared" si="72"/>
        <v>1492.3000000000002</v>
      </c>
      <c r="I230" s="353">
        <f t="shared" si="72"/>
        <v>1529.2200000000003</v>
      </c>
      <c r="J230" s="353">
        <f t="shared" si="72"/>
        <v>1588.1999999999998</v>
      </c>
      <c r="K230" s="353">
        <f t="shared" si="72"/>
        <v>1624.6200000000008</v>
      </c>
      <c r="L230" s="353">
        <f t="shared" si="72"/>
        <v>1653.6000000000004</v>
      </c>
      <c r="M230" s="353">
        <f t="shared" si="72"/>
        <v>1575.1400000000003</v>
      </c>
      <c r="N230" s="353">
        <f t="shared" si="72"/>
        <v>1557.0399999999991</v>
      </c>
      <c r="O230" s="353">
        <f t="shared" si="72"/>
        <v>1961.0600000000004</v>
      </c>
      <c r="P230" s="353">
        <f t="shared" si="72"/>
        <v>1497.6600000000008</v>
      </c>
      <c r="Q230" s="353">
        <f t="shared" si="72"/>
        <v>1506.7999999999993</v>
      </c>
      <c r="R230" s="353">
        <f t="shared" si="72"/>
        <v>1514.8599999999997</v>
      </c>
      <c r="S230" s="353">
        <f t="shared" si="72"/>
        <v>1552.2800000000007</v>
      </c>
      <c r="T230" s="354">
        <f t="shared" si="72"/>
        <v>1572.0599999999995</v>
      </c>
      <c r="U230" s="355"/>
      <c r="V230" s="353"/>
      <c r="W230" s="353"/>
      <c r="X230" s="230"/>
      <c r="Y230" s="356"/>
      <c r="Z230" s="353"/>
      <c r="AA230" s="357"/>
      <c r="AB230" s="333"/>
      <c r="AC230" s="265"/>
      <c r="AF230" s="334"/>
      <c r="AG230" s="334"/>
      <c r="AH230" s="335"/>
      <c r="AI230" s="335"/>
    </row>
    <row r="231" spans="1:35">
      <c r="A231" s="346">
        <v>43452</v>
      </c>
      <c r="B231" s="268" t="s">
        <v>76</v>
      </c>
      <c r="C231" s="235" t="s">
        <v>77</v>
      </c>
      <c r="D231" s="123">
        <v>3466.96</v>
      </c>
      <c r="E231" s="123">
        <v>3440.71</v>
      </c>
      <c r="F231" s="123">
        <v>3427.86</v>
      </c>
      <c r="G231" s="123">
        <v>3417.67</v>
      </c>
      <c r="H231" s="123">
        <v>3399.1</v>
      </c>
      <c r="I231" s="123">
        <v>3370.92</v>
      </c>
      <c r="J231" s="123">
        <v>3343.3</v>
      </c>
      <c r="K231" s="123">
        <v>3325.73</v>
      </c>
      <c r="L231" s="123">
        <v>3327.01</v>
      </c>
      <c r="M231" s="123">
        <v>3367.87</v>
      </c>
      <c r="N231" s="123">
        <v>3364.86</v>
      </c>
      <c r="O231" s="123">
        <v>3375.84</v>
      </c>
      <c r="P231" s="123">
        <v>3390.67</v>
      </c>
      <c r="Q231" s="123">
        <v>3390.87</v>
      </c>
      <c r="R231" s="123">
        <v>3375.75</v>
      </c>
      <c r="S231" s="123">
        <v>3365.91</v>
      </c>
      <c r="T231" s="123">
        <v>3372.73</v>
      </c>
      <c r="U231" s="347">
        <f>IF((T232=""),"",MAX(D233:T233))</f>
        <v>1754.4000000000005</v>
      </c>
      <c r="V231" s="235">
        <f>IF(T232="","",MIN(D233:T233))</f>
        <v>1623.6000000000004</v>
      </c>
      <c r="W231" s="250">
        <f>IF((T233=""),"",AVERAGE(D233:T233))</f>
        <v>1688.8823529411766</v>
      </c>
      <c r="X231" s="331">
        <f>STDEV(D233:T233)</f>
        <v>41.022037907905712</v>
      </c>
      <c r="Y231" s="236">
        <f>IF((T232=""),"",((U231-V231)/(U231+V231))*100)</f>
        <v>3.8721136767317983</v>
      </c>
      <c r="Z231" s="228" t="str">
        <f>IF(T232="","",IF(Y231&lt;15,IF(W231&gt;AF231,IF(W231&lt;AG231,"Pass","Fail"),"Fail"),"Fail"))</f>
        <v>Fail</v>
      </c>
      <c r="AA231" s="339">
        <v>1428</v>
      </c>
      <c r="AB231" s="333"/>
      <c r="AD231" s="302">
        <v>1600</v>
      </c>
      <c r="AE231" s="302">
        <v>2600</v>
      </c>
      <c r="AF231" s="334">
        <v>1690</v>
      </c>
      <c r="AG231" s="334">
        <v>2125</v>
      </c>
      <c r="AH231" s="335">
        <v>15</v>
      </c>
      <c r="AI231" s="335">
        <v>15</v>
      </c>
    </row>
    <row r="232" spans="1:35">
      <c r="A232" s="123"/>
      <c r="B232" s="276"/>
      <c r="C232" s="235" t="s">
        <v>78</v>
      </c>
      <c r="D232" s="123">
        <v>2630.29</v>
      </c>
      <c r="E232" s="123">
        <v>2616.06</v>
      </c>
      <c r="F232" s="123">
        <v>2616.06</v>
      </c>
      <c r="G232" s="123">
        <v>2602.92</v>
      </c>
      <c r="H232" s="123">
        <v>2537.7800000000002</v>
      </c>
      <c r="I232" s="123">
        <v>2537.7800000000002</v>
      </c>
      <c r="J232" s="123">
        <v>2490.88</v>
      </c>
      <c r="K232" s="123">
        <v>2456.89</v>
      </c>
      <c r="L232" s="123">
        <v>2449.81</v>
      </c>
      <c r="M232" s="123">
        <v>2498.41</v>
      </c>
      <c r="N232" s="123">
        <v>2508.48</v>
      </c>
      <c r="O232" s="123">
        <v>2508.48</v>
      </c>
      <c r="P232" s="123">
        <v>2564.5300000000002</v>
      </c>
      <c r="Q232" s="123">
        <v>2565.5700000000002</v>
      </c>
      <c r="R232" s="123">
        <v>2542.21</v>
      </c>
      <c r="S232" s="123">
        <v>2522.35</v>
      </c>
      <c r="T232" s="123">
        <v>2519.7600000000002</v>
      </c>
      <c r="U232" s="336"/>
      <c r="V232" s="337"/>
      <c r="W232" s="337"/>
      <c r="X232" s="331"/>
      <c r="Y232" s="338"/>
      <c r="Z232" s="337"/>
      <c r="AA232" s="339"/>
      <c r="AB232" s="333"/>
      <c r="AC232" s="265"/>
      <c r="AF232" s="334"/>
      <c r="AG232" s="334"/>
      <c r="AH232" s="335"/>
      <c r="AI232" s="335"/>
    </row>
    <row r="233" spans="1:35" ht="32.25" thickBot="1">
      <c r="A233" s="123"/>
      <c r="B233" s="281"/>
      <c r="C233" s="243" t="s">
        <v>221</v>
      </c>
      <c r="D233" s="353">
        <f t="shared" ref="D233:T233" si="73">IF(((D231="")*AND(D232="")),"",(D231-D232)*2)</f>
        <v>1673.3400000000001</v>
      </c>
      <c r="E233" s="353">
        <f t="shared" si="73"/>
        <v>1649.3000000000002</v>
      </c>
      <c r="F233" s="353">
        <f t="shared" si="73"/>
        <v>1623.6000000000004</v>
      </c>
      <c r="G233" s="353">
        <f t="shared" si="73"/>
        <v>1629.5</v>
      </c>
      <c r="H233" s="353">
        <f t="shared" si="73"/>
        <v>1722.6399999999994</v>
      </c>
      <c r="I233" s="353">
        <f t="shared" si="73"/>
        <v>1666.2799999999997</v>
      </c>
      <c r="J233" s="353">
        <f t="shared" si="73"/>
        <v>1704.8400000000001</v>
      </c>
      <c r="K233" s="353">
        <f t="shared" si="73"/>
        <v>1737.6800000000003</v>
      </c>
      <c r="L233" s="353">
        <f t="shared" si="73"/>
        <v>1754.4000000000005</v>
      </c>
      <c r="M233" s="353">
        <f t="shared" si="73"/>
        <v>1738.92</v>
      </c>
      <c r="N233" s="353">
        <f t="shared" si="73"/>
        <v>1712.7600000000002</v>
      </c>
      <c r="O233" s="353">
        <f t="shared" si="73"/>
        <v>1734.7200000000003</v>
      </c>
      <c r="P233" s="353">
        <f t="shared" si="73"/>
        <v>1652.2799999999997</v>
      </c>
      <c r="Q233" s="353">
        <f t="shared" si="73"/>
        <v>1650.5999999999995</v>
      </c>
      <c r="R233" s="353">
        <f t="shared" si="73"/>
        <v>1667.08</v>
      </c>
      <c r="S233" s="353">
        <f t="shared" si="73"/>
        <v>1687.12</v>
      </c>
      <c r="T233" s="354">
        <f t="shared" si="73"/>
        <v>1705.9399999999996</v>
      </c>
      <c r="U233" s="355"/>
      <c r="V233" s="353"/>
      <c r="W233" s="353"/>
      <c r="X233" s="230"/>
      <c r="Y233" s="356"/>
      <c r="Z233" s="353"/>
      <c r="AA233" s="357"/>
      <c r="AB233" s="333"/>
      <c r="AC233" s="265"/>
      <c r="AF233" s="334"/>
      <c r="AG233" s="334"/>
      <c r="AH233" s="335"/>
      <c r="AI233" s="335"/>
    </row>
    <row r="234" spans="1:35">
      <c r="A234" s="346">
        <v>43452</v>
      </c>
      <c r="B234" s="268" t="s">
        <v>76</v>
      </c>
      <c r="C234" s="235" t="s">
        <v>77</v>
      </c>
      <c r="D234" s="123">
        <v>5330.88</v>
      </c>
      <c r="E234" s="123">
        <v>5314.71</v>
      </c>
      <c r="F234" s="123">
        <v>5302.81</v>
      </c>
      <c r="G234" s="123">
        <v>5296.44</v>
      </c>
      <c r="H234" s="123">
        <v>5284.67</v>
      </c>
      <c r="I234" s="123">
        <v>5297.27</v>
      </c>
      <c r="J234" s="123">
        <v>5295.76</v>
      </c>
      <c r="K234" s="123">
        <v>5314.36</v>
      </c>
      <c r="L234" s="123">
        <v>5336.86</v>
      </c>
      <c r="M234" s="123">
        <v>5320.97</v>
      </c>
      <c r="N234" s="123">
        <v>5312.01</v>
      </c>
      <c r="O234" s="123">
        <v>5302.94</v>
      </c>
      <c r="P234" s="123">
        <v>5297.7</v>
      </c>
      <c r="Q234" s="123">
        <v>5296.57</v>
      </c>
      <c r="R234" s="123">
        <v>5299.82</v>
      </c>
      <c r="S234" s="123">
        <v>5308.56</v>
      </c>
      <c r="T234" s="123">
        <v>5319.44</v>
      </c>
      <c r="U234" s="347">
        <f>IF((T235=""),"",MAX(D236:T236))</f>
        <v>2163.2199999999993</v>
      </c>
      <c r="V234" s="235">
        <f>IF(T235="","",MIN(D236:T236))</f>
        <v>2082.2000000000007</v>
      </c>
      <c r="W234" s="250">
        <f>IF((T236=""),"",AVERAGE(D236:T236))</f>
        <v>2120.6164705882352</v>
      </c>
      <c r="X234" s="331">
        <f>STDEV(D236:T236)</f>
        <v>21.513204358363147</v>
      </c>
      <c r="Y234" s="236">
        <f>IF((T235=""),"",((U234-V234)/(U234+V234))*100)</f>
        <v>1.9084095330968105</v>
      </c>
      <c r="Z234" s="228" t="str">
        <f>IF(T235="","",IF(Y234&lt;15,IF(W234&gt;AF234,IF(W234&lt;AG234,"Pass","Fail"),"Fail"),"Fail"))</f>
        <v>Pass</v>
      </c>
      <c r="AA234" s="339">
        <v>1428</v>
      </c>
      <c r="AB234" s="333"/>
      <c r="AD234" s="302">
        <v>1600</v>
      </c>
      <c r="AE234" s="302">
        <v>2600</v>
      </c>
      <c r="AF234" s="334">
        <v>1690</v>
      </c>
      <c r="AG234" s="334">
        <v>2125</v>
      </c>
      <c r="AH234" s="335">
        <v>15</v>
      </c>
      <c r="AI234" s="335">
        <v>15</v>
      </c>
    </row>
    <row r="235" spans="1:35">
      <c r="A235" s="123"/>
      <c r="B235" s="276"/>
      <c r="C235" s="235" t="s">
        <v>78</v>
      </c>
      <c r="D235" s="123">
        <v>4249.2700000000004</v>
      </c>
      <c r="E235" s="123">
        <v>4235.3900000000003</v>
      </c>
      <c r="F235" s="123">
        <v>4235.47</v>
      </c>
      <c r="G235" s="123">
        <v>4241.88</v>
      </c>
      <c r="H235" s="123">
        <v>4243.57</v>
      </c>
      <c r="I235" s="123">
        <v>4249.1899999999996</v>
      </c>
      <c r="J235" s="123">
        <v>4246.55</v>
      </c>
      <c r="K235" s="123">
        <v>4262.45</v>
      </c>
      <c r="L235" s="123">
        <v>4283.53</v>
      </c>
      <c r="M235" s="123">
        <v>4259.8900000000003</v>
      </c>
      <c r="N235" s="123">
        <v>4252.1400000000003</v>
      </c>
      <c r="O235" s="123">
        <v>4241.6499999999996</v>
      </c>
      <c r="P235" s="123">
        <v>4240.6400000000003</v>
      </c>
      <c r="Q235" s="123">
        <v>4239.96</v>
      </c>
      <c r="R235" s="123">
        <v>4231.41</v>
      </c>
      <c r="S235" s="123">
        <v>4239.71</v>
      </c>
      <c r="T235" s="123">
        <v>4253.83</v>
      </c>
      <c r="U235" s="336"/>
      <c r="V235" s="337"/>
      <c r="W235" s="337"/>
      <c r="X235" s="331"/>
      <c r="Y235" s="338"/>
      <c r="Z235" s="337"/>
      <c r="AA235" s="339"/>
      <c r="AB235" s="333"/>
      <c r="AC235" s="265"/>
      <c r="AF235" s="334"/>
      <c r="AG235" s="334"/>
      <c r="AH235" s="335"/>
      <c r="AI235" s="335"/>
    </row>
    <row r="236" spans="1:35" ht="32.25" thickBot="1">
      <c r="A236" s="123"/>
      <c r="B236" s="281"/>
      <c r="C236" s="243" t="s">
        <v>221</v>
      </c>
      <c r="D236" s="353">
        <f t="shared" ref="D236:T236" si="74">IF(((D234="")*AND(D235="")),"",(D234-D235)*2)</f>
        <v>2163.2199999999993</v>
      </c>
      <c r="E236" s="353">
        <f t="shared" si="74"/>
        <v>2158.6399999999994</v>
      </c>
      <c r="F236" s="353">
        <f t="shared" si="74"/>
        <v>2134.6800000000003</v>
      </c>
      <c r="G236" s="353">
        <f t="shared" si="74"/>
        <v>2109.119999999999</v>
      </c>
      <c r="H236" s="353">
        <f t="shared" si="74"/>
        <v>2082.2000000000007</v>
      </c>
      <c r="I236" s="353">
        <f t="shared" si="74"/>
        <v>2096.1600000000017</v>
      </c>
      <c r="J236" s="353">
        <f t="shared" si="74"/>
        <v>2098.42</v>
      </c>
      <c r="K236" s="353">
        <f t="shared" si="74"/>
        <v>2103.8199999999997</v>
      </c>
      <c r="L236" s="353">
        <f t="shared" si="74"/>
        <v>2106.66</v>
      </c>
      <c r="M236" s="353">
        <f t="shared" si="74"/>
        <v>2122.16</v>
      </c>
      <c r="N236" s="353">
        <f t="shared" si="74"/>
        <v>2119.7399999999998</v>
      </c>
      <c r="O236" s="353">
        <f t="shared" si="74"/>
        <v>2122.58</v>
      </c>
      <c r="P236" s="353">
        <f t="shared" si="74"/>
        <v>2114.119999999999</v>
      </c>
      <c r="Q236" s="353">
        <f t="shared" si="74"/>
        <v>2113.2199999999993</v>
      </c>
      <c r="R236" s="353">
        <f t="shared" si="74"/>
        <v>2136.8199999999997</v>
      </c>
      <c r="S236" s="353">
        <f t="shared" si="74"/>
        <v>2137.7000000000007</v>
      </c>
      <c r="T236" s="354">
        <f t="shared" si="74"/>
        <v>2131.2199999999993</v>
      </c>
      <c r="U236" s="355"/>
      <c r="V236" s="353"/>
      <c r="W236" s="353"/>
      <c r="X236" s="230"/>
      <c r="Y236" s="356"/>
      <c r="Z236" s="353"/>
      <c r="AA236" s="357"/>
      <c r="AB236" s="333"/>
      <c r="AC236" s="265"/>
      <c r="AF236" s="334"/>
      <c r="AG236" s="334"/>
      <c r="AH236" s="335"/>
      <c r="AI236" s="335"/>
    </row>
    <row r="237" spans="1:35">
      <c r="A237" s="346">
        <v>43458</v>
      </c>
      <c r="B237" s="268" t="s">
        <v>76</v>
      </c>
      <c r="C237" s="235" t="s">
        <v>77</v>
      </c>
      <c r="D237" s="288">
        <v>4369</v>
      </c>
      <c r="E237" s="289">
        <v>4306</v>
      </c>
      <c r="F237" s="289">
        <v>4285</v>
      </c>
      <c r="G237" s="289">
        <v>4268</v>
      </c>
      <c r="H237" s="289">
        <v>4260</v>
      </c>
      <c r="I237" s="289">
        <v>4240</v>
      </c>
      <c r="J237" s="289">
        <v>4224</v>
      </c>
      <c r="K237" s="289">
        <v>4227</v>
      </c>
      <c r="L237" s="289">
        <v>4293</v>
      </c>
      <c r="M237" s="289">
        <v>4306</v>
      </c>
      <c r="N237" s="289">
        <v>4251</v>
      </c>
      <c r="O237" s="289">
        <v>4249</v>
      </c>
      <c r="P237" s="289">
        <v>4250</v>
      </c>
      <c r="Q237" s="289">
        <v>4253</v>
      </c>
      <c r="R237" s="289">
        <v>4245</v>
      </c>
      <c r="S237" s="289">
        <v>4249</v>
      </c>
      <c r="T237" s="289">
        <v>4297</v>
      </c>
      <c r="U237" s="347">
        <f>IF((T238=""),"",MAX(D239:T239))</f>
        <v>1880</v>
      </c>
      <c r="V237" s="235">
        <f>IF(T238="","",MIN(D239:T239))</f>
        <v>1700</v>
      </c>
      <c r="W237" s="250">
        <f>IF((T239=""),"",AVERAGE(D239:T239))</f>
        <v>1772</v>
      </c>
      <c r="X237" s="331">
        <f>STDEV(D239:T239)</f>
        <v>51.249390240275055</v>
      </c>
      <c r="Y237" s="236">
        <f>IF((T238=""),"",((U237-V237)/(U237+V237))*100)</f>
        <v>5.027932960893855</v>
      </c>
      <c r="Z237" s="228" t="str">
        <f>IF(T238="","",IF(Y237&lt;15,IF(W237&gt;AF237,IF(W237&lt;AG237,"Pass","Fail"),"Fail"),"Fail"))</f>
        <v>Pass</v>
      </c>
      <c r="AA237" s="339">
        <v>1428</v>
      </c>
      <c r="AB237" s="333"/>
      <c r="AD237" s="302">
        <v>1600</v>
      </c>
      <c r="AE237" s="302">
        <v>2600</v>
      </c>
      <c r="AF237" s="334">
        <v>1690</v>
      </c>
      <c r="AG237" s="334">
        <v>2125</v>
      </c>
      <c r="AH237" s="335">
        <v>15</v>
      </c>
      <c r="AI237" s="335">
        <v>15</v>
      </c>
    </row>
    <row r="238" spans="1:35">
      <c r="A238" s="123"/>
      <c r="B238" s="276"/>
      <c r="C238" s="235" t="s">
        <v>78</v>
      </c>
      <c r="D238" s="288">
        <v>3509</v>
      </c>
      <c r="E238" s="289">
        <v>3448</v>
      </c>
      <c r="F238" s="289">
        <v>3428</v>
      </c>
      <c r="G238" s="289">
        <v>3418</v>
      </c>
      <c r="H238" s="289">
        <v>3396</v>
      </c>
      <c r="I238" s="289">
        <v>3355</v>
      </c>
      <c r="J238" s="289">
        <v>3310</v>
      </c>
      <c r="K238" s="289">
        <v>3287</v>
      </c>
      <c r="L238" s="289">
        <v>3366</v>
      </c>
      <c r="M238" s="289">
        <v>3406</v>
      </c>
      <c r="N238" s="289">
        <v>3350</v>
      </c>
      <c r="O238" s="289">
        <v>3359</v>
      </c>
      <c r="P238" s="289">
        <v>3381</v>
      </c>
      <c r="Q238" s="289">
        <v>3379</v>
      </c>
      <c r="R238" s="289">
        <v>3361</v>
      </c>
      <c r="S238" s="289">
        <v>3351</v>
      </c>
      <c r="T238" s="289">
        <v>3406</v>
      </c>
      <c r="U238" s="336"/>
      <c r="V238" s="337"/>
      <c r="W238" s="337"/>
      <c r="X238" s="331"/>
      <c r="Y238" s="338"/>
      <c r="Z238" s="337"/>
      <c r="AA238" s="339"/>
      <c r="AB238" s="333"/>
      <c r="AC238" s="265"/>
      <c r="AF238" s="334"/>
      <c r="AG238" s="334"/>
      <c r="AH238" s="335"/>
      <c r="AI238" s="335"/>
    </row>
    <row r="239" spans="1:35" ht="32.25" thickBot="1">
      <c r="A239" s="123"/>
      <c r="B239" s="281"/>
      <c r="C239" s="243" t="s">
        <v>221</v>
      </c>
      <c r="D239" s="353">
        <f t="shared" ref="D239:T239" si="75">IF(((D237="")*AND(D238="")),"",(D237-D238)*2)</f>
        <v>1720</v>
      </c>
      <c r="E239" s="353">
        <f t="shared" si="75"/>
        <v>1716</v>
      </c>
      <c r="F239" s="353">
        <f t="shared" si="75"/>
        <v>1714</v>
      </c>
      <c r="G239" s="353">
        <f t="shared" si="75"/>
        <v>1700</v>
      </c>
      <c r="H239" s="353">
        <f t="shared" si="75"/>
        <v>1728</v>
      </c>
      <c r="I239" s="353">
        <f t="shared" si="75"/>
        <v>1770</v>
      </c>
      <c r="J239" s="353">
        <f t="shared" si="75"/>
        <v>1828</v>
      </c>
      <c r="K239" s="353">
        <f t="shared" si="75"/>
        <v>1880</v>
      </c>
      <c r="L239" s="353">
        <f t="shared" si="75"/>
        <v>1854</v>
      </c>
      <c r="M239" s="353">
        <f t="shared" si="75"/>
        <v>1800</v>
      </c>
      <c r="N239" s="353">
        <f t="shared" si="75"/>
        <v>1802</v>
      </c>
      <c r="O239" s="353">
        <f t="shared" si="75"/>
        <v>1780</v>
      </c>
      <c r="P239" s="353">
        <f t="shared" si="75"/>
        <v>1738</v>
      </c>
      <c r="Q239" s="353">
        <f t="shared" si="75"/>
        <v>1748</v>
      </c>
      <c r="R239" s="353">
        <f t="shared" si="75"/>
        <v>1768</v>
      </c>
      <c r="S239" s="353">
        <f t="shared" si="75"/>
        <v>1796</v>
      </c>
      <c r="T239" s="354">
        <f t="shared" si="75"/>
        <v>1782</v>
      </c>
      <c r="U239" s="355"/>
      <c r="V239" s="353"/>
      <c r="W239" s="353"/>
      <c r="X239" s="230"/>
      <c r="Y239" s="356"/>
      <c r="Z239" s="353"/>
      <c r="AA239" s="357"/>
      <c r="AB239" s="333"/>
      <c r="AC239" s="265"/>
      <c r="AF239" s="334"/>
      <c r="AG239" s="334"/>
      <c r="AH239" s="335"/>
      <c r="AI239" s="335"/>
    </row>
    <row r="240" spans="1:35">
      <c r="A240" s="346">
        <v>43460</v>
      </c>
      <c r="B240" s="268" t="s">
        <v>76</v>
      </c>
      <c r="C240" s="235" t="s">
        <v>77</v>
      </c>
      <c r="D240" s="288">
        <v>5407</v>
      </c>
      <c r="E240" s="289">
        <v>5366</v>
      </c>
      <c r="F240" s="289">
        <v>5345</v>
      </c>
      <c r="G240" s="289">
        <v>5339</v>
      </c>
      <c r="H240" s="289">
        <v>5335</v>
      </c>
      <c r="I240" s="289">
        <v>5339</v>
      </c>
      <c r="J240" s="289">
        <v>5351</v>
      </c>
      <c r="K240" s="289">
        <v>5367</v>
      </c>
      <c r="L240" s="289">
        <v>5403</v>
      </c>
      <c r="M240" s="289">
        <v>5365</v>
      </c>
      <c r="N240" s="289">
        <v>5354</v>
      </c>
      <c r="O240" s="289">
        <v>5342</v>
      </c>
      <c r="P240" s="289">
        <v>5339</v>
      </c>
      <c r="Q240" s="289">
        <v>5339</v>
      </c>
      <c r="R240" s="289">
        <v>5345</v>
      </c>
      <c r="S240" s="289">
        <v>5359</v>
      </c>
      <c r="T240" s="365">
        <v>5365</v>
      </c>
      <c r="U240" s="347">
        <f>IF((T241=""),"",MAX(D242:T242))</f>
        <v>2176</v>
      </c>
      <c r="V240" s="235">
        <f>IF(T241="","",MIN(D242:T242))</f>
        <v>2022</v>
      </c>
      <c r="W240" s="250">
        <f>IF((T242=""),"",AVERAGE(D242:T242))</f>
        <v>2108.4705882352941</v>
      </c>
      <c r="X240" s="331">
        <f>STDEV(D242:T242)</f>
        <v>38.739704514649475</v>
      </c>
      <c r="Y240" s="236">
        <f>IF((T241=""),"",((U240-V240)/(U240+V240))*100)</f>
        <v>3.6684135302525012</v>
      </c>
      <c r="Z240" s="228" t="str">
        <f>IF(T241="","",IF(Y240&lt;15,IF(W240&gt;AF240,IF(W240&lt;AG240,"Pass","Fail"),"Fail"),"Fail"))</f>
        <v>Pass</v>
      </c>
      <c r="AA240" s="339">
        <v>1340</v>
      </c>
      <c r="AB240" s="333"/>
      <c r="AD240" s="302">
        <v>1600</v>
      </c>
      <c r="AE240" s="302">
        <v>2600</v>
      </c>
      <c r="AF240" s="334">
        <v>1690</v>
      </c>
      <c r="AG240" s="334">
        <v>2125</v>
      </c>
      <c r="AH240" s="335">
        <v>15</v>
      </c>
      <c r="AI240" s="335">
        <v>15</v>
      </c>
    </row>
    <row r="241" spans="1:35">
      <c r="A241" s="123"/>
      <c r="B241" s="276"/>
      <c r="C241" s="235" t="s">
        <v>78</v>
      </c>
      <c r="D241" s="288">
        <v>4396</v>
      </c>
      <c r="E241" s="289">
        <v>4321</v>
      </c>
      <c r="F241" s="289">
        <v>4307</v>
      </c>
      <c r="G241" s="289">
        <v>4289</v>
      </c>
      <c r="H241" s="289">
        <v>4285</v>
      </c>
      <c r="I241" s="289">
        <v>4283</v>
      </c>
      <c r="J241" s="289">
        <v>4273</v>
      </c>
      <c r="K241" s="289">
        <v>4279</v>
      </c>
      <c r="L241" s="289">
        <v>4336</v>
      </c>
      <c r="M241" s="289">
        <v>4316</v>
      </c>
      <c r="N241" s="289">
        <v>4275</v>
      </c>
      <c r="O241" s="289">
        <v>4275</v>
      </c>
      <c r="P241" s="289">
        <v>4283</v>
      </c>
      <c r="Q241" s="289">
        <v>4288</v>
      </c>
      <c r="R241" s="289">
        <v>4288</v>
      </c>
      <c r="S241" s="289">
        <v>4301</v>
      </c>
      <c r="T241" s="365">
        <v>4343</v>
      </c>
      <c r="U241" s="336"/>
      <c r="V241" s="337"/>
      <c r="W241" s="337"/>
      <c r="X241" s="331"/>
      <c r="Y241" s="338"/>
      <c r="Z241" s="337"/>
      <c r="AA241" s="339"/>
      <c r="AB241" s="333"/>
      <c r="AC241" s="265"/>
      <c r="AF241" s="334"/>
      <c r="AG241" s="334"/>
      <c r="AH241" s="335"/>
      <c r="AI241" s="335"/>
    </row>
    <row r="242" spans="1:35" ht="32.25" thickBot="1">
      <c r="A242" s="123"/>
      <c r="B242" s="281"/>
      <c r="C242" s="243" t="s">
        <v>221</v>
      </c>
      <c r="D242" s="353">
        <f t="shared" ref="D242:T242" si="76">IF(((D240="")*AND(D241="")),"",(D240-D241)*2)</f>
        <v>2022</v>
      </c>
      <c r="E242" s="353">
        <f t="shared" si="76"/>
        <v>2090</v>
      </c>
      <c r="F242" s="353">
        <f t="shared" si="76"/>
        <v>2076</v>
      </c>
      <c r="G242" s="353">
        <f t="shared" si="76"/>
        <v>2100</v>
      </c>
      <c r="H242" s="353">
        <f t="shared" si="76"/>
        <v>2100</v>
      </c>
      <c r="I242" s="353">
        <f t="shared" si="76"/>
        <v>2112</v>
      </c>
      <c r="J242" s="353">
        <f t="shared" si="76"/>
        <v>2156</v>
      </c>
      <c r="K242" s="353">
        <f t="shared" si="76"/>
        <v>2176</v>
      </c>
      <c r="L242" s="353">
        <f t="shared" si="76"/>
        <v>2134</v>
      </c>
      <c r="M242" s="353">
        <f t="shared" si="76"/>
        <v>2098</v>
      </c>
      <c r="N242" s="353">
        <f t="shared" si="76"/>
        <v>2158</v>
      </c>
      <c r="O242" s="353">
        <f t="shared" si="76"/>
        <v>2134</v>
      </c>
      <c r="P242" s="353">
        <f t="shared" si="76"/>
        <v>2112</v>
      </c>
      <c r="Q242" s="353">
        <f t="shared" si="76"/>
        <v>2102</v>
      </c>
      <c r="R242" s="353">
        <f t="shared" si="76"/>
        <v>2114</v>
      </c>
      <c r="S242" s="353">
        <f t="shared" si="76"/>
        <v>2116</v>
      </c>
      <c r="T242" s="354">
        <f t="shared" si="76"/>
        <v>2044</v>
      </c>
      <c r="U242" s="355"/>
      <c r="V242" s="353"/>
      <c r="W242" s="353"/>
      <c r="X242" s="230"/>
      <c r="Y242" s="356"/>
      <c r="Z242" s="353"/>
      <c r="AA242" s="357"/>
      <c r="AB242" s="333"/>
      <c r="AC242" s="265"/>
      <c r="AF242" s="334"/>
      <c r="AG242" s="334"/>
      <c r="AH242" s="335"/>
      <c r="AI242" s="335"/>
    </row>
    <row r="243" spans="1:35">
      <c r="A243" s="346">
        <v>43466</v>
      </c>
      <c r="B243" s="268" t="s">
        <v>76</v>
      </c>
      <c r="C243" s="235" t="s">
        <v>77</v>
      </c>
      <c r="D243" s="288">
        <v>5381</v>
      </c>
      <c r="E243" s="289">
        <v>5337</v>
      </c>
      <c r="F243" s="289">
        <v>5314</v>
      </c>
      <c r="G243" s="289">
        <v>5309</v>
      </c>
      <c r="H243" s="289">
        <v>5304</v>
      </c>
      <c r="I243" s="289">
        <v>5309</v>
      </c>
      <c r="J243" s="289">
        <v>5322</v>
      </c>
      <c r="K243" s="289">
        <v>5336</v>
      </c>
      <c r="L243" s="289">
        <v>5374</v>
      </c>
      <c r="M243" s="289">
        <v>5333</v>
      </c>
      <c r="N243" s="289">
        <v>5320</v>
      </c>
      <c r="O243" s="289">
        <v>5318</v>
      </c>
      <c r="P243" s="289">
        <v>5311</v>
      </c>
      <c r="Q243" s="289">
        <v>5307</v>
      </c>
      <c r="R243" s="289">
        <v>5322</v>
      </c>
      <c r="S243" s="289">
        <v>5338</v>
      </c>
      <c r="T243" s="365">
        <v>5358</v>
      </c>
      <c r="U243" s="347">
        <f>IF((T244=""),"",MAX(D245:T245))</f>
        <v>2190</v>
      </c>
      <c r="V243" s="235">
        <f>IF(T244="","",MIN(D245:T245))</f>
        <v>2024</v>
      </c>
      <c r="W243" s="250">
        <f>IF((T245=""),"",AVERAGE(D245:T245))</f>
        <v>2114.2352941176468</v>
      </c>
      <c r="X243" s="331">
        <f>STDEV(D245:T245)</f>
        <v>42.976053523684428</v>
      </c>
      <c r="Y243" s="236">
        <f>IF((T244=""),"",((U243-V243)/(U243+V243))*100)</f>
        <v>3.9392501186521121</v>
      </c>
      <c r="Z243" s="228" t="str">
        <f>IF(T244="","",IF(Y243&lt;15,IF(W243&gt;AF243,IF(W243&lt;AG243,"Pass","Fail"),"Fail"),"Fail"))</f>
        <v>Pass</v>
      </c>
      <c r="AA243" s="339" t="s">
        <v>98</v>
      </c>
      <c r="AB243" s="231" t="s">
        <v>99</v>
      </c>
      <c r="AD243" s="302">
        <v>1600</v>
      </c>
      <c r="AE243" s="302">
        <v>2600</v>
      </c>
      <c r="AF243" s="334">
        <v>1690</v>
      </c>
      <c r="AG243" s="334">
        <v>2125</v>
      </c>
      <c r="AH243" s="335">
        <v>15</v>
      </c>
      <c r="AI243" s="335">
        <v>15</v>
      </c>
    </row>
    <row r="244" spans="1:35">
      <c r="A244" s="123"/>
      <c r="B244" s="276"/>
      <c r="C244" s="235" t="s">
        <v>78</v>
      </c>
      <c r="D244" s="288">
        <v>4369</v>
      </c>
      <c r="E244" s="289">
        <v>4302</v>
      </c>
      <c r="F244" s="289">
        <v>4281</v>
      </c>
      <c r="G244" s="289">
        <v>4268</v>
      </c>
      <c r="H244" s="289">
        <v>4253</v>
      </c>
      <c r="I244" s="289">
        <v>4248</v>
      </c>
      <c r="J244" s="289">
        <v>4240</v>
      </c>
      <c r="K244" s="289">
        <v>4241</v>
      </c>
      <c r="L244" s="289">
        <v>4311</v>
      </c>
      <c r="M244" s="289">
        <v>4279</v>
      </c>
      <c r="N244" s="289">
        <v>4242</v>
      </c>
      <c r="O244" s="289">
        <v>4251</v>
      </c>
      <c r="P244" s="289">
        <v>4254</v>
      </c>
      <c r="Q244" s="289">
        <v>4253</v>
      </c>
      <c r="R244" s="289">
        <v>4246</v>
      </c>
      <c r="S244" s="289">
        <v>4260</v>
      </c>
      <c r="T244" s="365">
        <v>4324</v>
      </c>
      <c r="U244" s="336"/>
      <c r="V244" s="337"/>
      <c r="W244" s="337"/>
      <c r="X244" s="331"/>
      <c r="Y244" s="338"/>
      <c r="Z244" s="337"/>
      <c r="AA244" s="339"/>
      <c r="AB244" s="333"/>
      <c r="AC244" s="265"/>
    </row>
    <row r="245" spans="1:35" ht="32.25" thickBot="1">
      <c r="A245" s="123"/>
      <c r="B245" s="281"/>
      <c r="C245" s="243" t="s">
        <v>221</v>
      </c>
      <c r="D245" s="337">
        <f t="shared" ref="D245:T245" si="77">IF(((D243="")*AND(D244="")),"",(D243-D244)*2)</f>
        <v>2024</v>
      </c>
      <c r="E245" s="337">
        <f t="shared" si="77"/>
        <v>2070</v>
      </c>
      <c r="F245" s="337">
        <f t="shared" si="77"/>
        <v>2066</v>
      </c>
      <c r="G245" s="337">
        <f t="shared" si="77"/>
        <v>2082</v>
      </c>
      <c r="H245" s="337">
        <f t="shared" si="77"/>
        <v>2102</v>
      </c>
      <c r="I245" s="337">
        <f t="shared" si="77"/>
        <v>2122</v>
      </c>
      <c r="J245" s="337">
        <f t="shared" si="77"/>
        <v>2164</v>
      </c>
      <c r="K245" s="337">
        <f t="shared" si="77"/>
        <v>2190</v>
      </c>
      <c r="L245" s="337">
        <f t="shared" si="77"/>
        <v>2126</v>
      </c>
      <c r="M245" s="337">
        <f t="shared" si="77"/>
        <v>2108</v>
      </c>
      <c r="N245" s="337">
        <f t="shared" si="77"/>
        <v>2156</v>
      </c>
      <c r="O245" s="337">
        <f t="shared" si="77"/>
        <v>2134</v>
      </c>
      <c r="P245" s="337">
        <f t="shared" si="77"/>
        <v>2114</v>
      </c>
      <c r="Q245" s="337">
        <f t="shared" si="77"/>
        <v>2108</v>
      </c>
      <c r="R245" s="337">
        <f t="shared" si="77"/>
        <v>2152</v>
      </c>
      <c r="S245" s="337">
        <f t="shared" si="77"/>
        <v>2156</v>
      </c>
      <c r="T245" s="367">
        <f t="shared" si="77"/>
        <v>2068</v>
      </c>
      <c r="U245" s="336"/>
      <c r="V245" s="337"/>
      <c r="W245" s="337"/>
      <c r="X245" s="368"/>
      <c r="Y245" s="338"/>
      <c r="Z245" s="337"/>
      <c r="AA245" s="339"/>
      <c r="AB245" s="333"/>
      <c r="AC245" s="265"/>
    </row>
    <row r="246" spans="1:35">
      <c r="A246" s="369">
        <v>43476</v>
      </c>
      <c r="B246" s="268" t="s">
        <v>76</v>
      </c>
      <c r="C246" s="235" t="s">
        <v>77</v>
      </c>
      <c r="D246" s="370">
        <v>5360</v>
      </c>
      <c r="E246" s="370">
        <v>5320</v>
      </c>
      <c r="F246" s="370">
        <v>5299</v>
      </c>
      <c r="G246" s="370">
        <v>5294</v>
      </c>
      <c r="H246" s="370">
        <v>5294</v>
      </c>
      <c r="I246" s="370">
        <v>5296</v>
      </c>
      <c r="J246" s="370">
        <v>5310</v>
      </c>
      <c r="K246" s="370">
        <v>5306</v>
      </c>
      <c r="L246" s="370">
        <v>5349</v>
      </c>
      <c r="M246" s="370">
        <v>5330</v>
      </c>
      <c r="N246" s="370">
        <v>5305</v>
      </c>
      <c r="O246" s="370">
        <v>5298</v>
      </c>
      <c r="P246" s="370">
        <v>5293</v>
      </c>
      <c r="Q246" s="370">
        <v>5299</v>
      </c>
      <c r="R246" s="370">
        <v>5301</v>
      </c>
      <c r="S246" s="370">
        <v>5314</v>
      </c>
      <c r="T246" s="370">
        <v>5345</v>
      </c>
      <c r="U246" s="235">
        <f>IF((T247=""),"",MAX(D248:T248))</f>
        <v>294</v>
      </c>
      <c r="V246" s="235">
        <f>IF(T247="","",MIN(D248:T248))</f>
        <v>202</v>
      </c>
      <c r="W246" s="235">
        <f>IF((T248=""),"",AVERAGE(D248:T248))</f>
        <v>264.58823529411762</v>
      </c>
      <c r="X246" s="359">
        <f>STDEV(D248:T248)</f>
        <v>29.109832581812881</v>
      </c>
      <c r="Y246" s="235">
        <f>IF((T247=""),"",((U246-V246)/(U246+V246))*100)</f>
        <v>18.548387096774192</v>
      </c>
      <c r="Z246" s="228" t="str">
        <f>IF(T247="","",IF(Y246&lt;15,IF(W246&gt;AF246,IF(W246&lt;AG246,"Pass","Fail"),"Fail"),"Fail"))</f>
        <v>Fail</v>
      </c>
      <c r="AA246" s="339">
        <v>1340</v>
      </c>
      <c r="AB246" s="122"/>
      <c r="AD246" s="302">
        <v>1600</v>
      </c>
      <c r="AE246" s="302">
        <v>2600</v>
      </c>
      <c r="AF246" s="334">
        <v>1690</v>
      </c>
      <c r="AG246" s="334">
        <v>2210</v>
      </c>
      <c r="AH246" s="335">
        <v>15</v>
      </c>
      <c r="AI246" s="335">
        <v>15</v>
      </c>
    </row>
    <row r="247" spans="1:35">
      <c r="A247" s="371"/>
      <c r="B247" s="276"/>
      <c r="C247" s="235" t="s">
        <v>78</v>
      </c>
      <c r="D247" s="370">
        <v>5231</v>
      </c>
      <c r="E247" s="370">
        <v>5181</v>
      </c>
      <c r="F247" s="370">
        <v>5162</v>
      </c>
      <c r="G247" s="370">
        <v>5148</v>
      </c>
      <c r="H247" s="370">
        <v>5149</v>
      </c>
      <c r="I247" s="370">
        <v>5151</v>
      </c>
      <c r="J247" s="370">
        <v>5165</v>
      </c>
      <c r="K247" s="370">
        <v>5191</v>
      </c>
      <c r="L247" s="370">
        <v>5248</v>
      </c>
      <c r="M247" s="370">
        <v>5216</v>
      </c>
      <c r="N247" s="370">
        <v>5175</v>
      </c>
      <c r="O247" s="370">
        <v>5158</v>
      </c>
      <c r="P247" s="370">
        <v>5149</v>
      </c>
      <c r="Q247" s="370">
        <v>5152</v>
      </c>
      <c r="R247" s="370">
        <v>5166</v>
      </c>
      <c r="S247" s="370">
        <v>5185</v>
      </c>
      <c r="T247" s="370">
        <v>5237</v>
      </c>
      <c r="U247" s="337"/>
      <c r="V247" s="337"/>
      <c r="W247" s="337"/>
      <c r="X247" s="359"/>
      <c r="Y247" s="337"/>
      <c r="Z247" s="337"/>
      <c r="AA247" s="339"/>
      <c r="AB247" s="122"/>
      <c r="AC247" s="123"/>
    </row>
    <row r="248" spans="1:35" ht="32.25" thickBot="1">
      <c r="A248" s="372"/>
      <c r="B248" s="281"/>
      <c r="C248" s="243" t="s">
        <v>221</v>
      </c>
      <c r="D248" s="337">
        <f t="shared" ref="D248:T248" si="78">IF(((D246="")*AND(D247="")),"",(D246-D247)*2)</f>
        <v>258</v>
      </c>
      <c r="E248" s="337">
        <f t="shared" si="78"/>
        <v>278</v>
      </c>
      <c r="F248" s="337">
        <f t="shared" si="78"/>
        <v>274</v>
      </c>
      <c r="G248" s="337">
        <f t="shared" si="78"/>
        <v>292</v>
      </c>
      <c r="H248" s="337">
        <f t="shared" si="78"/>
        <v>290</v>
      </c>
      <c r="I248" s="337">
        <f t="shared" si="78"/>
        <v>290</v>
      </c>
      <c r="J248" s="337">
        <f t="shared" si="78"/>
        <v>290</v>
      </c>
      <c r="K248" s="337">
        <f t="shared" si="78"/>
        <v>230</v>
      </c>
      <c r="L248" s="337">
        <f t="shared" si="78"/>
        <v>202</v>
      </c>
      <c r="M248" s="337">
        <f t="shared" si="78"/>
        <v>228</v>
      </c>
      <c r="N248" s="337">
        <f t="shared" si="78"/>
        <v>260</v>
      </c>
      <c r="O248" s="337">
        <f t="shared" si="78"/>
        <v>280</v>
      </c>
      <c r="P248" s="337">
        <f t="shared" si="78"/>
        <v>288</v>
      </c>
      <c r="Q248" s="337">
        <f t="shared" si="78"/>
        <v>294</v>
      </c>
      <c r="R248" s="337">
        <f t="shared" si="78"/>
        <v>270</v>
      </c>
      <c r="S248" s="337">
        <f t="shared" si="78"/>
        <v>258</v>
      </c>
      <c r="T248" s="337">
        <f t="shared" si="78"/>
        <v>216</v>
      </c>
      <c r="U248" s="337"/>
      <c r="V248" s="337"/>
      <c r="W248" s="337"/>
      <c r="X248" s="366"/>
      <c r="Y248" s="337"/>
      <c r="Z248" s="337"/>
      <c r="AA248" s="339"/>
      <c r="AB248" s="122"/>
      <c r="AC248" s="123"/>
    </row>
    <row r="249" spans="1:35">
      <c r="A249" s="369">
        <v>43480</v>
      </c>
      <c r="B249" s="268" t="s">
        <v>76</v>
      </c>
      <c r="C249" s="235" t="s">
        <v>77</v>
      </c>
      <c r="D249" s="370">
        <v>5459</v>
      </c>
      <c r="E249" s="370">
        <v>5414</v>
      </c>
      <c r="F249" s="370">
        <v>5394</v>
      </c>
      <c r="G249" s="370">
        <v>5387</v>
      </c>
      <c r="H249" s="370">
        <v>5391</v>
      </c>
      <c r="I249" s="370">
        <v>5397</v>
      </c>
      <c r="J249" s="370">
        <v>5405</v>
      </c>
      <c r="K249" s="370">
        <v>5430</v>
      </c>
      <c r="L249" s="370">
        <v>5467</v>
      </c>
      <c r="M249" s="370">
        <v>5418</v>
      </c>
      <c r="N249" s="370">
        <v>5407</v>
      </c>
      <c r="O249" s="370">
        <v>5401</v>
      </c>
      <c r="P249" s="370">
        <v>5390</v>
      </c>
      <c r="Q249" s="370">
        <v>5394</v>
      </c>
      <c r="R249" s="370">
        <v>5399</v>
      </c>
      <c r="S249" s="370">
        <v>5406</v>
      </c>
      <c r="T249" s="370">
        <v>5444</v>
      </c>
      <c r="U249" s="235">
        <f>IF((T250=""),"",MAX(D251:T251))</f>
        <v>2162</v>
      </c>
      <c r="V249" s="235">
        <f>IF(T250="","",MIN(D251:T251))</f>
        <v>2028</v>
      </c>
      <c r="W249" s="235">
        <f>IF((T251=""),"",AVERAGE(D251:T251))</f>
        <v>2089.294117647059</v>
      </c>
      <c r="X249" s="359">
        <f>STDEV(D251:T251)</f>
        <v>34.618933955789196</v>
      </c>
      <c r="Y249" s="235">
        <f>IF((T250=""),"",((U249-V249)/(U249+V249))*100)</f>
        <v>3.1980906921241052</v>
      </c>
      <c r="Z249" s="228" t="str">
        <f>IF(T250="","",IF(Y249&lt;15,IF(W249&gt;AF249,IF(W249&lt;AG249,"Pass","Fail"),"Fail"),"Fail"))</f>
        <v>Pass</v>
      </c>
      <c r="AA249" s="339" t="s">
        <v>137</v>
      </c>
      <c r="AB249" s="122"/>
      <c r="AD249" s="302">
        <v>1600</v>
      </c>
      <c r="AE249" s="302">
        <v>2600</v>
      </c>
      <c r="AF249" s="334">
        <v>1690</v>
      </c>
      <c r="AG249" s="334">
        <v>2210</v>
      </c>
      <c r="AH249" s="335">
        <v>15</v>
      </c>
      <c r="AI249" s="335">
        <v>15</v>
      </c>
    </row>
    <row r="250" spans="1:35">
      <c r="A250" s="371"/>
      <c r="B250" s="276"/>
      <c r="C250" s="235" t="s">
        <v>78</v>
      </c>
      <c r="D250" s="370">
        <v>4445</v>
      </c>
      <c r="E250" s="370">
        <v>4389</v>
      </c>
      <c r="F250" s="370">
        <v>4367</v>
      </c>
      <c r="G250" s="370">
        <v>4359</v>
      </c>
      <c r="H250" s="370">
        <v>4352</v>
      </c>
      <c r="I250" s="370">
        <v>4345</v>
      </c>
      <c r="J250" s="370">
        <v>4341</v>
      </c>
      <c r="K250" s="370">
        <v>4349</v>
      </c>
      <c r="L250" s="370">
        <v>4426</v>
      </c>
      <c r="M250" s="370">
        <v>4372</v>
      </c>
      <c r="N250" s="370">
        <v>4339</v>
      </c>
      <c r="O250" s="370">
        <v>4342</v>
      </c>
      <c r="P250" s="370">
        <v>4347</v>
      </c>
      <c r="Q250" s="370">
        <v>4349</v>
      </c>
      <c r="R250" s="370">
        <v>4348</v>
      </c>
      <c r="S250" s="370">
        <v>4358</v>
      </c>
      <c r="T250" s="370">
        <v>4416</v>
      </c>
      <c r="U250" s="337"/>
      <c r="V250" s="337"/>
      <c r="W250" s="337"/>
      <c r="X250" s="359"/>
      <c r="Y250" s="337"/>
      <c r="Z250" s="337"/>
      <c r="AA250" s="339"/>
      <c r="AB250" s="122"/>
      <c r="AC250" s="123"/>
    </row>
    <row r="251" spans="1:35" ht="32.25" thickBot="1">
      <c r="A251" s="372"/>
      <c r="B251" s="281"/>
      <c r="C251" s="243" t="s">
        <v>221</v>
      </c>
      <c r="D251" s="337">
        <f t="shared" ref="D251:T251" si="79">IF(((D249="")*AND(D250="")),"",(D249-D250)*2)</f>
        <v>2028</v>
      </c>
      <c r="E251" s="337">
        <f t="shared" si="79"/>
        <v>2050</v>
      </c>
      <c r="F251" s="337">
        <f t="shared" si="79"/>
        <v>2054</v>
      </c>
      <c r="G251" s="337">
        <f t="shared" si="79"/>
        <v>2056</v>
      </c>
      <c r="H251" s="337">
        <f t="shared" si="79"/>
        <v>2078</v>
      </c>
      <c r="I251" s="337">
        <f t="shared" si="79"/>
        <v>2104</v>
      </c>
      <c r="J251" s="337">
        <f t="shared" si="79"/>
        <v>2128</v>
      </c>
      <c r="K251" s="337">
        <f t="shared" si="79"/>
        <v>2162</v>
      </c>
      <c r="L251" s="337">
        <f t="shared" si="79"/>
        <v>2082</v>
      </c>
      <c r="M251" s="337">
        <f t="shared" si="79"/>
        <v>2092</v>
      </c>
      <c r="N251" s="337">
        <f t="shared" si="79"/>
        <v>2136</v>
      </c>
      <c r="O251" s="337">
        <f t="shared" si="79"/>
        <v>2118</v>
      </c>
      <c r="P251" s="337">
        <f t="shared" si="79"/>
        <v>2086</v>
      </c>
      <c r="Q251" s="337">
        <f t="shared" si="79"/>
        <v>2090</v>
      </c>
      <c r="R251" s="337">
        <f t="shared" si="79"/>
        <v>2102</v>
      </c>
      <c r="S251" s="337">
        <f t="shared" si="79"/>
        <v>2096</v>
      </c>
      <c r="T251" s="337">
        <f t="shared" si="79"/>
        <v>2056</v>
      </c>
      <c r="U251" s="337"/>
      <c r="V251" s="337"/>
      <c r="W251" s="337"/>
      <c r="X251" s="366"/>
      <c r="Y251" s="337"/>
      <c r="Z251" s="337"/>
      <c r="AA251" s="339"/>
      <c r="AB251" s="122"/>
      <c r="AC251" s="123"/>
    </row>
    <row r="252" spans="1:35">
      <c r="A252" s="369">
        <v>43487</v>
      </c>
      <c r="B252" s="268" t="s">
        <v>76</v>
      </c>
      <c r="C252" s="235" t="s">
        <v>77</v>
      </c>
      <c r="D252" s="123">
        <v>5371.37</v>
      </c>
      <c r="E252" s="123">
        <v>5356.65</v>
      </c>
      <c r="F252" s="123">
        <v>5343.26</v>
      </c>
      <c r="G252" s="123">
        <v>5334.38</v>
      </c>
      <c r="H252" s="123">
        <v>5344.82</v>
      </c>
      <c r="I252" s="123">
        <v>5350.4</v>
      </c>
      <c r="J252" s="123">
        <v>5345.67</v>
      </c>
      <c r="K252" s="123">
        <v>5356.68</v>
      </c>
      <c r="L252" s="123">
        <v>5380.77</v>
      </c>
      <c r="M252" s="123">
        <v>5355.85</v>
      </c>
      <c r="N252" s="123">
        <v>5340.27</v>
      </c>
      <c r="O252" s="123">
        <v>5343.11</v>
      </c>
      <c r="P252" s="123">
        <v>5331.62</v>
      </c>
      <c r="Q252" s="123">
        <v>5339.21</v>
      </c>
      <c r="R252" s="123">
        <v>5341.65</v>
      </c>
      <c r="S252" s="123">
        <v>5350.08</v>
      </c>
      <c r="T252" s="123">
        <v>5364.21</v>
      </c>
      <c r="U252" s="235">
        <f>IF((T253=""),"",MAX(D254:T254))</f>
        <v>2150.6399999999994</v>
      </c>
      <c r="V252" s="235">
        <f>IF(T253="","",MIN(D254:T254))</f>
        <v>2071.1999999999989</v>
      </c>
      <c r="W252" s="235">
        <f>IF((T254=""),"",AVERAGE(D254:T254))</f>
        <v>2102.2717647058826</v>
      </c>
      <c r="X252" s="359">
        <f>STDEV(D254:T254)</f>
        <v>20.173545869310374</v>
      </c>
      <c r="Y252" s="235">
        <f>IF((T253=""),"",((U252-V252)/(U252+V252))*100)</f>
        <v>1.8816440225115243</v>
      </c>
      <c r="Z252" s="228" t="str">
        <f>IF(T253="","",IF(Y252&lt;15,IF(W252&gt;AF252,IF(W252&lt;AG252,"Pass","Fail"),"Fail"),"Fail"))</f>
        <v>Pass</v>
      </c>
      <c r="AA252" s="339">
        <v>1335</v>
      </c>
      <c r="AB252" s="122" t="s">
        <v>147</v>
      </c>
      <c r="AD252" s="302">
        <v>1600</v>
      </c>
      <c r="AE252" s="302">
        <v>2600</v>
      </c>
      <c r="AF252" s="334">
        <v>1690</v>
      </c>
      <c r="AG252" s="334">
        <v>2210</v>
      </c>
      <c r="AH252" s="335">
        <v>15</v>
      </c>
      <c r="AI252" s="335">
        <v>15</v>
      </c>
    </row>
    <row r="253" spans="1:35">
      <c r="A253" s="371"/>
      <c r="B253" s="276"/>
      <c r="C253" s="235" t="s">
        <v>78</v>
      </c>
      <c r="D253" s="123">
        <v>4296.05</v>
      </c>
      <c r="E253" s="123">
        <v>4285.32</v>
      </c>
      <c r="F253" s="123">
        <v>4287.38</v>
      </c>
      <c r="G253" s="123">
        <v>4287.49</v>
      </c>
      <c r="H253" s="123">
        <v>4294.6099999999997</v>
      </c>
      <c r="I253" s="123">
        <v>4294.1099999999997</v>
      </c>
      <c r="J253" s="123">
        <v>4300.68</v>
      </c>
      <c r="K253" s="123">
        <v>4314.99</v>
      </c>
      <c r="L253" s="123">
        <v>4335.82</v>
      </c>
      <c r="M253" s="123">
        <v>4305.96</v>
      </c>
      <c r="N253" s="123">
        <v>4297.63</v>
      </c>
      <c r="O253" s="123">
        <v>4292.6899999999996</v>
      </c>
      <c r="P253" s="123">
        <v>4296.0200000000004</v>
      </c>
      <c r="Q253" s="123">
        <v>4294.29</v>
      </c>
      <c r="R253" s="123">
        <v>4291.6499999999996</v>
      </c>
      <c r="S253" s="123">
        <v>4292.17</v>
      </c>
      <c r="T253" s="123">
        <v>4313.83</v>
      </c>
      <c r="U253" s="337"/>
      <c r="V253" s="337"/>
      <c r="W253" s="337"/>
      <c r="X253" s="359"/>
      <c r="Y253" s="337"/>
      <c r="Z253" s="337"/>
      <c r="AA253" s="339"/>
      <c r="AB253" s="122"/>
      <c r="AC253" s="123"/>
    </row>
    <row r="254" spans="1:35" ht="32.25" thickBot="1">
      <c r="A254" s="372"/>
      <c r="B254" s="281"/>
      <c r="C254" s="243" t="s">
        <v>221</v>
      </c>
      <c r="D254" s="337">
        <f t="shared" ref="D254:T254" si="80">IF(((D252="")*AND(D253="")),"",(D252-D253)*2)</f>
        <v>2150.6399999999994</v>
      </c>
      <c r="E254" s="337">
        <f t="shared" si="80"/>
        <v>2142.66</v>
      </c>
      <c r="F254" s="337">
        <f t="shared" si="80"/>
        <v>2111.7600000000002</v>
      </c>
      <c r="G254" s="337">
        <f t="shared" si="80"/>
        <v>2093.7800000000007</v>
      </c>
      <c r="H254" s="337">
        <f t="shared" si="80"/>
        <v>2100.42</v>
      </c>
      <c r="I254" s="337">
        <f t="shared" si="80"/>
        <v>2112.58</v>
      </c>
      <c r="J254" s="337">
        <f t="shared" si="80"/>
        <v>2089.9799999999996</v>
      </c>
      <c r="K254" s="337">
        <f t="shared" si="80"/>
        <v>2083.380000000001</v>
      </c>
      <c r="L254" s="337">
        <f t="shared" si="80"/>
        <v>2089.9000000000015</v>
      </c>
      <c r="M254" s="337">
        <f t="shared" si="80"/>
        <v>2099.7800000000007</v>
      </c>
      <c r="N254" s="337">
        <f t="shared" si="80"/>
        <v>2085.2800000000007</v>
      </c>
      <c r="O254" s="337">
        <f t="shared" si="80"/>
        <v>2100.84</v>
      </c>
      <c r="P254" s="337">
        <f t="shared" si="80"/>
        <v>2071.1999999999989</v>
      </c>
      <c r="Q254" s="337">
        <f t="shared" si="80"/>
        <v>2089.84</v>
      </c>
      <c r="R254" s="337">
        <f t="shared" si="80"/>
        <v>2100</v>
      </c>
      <c r="S254" s="337">
        <f t="shared" si="80"/>
        <v>2115.8199999999997</v>
      </c>
      <c r="T254" s="337">
        <f t="shared" si="80"/>
        <v>2100.7600000000002</v>
      </c>
      <c r="U254" s="337"/>
      <c r="V254" s="337"/>
      <c r="W254" s="337"/>
      <c r="X254" s="366"/>
      <c r="Y254" s="337"/>
      <c r="Z254" s="337"/>
      <c r="AA254" s="339"/>
      <c r="AB254" s="122"/>
      <c r="AC254" s="123"/>
    </row>
    <row r="255" spans="1:35">
      <c r="A255" s="369">
        <v>43493</v>
      </c>
      <c r="B255" s="268" t="s">
        <v>76</v>
      </c>
      <c r="C255" s="235" t="s">
        <v>77</v>
      </c>
      <c r="D255" s="288">
        <v>5280</v>
      </c>
      <c r="E255" s="289">
        <v>5252</v>
      </c>
      <c r="F255" s="289">
        <v>5238</v>
      </c>
      <c r="G255" s="289">
        <v>5230</v>
      </c>
      <c r="H255" s="289">
        <v>5232</v>
      </c>
      <c r="I255" s="289">
        <v>5233</v>
      </c>
      <c r="J255" s="289">
        <v>5246</v>
      </c>
      <c r="K255" s="289">
        <v>5258</v>
      </c>
      <c r="L255" s="289">
        <v>5301</v>
      </c>
      <c r="M255" s="289">
        <v>5275</v>
      </c>
      <c r="N255" s="289">
        <v>5256</v>
      </c>
      <c r="O255" s="289">
        <v>5243</v>
      </c>
      <c r="P255" s="289">
        <v>5238</v>
      </c>
      <c r="Q255" s="289">
        <v>5233</v>
      </c>
      <c r="R255" s="289">
        <v>5233</v>
      </c>
      <c r="S255" s="289">
        <v>5252</v>
      </c>
      <c r="T255" s="289">
        <v>5261</v>
      </c>
      <c r="U255" s="235">
        <f>IF((T256=""),"",MAX(D257:T257))</f>
        <v>2178</v>
      </c>
      <c r="V255" s="235">
        <f>IF(T256="","",MIN(D257:T257))</f>
        <v>2012</v>
      </c>
      <c r="W255" s="235">
        <f>IF((T257=""),"",AVERAGE(D257:T257))</f>
        <v>2108.4705882352941</v>
      </c>
      <c r="X255" s="359">
        <f>STDEV(D257:T257)</f>
        <v>42.252392901258894</v>
      </c>
      <c r="Y255" s="235">
        <f>IF((T256=""),"",((U255-V255)/(U255+V255))*100)</f>
        <v>3.9618138424821003</v>
      </c>
      <c r="Z255" s="228" t="str">
        <f>IF(T256="","",IF(Y255&lt;15,IF(W255&gt;AF255,IF(W255&lt;AG255,"Pass","Fail"),"Fail"),"Fail"))</f>
        <v>Pass</v>
      </c>
      <c r="AA255" s="373" t="s">
        <v>98</v>
      </c>
      <c r="AB255" s="122" t="s">
        <v>148</v>
      </c>
      <c r="AD255" s="302">
        <v>1600</v>
      </c>
      <c r="AE255" s="302">
        <v>2600</v>
      </c>
      <c r="AF255" s="334">
        <v>1690</v>
      </c>
      <c r="AG255" s="334">
        <v>2210</v>
      </c>
      <c r="AH255" s="335">
        <v>15</v>
      </c>
      <c r="AI255" s="335">
        <v>15</v>
      </c>
    </row>
    <row r="256" spans="1:35">
      <c r="A256" s="371"/>
      <c r="B256" s="276"/>
      <c r="C256" s="235" t="s">
        <v>78</v>
      </c>
      <c r="D256" s="288">
        <v>4274</v>
      </c>
      <c r="E256" s="289">
        <v>4218</v>
      </c>
      <c r="F256" s="289">
        <v>4198</v>
      </c>
      <c r="G256" s="289">
        <v>4194</v>
      </c>
      <c r="H256" s="289">
        <v>4185</v>
      </c>
      <c r="I256" s="289">
        <v>4171</v>
      </c>
      <c r="J256" s="289">
        <v>4163</v>
      </c>
      <c r="K256" s="289">
        <v>4169</v>
      </c>
      <c r="L256" s="289">
        <v>4249</v>
      </c>
      <c r="M256" s="289">
        <v>4233</v>
      </c>
      <c r="N256" s="289">
        <v>4179</v>
      </c>
      <c r="O256" s="289">
        <v>4170</v>
      </c>
      <c r="P256" s="289">
        <v>4178</v>
      </c>
      <c r="Q256" s="289">
        <v>4178</v>
      </c>
      <c r="R256" s="289">
        <v>4175</v>
      </c>
      <c r="S256" s="289">
        <v>4180</v>
      </c>
      <c r="T256" s="289">
        <v>4225</v>
      </c>
      <c r="U256" s="337"/>
      <c r="V256" s="337"/>
      <c r="W256" s="337"/>
      <c r="X256" s="359"/>
      <c r="Y256" s="337"/>
      <c r="Z256" s="337"/>
      <c r="AA256" s="339"/>
      <c r="AB256" s="122"/>
      <c r="AC256" s="123"/>
    </row>
    <row r="257" spans="1:35" ht="32.25" thickBot="1">
      <c r="A257" s="372"/>
      <c r="B257" s="281"/>
      <c r="C257" s="243" t="s">
        <v>221</v>
      </c>
      <c r="D257" s="337">
        <f t="shared" ref="D257:T257" si="81">IF(((D255="")*AND(D256="")),"",(D255-D256)*2)</f>
        <v>2012</v>
      </c>
      <c r="E257" s="337">
        <f t="shared" si="81"/>
        <v>2068</v>
      </c>
      <c r="F257" s="337">
        <f t="shared" si="81"/>
        <v>2080</v>
      </c>
      <c r="G257" s="337">
        <f t="shared" si="81"/>
        <v>2072</v>
      </c>
      <c r="H257" s="337">
        <f t="shared" si="81"/>
        <v>2094</v>
      </c>
      <c r="I257" s="337">
        <f t="shared" si="81"/>
        <v>2124</v>
      </c>
      <c r="J257" s="337">
        <f t="shared" si="81"/>
        <v>2166</v>
      </c>
      <c r="K257" s="337">
        <f t="shared" si="81"/>
        <v>2178</v>
      </c>
      <c r="L257" s="337">
        <f t="shared" si="81"/>
        <v>2104</v>
      </c>
      <c r="M257" s="337">
        <f t="shared" si="81"/>
        <v>2084</v>
      </c>
      <c r="N257" s="337">
        <f t="shared" si="81"/>
        <v>2154</v>
      </c>
      <c r="O257" s="337">
        <f t="shared" si="81"/>
        <v>2146</v>
      </c>
      <c r="P257" s="337">
        <f t="shared" si="81"/>
        <v>2120</v>
      </c>
      <c r="Q257" s="337">
        <f t="shared" si="81"/>
        <v>2110</v>
      </c>
      <c r="R257" s="337">
        <f t="shared" si="81"/>
        <v>2116</v>
      </c>
      <c r="S257" s="337">
        <f t="shared" si="81"/>
        <v>2144</v>
      </c>
      <c r="T257" s="337">
        <f t="shared" si="81"/>
        <v>2072</v>
      </c>
      <c r="U257" s="337"/>
      <c r="V257" s="337"/>
      <c r="W257" s="337"/>
      <c r="X257" s="366"/>
      <c r="Y257" s="337"/>
      <c r="Z257" s="337"/>
      <c r="AA257" s="339"/>
      <c r="AB257" s="122"/>
      <c r="AC257" s="123"/>
    </row>
    <row r="258" spans="1:35">
      <c r="A258" s="248">
        <v>43497</v>
      </c>
      <c r="B258" s="268" t="s">
        <v>76</v>
      </c>
      <c r="C258" s="235" t="s">
        <v>77</v>
      </c>
      <c r="D258" s="123">
        <v>5271.28</v>
      </c>
      <c r="E258" s="123">
        <v>5248.98</v>
      </c>
      <c r="F258" s="123">
        <v>5247.16</v>
      </c>
      <c r="G258" s="123">
        <v>5243.01</v>
      </c>
      <c r="H258" s="123">
        <v>5239.08</v>
      </c>
      <c r="I258" s="123">
        <v>5234.54</v>
      </c>
      <c r="J258" s="123">
        <v>5251.87</v>
      </c>
      <c r="K258" s="123">
        <v>5262.49</v>
      </c>
      <c r="L258" s="123">
        <v>5277.7</v>
      </c>
      <c r="M258" s="123">
        <v>5261.55</v>
      </c>
      <c r="N258" s="123">
        <v>5249.58</v>
      </c>
      <c r="O258" s="123">
        <v>5246.85</v>
      </c>
      <c r="P258" s="123">
        <v>5236.34</v>
      </c>
      <c r="Q258" s="123">
        <v>5237.46</v>
      </c>
      <c r="R258" s="123">
        <v>5243.12</v>
      </c>
      <c r="S258" s="123">
        <v>5257.12</v>
      </c>
      <c r="T258" s="123">
        <v>5261.44</v>
      </c>
      <c r="U258" s="235">
        <f>IF((T259=""),"",MAX(D260:T260))</f>
        <v>2158.1800000000003</v>
      </c>
      <c r="V258" s="235">
        <f>IF(T259="","",MIN(D260:T260))</f>
        <v>2045.5199999999986</v>
      </c>
      <c r="W258" s="235">
        <f>IF((T260=""),"",AVERAGE(D260:T260))</f>
        <v>2096.9588235294113</v>
      </c>
      <c r="X258" s="359">
        <f>STDEV(D260:T260)</f>
        <v>33.208341174009639</v>
      </c>
      <c r="Y258" s="235">
        <f>IF((T259=""),"",((U258-V258)/(U258+V258))*100)</f>
        <v>2.6800199823965007</v>
      </c>
      <c r="Z258" s="228" t="str">
        <f>IF(T259="","",IF(Y258&lt;15,IF(W258&gt;AF258,IF(W258&lt;AG258,"Pass","Fail"),"Fail"),"Fail"))</f>
        <v>Pass</v>
      </c>
      <c r="AA258" s="373">
        <v>121</v>
      </c>
      <c r="AB258" s="122" t="s">
        <v>149</v>
      </c>
      <c r="AD258" s="302">
        <v>1600</v>
      </c>
      <c r="AE258" s="302">
        <v>2600</v>
      </c>
      <c r="AF258" s="334">
        <v>1690</v>
      </c>
      <c r="AG258" s="334">
        <v>2210</v>
      </c>
      <c r="AH258" s="335">
        <v>15</v>
      </c>
      <c r="AI258" s="335">
        <v>15</v>
      </c>
    </row>
    <row r="259" spans="1:35">
      <c r="A259" s="371"/>
      <c r="B259" s="276"/>
      <c r="C259" s="235" t="s">
        <v>78</v>
      </c>
      <c r="D259" s="123">
        <v>4240.0600000000004</v>
      </c>
      <c r="E259" s="123">
        <v>4226.22</v>
      </c>
      <c r="F259" s="123">
        <v>4209.18</v>
      </c>
      <c r="G259" s="123">
        <v>4210.03</v>
      </c>
      <c r="H259" s="123">
        <v>4199.63</v>
      </c>
      <c r="I259" s="123">
        <v>4185.7700000000004</v>
      </c>
      <c r="J259" s="123">
        <v>4174.43</v>
      </c>
      <c r="K259" s="123">
        <v>4183.3999999999996</v>
      </c>
      <c r="L259" s="123">
        <v>4199.28</v>
      </c>
      <c r="M259" s="123">
        <v>4208.1400000000003</v>
      </c>
      <c r="N259" s="123">
        <v>4197.84</v>
      </c>
      <c r="O259" s="123">
        <v>4195.5600000000004</v>
      </c>
      <c r="P259" s="123">
        <v>4198.75</v>
      </c>
      <c r="Q259" s="123">
        <v>4199.29</v>
      </c>
      <c r="R259" s="123">
        <v>4191.4799999999996</v>
      </c>
      <c r="S259" s="123">
        <v>4205.6099999999997</v>
      </c>
      <c r="T259" s="123">
        <v>4220.75</v>
      </c>
      <c r="U259" s="337"/>
      <c r="V259" s="337"/>
      <c r="W259" s="337"/>
      <c r="X259" s="359"/>
      <c r="Y259" s="337"/>
      <c r="Z259" s="337"/>
      <c r="AA259" s="339"/>
      <c r="AB259" s="122"/>
      <c r="AC259" s="123"/>
    </row>
    <row r="260" spans="1:35" ht="32.25" thickBot="1">
      <c r="A260" s="372"/>
      <c r="B260" s="281"/>
      <c r="C260" s="243" t="s">
        <v>221</v>
      </c>
      <c r="D260" s="337">
        <f t="shared" ref="D260:T260" si="82">IF(((D258="")*AND(D259="")),"",(D258-D259)*2)</f>
        <v>2062.4399999999987</v>
      </c>
      <c r="E260" s="337">
        <f t="shared" si="82"/>
        <v>2045.5199999999986</v>
      </c>
      <c r="F260" s="337">
        <f t="shared" si="82"/>
        <v>2075.9599999999991</v>
      </c>
      <c r="G260" s="337">
        <f t="shared" si="82"/>
        <v>2065.9600000000009</v>
      </c>
      <c r="H260" s="337">
        <f t="shared" si="82"/>
        <v>2078.8999999999996</v>
      </c>
      <c r="I260" s="337">
        <f t="shared" si="82"/>
        <v>2097.5399999999991</v>
      </c>
      <c r="J260" s="337">
        <f t="shared" si="82"/>
        <v>2154.8799999999992</v>
      </c>
      <c r="K260" s="337">
        <f t="shared" si="82"/>
        <v>2158.1800000000003</v>
      </c>
      <c r="L260" s="337">
        <f t="shared" si="82"/>
        <v>2156.84</v>
      </c>
      <c r="M260" s="337">
        <f t="shared" si="82"/>
        <v>2106.8199999999997</v>
      </c>
      <c r="N260" s="337">
        <f t="shared" si="82"/>
        <v>2103.4799999999996</v>
      </c>
      <c r="O260" s="337">
        <f t="shared" si="82"/>
        <v>2102.58</v>
      </c>
      <c r="P260" s="337">
        <f t="shared" si="82"/>
        <v>2075.1800000000003</v>
      </c>
      <c r="Q260" s="337">
        <f t="shared" si="82"/>
        <v>2076.34</v>
      </c>
      <c r="R260" s="337">
        <f t="shared" si="82"/>
        <v>2103.2800000000007</v>
      </c>
      <c r="S260" s="337">
        <f t="shared" si="82"/>
        <v>2103.0200000000004</v>
      </c>
      <c r="T260" s="337">
        <f t="shared" si="82"/>
        <v>2081.3799999999992</v>
      </c>
      <c r="U260" s="337"/>
      <c r="V260" s="337"/>
      <c r="W260" s="337"/>
      <c r="X260" s="366"/>
      <c r="Y260" s="337"/>
      <c r="Z260" s="337"/>
      <c r="AA260" s="339"/>
      <c r="AB260" s="122"/>
      <c r="AC260" s="123"/>
    </row>
    <row r="261" spans="1:35">
      <c r="A261" s="248">
        <v>43502</v>
      </c>
      <c r="B261" s="268" t="s">
        <v>76</v>
      </c>
      <c r="C261" s="235" t="s">
        <v>77</v>
      </c>
      <c r="D261" s="288">
        <v>5342.85</v>
      </c>
      <c r="E261" s="289">
        <v>5306.3</v>
      </c>
      <c r="F261" s="289">
        <v>5287.58</v>
      </c>
      <c r="G261" s="289">
        <v>5270.74</v>
      </c>
      <c r="H261" s="289">
        <v>5281.25</v>
      </c>
      <c r="I261" s="289">
        <v>5281.25</v>
      </c>
      <c r="J261" s="289">
        <v>5293.92</v>
      </c>
      <c r="K261" s="289">
        <v>5308.26</v>
      </c>
      <c r="L261" s="289">
        <v>5344.48</v>
      </c>
      <c r="M261" s="289">
        <v>5311.73</v>
      </c>
      <c r="N261" s="289">
        <v>5295.65</v>
      </c>
      <c r="O261" s="289">
        <v>5285.11</v>
      </c>
      <c r="P261" s="289">
        <v>5281.43</v>
      </c>
      <c r="Q261" s="289">
        <v>5279.67</v>
      </c>
      <c r="R261" s="289">
        <v>5285.75</v>
      </c>
      <c r="S261" s="289">
        <v>5295.27</v>
      </c>
      <c r="T261" s="365">
        <v>5325.96</v>
      </c>
      <c r="U261" s="235">
        <f>IF((T262=""),"",MAX(D263:T263))</f>
        <v>2156.7600000000002</v>
      </c>
      <c r="V261" s="235">
        <f>IF(T262="","",MIN(D263:T263))</f>
        <v>1893.880000000001</v>
      </c>
      <c r="W261" s="235">
        <f>IF((T263=""),"",AVERAGE(D263:T263))</f>
        <v>2035.6282352941173</v>
      </c>
      <c r="X261" s="359">
        <f>STDEV(D263:T263)</f>
        <v>88.919646327126173</v>
      </c>
      <c r="Y261" s="235">
        <f>IF((T262=""),"",((U261-V261)/(U261+V261))*100)</f>
        <v>6.4898386427823525</v>
      </c>
      <c r="Z261" s="228" t="str">
        <f>IF(T262="","",IF(Y261&lt;15,IF(W261&gt;AF261,IF(W261&lt;AG261,"Pass","Fail"),"Fail"),"Fail"))</f>
        <v>Pass</v>
      </c>
      <c r="AA261" s="373">
        <v>102</v>
      </c>
      <c r="AB261" s="122" t="s">
        <v>150</v>
      </c>
      <c r="AD261" s="302">
        <v>1600</v>
      </c>
      <c r="AE261" s="302">
        <v>2600</v>
      </c>
      <c r="AF261" s="334">
        <v>1690</v>
      </c>
      <c r="AG261" s="334">
        <v>2210</v>
      </c>
      <c r="AH261" s="335">
        <v>15</v>
      </c>
      <c r="AI261" s="335">
        <v>15</v>
      </c>
    </row>
    <row r="262" spans="1:35">
      <c r="A262" s="371"/>
      <c r="B262" s="276"/>
      <c r="C262" s="235" t="s">
        <v>78</v>
      </c>
      <c r="D262" s="288">
        <v>4395.91</v>
      </c>
      <c r="E262" s="289">
        <v>4335.45</v>
      </c>
      <c r="F262" s="289">
        <v>4317.5</v>
      </c>
      <c r="G262" s="289">
        <v>4308.16</v>
      </c>
      <c r="H262" s="289">
        <v>4252.45</v>
      </c>
      <c r="I262" s="289">
        <v>4233.2299999999996</v>
      </c>
      <c r="J262" s="289">
        <v>4221.88</v>
      </c>
      <c r="K262" s="289">
        <v>4229.88</v>
      </c>
      <c r="L262" s="289">
        <v>4357.05</v>
      </c>
      <c r="M262" s="289">
        <v>4337.8</v>
      </c>
      <c r="N262" s="289">
        <v>4235.6499999999996</v>
      </c>
      <c r="O262" s="289">
        <v>4229.45</v>
      </c>
      <c r="P262" s="289">
        <v>4235.3599999999997</v>
      </c>
      <c r="Q262" s="289">
        <v>4239.3</v>
      </c>
      <c r="R262" s="289">
        <v>4243.07</v>
      </c>
      <c r="S262" s="289">
        <v>4245.13</v>
      </c>
      <c r="T262" s="365">
        <v>4357.09</v>
      </c>
      <c r="U262" s="337"/>
      <c r="V262" s="337"/>
      <c r="W262" s="337"/>
      <c r="X262" s="359"/>
      <c r="Y262" s="337"/>
      <c r="Z262" s="337"/>
      <c r="AA262" s="339"/>
      <c r="AB262" s="122"/>
      <c r="AC262" s="123"/>
    </row>
    <row r="263" spans="1:35" ht="32.25" thickBot="1">
      <c r="A263" s="372"/>
      <c r="B263" s="281"/>
      <c r="C263" s="243" t="s">
        <v>221</v>
      </c>
      <c r="D263" s="337">
        <f t="shared" ref="D263:T263" si="83">IF(((D261="")*AND(D262="")),"",(D261-D262)*2)</f>
        <v>1893.880000000001</v>
      </c>
      <c r="E263" s="337">
        <f t="shared" si="83"/>
        <v>1941.7000000000007</v>
      </c>
      <c r="F263" s="337">
        <f t="shared" si="83"/>
        <v>1940.1599999999999</v>
      </c>
      <c r="G263" s="337">
        <f t="shared" si="83"/>
        <v>1925.1599999999999</v>
      </c>
      <c r="H263" s="337">
        <f t="shared" si="83"/>
        <v>2057.6000000000004</v>
      </c>
      <c r="I263" s="337">
        <f t="shared" si="83"/>
        <v>2096.0400000000009</v>
      </c>
      <c r="J263" s="337">
        <f>IF(((J261="")*AND(J262="")),"",(J261-J262)*2)</f>
        <v>2144.08</v>
      </c>
      <c r="K263" s="337">
        <f>IF(((K261="")*AND(K262="")),"",(K261-K262)*2)</f>
        <v>2156.7600000000002</v>
      </c>
      <c r="L263" s="337">
        <f>IF(((L261="")*AND(L262="")),"",(L261-L262)*2)</f>
        <v>1974.8599999999988</v>
      </c>
      <c r="M263" s="337">
        <f>IF(((M261="")*AND(M262="")),"",(M261-M262)*2)</f>
        <v>1947.8599999999988</v>
      </c>
      <c r="N263" s="337">
        <f t="shared" si="83"/>
        <v>2120</v>
      </c>
      <c r="O263" s="337">
        <f t="shared" si="83"/>
        <v>2111.3199999999997</v>
      </c>
      <c r="P263" s="337">
        <f t="shared" si="83"/>
        <v>2092.1400000000012</v>
      </c>
      <c r="Q263" s="337">
        <f t="shared" si="83"/>
        <v>2080.7399999999998</v>
      </c>
      <c r="R263" s="337">
        <f t="shared" si="83"/>
        <v>2085.3600000000006</v>
      </c>
      <c r="S263" s="337">
        <f t="shared" si="83"/>
        <v>2100.2800000000007</v>
      </c>
      <c r="T263" s="337">
        <f t="shared" si="83"/>
        <v>1937.7399999999998</v>
      </c>
      <c r="U263" s="337"/>
      <c r="V263" s="337"/>
      <c r="W263" s="337"/>
      <c r="X263" s="366"/>
      <c r="Y263" s="337"/>
      <c r="Z263" s="337"/>
      <c r="AA263" s="339"/>
      <c r="AB263" s="122"/>
      <c r="AC263" s="123"/>
    </row>
    <row r="264" spans="1:35">
      <c r="A264" s="248">
        <v>43507</v>
      </c>
      <c r="B264" s="268" t="s">
        <v>76</v>
      </c>
      <c r="C264" s="235" t="s">
        <v>77</v>
      </c>
      <c r="D264" s="123">
        <v>5253.28</v>
      </c>
      <c r="E264" s="123">
        <v>5234.1099999999997</v>
      </c>
      <c r="F264" s="123">
        <v>5231.09</v>
      </c>
      <c r="G264" s="123">
        <v>5218.1899999999996</v>
      </c>
      <c r="H264" s="123">
        <v>5225.75</v>
      </c>
      <c r="I264" s="123">
        <v>5229.09</v>
      </c>
      <c r="J264" s="123">
        <v>5230.16</v>
      </c>
      <c r="K264" s="123">
        <v>5248.25</v>
      </c>
      <c r="L264" s="123">
        <v>5259.26</v>
      </c>
      <c r="M264" s="123">
        <v>5254.72</v>
      </c>
      <c r="N264" s="123">
        <v>5236.34</v>
      </c>
      <c r="O264" s="123">
        <v>5230.6899999999996</v>
      </c>
      <c r="P264" s="123">
        <v>5225.6899999999996</v>
      </c>
      <c r="Q264" s="123">
        <v>5223.22</v>
      </c>
      <c r="R264" s="123">
        <v>5234.33</v>
      </c>
      <c r="S264" s="123">
        <v>5239.54</v>
      </c>
      <c r="T264" s="123">
        <v>5258.01</v>
      </c>
      <c r="U264" s="235">
        <f>IF((T265=""),"",MAX(D266:T266))</f>
        <v>2118.8199999999997</v>
      </c>
      <c r="V264" s="235">
        <f>IF(T265="","",MIN(D266:T266))</f>
        <v>1801.8400000000001</v>
      </c>
      <c r="W264" s="235">
        <f>IF((T266=""),"",AVERAGE(D266:T266))</f>
        <v>2064.1</v>
      </c>
      <c r="X264" s="359">
        <f>STDEV(D266:T266)</f>
        <v>70.515333084372429</v>
      </c>
      <c r="Y264" s="235">
        <f>IF((T265=""),"",((U264-V264)/(U264+V264))*100)</f>
        <v>8.0848632628179846</v>
      </c>
      <c r="Z264" s="228" t="str">
        <f>IF(T265="","",IF(Y264&lt;15,IF(W264&gt;AF264,IF(W264&lt;AG264,"Pass","Fail"),"Fail"),"Fail"))</f>
        <v>Pass</v>
      </c>
      <c r="AA264" s="373">
        <v>74</v>
      </c>
      <c r="AB264" s="122"/>
      <c r="AD264" s="302">
        <v>1600</v>
      </c>
      <c r="AE264" s="302">
        <v>2600</v>
      </c>
      <c r="AF264" s="334">
        <v>1690</v>
      </c>
      <c r="AG264" s="334">
        <v>2210</v>
      </c>
      <c r="AH264" s="335">
        <v>15</v>
      </c>
      <c r="AI264" s="335">
        <v>15</v>
      </c>
    </row>
    <row r="265" spans="1:35">
      <c r="A265" s="371"/>
      <c r="B265" s="276"/>
      <c r="C265" s="235" t="s">
        <v>78</v>
      </c>
      <c r="D265" s="123">
        <v>4193.87</v>
      </c>
      <c r="E265" s="123">
        <v>4177.88</v>
      </c>
      <c r="F265" s="123">
        <v>4182.2700000000004</v>
      </c>
      <c r="G265" s="123">
        <v>4192.2</v>
      </c>
      <c r="H265" s="123">
        <v>4195.34</v>
      </c>
      <c r="I265" s="123">
        <v>4197.2700000000004</v>
      </c>
      <c r="J265" s="123">
        <v>4196.29</v>
      </c>
      <c r="K265" s="123">
        <v>4210.2299999999996</v>
      </c>
      <c r="L265" s="123">
        <v>4228.1400000000003</v>
      </c>
      <c r="M265" s="123">
        <v>4217.0200000000004</v>
      </c>
      <c r="N265" s="123">
        <v>4189.22</v>
      </c>
      <c r="O265" s="123">
        <v>4195.38</v>
      </c>
      <c r="P265" s="123">
        <v>4189.62</v>
      </c>
      <c r="Q265" s="123">
        <v>4191.95</v>
      </c>
      <c r="R265" s="123">
        <v>4179.3599999999997</v>
      </c>
      <c r="S265" s="123">
        <v>4193.74</v>
      </c>
      <c r="T265" s="365">
        <v>4357.09</v>
      </c>
      <c r="U265" s="337"/>
      <c r="V265" s="337"/>
      <c r="W265" s="337"/>
      <c r="X265" s="359"/>
      <c r="Y265" s="337"/>
      <c r="Z265" s="337"/>
      <c r="AA265" s="339"/>
      <c r="AB265" s="122"/>
      <c r="AC265" s="123"/>
    </row>
    <row r="266" spans="1:35" ht="32.25" thickBot="1">
      <c r="A266" s="372"/>
      <c r="B266" s="281"/>
      <c r="C266" s="243" t="s">
        <v>221</v>
      </c>
      <c r="D266" s="337">
        <f t="shared" ref="D266:I266" si="84">IF(((D264="")*AND(D265="")),"",(D264-D265)*2)</f>
        <v>2118.8199999999997</v>
      </c>
      <c r="E266" s="337">
        <f t="shared" si="84"/>
        <v>2112.4599999999991</v>
      </c>
      <c r="F266" s="337">
        <f t="shared" si="84"/>
        <v>2097.6399999999994</v>
      </c>
      <c r="G266" s="337">
        <f t="shared" si="84"/>
        <v>2051.9799999999996</v>
      </c>
      <c r="H266" s="337">
        <f t="shared" si="84"/>
        <v>2060.8199999999997</v>
      </c>
      <c r="I266" s="337">
        <f t="shared" si="84"/>
        <v>2063.6399999999994</v>
      </c>
      <c r="J266" s="337">
        <f>IF(((J264="")*AND(J265="")),"",(J264-J265)*2)</f>
        <v>2067.7399999999998</v>
      </c>
      <c r="K266" s="337">
        <f>IF(((K264="")*AND(K265="")),"",(K264-K265)*2)</f>
        <v>2076.0400000000009</v>
      </c>
      <c r="L266" s="337">
        <f>IF(((L264="")*AND(L265="")),"",(L264-L265)*2)</f>
        <v>2062.2399999999998</v>
      </c>
      <c r="M266" s="337">
        <f>IF(((M264="")*AND(M265="")),"",(M264-M265)*2)</f>
        <v>2075.3999999999996</v>
      </c>
      <c r="N266" s="337">
        <f t="shared" ref="N266:T266" si="85">IF(((N264="")*AND(N265="")),"",(N264-N265)*2)</f>
        <v>2094.2399999999998</v>
      </c>
      <c r="O266" s="337">
        <f t="shared" si="85"/>
        <v>2070.619999999999</v>
      </c>
      <c r="P266" s="337">
        <f t="shared" si="85"/>
        <v>2072.1399999999994</v>
      </c>
      <c r="Q266" s="337">
        <f t="shared" si="85"/>
        <v>2062.5400000000009</v>
      </c>
      <c r="R266" s="337">
        <f t="shared" si="85"/>
        <v>2109.9400000000005</v>
      </c>
      <c r="S266" s="337">
        <f t="shared" si="85"/>
        <v>2091.6000000000004</v>
      </c>
      <c r="T266" s="337">
        <f t="shared" si="85"/>
        <v>1801.8400000000001</v>
      </c>
      <c r="U266" s="337"/>
      <c r="V266" s="337"/>
      <c r="W266" s="337"/>
      <c r="X266" s="366"/>
      <c r="Y266" s="337"/>
      <c r="Z266" s="337"/>
      <c r="AA266" s="339"/>
      <c r="AB266" s="122"/>
      <c r="AC266" s="123"/>
    </row>
    <row r="267" spans="1:35">
      <c r="A267" s="248">
        <v>43510</v>
      </c>
      <c r="B267" s="268" t="s">
        <v>76</v>
      </c>
      <c r="C267" s="235" t="s">
        <v>77</v>
      </c>
      <c r="D267" s="123">
        <v>5254.46</v>
      </c>
      <c r="E267" s="123">
        <v>5233.12</v>
      </c>
      <c r="F267" s="123">
        <v>5227.3100000000004</v>
      </c>
      <c r="G267" s="123">
        <v>5209.0200000000004</v>
      </c>
      <c r="H267" s="123">
        <v>5216.3900000000003</v>
      </c>
      <c r="I267" s="123">
        <v>5220.3999999999996</v>
      </c>
      <c r="J267" s="123">
        <v>5218.01</v>
      </c>
      <c r="K267" s="123">
        <v>5241.6000000000004</v>
      </c>
      <c r="L267" s="123">
        <v>5250.36</v>
      </c>
      <c r="M267" s="123">
        <v>5241.53</v>
      </c>
      <c r="N267" s="123">
        <v>5227.96</v>
      </c>
      <c r="O267" s="123">
        <v>5222.67</v>
      </c>
      <c r="P267" s="123">
        <v>5210.5</v>
      </c>
      <c r="Q267" s="123">
        <v>5218.41</v>
      </c>
      <c r="R267" s="123">
        <v>5224.6899999999996</v>
      </c>
      <c r="S267" s="123">
        <v>5225.42</v>
      </c>
      <c r="T267" s="123">
        <v>5247.4</v>
      </c>
      <c r="U267" s="235">
        <f>IF((T268=""),"",MAX(D269:T269))</f>
        <v>1970.7800000000007</v>
      </c>
      <c r="V267" s="235">
        <f>IF(T268="","",MIN(D269:T269))</f>
        <v>1842.1400000000012</v>
      </c>
      <c r="W267" s="235">
        <f>IF((T269=""),"",AVERAGE(D269:T269))</f>
        <v>1897.2552941176473</v>
      </c>
      <c r="X267" s="359">
        <f>STDEV(D269:T269)</f>
        <v>34.530005451354654</v>
      </c>
      <c r="Y267" s="235">
        <f>IF((T268=""),"",((U267-V267)/(U267+V267))*100)</f>
        <v>3.3737922641964522</v>
      </c>
      <c r="Z267" s="228" t="str">
        <f>IF(T268="","",IF(Y267&lt;15,IF(W267&gt;AF267,IF(W267&lt;AG267,"Pass","Fail"),"Fail"),"Fail"))</f>
        <v>Pass</v>
      </c>
      <c r="AA267" s="373" t="s">
        <v>138</v>
      </c>
      <c r="AB267" s="122"/>
      <c r="AD267" s="302">
        <v>1600</v>
      </c>
      <c r="AE267" s="302">
        <v>2600</v>
      </c>
      <c r="AF267" s="334">
        <v>1690</v>
      </c>
      <c r="AG267" s="334">
        <v>2210</v>
      </c>
      <c r="AH267" s="335">
        <v>15</v>
      </c>
      <c r="AI267" s="335">
        <v>15</v>
      </c>
    </row>
    <row r="268" spans="1:35">
      <c r="A268" s="371"/>
      <c r="B268" s="276"/>
      <c r="C268" s="235" t="s">
        <v>78</v>
      </c>
      <c r="D268" s="123">
        <v>4327.2299999999996</v>
      </c>
      <c r="E268" s="123">
        <v>4304.5600000000004</v>
      </c>
      <c r="F268" s="123">
        <v>4293.75</v>
      </c>
      <c r="G268" s="123">
        <v>4287.95</v>
      </c>
      <c r="H268" s="123">
        <v>4280.3100000000004</v>
      </c>
      <c r="I268" s="123">
        <v>4265.9799999999996</v>
      </c>
      <c r="J268" s="123">
        <v>4256.84</v>
      </c>
      <c r="K268" s="123">
        <v>4256.21</v>
      </c>
      <c r="L268" s="123">
        <v>4274.22</v>
      </c>
      <c r="M268" s="123">
        <v>4282.4399999999996</v>
      </c>
      <c r="N268" s="123">
        <v>4268.66</v>
      </c>
      <c r="O268" s="123">
        <v>4268.4399999999996</v>
      </c>
      <c r="P268" s="123">
        <v>4274.6400000000003</v>
      </c>
      <c r="Q268" s="123">
        <v>4275.18</v>
      </c>
      <c r="R268" s="123">
        <v>4271.8599999999997</v>
      </c>
      <c r="S268" s="123">
        <v>4276.49</v>
      </c>
      <c r="T268" s="123">
        <v>4297.82</v>
      </c>
      <c r="U268" s="337"/>
      <c r="V268" s="337"/>
      <c r="W268" s="337"/>
      <c r="X268" s="359"/>
      <c r="Y268" s="337"/>
      <c r="Z268" s="337"/>
      <c r="AA268" s="339"/>
      <c r="AB268" s="122"/>
      <c r="AC268" s="123"/>
    </row>
    <row r="269" spans="1:35" ht="32.25" thickBot="1">
      <c r="A269" s="372"/>
      <c r="B269" s="281"/>
      <c r="C269" s="243" t="s">
        <v>221</v>
      </c>
      <c r="D269" s="337">
        <f t="shared" ref="D269:I269" si="86">IF(((D267="")*AND(D268="")),"",(D267-D268)*2)</f>
        <v>1854.4600000000009</v>
      </c>
      <c r="E269" s="337">
        <f t="shared" si="86"/>
        <v>1857.119999999999</v>
      </c>
      <c r="F269" s="337">
        <f t="shared" si="86"/>
        <v>1867.1200000000008</v>
      </c>
      <c r="G269" s="337">
        <f t="shared" si="86"/>
        <v>1842.1400000000012</v>
      </c>
      <c r="H269" s="337">
        <f t="shared" si="86"/>
        <v>1872.1599999999999</v>
      </c>
      <c r="I269" s="337">
        <f t="shared" si="86"/>
        <v>1908.8400000000001</v>
      </c>
      <c r="J269" s="337">
        <f>IF(((J267="")*AND(J268="")),"",(J267-J268)*2)</f>
        <v>1922.3400000000001</v>
      </c>
      <c r="K269" s="337">
        <f>IF(((K267="")*AND(K268="")),"",(K267-K268)*2)</f>
        <v>1970.7800000000007</v>
      </c>
      <c r="L269" s="337">
        <f>IF(((L267="")*AND(L268="")),"",(L267-L268)*2)</f>
        <v>1952.2799999999988</v>
      </c>
      <c r="M269" s="337">
        <f>IF(((M267="")*AND(M268="")),"",(M267-M268)*2)</f>
        <v>1918.1800000000003</v>
      </c>
      <c r="N269" s="337">
        <f t="shared" ref="N269:T269" si="87">IF(((N267="")*AND(N268="")),"",(N267-N268)*2)</f>
        <v>1918.6000000000004</v>
      </c>
      <c r="O269" s="337">
        <f t="shared" si="87"/>
        <v>1908.4600000000009</v>
      </c>
      <c r="P269" s="337">
        <f t="shared" si="87"/>
        <v>1871.7199999999993</v>
      </c>
      <c r="Q269" s="337">
        <f t="shared" si="87"/>
        <v>1886.4599999999991</v>
      </c>
      <c r="R269" s="337">
        <f t="shared" si="87"/>
        <v>1905.6599999999999</v>
      </c>
      <c r="S269" s="337">
        <f t="shared" si="87"/>
        <v>1897.8600000000006</v>
      </c>
      <c r="T269" s="337">
        <f t="shared" si="87"/>
        <v>1899.1599999999999</v>
      </c>
      <c r="U269" s="337"/>
      <c r="V269" s="337"/>
      <c r="W269" s="337"/>
      <c r="X269" s="366"/>
      <c r="Y269" s="337"/>
      <c r="Z269" s="337"/>
      <c r="AA269" s="339"/>
      <c r="AB269" s="122"/>
      <c r="AC269" s="123"/>
    </row>
    <row r="270" spans="1:35">
      <c r="A270" s="248">
        <v>43522</v>
      </c>
      <c r="B270" s="268" t="s">
        <v>76</v>
      </c>
      <c r="C270" s="235" t="s">
        <v>77</v>
      </c>
      <c r="D270" s="288">
        <v>5477</v>
      </c>
      <c r="E270" s="289">
        <v>5436</v>
      </c>
      <c r="F270" s="289">
        <v>5413</v>
      </c>
      <c r="G270" s="289">
        <v>5410</v>
      </c>
      <c r="H270" s="289">
        <v>5408</v>
      </c>
      <c r="I270" s="289">
        <v>5410</v>
      </c>
      <c r="J270" s="289">
        <v>5429</v>
      </c>
      <c r="K270" s="289">
        <v>5446</v>
      </c>
      <c r="L270" s="289">
        <v>5490</v>
      </c>
      <c r="M270" s="289">
        <v>5447</v>
      </c>
      <c r="N270" s="289">
        <v>5429</v>
      </c>
      <c r="O270" s="289">
        <v>5419</v>
      </c>
      <c r="P270" s="289">
        <v>5409</v>
      </c>
      <c r="Q270" s="289">
        <v>5406</v>
      </c>
      <c r="R270" s="289">
        <v>5425</v>
      </c>
      <c r="S270" s="289">
        <v>5425</v>
      </c>
      <c r="T270" s="365">
        <v>5462</v>
      </c>
      <c r="U270" s="235">
        <f>IF((T271=""),"",MAX(D272:T272))</f>
        <v>2212</v>
      </c>
      <c r="V270" s="235">
        <f>IF(T271="","",MIN(D272:T272))</f>
        <v>2034</v>
      </c>
      <c r="W270" s="235">
        <f>IF((T272=""),"",AVERAGE(D272:T272))</f>
        <v>2124.9411764705883</v>
      </c>
      <c r="X270" s="359">
        <f>STDEV(D272:T272)</f>
        <v>46.74461277547833</v>
      </c>
      <c r="Y270" s="235">
        <f>IF((T271=""),"",((U270-V270)/(U270+V270))*100)</f>
        <v>4.1921808761186998</v>
      </c>
      <c r="Z270" s="228" t="str">
        <f>IF(T271="","",IF(Y270&lt;15,IF(W270&gt;AF270,IF(W270&lt;AG270,"Pass","Fail"),"Fail"),"Fail"))</f>
        <v>Pass</v>
      </c>
      <c r="AA270" s="373" t="s">
        <v>98</v>
      </c>
      <c r="AB270" s="122" t="s">
        <v>151</v>
      </c>
      <c r="AD270" s="302">
        <v>1600</v>
      </c>
      <c r="AE270" s="302">
        <v>2600</v>
      </c>
      <c r="AF270" s="334">
        <v>1690</v>
      </c>
      <c r="AG270" s="334">
        <v>2210</v>
      </c>
      <c r="AH270" s="335">
        <v>15</v>
      </c>
      <c r="AI270" s="335">
        <v>15</v>
      </c>
    </row>
    <row r="271" spans="1:35">
      <c r="A271" s="371"/>
      <c r="B271" s="276"/>
      <c r="C271" s="235" t="s">
        <v>78</v>
      </c>
      <c r="D271" s="288">
        <v>4460</v>
      </c>
      <c r="E271" s="289">
        <v>4401</v>
      </c>
      <c r="F271" s="289">
        <v>4378</v>
      </c>
      <c r="G271" s="289">
        <v>4365</v>
      </c>
      <c r="H271" s="289">
        <v>4354</v>
      </c>
      <c r="I271" s="289">
        <v>4344</v>
      </c>
      <c r="J271" s="289">
        <v>4335</v>
      </c>
      <c r="K271" s="289">
        <v>4340</v>
      </c>
      <c r="L271" s="289">
        <v>4413</v>
      </c>
      <c r="M271" s="289">
        <v>4390</v>
      </c>
      <c r="N271" s="289">
        <v>4343</v>
      </c>
      <c r="O271" s="289">
        <v>4345</v>
      </c>
      <c r="P271" s="289">
        <v>4350</v>
      </c>
      <c r="Q271" s="289">
        <v>4351</v>
      </c>
      <c r="R271" s="289">
        <v>4345</v>
      </c>
      <c r="S271" s="289">
        <v>4347</v>
      </c>
      <c r="T271" s="365">
        <v>4418</v>
      </c>
      <c r="U271" s="337"/>
      <c r="V271" s="337"/>
      <c r="W271" s="337"/>
      <c r="X271" s="359"/>
      <c r="Y271" s="337"/>
      <c r="Z271" s="337"/>
      <c r="AA271" s="339"/>
      <c r="AB271" s="122"/>
      <c r="AC271" s="123"/>
    </row>
    <row r="272" spans="1:35" ht="32.25" thickBot="1">
      <c r="A272" s="372"/>
      <c r="B272" s="281"/>
      <c r="C272" s="243" t="s">
        <v>221</v>
      </c>
      <c r="D272" s="337">
        <f t="shared" ref="D272:I272" si="88">IF(((D270="")*AND(D271="")),"",(D270-D271)*2)</f>
        <v>2034</v>
      </c>
      <c r="E272" s="337">
        <f t="shared" si="88"/>
        <v>2070</v>
      </c>
      <c r="F272" s="337">
        <f t="shared" si="88"/>
        <v>2070</v>
      </c>
      <c r="G272" s="337">
        <f t="shared" si="88"/>
        <v>2090</v>
      </c>
      <c r="H272" s="337">
        <f t="shared" si="88"/>
        <v>2108</v>
      </c>
      <c r="I272" s="337">
        <f t="shared" si="88"/>
        <v>2132</v>
      </c>
      <c r="J272" s="337">
        <f>IF(((J270="")*AND(J271="")),"",(J270-J271)*2)</f>
        <v>2188</v>
      </c>
      <c r="K272" s="337">
        <f>IF(((K270="")*AND(K271="")),"",(K270-K271)*2)</f>
        <v>2212</v>
      </c>
      <c r="L272" s="337">
        <f>IF(((L270="")*AND(L271="")),"",(L270-L271)*2)</f>
        <v>2154</v>
      </c>
      <c r="M272" s="337">
        <f>IF(((M270="")*AND(M271="")),"",(M270-M271)*2)</f>
        <v>2114</v>
      </c>
      <c r="N272" s="337">
        <f t="shared" ref="N272:T272" si="89">IF(((N270="")*AND(N271="")),"",(N270-N271)*2)</f>
        <v>2172</v>
      </c>
      <c r="O272" s="337">
        <f t="shared" si="89"/>
        <v>2148</v>
      </c>
      <c r="P272" s="337">
        <f t="shared" si="89"/>
        <v>2118</v>
      </c>
      <c r="Q272" s="337">
        <f t="shared" si="89"/>
        <v>2110</v>
      </c>
      <c r="R272" s="337">
        <f t="shared" si="89"/>
        <v>2160</v>
      </c>
      <c r="S272" s="337">
        <f t="shared" si="89"/>
        <v>2156</v>
      </c>
      <c r="T272" s="337">
        <f t="shared" si="89"/>
        <v>2088</v>
      </c>
      <c r="U272" s="337"/>
      <c r="V272" s="337"/>
      <c r="W272" s="337"/>
      <c r="X272" s="366"/>
      <c r="Y272" s="337"/>
      <c r="Z272" s="337"/>
      <c r="AA272" s="339"/>
      <c r="AB272" s="122"/>
      <c r="AC272" s="123"/>
    </row>
    <row r="273" spans="1:37">
      <c r="A273" s="248">
        <v>43528</v>
      </c>
      <c r="B273" s="268" t="s">
        <v>76</v>
      </c>
      <c r="C273" s="235" t="s">
        <v>77</v>
      </c>
      <c r="D273" s="288">
        <v>5455</v>
      </c>
      <c r="E273" s="289">
        <v>5408</v>
      </c>
      <c r="F273" s="289">
        <v>5381</v>
      </c>
      <c r="G273" s="289">
        <v>5374</v>
      </c>
      <c r="H273" s="289">
        <v>5373</v>
      </c>
      <c r="I273" s="289">
        <v>5387</v>
      </c>
      <c r="J273" s="289">
        <v>5409</v>
      </c>
      <c r="K273" s="289">
        <v>5443</v>
      </c>
      <c r="L273" s="289">
        <v>5495</v>
      </c>
      <c r="M273" s="289">
        <v>5447</v>
      </c>
      <c r="N273" s="289">
        <v>5416</v>
      </c>
      <c r="O273" s="289">
        <v>5391</v>
      </c>
      <c r="P273" s="289">
        <v>5376</v>
      </c>
      <c r="Q273" s="289">
        <v>5373</v>
      </c>
      <c r="R273" s="289">
        <v>5381</v>
      </c>
      <c r="S273" s="289">
        <v>5402</v>
      </c>
      <c r="T273" s="365">
        <v>5451</v>
      </c>
      <c r="U273" s="235">
        <f>IF((T274=""),"",MAX(D275:T275))</f>
        <v>2158</v>
      </c>
      <c r="V273" s="235">
        <f>IF(T274="","",MIN(D275:T275))</f>
        <v>2018</v>
      </c>
      <c r="W273" s="235">
        <f>IF((T275=""),"",AVERAGE(D275:T275))</f>
        <v>2086.3529411764707</v>
      </c>
      <c r="X273" s="359">
        <f>STDEV(D275:T275)</f>
        <v>35.729786552102766</v>
      </c>
      <c r="Y273" s="235">
        <f>IF((T274=""),"",((U273-V273)/(U273+V273))*100)</f>
        <v>3.3524904214559386</v>
      </c>
      <c r="Z273" s="228" t="str">
        <f>IF(T274="","",IF(Y273&lt;15,IF(W273&gt;AF273,IF(W273&lt;AG273,"Pass","Fail"),"Fail"),"Fail"))</f>
        <v>Pass</v>
      </c>
      <c r="AA273" s="373">
        <v>1159</v>
      </c>
      <c r="AB273" s="122" t="s">
        <v>152</v>
      </c>
      <c r="AD273" s="302">
        <v>1600</v>
      </c>
      <c r="AE273" s="302">
        <v>2600</v>
      </c>
      <c r="AF273" s="334">
        <v>1690</v>
      </c>
      <c r="AG273" s="334">
        <v>2210</v>
      </c>
      <c r="AH273" s="335">
        <v>15</v>
      </c>
      <c r="AI273" s="335">
        <v>15</v>
      </c>
    </row>
    <row r="274" spans="1:37">
      <c r="A274" s="371"/>
      <c r="B274" s="276"/>
      <c r="C274" s="235" t="s">
        <v>78</v>
      </c>
      <c r="D274" s="288">
        <v>4446</v>
      </c>
      <c r="E274" s="289">
        <v>4380</v>
      </c>
      <c r="F274" s="289">
        <v>4356</v>
      </c>
      <c r="G274" s="289">
        <v>4343</v>
      </c>
      <c r="H274" s="289">
        <v>4339</v>
      </c>
      <c r="I274" s="289">
        <v>4338</v>
      </c>
      <c r="J274" s="289">
        <v>4343</v>
      </c>
      <c r="K274" s="289">
        <v>4364</v>
      </c>
      <c r="L274" s="289">
        <v>4453</v>
      </c>
      <c r="M274" s="289">
        <v>4405</v>
      </c>
      <c r="N274" s="289">
        <v>4346</v>
      </c>
      <c r="O274" s="289">
        <v>4336</v>
      </c>
      <c r="P274" s="289">
        <v>4333</v>
      </c>
      <c r="Q274" s="289">
        <v>4334</v>
      </c>
      <c r="R274" s="289">
        <v>4337</v>
      </c>
      <c r="S274" s="289">
        <v>4349</v>
      </c>
      <c r="T274" s="365">
        <v>4426</v>
      </c>
      <c r="U274" s="337"/>
      <c r="V274" s="337"/>
      <c r="W274" s="337"/>
      <c r="X274" s="359"/>
      <c r="Y274" s="337"/>
      <c r="Z274" s="337"/>
      <c r="AA274" s="339"/>
      <c r="AB274" s="122"/>
      <c r="AC274" s="123"/>
    </row>
    <row r="275" spans="1:37" ht="32.25" thickBot="1">
      <c r="A275" s="372"/>
      <c r="B275" s="281"/>
      <c r="C275" s="243" t="s">
        <v>221</v>
      </c>
      <c r="D275" s="337">
        <f t="shared" ref="D275:I275" si="90">IF(((D273="")*AND(D274="")),"",(D273-D274)*2)</f>
        <v>2018</v>
      </c>
      <c r="E275" s="337">
        <f t="shared" si="90"/>
        <v>2056</v>
      </c>
      <c r="F275" s="337">
        <f t="shared" si="90"/>
        <v>2050</v>
      </c>
      <c r="G275" s="337">
        <f t="shared" si="90"/>
        <v>2062</v>
      </c>
      <c r="H275" s="337">
        <f t="shared" si="90"/>
        <v>2068</v>
      </c>
      <c r="I275" s="337">
        <f t="shared" si="90"/>
        <v>2098</v>
      </c>
      <c r="J275" s="337">
        <f>IF(((J273="")*AND(J274="")),"",(J273-J274)*2)</f>
        <v>2132</v>
      </c>
      <c r="K275" s="337">
        <f>IF(((K273="")*AND(K274="")),"",(K273-K274)*2)</f>
        <v>2158</v>
      </c>
      <c r="L275" s="337">
        <f>IF(((L273="")*AND(L274="")),"",(L273-L274)*2)</f>
        <v>2084</v>
      </c>
      <c r="M275" s="337">
        <f>IF(((M273="")*AND(M274="")),"",(M273-M274)*2)</f>
        <v>2084</v>
      </c>
      <c r="N275" s="337">
        <f t="shared" ref="N275:T275" si="91">IF(((N273="")*AND(N274="")),"",(N273-N274)*2)</f>
        <v>2140</v>
      </c>
      <c r="O275" s="337">
        <f t="shared" si="91"/>
        <v>2110</v>
      </c>
      <c r="P275" s="337">
        <f t="shared" si="91"/>
        <v>2086</v>
      </c>
      <c r="Q275" s="337">
        <f t="shared" si="91"/>
        <v>2078</v>
      </c>
      <c r="R275" s="337">
        <f t="shared" si="91"/>
        <v>2088</v>
      </c>
      <c r="S275" s="337">
        <f t="shared" si="91"/>
        <v>2106</v>
      </c>
      <c r="T275" s="337">
        <f t="shared" si="91"/>
        <v>2050</v>
      </c>
      <c r="U275" s="337"/>
      <c r="V275" s="337"/>
      <c r="W275" s="337"/>
      <c r="X275" s="366"/>
      <c r="Y275" s="337"/>
      <c r="Z275" s="337"/>
      <c r="AA275" s="339"/>
      <c r="AB275" s="122"/>
      <c r="AC275" s="123"/>
    </row>
    <row r="276" spans="1:37">
      <c r="A276" s="248">
        <v>43544</v>
      </c>
      <c r="B276" s="268" t="s">
        <v>76</v>
      </c>
      <c r="C276" s="235" t="s">
        <v>77</v>
      </c>
      <c r="D276" s="288">
        <v>5497</v>
      </c>
      <c r="E276" s="289">
        <v>5447</v>
      </c>
      <c r="F276" s="289">
        <v>5428</v>
      </c>
      <c r="G276" s="289">
        <v>5421</v>
      </c>
      <c r="H276" s="289">
        <v>5422</v>
      </c>
      <c r="I276" s="289">
        <v>5435</v>
      </c>
      <c r="J276" s="289">
        <v>5450</v>
      </c>
      <c r="K276" s="289">
        <v>5473</v>
      </c>
      <c r="L276" s="289">
        <v>5514</v>
      </c>
      <c r="M276" s="289">
        <v>5437</v>
      </c>
      <c r="N276" s="289">
        <v>5437</v>
      </c>
      <c r="O276" s="289">
        <v>5429</v>
      </c>
      <c r="P276" s="289">
        <v>5423</v>
      </c>
      <c r="Q276" s="289">
        <v>5426</v>
      </c>
      <c r="R276" s="289">
        <v>5431</v>
      </c>
      <c r="S276" s="289">
        <v>5436</v>
      </c>
      <c r="T276" s="365">
        <v>5452</v>
      </c>
      <c r="U276" s="235">
        <f>IF((T277=""),"",MAX(D278:T278))</f>
        <v>2174.2199999999993</v>
      </c>
      <c r="V276" s="235">
        <f>IF(T277="","",MIN(D278:T278))</f>
        <v>2044.8600000000006</v>
      </c>
      <c r="W276" s="235">
        <f>IF((T278=""),"",AVERAGE(D278:T278))</f>
        <v>2118.8294117647056</v>
      </c>
      <c r="X276" s="359">
        <f>STDEV(D278:T278)</f>
        <v>35.531605731831789</v>
      </c>
      <c r="Y276" s="235">
        <f>IF((T277=""),"",((U276-V276)/(U276+V276))*100)</f>
        <v>3.0660712762023654</v>
      </c>
      <c r="Z276" s="228" t="str">
        <f>IF(T277="","",IF(Y276&lt;15,IF(W276&gt;AF276,IF(W276&lt;AG276,"Pass","Fail"),"Fail"),"Fail"))</f>
        <v>Pass</v>
      </c>
      <c r="AA276" s="373" t="s">
        <v>162</v>
      </c>
      <c r="AB276" s="123"/>
      <c r="AC276" s="323" t="s">
        <v>153</v>
      </c>
      <c r="AD276" s="302">
        <v>1600</v>
      </c>
      <c r="AE276" s="302">
        <v>2600</v>
      </c>
      <c r="AF276" s="334">
        <v>1690</v>
      </c>
      <c r="AG276" s="334">
        <v>2210</v>
      </c>
      <c r="AH276" s="335">
        <v>15</v>
      </c>
      <c r="AI276" s="335">
        <v>15</v>
      </c>
    </row>
    <row r="277" spans="1:37">
      <c r="A277" s="371"/>
      <c r="B277" s="276"/>
      <c r="C277" s="235" t="s">
        <v>78</v>
      </c>
      <c r="D277" s="288">
        <v>4463.33</v>
      </c>
      <c r="E277" s="289">
        <v>4397.1499999999996</v>
      </c>
      <c r="F277" s="289">
        <v>4370.92</v>
      </c>
      <c r="G277" s="289">
        <v>4362.21</v>
      </c>
      <c r="H277" s="289">
        <v>4358.63</v>
      </c>
      <c r="I277" s="289">
        <v>4347.8900000000003</v>
      </c>
      <c r="J277" s="289">
        <v>4398.8999999999996</v>
      </c>
      <c r="K277" s="289">
        <v>4395.1899999999996</v>
      </c>
      <c r="L277" s="289">
        <v>4491.57</v>
      </c>
      <c r="M277" s="289">
        <v>4370.12</v>
      </c>
      <c r="N277" s="289">
        <v>4392.38</v>
      </c>
      <c r="O277" s="289">
        <v>4390.29</v>
      </c>
      <c r="P277" s="289">
        <v>4347.83</v>
      </c>
      <c r="Q277" s="289">
        <v>4354.8100000000004</v>
      </c>
      <c r="R277" s="289">
        <v>4354.49</v>
      </c>
      <c r="S277" s="289">
        <v>4357.97</v>
      </c>
      <c r="T277" s="365">
        <v>4394.2700000000004</v>
      </c>
      <c r="U277" s="337"/>
      <c r="V277" s="337"/>
      <c r="W277" s="337"/>
      <c r="X277" s="359"/>
      <c r="Y277" s="337"/>
      <c r="Z277" s="337"/>
      <c r="AA277" s="339"/>
      <c r="AB277" s="122"/>
      <c r="AC277" s="123"/>
    </row>
    <row r="278" spans="1:37" ht="32.25" thickBot="1">
      <c r="A278" s="372"/>
      <c r="B278" s="281"/>
      <c r="C278" s="243" t="s">
        <v>221</v>
      </c>
      <c r="D278" s="337">
        <f t="shared" ref="D278:T278" si="92">IF(((D276="")*AND(D277="")),"",(D276-D277)*2)</f>
        <v>2067.34</v>
      </c>
      <c r="E278" s="337">
        <f t="shared" si="92"/>
        <v>2099.7000000000007</v>
      </c>
      <c r="F278" s="337">
        <f t="shared" si="92"/>
        <v>2114.16</v>
      </c>
      <c r="G278" s="337">
        <f t="shared" si="92"/>
        <v>2117.58</v>
      </c>
      <c r="H278" s="337">
        <f t="shared" si="92"/>
        <v>2126.7399999999998</v>
      </c>
      <c r="I278" s="337">
        <f t="shared" si="92"/>
        <v>2174.2199999999993</v>
      </c>
      <c r="J278" s="337">
        <f t="shared" si="92"/>
        <v>2102.2000000000007</v>
      </c>
      <c r="K278" s="337">
        <f t="shared" si="92"/>
        <v>2155.6200000000008</v>
      </c>
      <c r="L278" s="337">
        <f t="shared" si="92"/>
        <v>2044.8600000000006</v>
      </c>
      <c r="M278" s="337">
        <f t="shared" si="92"/>
        <v>2133.7600000000002</v>
      </c>
      <c r="N278" s="337">
        <f t="shared" si="92"/>
        <v>2089.2399999999998</v>
      </c>
      <c r="O278" s="337">
        <f t="shared" si="92"/>
        <v>2077.42</v>
      </c>
      <c r="P278" s="337">
        <f t="shared" si="92"/>
        <v>2150.34</v>
      </c>
      <c r="Q278" s="337">
        <f t="shared" si="92"/>
        <v>2142.3799999999992</v>
      </c>
      <c r="R278" s="337">
        <f t="shared" si="92"/>
        <v>2153.0200000000004</v>
      </c>
      <c r="S278" s="337">
        <f t="shared" si="92"/>
        <v>2156.0599999999995</v>
      </c>
      <c r="T278" s="337">
        <f t="shared" si="92"/>
        <v>2115.4599999999991</v>
      </c>
      <c r="U278" s="337"/>
      <c r="V278" s="337"/>
      <c r="W278" s="337"/>
      <c r="X278" s="366"/>
      <c r="Y278" s="337"/>
      <c r="Z278" s="337"/>
      <c r="AA278" s="339"/>
      <c r="AB278" s="122"/>
      <c r="AC278" s="123"/>
    </row>
    <row r="279" spans="1:37">
      <c r="A279" s="248">
        <v>43546</v>
      </c>
      <c r="B279" s="268" t="s">
        <v>76</v>
      </c>
      <c r="C279" s="235" t="s">
        <v>77</v>
      </c>
      <c r="D279" s="374">
        <v>5345</v>
      </c>
      <c r="E279" s="375">
        <v>5314</v>
      </c>
      <c r="F279" s="375">
        <v>5296</v>
      </c>
      <c r="G279" s="375">
        <v>5293</v>
      </c>
      <c r="H279" s="375">
        <v>5291</v>
      </c>
      <c r="I279" s="375">
        <v>5293</v>
      </c>
      <c r="J279" s="375">
        <v>5297</v>
      </c>
      <c r="K279" s="375">
        <v>5309</v>
      </c>
      <c r="L279" s="375">
        <v>5345</v>
      </c>
      <c r="M279" s="375">
        <v>5346</v>
      </c>
      <c r="N279" s="375">
        <v>5317</v>
      </c>
      <c r="O279" s="375">
        <v>5298</v>
      </c>
      <c r="P279" s="375">
        <v>5293</v>
      </c>
      <c r="Q279" s="375">
        <v>5291</v>
      </c>
      <c r="R279" s="375">
        <v>5296</v>
      </c>
      <c r="S279" s="375">
        <v>5306</v>
      </c>
      <c r="T279" s="375">
        <v>5340</v>
      </c>
      <c r="U279" s="235">
        <f>IF((T280=""),"",MAX(D281:T281))</f>
        <v>2226</v>
      </c>
      <c r="V279" s="235">
        <f>IF(T280="","",MIN(D281:T281))</f>
        <v>2016</v>
      </c>
      <c r="W279" s="235">
        <f>IF((T281=""),"",AVERAGE(D281:T281))</f>
        <v>2146.5882352941176</v>
      </c>
      <c r="X279" s="359">
        <f>STDEV(D281:T281)</f>
        <v>54.501214233640482</v>
      </c>
      <c r="Y279" s="235">
        <f>IF((T280=""),"",((U279-V279)/(U279+V279))*100)</f>
        <v>4.9504950495049505</v>
      </c>
      <c r="Z279" s="228" t="str">
        <f>IF(T280="","",IF(Y279&lt;15,IF(W279&gt;AF279,IF(W279&lt;AG279,"Pass","Fail"),"Fail"),"Fail"))</f>
        <v>Pass</v>
      </c>
      <c r="AA279" s="373">
        <v>1340</v>
      </c>
      <c r="AB279" s="255"/>
      <c r="AD279" s="302">
        <v>1600</v>
      </c>
      <c r="AE279" s="302">
        <v>2600</v>
      </c>
      <c r="AF279" s="334">
        <v>1690</v>
      </c>
      <c r="AG279" s="334">
        <v>2210</v>
      </c>
      <c r="AH279" s="335">
        <v>15</v>
      </c>
      <c r="AI279" s="335">
        <v>15</v>
      </c>
    </row>
    <row r="280" spans="1:37">
      <c r="A280" s="371"/>
      <c r="B280" s="276"/>
      <c r="C280" s="235" t="s">
        <v>78</v>
      </c>
      <c r="D280" s="374">
        <v>4320</v>
      </c>
      <c r="E280" s="375">
        <v>4257</v>
      </c>
      <c r="F280" s="375">
        <v>4236</v>
      </c>
      <c r="G280" s="375">
        <v>4227</v>
      </c>
      <c r="H280" s="375">
        <v>4221</v>
      </c>
      <c r="I280" s="375">
        <v>4202</v>
      </c>
      <c r="J280" s="375">
        <v>4189</v>
      </c>
      <c r="K280" s="375">
        <v>4196</v>
      </c>
      <c r="L280" s="375">
        <v>4271</v>
      </c>
      <c r="M280" s="375">
        <v>4269</v>
      </c>
      <c r="N280" s="375">
        <v>4309</v>
      </c>
      <c r="O280" s="375">
        <v>4200</v>
      </c>
      <c r="P280" s="375">
        <v>4205</v>
      </c>
      <c r="Q280" s="375">
        <v>4208</v>
      </c>
      <c r="R280" s="375">
        <v>4208</v>
      </c>
      <c r="S280" s="375">
        <v>4220</v>
      </c>
      <c r="T280" s="375">
        <v>4286</v>
      </c>
      <c r="U280" s="337"/>
      <c r="V280" s="337"/>
      <c r="W280" s="337"/>
      <c r="X280" s="359"/>
      <c r="Y280" s="337"/>
      <c r="Z280" s="337"/>
      <c r="AA280" s="339"/>
      <c r="AB280" s="122"/>
      <c r="AC280" s="123"/>
    </row>
    <row r="281" spans="1:37" ht="32.25" thickBot="1">
      <c r="A281" s="372"/>
      <c r="B281" s="281"/>
      <c r="C281" s="243" t="s">
        <v>221</v>
      </c>
      <c r="D281" s="337">
        <f t="shared" ref="D281:T281" si="93">IF(((D279="")*AND(D280="")),"",(D279-D280)*2)</f>
        <v>2050</v>
      </c>
      <c r="E281" s="337">
        <f t="shared" si="93"/>
        <v>2114</v>
      </c>
      <c r="F281" s="337">
        <f t="shared" si="93"/>
        <v>2120</v>
      </c>
      <c r="G281" s="337">
        <f t="shared" si="93"/>
        <v>2132</v>
      </c>
      <c r="H281" s="337">
        <f t="shared" si="93"/>
        <v>2140</v>
      </c>
      <c r="I281" s="337">
        <f t="shared" si="93"/>
        <v>2182</v>
      </c>
      <c r="J281" s="337">
        <f t="shared" si="93"/>
        <v>2216</v>
      </c>
      <c r="K281" s="337">
        <f t="shared" si="93"/>
        <v>2226</v>
      </c>
      <c r="L281" s="337">
        <f t="shared" si="93"/>
        <v>2148</v>
      </c>
      <c r="M281" s="337">
        <f t="shared" si="93"/>
        <v>2154</v>
      </c>
      <c r="N281" s="337">
        <f t="shared" si="93"/>
        <v>2016</v>
      </c>
      <c r="O281" s="337">
        <f t="shared" si="93"/>
        <v>2196</v>
      </c>
      <c r="P281" s="337">
        <f t="shared" si="93"/>
        <v>2176</v>
      </c>
      <c r="Q281" s="337">
        <f t="shared" si="93"/>
        <v>2166</v>
      </c>
      <c r="R281" s="337">
        <f t="shared" si="93"/>
        <v>2176</v>
      </c>
      <c r="S281" s="337">
        <f t="shared" si="93"/>
        <v>2172</v>
      </c>
      <c r="T281" s="337">
        <f t="shared" si="93"/>
        <v>2108</v>
      </c>
      <c r="U281" s="337"/>
      <c r="V281" s="337"/>
      <c r="W281" s="337"/>
      <c r="X281" s="366"/>
      <c r="Y281" s="337"/>
      <c r="Z281" s="337"/>
      <c r="AA281" s="339"/>
      <c r="AB281" s="122"/>
      <c r="AC281" s="123"/>
    </row>
    <row r="282" spans="1:37">
      <c r="A282" s="248">
        <v>43549</v>
      </c>
      <c r="B282" s="268" t="s">
        <v>76</v>
      </c>
      <c r="C282" s="235" t="s">
        <v>77</v>
      </c>
      <c r="D282" s="288">
        <v>5329</v>
      </c>
      <c r="E282" s="289">
        <v>5248</v>
      </c>
      <c r="F282" s="289">
        <v>5194</v>
      </c>
      <c r="G282" s="289">
        <v>5168</v>
      </c>
      <c r="H282" s="289">
        <v>5165</v>
      </c>
      <c r="I282" s="289">
        <v>5182</v>
      </c>
      <c r="J282" s="289">
        <v>5225</v>
      </c>
      <c r="K282" s="289">
        <v>5284</v>
      </c>
      <c r="L282" s="289">
        <v>5370</v>
      </c>
      <c r="M282" s="289">
        <v>5261</v>
      </c>
      <c r="N282" s="289">
        <v>5241</v>
      </c>
      <c r="O282" s="289">
        <v>5205</v>
      </c>
      <c r="P282" s="289">
        <v>5173</v>
      </c>
      <c r="Q282" s="289">
        <v>5173</v>
      </c>
      <c r="R282" s="289">
        <v>5194</v>
      </c>
      <c r="S282" s="289">
        <v>5229</v>
      </c>
      <c r="T282" s="365">
        <v>5298</v>
      </c>
      <c r="U282" s="235">
        <f>IF((T283=""),"",MAX(D284:T284))</f>
        <v>2250</v>
      </c>
      <c r="V282" s="235">
        <f>IF(T283="","",MIN(D284:T284))</f>
        <v>2066</v>
      </c>
      <c r="W282" s="235">
        <f>IF((T284=""),"",AVERAGE(D284:T284))</f>
        <v>2184.5882352941176</v>
      </c>
      <c r="X282" s="359">
        <f>STDEV(D284:T284)</f>
        <v>43.65641250653993</v>
      </c>
      <c r="Y282" s="235">
        <f>IF((T283=""),"",((U282-V282)/(U282+V282))*100)</f>
        <v>4.2632066728452278</v>
      </c>
      <c r="Z282" s="228" t="str">
        <f>IF(T283="","",IF(Y282&lt;15,IF(W282&gt;AF282,IF(W282&lt;AG282,"Pass","Fail"),"Fail"),"Fail"))</f>
        <v>Pass</v>
      </c>
      <c r="AA282" s="373">
        <v>1159</v>
      </c>
      <c r="AB282" s="376" t="s">
        <v>163</v>
      </c>
      <c r="AD282" s="302">
        <v>1600</v>
      </c>
      <c r="AE282" s="302">
        <v>2600</v>
      </c>
      <c r="AF282" s="334">
        <v>1690</v>
      </c>
      <c r="AG282" s="334">
        <v>2210</v>
      </c>
      <c r="AH282" s="335">
        <v>15</v>
      </c>
      <c r="AI282" s="335">
        <v>15</v>
      </c>
    </row>
    <row r="283" spans="1:37">
      <c r="A283" s="371"/>
      <c r="B283" s="276"/>
      <c r="C283" s="235" t="s">
        <v>78</v>
      </c>
      <c r="D283" s="288">
        <v>4296</v>
      </c>
      <c r="E283" s="289">
        <v>4178</v>
      </c>
      <c r="F283" s="289">
        <v>4121</v>
      </c>
      <c r="G283" s="289">
        <v>4084</v>
      </c>
      <c r="H283" s="289">
        <v>4075</v>
      </c>
      <c r="I283" s="289">
        <v>4080</v>
      </c>
      <c r="J283" s="289">
        <v>4107</v>
      </c>
      <c r="K283" s="289">
        <v>4159</v>
      </c>
      <c r="L283" s="289">
        <v>4284</v>
      </c>
      <c r="M283" s="289">
        <v>4171</v>
      </c>
      <c r="N283" s="289">
        <v>4127</v>
      </c>
      <c r="O283" s="289">
        <v>4091</v>
      </c>
      <c r="P283" s="289">
        <v>4077</v>
      </c>
      <c r="Q283" s="289">
        <v>4077</v>
      </c>
      <c r="R283" s="289">
        <v>4093</v>
      </c>
      <c r="S283" s="289">
        <v>4130</v>
      </c>
      <c r="T283" s="365">
        <v>4220</v>
      </c>
      <c r="U283" s="337"/>
      <c r="V283" s="337"/>
      <c r="W283" s="337"/>
      <c r="X283" s="359"/>
      <c r="Y283" s="337"/>
      <c r="Z283" s="337"/>
      <c r="AA283" s="339"/>
      <c r="AB283" s="122"/>
      <c r="AC283" s="123"/>
      <c r="AD283" s="122"/>
      <c r="AE283" s="122"/>
      <c r="AH283" s="302"/>
      <c r="AI283" s="302"/>
      <c r="AJ283" s="122"/>
      <c r="AK283" s="122"/>
    </row>
    <row r="284" spans="1:37" ht="32.25" thickBot="1">
      <c r="A284" s="372"/>
      <c r="B284" s="281"/>
      <c r="C284" s="243" t="s">
        <v>221</v>
      </c>
      <c r="D284" s="337">
        <f t="shared" ref="D284:I284" si="94">IF(((D282="")*AND(D283="")),"",(D282-D283)*2)</f>
        <v>2066</v>
      </c>
      <c r="E284" s="337">
        <f t="shared" si="94"/>
        <v>2140</v>
      </c>
      <c r="F284" s="337">
        <f t="shared" si="94"/>
        <v>2146</v>
      </c>
      <c r="G284" s="337">
        <f t="shared" si="94"/>
        <v>2168</v>
      </c>
      <c r="H284" s="337">
        <f t="shared" si="94"/>
        <v>2180</v>
      </c>
      <c r="I284" s="337">
        <f t="shared" si="94"/>
        <v>2204</v>
      </c>
      <c r="J284" s="337">
        <f>IF(((J282="")*AND(J283="")),"",(J282-J283)*2)</f>
        <v>2236</v>
      </c>
      <c r="K284" s="337">
        <f>IF(((K282="")*AND(K283="")),"",(K282-K283)*2)</f>
        <v>2250</v>
      </c>
      <c r="L284" s="337">
        <f>IF(((L282="")*AND(L283="")),"",(L282-L283)*2)</f>
        <v>2172</v>
      </c>
      <c r="M284" s="337">
        <f>IF(((M282="")*AND(M283="")),"",(M282-M283)*2)</f>
        <v>2180</v>
      </c>
      <c r="N284" s="337">
        <f t="shared" ref="N284:T284" si="95">IF(((N282="")*AND(N283="")),"",(N282-N283)*2)</f>
        <v>2228</v>
      </c>
      <c r="O284" s="337">
        <f t="shared" si="95"/>
        <v>2228</v>
      </c>
      <c r="P284" s="337">
        <f t="shared" si="95"/>
        <v>2192</v>
      </c>
      <c r="Q284" s="337">
        <f t="shared" si="95"/>
        <v>2192</v>
      </c>
      <c r="R284" s="337">
        <f t="shared" si="95"/>
        <v>2202</v>
      </c>
      <c r="S284" s="337">
        <f t="shared" si="95"/>
        <v>2198</v>
      </c>
      <c r="T284" s="337">
        <f t="shared" si="95"/>
        <v>2156</v>
      </c>
      <c r="U284" s="337"/>
      <c r="V284" s="337"/>
      <c r="W284" s="337"/>
      <c r="X284" s="366"/>
      <c r="Y284" s="337"/>
      <c r="Z284" s="337"/>
      <c r="AA284" s="339"/>
      <c r="AB284" s="122"/>
      <c r="AC284" s="123"/>
      <c r="AD284" s="122"/>
      <c r="AE284" s="122"/>
      <c r="AH284" s="302"/>
      <c r="AI284" s="302"/>
      <c r="AJ284" s="122"/>
      <c r="AK284" s="122"/>
    </row>
    <row r="285" spans="1:37">
      <c r="A285" s="248">
        <v>43552</v>
      </c>
      <c r="B285" s="268" t="s">
        <v>76</v>
      </c>
      <c r="C285" s="235" t="s">
        <v>77</v>
      </c>
      <c r="D285" s="123">
        <v>5309.17</v>
      </c>
      <c r="E285" s="123">
        <v>5261.68</v>
      </c>
      <c r="F285" s="123">
        <v>5228.1899999999996</v>
      </c>
      <c r="G285" s="123">
        <v>5215.45</v>
      </c>
      <c r="H285" s="123">
        <v>5216.1400000000003</v>
      </c>
      <c r="I285" s="123">
        <v>5231.83</v>
      </c>
      <c r="J285" s="123">
        <v>5258.07</v>
      </c>
      <c r="K285" s="123">
        <v>5295.91</v>
      </c>
      <c r="L285" s="123">
        <v>5342.3</v>
      </c>
      <c r="M285" s="123">
        <v>5276.91</v>
      </c>
      <c r="N285" s="123">
        <v>5259.38</v>
      </c>
      <c r="O285" s="123">
        <v>5232.24</v>
      </c>
      <c r="P285" s="123">
        <v>5216.7</v>
      </c>
      <c r="Q285" s="123">
        <v>5214.8999999999996</v>
      </c>
      <c r="R285" s="123">
        <v>5235.3100000000004</v>
      </c>
      <c r="S285" s="123">
        <v>5259.75</v>
      </c>
      <c r="T285" s="123">
        <v>5291.64</v>
      </c>
      <c r="U285" s="235">
        <f>IF((T286=""),"",MAX(D287:T287))</f>
        <v>2142.1399999999994</v>
      </c>
      <c r="V285" s="235">
        <f>IF(T286="","",MIN(D287:T287))</f>
        <v>1932.3400000000001</v>
      </c>
      <c r="W285" s="235">
        <f>IF((T287=""),"",AVERAGE(D287:T287))</f>
        <v>2087.1258823529406</v>
      </c>
      <c r="X285" s="359">
        <f>STDEV(D287:T287)</f>
        <v>52.193324173071034</v>
      </c>
      <c r="Y285" s="235">
        <f>IF((T286=""),"",((U285-V285)/(U285+V285))*100)</f>
        <v>5.1491233237124572</v>
      </c>
      <c r="Z285" s="228" t="str">
        <f>IF(T286="","",IF(Y285&lt;15,IF(W285&gt;AF285,IF(W285&lt;AG285,"Pass","Fail"),"Fail"),"Fail"))</f>
        <v>Pass</v>
      </c>
      <c r="AA285" s="373">
        <v>1159</v>
      </c>
      <c r="AB285" s="376" t="s">
        <v>155</v>
      </c>
      <c r="AD285" s="302">
        <v>1600</v>
      </c>
      <c r="AE285" s="302">
        <v>2600</v>
      </c>
      <c r="AF285" s="334">
        <v>1690</v>
      </c>
      <c r="AG285" s="334">
        <v>2210</v>
      </c>
      <c r="AH285" s="335">
        <v>15</v>
      </c>
      <c r="AI285" s="335">
        <v>15</v>
      </c>
      <c r="AJ285" s="122"/>
      <c r="AK285" s="122"/>
    </row>
    <row r="286" spans="1:37">
      <c r="A286" s="371"/>
      <c r="B286" s="276"/>
      <c r="C286" s="235" t="s">
        <v>78</v>
      </c>
      <c r="D286" s="123">
        <v>4343</v>
      </c>
      <c r="E286" s="123">
        <v>4246</v>
      </c>
      <c r="F286" s="123">
        <v>4192</v>
      </c>
      <c r="G286" s="123">
        <v>4169</v>
      </c>
      <c r="H286" s="123">
        <v>4163</v>
      </c>
      <c r="I286" s="123">
        <v>4168</v>
      </c>
      <c r="J286" s="123">
        <v>4187</v>
      </c>
      <c r="K286" s="123">
        <v>4228</v>
      </c>
      <c r="L286" s="123">
        <v>4311</v>
      </c>
      <c r="M286" s="123">
        <v>4245</v>
      </c>
      <c r="N286" s="123">
        <v>4198</v>
      </c>
      <c r="O286" s="123">
        <v>4179</v>
      </c>
      <c r="P286" s="123">
        <v>4167</v>
      </c>
      <c r="Q286" s="289">
        <v>4166</v>
      </c>
      <c r="R286" s="289">
        <v>4169</v>
      </c>
      <c r="S286" s="289">
        <v>4200</v>
      </c>
      <c r="T286" s="365">
        <v>4274</v>
      </c>
      <c r="U286" s="337"/>
      <c r="V286" s="337"/>
      <c r="W286" s="337"/>
      <c r="X286" s="359"/>
      <c r="Y286" s="337"/>
      <c r="Z286" s="337"/>
      <c r="AA286" s="339"/>
      <c r="AB286" s="122"/>
      <c r="AC286" s="123"/>
      <c r="AD286" s="122"/>
      <c r="AE286" s="122"/>
      <c r="AH286" s="302"/>
      <c r="AI286" s="302"/>
      <c r="AJ286" s="122"/>
      <c r="AK286" s="122"/>
    </row>
    <row r="287" spans="1:37" ht="32.25" thickBot="1">
      <c r="A287" s="372"/>
      <c r="B287" s="281"/>
      <c r="C287" s="243" t="s">
        <v>221</v>
      </c>
      <c r="D287" s="337">
        <f t="shared" ref="D287:I287" si="96">IF(((D285="")*AND(D286="")),"",(D285-D286)*2)</f>
        <v>1932.3400000000001</v>
      </c>
      <c r="E287" s="337">
        <f t="shared" si="96"/>
        <v>2031.3600000000006</v>
      </c>
      <c r="F287" s="337">
        <f t="shared" si="96"/>
        <v>2072.3799999999992</v>
      </c>
      <c r="G287" s="337">
        <f t="shared" si="96"/>
        <v>2092.8999999999996</v>
      </c>
      <c r="H287" s="337">
        <f t="shared" si="96"/>
        <v>2106.2800000000007</v>
      </c>
      <c r="I287" s="337">
        <f t="shared" si="96"/>
        <v>2127.66</v>
      </c>
      <c r="J287" s="337">
        <f>IF(((J285="")*AND(J286="")),"",(J285-J286)*2)</f>
        <v>2142.1399999999994</v>
      </c>
      <c r="K287" s="337">
        <f>IF(((K285="")*AND(K286="")),"",(K285-K286)*2)</f>
        <v>2135.8199999999997</v>
      </c>
      <c r="L287" s="337">
        <f>IF(((L285="")*AND(L286="")),"",(L285-L286)*2)</f>
        <v>2062.6000000000004</v>
      </c>
      <c r="M287" s="337">
        <f>IF(((M285="")*AND(M286="")),"",(M285-M286)*2)</f>
        <v>2063.8199999999997</v>
      </c>
      <c r="N287" s="337">
        <f t="shared" ref="N287:T287" si="97">IF(((N285="")*AND(N286="")),"",(N285-N286)*2)</f>
        <v>2122.7600000000002</v>
      </c>
      <c r="O287" s="337">
        <f t="shared" si="97"/>
        <v>2106.4799999999996</v>
      </c>
      <c r="P287" s="337">
        <f t="shared" si="97"/>
        <v>2099.3999999999996</v>
      </c>
      <c r="Q287" s="337">
        <f t="shared" si="97"/>
        <v>2097.7999999999993</v>
      </c>
      <c r="R287" s="337">
        <f t="shared" si="97"/>
        <v>2132.6200000000008</v>
      </c>
      <c r="S287" s="337">
        <f t="shared" si="97"/>
        <v>2119.5</v>
      </c>
      <c r="T287" s="337">
        <f t="shared" si="97"/>
        <v>2035.2800000000007</v>
      </c>
      <c r="U287" s="337"/>
      <c r="V287" s="337"/>
      <c r="W287" s="337"/>
      <c r="X287" s="366"/>
      <c r="Y287" s="337"/>
      <c r="Z287" s="337"/>
      <c r="AA287" s="339"/>
      <c r="AB287" s="122"/>
      <c r="AC287" s="123"/>
      <c r="AD287" s="122"/>
      <c r="AE287" s="122"/>
      <c r="AH287" s="302"/>
      <c r="AI287" s="302"/>
      <c r="AJ287" s="122"/>
      <c r="AK287" s="122"/>
    </row>
    <row r="288" spans="1:37">
      <c r="A288" s="248">
        <v>43558</v>
      </c>
      <c r="B288" s="268" t="s">
        <v>76</v>
      </c>
      <c r="C288" s="235" t="s">
        <v>77</v>
      </c>
      <c r="D288" s="288">
        <v>5445</v>
      </c>
      <c r="E288" s="289">
        <v>5389</v>
      </c>
      <c r="F288" s="289">
        <v>5356</v>
      </c>
      <c r="G288" s="289">
        <v>5343</v>
      </c>
      <c r="H288" s="289">
        <v>5339</v>
      </c>
      <c r="I288" s="289">
        <v>5352</v>
      </c>
      <c r="J288" s="289">
        <v>5377</v>
      </c>
      <c r="K288" s="289">
        <v>5421</v>
      </c>
      <c r="L288" s="289">
        <v>5471</v>
      </c>
      <c r="M288" s="289">
        <v>5360</v>
      </c>
      <c r="N288" s="289">
        <v>5376</v>
      </c>
      <c r="O288" s="289">
        <v>5359</v>
      </c>
      <c r="P288" s="289">
        <v>5346</v>
      </c>
      <c r="Q288" s="289">
        <v>5343</v>
      </c>
      <c r="R288" s="289">
        <v>5347</v>
      </c>
      <c r="S288" s="289">
        <v>5374</v>
      </c>
      <c r="T288" s="365">
        <v>5401</v>
      </c>
      <c r="U288" s="235">
        <f>IF((T289=""),"",MAX(D290:T290))</f>
        <v>2208</v>
      </c>
      <c r="V288" s="235">
        <f>IF(T289="","",MIN(D290:T290))</f>
        <v>2064</v>
      </c>
      <c r="W288" s="235">
        <f>IF((T290=""),"",AVERAGE(D290:T290))</f>
        <v>2139.4117647058824</v>
      </c>
      <c r="X288" s="359">
        <f>STDEV(D290:T290)</f>
        <v>36.78154908294615</v>
      </c>
      <c r="Y288" s="235">
        <f>IF((T289=""),"",((U288-V288)/(U288+V288))*100)</f>
        <v>3.3707865168539324</v>
      </c>
      <c r="Z288" s="228" t="str">
        <f>IF(T289="","",IF(Y288&lt;15,IF(W288&gt;AF288,IF(W288&lt;AG288,"Pass","Fail"),"Fail"),"Fail"))</f>
        <v>Pass</v>
      </c>
      <c r="AA288" s="373">
        <v>1340</v>
      </c>
      <c r="AB288" s="376" t="s">
        <v>156</v>
      </c>
      <c r="AD288" s="302">
        <v>1600</v>
      </c>
      <c r="AE288" s="302">
        <v>2600</v>
      </c>
      <c r="AF288" s="334">
        <v>1690</v>
      </c>
      <c r="AG288" s="334">
        <v>2210</v>
      </c>
      <c r="AH288" s="335">
        <v>15</v>
      </c>
      <c r="AI288" s="335">
        <v>15</v>
      </c>
      <c r="AJ288" s="122"/>
      <c r="AK288" s="122"/>
    </row>
    <row r="289" spans="1:37">
      <c r="A289" s="371"/>
      <c r="B289" s="276"/>
      <c r="C289" s="235" t="s">
        <v>78</v>
      </c>
      <c r="D289" s="288">
        <v>4413</v>
      </c>
      <c r="E289" s="289">
        <v>4340</v>
      </c>
      <c r="F289" s="289">
        <v>4302</v>
      </c>
      <c r="G289" s="289">
        <v>4283</v>
      </c>
      <c r="H289" s="289">
        <v>4277</v>
      </c>
      <c r="I289" s="289">
        <v>4272</v>
      </c>
      <c r="J289" s="289">
        <v>4286</v>
      </c>
      <c r="K289" s="289">
        <v>4317</v>
      </c>
      <c r="L289" s="289">
        <v>4402</v>
      </c>
      <c r="M289" s="289">
        <v>4281</v>
      </c>
      <c r="N289" s="289">
        <v>4286</v>
      </c>
      <c r="O289" s="289">
        <v>4275</v>
      </c>
      <c r="P289" s="289">
        <v>4273</v>
      </c>
      <c r="Q289" s="289">
        <v>4276</v>
      </c>
      <c r="R289" s="289">
        <v>4280</v>
      </c>
      <c r="S289" s="289">
        <v>4295</v>
      </c>
      <c r="T289" s="365">
        <v>4356</v>
      </c>
      <c r="U289" s="337"/>
      <c r="V289" s="337"/>
      <c r="W289" s="337"/>
      <c r="X289" s="359"/>
      <c r="Y289" s="337"/>
      <c r="Z289" s="337"/>
      <c r="AA289" s="339"/>
      <c r="AB289" s="122"/>
      <c r="AC289" s="123"/>
      <c r="AD289" s="122"/>
      <c r="AE289" s="122"/>
      <c r="AH289" s="302"/>
      <c r="AI289" s="302"/>
      <c r="AJ289" s="122"/>
      <c r="AK289" s="122"/>
    </row>
    <row r="290" spans="1:37" ht="32.25" thickBot="1">
      <c r="A290" s="372"/>
      <c r="B290" s="281"/>
      <c r="C290" s="243" t="s">
        <v>221</v>
      </c>
      <c r="D290" s="337">
        <f t="shared" ref="D290:I290" si="98">IF(((D288="")*AND(D289="")),"",(D288-D289)*2)</f>
        <v>2064</v>
      </c>
      <c r="E290" s="337">
        <f t="shared" si="98"/>
        <v>2098</v>
      </c>
      <c r="F290" s="337">
        <f t="shared" si="98"/>
        <v>2108</v>
      </c>
      <c r="G290" s="337">
        <f t="shared" si="98"/>
        <v>2120</v>
      </c>
      <c r="H290" s="337">
        <f t="shared" si="98"/>
        <v>2124</v>
      </c>
      <c r="I290" s="337">
        <f t="shared" si="98"/>
        <v>2160</v>
      </c>
      <c r="J290" s="337">
        <f>IF(((J288="")*AND(J289="")),"",(J288-J289)*2)</f>
        <v>2182</v>
      </c>
      <c r="K290" s="337">
        <f>IF(((K288="")*AND(K289="")),"",(K288-K289)*2)</f>
        <v>2208</v>
      </c>
      <c r="L290" s="337">
        <f>IF(((L288="")*AND(L289="")),"",(L288-L289)*2)</f>
        <v>2138</v>
      </c>
      <c r="M290" s="337">
        <f>IF(((M288="")*AND(M289="")),"",(M288-M289)*2)</f>
        <v>2158</v>
      </c>
      <c r="N290" s="337">
        <f t="shared" ref="N290:T290" si="99">IF(((N288="")*AND(N289="")),"",(N288-N289)*2)</f>
        <v>2180</v>
      </c>
      <c r="O290" s="337">
        <f t="shared" si="99"/>
        <v>2168</v>
      </c>
      <c r="P290" s="337">
        <f t="shared" si="99"/>
        <v>2146</v>
      </c>
      <c r="Q290" s="337">
        <f t="shared" si="99"/>
        <v>2134</v>
      </c>
      <c r="R290" s="337">
        <f t="shared" si="99"/>
        <v>2134</v>
      </c>
      <c r="S290" s="337">
        <f t="shared" si="99"/>
        <v>2158</v>
      </c>
      <c r="T290" s="337">
        <f t="shared" si="99"/>
        <v>2090</v>
      </c>
      <c r="U290" s="337"/>
      <c r="V290" s="337"/>
      <c r="W290" s="337"/>
      <c r="X290" s="366"/>
      <c r="Y290" s="337"/>
      <c r="Z290" s="337"/>
      <c r="AA290" s="339"/>
      <c r="AB290" s="122"/>
      <c r="AC290" s="123"/>
      <c r="AD290" s="122"/>
      <c r="AE290" s="122"/>
      <c r="AH290" s="302"/>
      <c r="AI290" s="302"/>
      <c r="AJ290" s="122"/>
      <c r="AK290" s="122"/>
    </row>
    <row r="291" spans="1:37">
      <c r="A291" s="248">
        <v>43564</v>
      </c>
      <c r="B291" s="268" t="s">
        <v>76</v>
      </c>
      <c r="C291" s="235" t="s">
        <v>77</v>
      </c>
      <c r="D291" s="288">
        <v>2041</v>
      </c>
      <c r="E291" s="289">
        <v>2019</v>
      </c>
      <c r="F291" s="289">
        <v>2007</v>
      </c>
      <c r="G291" s="289">
        <v>1998</v>
      </c>
      <c r="H291" s="289">
        <v>1996</v>
      </c>
      <c r="I291" s="289">
        <v>1999</v>
      </c>
      <c r="J291" s="289">
        <v>2008</v>
      </c>
      <c r="K291" s="289">
        <v>2019</v>
      </c>
      <c r="L291" s="289">
        <v>2040</v>
      </c>
      <c r="M291" s="289">
        <v>2027</v>
      </c>
      <c r="N291" s="289">
        <v>2015</v>
      </c>
      <c r="O291" s="289">
        <v>2006</v>
      </c>
      <c r="P291" s="289">
        <v>1998</v>
      </c>
      <c r="Q291" s="289">
        <v>1999</v>
      </c>
      <c r="R291" s="289">
        <v>2007</v>
      </c>
      <c r="S291" s="289">
        <v>2018</v>
      </c>
      <c r="T291" s="289">
        <v>2036</v>
      </c>
      <c r="U291" s="235">
        <f>IF((T292=""),"",MAX(D293:T293))</f>
        <v>2178</v>
      </c>
      <c r="V291" s="235">
        <f>IF(T292="","",MIN(D293:T293))</f>
        <v>2038</v>
      </c>
      <c r="W291" s="235">
        <f>IF((T293=""),"",AVERAGE(D293:T293))</f>
        <v>2112.1176470588234</v>
      </c>
      <c r="X291" s="359">
        <f>STDEV(D293:T293)</f>
        <v>35.905922827823915</v>
      </c>
      <c r="Y291" s="235">
        <f>IF((T292=""),"",((U291-V291)/(U291+V291))*100)</f>
        <v>3.3206831119544589</v>
      </c>
      <c r="Z291" s="228" t="str">
        <f>IF(T292="","",IF(Y291&lt;15,IF(W291&gt;AF291,IF(W291&lt;AG291,"Pass","Fail"),"Fail"),"Fail"))</f>
        <v>Pass</v>
      </c>
      <c r="AA291" s="373">
        <v>1159</v>
      </c>
      <c r="AB291" s="376" t="s">
        <v>157</v>
      </c>
      <c r="AD291" s="302">
        <v>1600</v>
      </c>
      <c r="AE291" s="302">
        <v>2600</v>
      </c>
      <c r="AF291" s="334">
        <v>1690</v>
      </c>
      <c r="AG291" s="334">
        <v>2210</v>
      </c>
      <c r="AH291" s="335">
        <v>15</v>
      </c>
      <c r="AI291" s="335">
        <v>15</v>
      </c>
      <c r="AJ291" s="122"/>
      <c r="AK291" s="122"/>
    </row>
    <row r="292" spans="1:37">
      <c r="A292" s="371"/>
      <c r="B292" s="276"/>
      <c r="C292" s="235" t="s">
        <v>78</v>
      </c>
      <c r="D292" s="288">
        <v>1022</v>
      </c>
      <c r="E292" s="289">
        <v>985</v>
      </c>
      <c r="F292" s="289">
        <v>970</v>
      </c>
      <c r="G292" s="289">
        <v>958</v>
      </c>
      <c r="H292" s="289">
        <v>948</v>
      </c>
      <c r="I292" s="289">
        <v>937</v>
      </c>
      <c r="J292" s="289">
        <v>930</v>
      </c>
      <c r="K292" s="289">
        <v>930</v>
      </c>
      <c r="L292" s="289">
        <v>959</v>
      </c>
      <c r="M292" s="289">
        <v>975</v>
      </c>
      <c r="N292" s="289">
        <v>945</v>
      </c>
      <c r="O292" s="289">
        <v>942</v>
      </c>
      <c r="P292" s="289">
        <v>944</v>
      </c>
      <c r="Q292" s="289">
        <v>948</v>
      </c>
      <c r="R292" s="289">
        <v>949</v>
      </c>
      <c r="S292" s="289">
        <v>954</v>
      </c>
      <c r="T292" s="365">
        <v>984</v>
      </c>
      <c r="U292" s="337"/>
      <c r="V292" s="337"/>
      <c r="W292" s="337"/>
      <c r="X292" s="359"/>
      <c r="Y292" s="337"/>
      <c r="Z292" s="337"/>
      <c r="AA292" s="339"/>
      <c r="AB292" s="122"/>
      <c r="AC292" s="123"/>
      <c r="AD292" s="122"/>
      <c r="AE292" s="122"/>
      <c r="AH292" s="302"/>
      <c r="AI292" s="302"/>
      <c r="AJ292" s="122"/>
      <c r="AK292" s="122"/>
    </row>
    <row r="293" spans="1:37" ht="32.25" thickBot="1">
      <c r="A293" s="372"/>
      <c r="B293" s="281"/>
      <c r="C293" s="243" t="s">
        <v>221</v>
      </c>
      <c r="D293" s="337">
        <f t="shared" ref="D293:I293" si="100">IF(((D291="")*AND(D292="")),"",(D291-D292)*2)</f>
        <v>2038</v>
      </c>
      <c r="E293" s="337">
        <f t="shared" si="100"/>
        <v>2068</v>
      </c>
      <c r="F293" s="337">
        <f t="shared" si="100"/>
        <v>2074</v>
      </c>
      <c r="G293" s="337">
        <f t="shared" si="100"/>
        <v>2080</v>
      </c>
      <c r="H293" s="337">
        <f t="shared" si="100"/>
        <v>2096</v>
      </c>
      <c r="I293" s="337">
        <f t="shared" si="100"/>
        <v>2124</v>
      </c>
      <c r="J293" s="337">
        <f>IF(((J291="")*AND(J292="")),"",(J291-J292)*2)</f>
        <v>2156</v>
      </c>
      <c r="K293" s="337">
        <f>IF(((K291="")*AND(K292="")),"",(K291-K292)*2)</f>
        <v>2178</v>
      </c>
      <c r="L293" s="337">
        <f>IF(((L291="")*AND(L292="")),"",(L291-L292)*2)</f>
        <v>2162</v>
      </c>
      <c r="M293" s="337">
        <f>IF(((M291="")*AND(M292="")),"",(M291-M292)*2)</f>
        <v>2104</v>
      </c>
      <c r="N293" s="337">
        <f t="shared" ref="N293:T293" si="101">IF(((N291="")*AND(N292="")),"",(N291-N292)*2)</f>
        <v>2140</v>
      </c>
      <c r="O293" s="337">
        <f t="shared" si="101"/>
        <v>2128</v>
      </c>
      <c r="P293" s="337">
        <f t="shared" si="101"/>
        <v>2108</v>
      </c>
      <c r="Q293" s="337">
        <f t="shared" si="101"/>
        <v>2102</v>
      </c>
      <c r="R293" s="337">
        <f t="shared" si="101"/>
        <v>2116</v>
      </c>
      <c r="S293" s="337">
        <f t="shared" si="101"/>
        <v>2128</v>
      </c>
      <c r="T293" s="337">
        <f t="shared" si="101"/>
        <v>2104</v>
      </c>
      <c r="U293" s="337"/>
      <c r="V293" s="337"/>
      <c r="W293" s="337"/>
      <c r="X293" s="366"/>
      <c r="Y293" s="337"/>
      <c r="Z293" s="337"/>
      <c r="AA293" s="339"/>
      <c r="AB293" s="122"/>
      <c r="AC293" s="123"/>
      <c r="AD293" s="122"/>
      <c r="AE293" s="122"/>
      <c r="AH293" s="302"/>
      <c r="AI293" s="302"/>
      <c r="AJ293" s="122"/>
      <c r="AK293" s="122"/>
    </row>
    <row r="294" spans="1:37">
      <c r="A294" s="248">
        <v>43569</v>
      </c>
      <c r="B294" s="268" t="s">
        <v>76</v>
      </c>
      <c r="C294" s="235" t="s">
        <v>77</v>
      </c>
      <c r="D294" s="288">
        <v>2020</v>
      </c>
      <c r="E294" s="289">
        <v>2004</v>
      </c>
      <c r="F294" s="289">
        <v>1999</v>
      </c>
      <c r="G294" s="289">
        <v>1995</v>
      </c>
      <c r="H294" s="289">
        <v>1993</v>
      </c>
      <c r="I294" s="289">
        <v>1994</v>
      </c>
      <c r="J294" s="289">
        <v>1996</v>
      </c>
      <c r="K294" s="289">
        <v>2000</v>
      </c>
      <c r="L294" s="289">
        <v>2013</v>
      </c>
      <c r="M294" s="289">
        <v>2003</v>
      </c>
      <c r="N294" s="289">
        <v>2000</v>
      </c>
      <c r="O294" s="289">
        <v>1997</v>
      </c>
      <c r="P294" s="289">
        <v>1994</v>
      </c>
      <c r="Q294" s="289">
        <v>1996</v>
      </c>
      <c r="R294" s="289">
        <v>1998</v>
      </c>
      <c r="S294" s="289">
        <v>2002</v>
      </c>
      <c r="T294" s="289">
        <v>2014</v>
      </c>
      <c r="U294" s="235">
        <f>IF((T295=""),"",MAX(D296:T296))</f>
        <v>2196.1999999999998</v>
      </c>
      <c r="V294" s="235">
        <f>IF(T295="","",MIN(D296:T296))</f>
        <v>2023.4</v>
      </c>
      <c r="W294" s="235">
        <f>IF((T296=""),"",AVERAGE(D296:T296))</f>
        <v>2113.6152941176465</v>
      </c>
      <c r="X294" s="359">
        <f>STDEV(D296:T296)</f>
        <v>45.236036259497688</v>
      </c>
      <c r="Y294" s="235">
        <f>IF((T295=""),"",((U294-V294)/(U294+V294))*100)</f>
        <v>4.0951748980945997</v>
      </c>
      <c r="Z294" s="228" t="str">
        <f>IF(T295="","",IF(Y294&lt;15,IF(W294&gt;AF294,IF(W294&lt;AG294,"Pass","Fail"),"Fail"),"Fail"))</f>
        <v>Pass</v>
      </c>
      <c r="AA294" s="373">
        <v>1534</v>
      </c>
      <c r="AB294" s="122"/>
      <c r="AD294" s="302">
        <v>1600</v>
      </c>
      <c r="AE294" s="302">
        <v>2600</v>
      </c>
      <c r="AF294" s="334">
        <v>1690</v>
      </c>
      <c r="AG294" s="334">
        <v>2210</v>
      </c>
      <c r="AH294" s="335">
        <v>15</v>
      </c>
      <c r="AI294" s="335">
        <v>15</v>
      </c>
      <c r="AJ294" s="122"/>
      <c r="AK294" s="122"/>
    </row>
    <row r="295" spans="1:37">
      <c r="A295" s="371"/>
      <c r="B295" s="276"/>
      <c r="C295" s="235" t="s">
        <v>78</v>
      </c>
      <c r="D295" s="288">
        <v>1008.3</v>
      </c>
      <c r="E295" s="289">
        <v>977.07</v>
      </c>
      <c r="F295" s="289">
        <v>967.4</v>
      </c>
      <c r="G295" s="289">
        <v>958.5</v>
      </c>
      <c r="H295" s="289">
        <v>946.9</v>
      </c>
      <c r="I295" s="289">
        <v>929.1</v>
      </c>
      <c r="J295" s="289">
        <v>913.1</v>
      </c>
      <c r="K295" s="289">
        <v>901.9</v>
      </c>
      <c r="L295" s="289">
        <v>921.4</v>
      </c>
      <c r="M295" s="289">
        <v>950.8</v>
      </c>
      <c r="N295" s="289">
        <v>929.1</v>
      </c>
      <c r="O295" s="289">
        <v>933.6</v>
      </c>
      <c r="P295" s="289">
        <v>941.6</v>
      </c>
      <c r="Q295" s="289">
        <v>943.6</v>
      </c>
      <c r="R295" s="289">
        <v>937.7</v>
      </c>
      <c r="S295" s="289">
        <v>934.3</v>
      </c>
      <c r="T295" s="365">
        <v>957.9</v>
      </c>
      <c r="U295" s="337"/>
      <c r="V295" s="337"/>
      <c r="W295" s="337"/>
      <c r="X295" s="359"/>
      <c r="Y295" s="337"/>
      <c r="Z295" s="337"/>
      <c r="AA295" s="339"/>
      <c r="AB295" s="122"/>
      <c r="AC295" s="123"/>
      <c r="AD295" s="122"/>
      <c r="AE295" s="122"/>
      <c r="AH295" s="302"/>
      <c r="AI295" s="302"/>
      <c r="AJ295" s="122"/>
      <c r="AK295" s="122"/>
    </row>
    <row r="296" spans="1:37" ht="32.25" thickBot="1">
      <c r="A296" s="372"/>
      <c r="B296" s="281"/>
      <c r="C296" s="243" t="s">
        <v>221</v>
      </c>
      <c r="D296" s="337">
        <f t="shared" ref="D296:I296" si="102">IF(((D294="")*AND(D295="")),"",(D294-D295)*2)</f>
        <v>2023.4</v>
      </c>
      <c r="E296" s="337">
        <f t="shared" si="102"/>
        <v>2053.8599999999997</v>
      </c>
      <c r="F296" s="337">
        <f t="shared" si="102"/>
        <v>2063.1999999999998</v>
      </c>
      <c r="G296" s="337">
        <f t="shared" si="102"/>
        <v>2073</v>
      </c>
      <c r="H296" s="337">
        <f t="shared" si="102"/>
        <v>2092.1999999999998</v>
      </c>
      <c r="I296" s="337">
        <f t="shared" si="102"/>
        <v>2129.8000000000002</v>
      </c>
      <c r="J296" s="337">
        <f>IF(((J294="")*AND(J295="")),"",(J294-J295)*2)</f>
        <v>2165.8000000000002</v>
      </c>
      <c r="K296" s="337">
        <f>IF(((K294="")*AND(K295="")),"",(K294-K295)*2)</f>
        <v>2196.1999999999998</v>
      </c>
      <c r="L296" s="337">
        <f>IF(((L294="")*AND(L295="")),"",(L294-L295)*2)</f>
        <v>2183.1999999999998</v>
      </c>
      <c r="M296" s="337">
        <f>IF(((M294="")*AND(M295="")),"",(M294-M295)*2)</f>
        <v>2104.4</v>
      </c>
      <c r="N296" s="337">
        <f t="shared" ref="N296:T296" si="103">IF(((N294="")*AND(N295="")),"",(N294-N295)*2)</f>
        <v>2141.8000000000002</v>
      </c>
      <c r="O296" s="337">
        <f t="shared" si="103"/>
        <v>2126.8000000000002</v>
      </c>
      <c r="P296" s="337">
        <f t="shared" si="103"/>
        <v>2104.8000000000002</v>
      </c>
      <c r="Q296" s="337">
        <f t="shared" si="103"/>
        <v>2104.8000000000002</v>
      </c>
      <c r="R296" s="337">
        <f t="shared" si="103"/>
        <v>2120.6</v>
      </c>
      <c r="S296" s="337">
        <f t="shared" si="103"/>
        <v>2135.4</v>
      </c>
      <c r="T296" s="337">
        <f t="shared" si="103"/>
        <v>2112.1999999999998</v>
      </c>
      <c r="U296" s="337"/>
      <c r="V296" s="337"/>
      <c r="W296" s="337"/>
      <c r="X296" s="366"/>
      <c r="Y296" s="337"/>
      <c r="Z296" s="337"/>
      <c r="AA296" s="339"/>
      <c r="AB296" s="122"/>
      <c r="AC296" s="123"/>
      <c r="AD296" s="122"/>
      <c r="AE296" s="122"/>
      <c r="AH296" s="302"/>
      <c r="AI296" s="302"/>
      <c r="AJ296" s="122"/>
      <c r="AK296" s="122"/>
    </row>
    <row r="297" spans="1:37">
      <c r="A297" s="248">
        <v>43577</v>
      </c>
      <c r="B297" s="268" t="s">
        <v>76</v>
      </c>
      <c r="C297" s="235" t="s">
        <v>77</v>
      </c>
      <c r="D297" s="288">
        <v>1950</v>
      </c>
      <c r="E297" s="289">
        <v>2000</v>
      </c>
      <c r="F297" s="289">
        <v>1979</v>
      </c>
      <c r="G297" s="289">
        <v>1966</v>
      </c>
      <c r="H297" s="289">
        <v>1964</v>
      </c>
      <c r="I297" s="289">
        <v>1972</v>
      </c>
      <c r="J297" s="289">
        <v>1989</v>
      </c>
      <c r="K297" s="289">
        <v>2013</v>
      </c>
      <c r="L297" s="289">
        <v>1958</v>
      </c>
      <c r="M297" s="289">
        <v>2001</v>
      </c>
      <c r="N297" s="289">
        <v>1995</v>
      </c>
      <c r="O297" s="289">
        <v>1979</v>
      </c>
      <c r="P297" s="289">
        <v>1969</v>
      </c>
      <c r="Q297" s="289">
        <v>1968</v>
      </c>
      <c r="R297" s="289">
        <v>1978</v>
      </c>
      <c r="S297" s="289">
        <v>1994</v>
      </c>
      <c r="T297" s="365">
        <v>1937</v>
      </c>
      <c r="U297" s="235">
        <f>IF((T298=""),"",MAX(D299:T299))</f>
        <v>2172</v>
      </c>
      <c r="V297" s="235">
        <f>IF(T298="","",MIN(D299:T299))</f>
        <v>1832</v>
      </c>
      <c r="W297" s="235">
        <f>IF((T299=""),"",AVERAGE(D299:T299))</f>
        <v>2070.3529411764707</v>
      </c>
      <c r="X297" s="359">
        <f>STDEV(D299:T299)</f>
        <v>87.407766514531318</v>
      </c>
      <c r="Y297" s="235">
        <f>IF((T298=""),"",((U297-V297)/(U297+V297))*100)</f>
        <v>8.4915084915084904</v>
      </c>
      <c r="Z297" s="228" t="str">
        <f>IF(T298="","",IF(Y297&lt;15,IF(W297&gt;AF297,IF(W297&lt;AG297,"Pass","Fail"),"Fail"),"Fail"))</f>
        <v>Pass</v>
      </c>
      <c r="AA297" s="373">
        <v>1340</v>
      </c>
      <c r="AB297" s="122"/>
      <c r="AD297" s="302">
        <v>1600</v>
      </c>
      <c r="AE297" s="302">
        <v>2600</v>
      </c>
      <c r="AF297" s="334">
        <v>1690</v>
      </c>
      <c r="AG297" s="334">
        <v>2210</v>
      </c>
      <c r="AH297" s="335">
        <v>15</v>
      </c>
      <c r="AI297" s="335">
        <v>15</v>
      </c>
      <c r="AJ297" s="122"/>
      <c r="AK297" s="122"/>
    </row>
    <row r="298" spans="1:37">
      <c r="A298" s="371"/>
      <c r="B298" s="276"/>
      <c r="C298" s="235" t="s">
        <v>78</v>
      </c>
      <c r="D298" s="288">
        <v>1034</v>
      </c>
      <c r="E298" s="289">
        <v>974</v>
      </c>
      <c r="F298" s="289">
        <v>947</v>
      </c>
      <c r="G298" s="289">
        <v>931</v>
      </c>
      <c r="H298" s="289">
        <v>921</v>
      </c>
      <c r="I298" s="289">
        <v>914</v>
      </c>
      <c r="J298" s="289">
        <v>915</v>
      </c>
      <c r="K298" s="289">
        <v>927</v>
      </c>
      <c r="L298" s="289">
        <v>979</v>
      </c>
      <c r="M298" s="289">
        <v>949</v>
      </c>
      <c r="N298" s="289">
        <v>929</v>
      </c>
      <c r="O298" s="289">
        <v>921</v>
      </c>
      <c r="P298" s="289">
        <v>920</v>
      </c>
      <c r="Q298" s="289">
        <v>920</v>
      </c>
      <c r="R298" s="289">
        <v>924</v>
      </c>
      <c r="S298" s="289">
        <v>934</v>
      </c>
      <c r="T298" s="365">
        <v>975</v>
      </c>
      <c r="U298" s="337"/>
      <c r="V298" s="337"/>
      <c r="W298" s="337"/>
      <c r="X298" s="359"/>
      <c r="Y298" s="337"/>
      <c r="Z298" s="337"/>
      <c r="AA298" s="339"/>
      <c r="AB298" s="122"/>
      <c r="AC298" s="123"/>
      <c r="AD298" s="122"/>
      <c r="AE298" s="122"/>
      <c r="AH298" s="302"/>
      <c r="AI298" s="302"/>
      <c r="AJ298" s="122"/>
      <c r="AK298" s="122"/>
    </row>
    <row r="299" spans="1:37" ht="32.25" thickBot="1">
      <c r="A299" s="372"/>
      <c r="B299" s="281"/>
      <c r="C299" s="243" t="s">
        <v>221</v>
      </c>
      <c r="D299" s="337">
        <f t="shared" ref="D299:I299" si="104">IF(((D297="")*AND(D298="")),"",(D297-D298)*2)</f>
        <v>1832</v>
      </c>
      <c r="E299" s="337">
        <f t="shared" si="104"/>
        <v>2052</v>
      </c>
      <c r="F299" s="337">
        <f t="shared" si="104"/>
        <v>2064</v>
      </c>
      <c r="G299" s="337">
        <f t="shared" si="104"/>
        <v>2070</v>
      </c>
      <c r="H299" s="337">
        <f t="shared" si="104"/>
        <v>2086</v>
      </c>
      <c r="I299" s="337">
        <f t="shared" si="104"/>
        <v>2116</v>
      </c>
      <c r="J299" s="337">
        <f>IF(((J297="")*AND(J298="")),"",(J297-J298)*2)</f>
        <v>2148</v>
      </c>
      <c r="K299" s="337">
        <f>IF(((K297="")*AND(K298="")),"",(K297-K298)*2)</f>
        <v>2172</v>
      </c>
      <c r="L299" s="337">
        <f>IF(((L297="")*AND(L298="")),"",(L297-L298)*2)</f>
        <v>1958</v>
      </c>
      <c r="M299" s="337">
        <f>IF(((M297="")*AND(M298="")),"",(M297-M298)*2)</f>
        <v>2104</v>
      </c>
      <c r="N299" s="337">
        <f t="shared" ref="N299:T299" si="105">IF(((N297="")*AND(N298="")),"",(N297-N298)*2)</f>
        <v>2132</v>
      </c>
      <c r="O299" s="337">
        <f t="shared" si="105"/>
        <v>2116</v>
      </c>
      <c r="P299" s="337">
        <f t="shared" si="105"/>
        <v>2098</v>
      </c>
      <c r="Q299" s="337">
        <f t="shared" si="105"/>
        <v>2096</v>
      </c>
      <c r="R299" s="337">
        <f t="shared" si="105"/>
        <v>2108</v>
      </c>
      <c r="S299" s="337">
        <f t="shared" si="105"/>
        <v>2120</v>
      </c>
      <c r="T299" s="337">
        <f t="shared" si="105"/>
        <v>1924</v>
      </c>
      <c r="U299" s="337"/>
      <c r="V299" s="337"/>
      <c r="W299" s="337"/>
      <c r="X299" s="366"/>
      <c r="Y299" s="337"/>
      <c r="Z299" s="337"/>
      <c r="AA299" s="339"/>
      <c r="AB299" s="122"/>
      <c r="AC299" s="123"/>
      <c r="AD299" s="122"/>
      <c r="AE299" s="122"/>
      <c r="AH299" s="302"/>
      <c r="AI299" s="302"/>
      <c r="AJ299" s="122"/>
      <c r="AK299" s="122"/>
    </row>
    <row r="300" spans="1:37">
      <c r="A300" s="248">
        <v>43580</v>
      </c>
      <c r="B300" s="268" t="s">
        <v>76</v>
      </c>
      <c r="C300" s="235" t="s">
        <v>77</v>
      </c>
      <c r="D300" s="288">
        <v>2019</v>
      </c>
      <c r="E300" s="289">
        <v>2003</v>
      </c>
      <c r="F300" s="289">
        <v>1997</v>
      </c>
      <c r="G300" s="289">
        <v>1995</v>
      </c>
      <c r="H300" s="289">
        <v>1993</v>
      </c>
      <c r="I300" s="289">
        <v>1995</v>
      </c>
      <c r="J300" s="289">
        <v>1995</v>
      </c>
      <c r="K300" s="289">
        <v>1999</v>
      </c>
      <c r="L300" s="289">
        <v>2011</v>
      </c>
      <c r="M300" s="289">
        <v>2003</v>
      </c>
      <c r="N300" s="289">
        <v>1997</v>
      </c>
      <c r="O300" s="289">
        <v>1995</v>
      </c>
      <c r="P300" s="289">
        <v>1994</v>
      </c>
      <c r="Q300" s="289">
        <v>1995</v>
      </c>
      <c r="R300" s="289">
        <v>1997</v>
      </c>
      <c r="S300" s="289">
        <v>2000</v>
      </c>
      <c r="T300" s="365">
        <v>2011</v>
      </c>
      <c r="U300" s="235">
        <f>IF((T301=""),"",MAX(D302:T302))</f>
        <v>2202</v>
      </c>
      <c r="V300" s="235">
        <f>IF(T301="","",MIN(D302:T302))</f>
        <v>2036</v>
      </c>
      <c r="W300" s="235">
        <f>IF((T302=""),"",AVERAGE(D302:T302))</f>
        <v>2120.1176470588234</v>
      </c>
      <c r="X300" s="359">
        <f>STDEV(D302:T302)</f>
        <v>41.554004549713937</v>
      </c>
      <c r="Y300" s="235">
        <f>IF((T301=""),"",((U300-V300)/(U300+V300))*100)</f>
        <v>3.9169419537517696</v>
      </c>
      <c r="Z300" s="228" t="str">
        <f>IF(T301="","",IF(Y300&lt;15,IF(W300&gt;AF300,IF(W300&lt;AG300,"Pass","Fail"),"Fail"),"Fail"))</f>
        <v>Pass</v>
      </c>
      <c r="AA300" s="373">
        <v>121</v>
      </c>
      <c r="AB300" s="122" t="s">
        <v>158</v>
      </c>
      <c r="AD300" s="302">
        <v>1600</v>
      </c>
      <c r="AE300" s="302">
        <v>2600</v>
      </c>
      <c r="AF300" s="334">
        <v>1690</v>
      </c>
      <c r="AG300" s="334">
        <v>2210</v>
      </c>
      <c r="AH300" s="335">
        <v>15</v>
      </c>
      <c r="AI300" s="335">
        <v>15</v>
      </c>
      <c r="AJ300" s="122"/>
      <c r="AK300" s="122"/>
    </row>
    <row r="301" spans="1:37">
      <c r="A301" s="371"/>
      <c r="B301" s="276"/>
      <c r="C301" s="235" t="s">
        <v>78</v>
      </c>
      <c r="D301" s="288">
        <v>1001</v>
      </c>
      <c r="E301" s="289">
        <v>971</v>
      </c>
      <c r="F301" s="289">
        <v>962</v>
      </c>
      <c r="G301" s="289">
        <v>953</v>
      </c>
      <c r="H301" s="289">
        <v>941</v>
      </c>
      <c r="I301" s="289">
        <v>924</v>
      </c>
      <c r="J301" s="289">
        <v>908</v>
      </c>
      <c r="K301" s="289">
        <v>898</v>
      </c>
      <c r="L301" s="289">
        <v>934</v>
      </c>
      <c r="M301" s="289">
        <v>942</v>
      </c>
      <c r="N301" s="289">
        <v>922</v>
      </c>
      <c r="O301" s="289">
        <v>928</v>
      </c>
      <c r="P301" s="289">
        <v>937</v>
      </c>
      <c r="Q301" s="289">
        <v>938</v>
      </c>
      <c r="R301" s="289">
        <v>932</v>
      </c>
      <c r="S301" s="289">
        <v>928</v>
      </c>
      <c r="T301" s="365">
        <v>959</v>
      </c>
      <c r="U301" s="337"/>
      <c r="V301" s="337"/>
      <c r="W301" s="337"/>
      <c r="X301" s="359"/>
      <c r="Y301" s="337"/>
      <c r="Z301" s="337"/>
      <c r="AA301" s="339"/>
      <c r="AB301" s="122"/>
      <c r="AC301" s="123"/>
      <c r="AD301" s="122"/>
      <c r="AE301" s="122"/>
      <c r="AH301" s="302"/>
      <c r="AI301" s="302"/>
      <c r="AJ301" s="122"/>
      <c r="AK301" s="122"/>
    </row>
    <row r="302" spans="1:37" ht="32.25" thickBot="1">
      <c r="A302" s="372"/>
      <c r="B302" s="281"/>
      <c r="C302" s="243" t="s">
        <v>221</v>
      </c>
      <c r="D302" s="337">
        <f t="shared" ref="D302:I302" si="106">IF(((D300="")*AND(D301="")),"",(D300-D301)*2)</f>
        <v>2036</v>
      </c>
      <c r="E302" s="337">
        <f t="shared" si="106"/>
        <v>2064</v>
      </c>
      <c r="F302" s="337">
        <f t="shared" si="106"/>
        <v>2070</v>
      </c>
      <c r="G302" s="337">
        <f t="shared" si="106"/>
        <v>2084</v>
      </c>
      <c r="H302" s="337">
        <f t="shared" si="106"/>
        <v>2104</v>
      </c>
      <c r="I302" s="337">
        <f t="shared" si="106"/>
        <v>2142</v>
      </c>
      <c r="J302" s="337">
        <f>IF(((J300="")*AND(J301="")),"",(J300-J301)*2)</f>
        <v>2174</v>
      </c>
      <c r="K302" s="337">
        <f>IF(((K300="")*AND(K301="")),"",(K300-K301)*2)</f>
        <v>2202</v>
      </c>
      <c r="L302" s="337">
        <f>IF(((L300="")*AND(L301="")),"",(L300-L301)*2)</f>
        <v>2154</v>
      </c>
      <c r="M302" s="337">
        <f>IF(((M300="")*AND(M301="")),"",(M300-M301)*2)</f>
        <v>2122</v>
      </c>
      <c r="N302" s="337">
        <f t="shared" ref="N302:T302" si="107">IF(((N300="")*AND(N301="")),"",(N300-N301)*2)</f>
        <v>2150</v>
      </c>
      <c r="O302" s="337">
        <f t="shared" si="107"/>
        <v>2134</v>
      </c>
      <c r="P302" s="337">
        <f t="shared" si="107"/>
        <v>2114</v>
      </c>
      <c r="Q302" s="337">
        <f t="shared" si="107"/>
        <v>2114</v>
      </c>
      <c r="R302" s="337">
        <f t="shared" si="107"/>
        <v>2130</v>
      </c>
      <c r="S302" s="337">
        <f t="shared" si="107"/>
        <v>2144</v>
      </c>
      <c r="T302" s="337">
        <f t="shared" si="107"/>
        <v>2104</v>
      </c>
      <c r="U302" s="337"/>
      <c r="V302" s="337"/>
      <c r="W302" s="337"/>
      <c r="X302" s="366"/>
      <c r="Y302" s="337"/>
      <c r="Z302" s="337"/>
      <c r="AA302" s="339"/>
      <c r="AB302" s="122"/>
      <c r="AC302" s="123"/>
      <c r="AD302" s="122"/>
      <c r="AE302" s="122"/>
      <c r="AH302" s="302"/>
      <c r="AI302" s="302"/>
      <c r="AJ302" s="122"/>
      <c r="AK302" s="122"/>
    </row>
    <row r="303" spans="1:37">
      <c r="A303" s="248">
        <v>43585</v>
      </c>
      <c r="B303" s="268" t="s">
        <v>76</v>
      </c>
      <c r="C303" s="235" t="s">
        <v>77</v>
      </c>
      <c r="D303" s="288">
        <v>2050</v>
      </c>
      <c r="E303" s="289">
        <v>2019</v>
      </c>
      <c r="F303" s="289">
        <v>1996</v>
      </c>
      <c r="G303" s="289">
        <v>1984</v>
      </c>
      <c r="H303" s="289">
        <v>1981</v>
      </c>
      <c r="I303" s="289">
        <v>1989</v>
      </c>
      <c r="J303" s="289">
        <v>2005</v>
      </c>
      <c r="K303" s="289">
        <v>2030</v>
      </c>
      <c r="L303" s="289">
        <v>2061</v>
      </c>
      <c r="M303" s="289">
        <v>2013</v>
      </c>
      <c r="N303" s="289">
        <v>2013</v>
      </c>
      <c r="O303" s="289">
        <v>1997</v>
      </c>
      <c r="P303" s="289">
        <v>1986</v>
      </c>
      <c r="Q303" s="289">
        <v>1986</v>
      </c>
      <c r="R303" s="289">
        <v>1997</v>
      </c>
      <c r="S303" s="289">
        <v>2012</v>
      </c>
      <c r="T303" s="365">
        <v>2027</v>
      </c>
      <c r="U303" s="235">
        <f>IF((T304=""),"",MAX(D305:T305))</f>
        <v>2172</v>
      </c>
      <c r="V303" s="235">
        <f>IF(T304="","",MIN(D305:T305))</f>
        <v>2006</v>
      </c>
      <c r="W303" s="235">
        <f>IF((T305=""),"",AVERAGE(D305:T305))</f>
        <v>2097.1764705882351</v>
      </c>
      <c r="X303" s="359">
        <f>STDEV(D305:T305)</f>
        <v>38.756024199660949</v>
      </c>
      <c r="Y303" s="235">
        <f>IF((T304=""),"",((U303-V303)/(U303+V303))*100)</f>
        <v>3.9731929152704648</v>
      </c>
      <c r="Z303" s="228" t="str">
        <f>IF(T304="","",IF(Y303&lt;15,IF(W303&gt;AF303,IF(W303&lt;AG303,"Pass","Fail"),"Fail"),"Fail"))</f>
        <v>Pass</v>
      </c>
      <c r="AA303" s="373">
        <v>1340</v>
      </c>
      <c r="AB303" s="122"/>
      <c r="AD303" s="302">
        <v>1600</v>
      </c>
      <c r="AE303" s="302">
        <v>2600</v>
      </c>
      <c r="AF303" s="334">
        <v>1690</v>
      </c>
      <c r="AG303" s="334">
        <v>2210</v>
      </c>
      <c r="AH303" s="335">
        <v>15</v>
      </c>
      <c r="AI303" s="335">
        <v>15</v>
      </c>
      <c r="AJ303" s="122"/>
      <c r="AK303" s="122"/>
    </row>
    <row r="304" spans="1:37">
      <c r="A304" s="371"/>
      <c r="B304" s="276"/>
      <c r="C304" s="235" t="s">
        <v>78</v>
      </c>
      <c r="D304" s="288">
        <v>1047</v>
      </c>
      <c r="E304" s="289">
        <v>996</v>
      </c>
      <c r="F304" s="289">
        <v>967</v>
      </c>
      <c r="G304" s="289">
        <v>951</v>
      </c>
      <c r="H304" s="289">
        <v>938</v>
      </c>
      <c r="I304" s="289">
        <v>932</v>
      </c>
      <c r="J304" s="289">
        <v>933</v>
      </c>
      <c r="K304" s="289">
        <v>944</v>
      </c>
      <c r="L304" s="289">
        <v>999</v>
      </c>
      <c r="M304" s="289">
        <v>967</v>
      </c>
      <c r="N304" s="289">
        <v>950</v>
      </c>
      <c r="O304" s="289">
        <v>941</v>
      </c>
      <c r="P304" s="289">
        <v>939</v>
      </c>
      <c r="Q304" s="289">
        <v>939</v>
      </c>
      <c r="R304" s="289">
        <v>943</v>
      </c>
      <c r="S304" s="289">
        <v>953</v>
      </c>
      <c r="T304" s="365">
        <v>981</v>
      </c>
      <c r="U304" s="337"/>
      <c r="V304" s="337"/>
      <c r="W304" s="337"/>
      <c r="X304" s="359"/>
      <c r="Y304" s="337"/>
      <c r="Z304" s="337"/>
      <c r="AA304" s="339"/>
      <c r="AB304" s="122"/>
      <c r="AC304" s="123"/>
      <c r="AD304" s="122"/>
      <c r="AE304" s="122"/>
      <c r="AH304" s="302"/>
      <c r="AI304" s="302"/>
      <c r="AJ304" s="122"/>
      <c r="AK304" s="122"/>
    </row>
    <row r="305" spans="1:37" ht="32.25" thickBot="1">
      <c r="A305" s="372"/>
      <c r="B305" s="281"/>
      <c r="C305" s="243" t="s">
        <v>221</v>
      </c>
      <c r="D305" s="337">
        <f t="shared" ref="D305:I305" si="108">IF(((D303="")*AND(D304="")),"",(D303-D304)*2)</f>
        <v>2006</v>
      </c>
      <c r="E305" s="337">
        <f t="shared" si="108"/>
        <v>2046</v>
      </c>
      <c r="F305" s="337">
        <f t="shared" si="108"/>
        <v>2058</v>
      </c>
      <c r="G305" s="337">
        <f t="shared" si="108"/>
        <v>2066</v>
      </c>
      <c r="H305" s="337">
        <f t="shared" si="108"/>
        <v>2086</v>
      </c>
      <c r="I305" s="337">
        <f t="shared" si="108"/>
        <v>2114</v>
      </c>
      <c r="J305" s="337">
        <f>IF(((J303="")*AND(J304="")),"",(J303-J304)*2)</f>
        <v>2144</v>
      </c>
      <c r="K305" s="337">
        <f>IF(((K303="")*AND(K304="")),"",(K303-K304)*2)</f>
        <v>2172</v>
      </c>
      <c r="L305" s="337">
        <f>IF(((L303="")*AND(L304="")),"",(L303-L304)*2)</f>
        <v>2124</v>
      </c>
      <c r="M305" s="337">
        <f>IF(((M303="")*AND(M304="")),"",(M303-M304)*2)</f>
        <v>2092</v>
      </c>
      <c r="N305" s="337">
        <f t="shared" ref="N305:T305" si="109">IF(((N303="")*AND(N304="")),"",(N303-N304)*2)</f>
        <v>2126</v>
      </c>
      <c r="O305" s="337">
        <f t="shared" si="109"/>
        <v>2112</v>
      </c>
      <c r="P305" s="337">
        <f t="shared" si="109"/>
        <v>2094</v>
      </c>
      <c r="Q305" s="337">
        <f t="shared" si="109"/>
        <v>2094</v>
      </c>
      <c r="R305" s="337">
        <f t="shared" si="109"/>
        <v>2108</v>
      </c>
      <c r="S305" s="337">
        <f t="shared" si="109"/>
        <v>2118</v>
      </c>
      <c r="T305" s="337">
        <f t="shared" si="109"/>
        <v>2092</v>
      </c>
      <c r="U305" s="337"/>
      <c r="V305" s="337"/>
      <c r="W305" s="337"/>
      <c r="X305" s="366"/>
      <c r="Y305" s="337"/>
      <c r="Z305" s="337"/>
      <c r="AA305" s="339"/>
      <c r="AB305" s="122"/>
      <c r="AC305" s="123"/>
      <c r="AD305" s="122"/>
      <c r="AE305" s="122"/>
      <c r="AH305" s="302"/>
      <c r="AI305" s="302"/>
      <c r="AJ305" s="122"/>
      <c r="AK305" s="122"/>
    </row>
    <row r="306" spans="1:37">
      <c r="A306" s="248">
        <v>43588</v>
      </c>
      <c r="B306" s="268" t="s">
        <v>76</v>
      </c>
      <c r="C306" s="235" t="s">
        <v>77</v>
      </c>
      <c r="D306" s="288">
        <v>2056</v>
      </c>
      <c r="E306" s="289">
        <v>2021</v>
      </c>
      <c r="F306" s="289">
        <v>1998</v>
      </c>
      <c r="G306" s="289">
        <v>1985</v>
      </c>
      <c r="H306" s="289">
        <v>1983</v>
      </c>
      <c r="I306" s="289">
        <v>1991</v>
      </c>
      <c r="J306" s="289">
        <v>2010</v>
      </c>
      <c r="K306" s="289">
        <v>2035</v>
      </c>
      <c r="L306" s="289">
        <v>2071</v>
      </c>
      <c r="M306" s="289">
        <v>2023</v>
      </c>
      <c r="N306" s="289">
        <v>2016</v>
      </c>
      <c r="O306" s="289">
        <v>2000</v>
      </c>
      <c r="P306" s="289">
        <v>1988</v>
      </c>
      <c r="Q306" s="289">
        <v>1987</v>
      </c>
      <c r="R306" s="289">
        <v>1998</v>
      </c>
      <c r="S306" s="289">
        <v>2015</v>
      </c>
      <c r="T306" s="365">
        <v>2035</v>
      </c>
      <c r="U306" s="235">
        <f>IF((T307=""),"",MAX(D308:T308))</f>
        <v>2182</v>
      </c>
      <c r="V306" s="235">
        <f>IF(T307="","",MIN(D308:T308))</f>
        <v>2018</v>
      </c>
      <c r="W306" s="235">
        <f>IF((T308=""),"",AVERAGE(D308:T308))</f>
        <v>2104.9411764705883</v>
      </c>
      <c r="X306" s="359">
        <f>STDEV(D308:T308)</f>
        <v>39.944446717027041</v>
      </c>
      <c r="Y306" s="235">
        <f>IF((T307=""),"",((U306-V306)/(U306+V306))*100)</f>
        <v>3.9047619047619047</v>
      </c>
      <c r="Z306" s="228" t="str">
        <f>IF(T307="","",IF(Y306&lt;15,IF(W306&gt;AF306,IF(W306&lt;AG306,"Pass","Fail"),"Fail"),"Fail"))</f>
        <v>Pass</v>
      </c>
      <c r="AA306" s="373">
        <v>1340</v>
      </c>
      <c r="AB306" s="122"/>
      <c r="AD306" s="302">
        <v>1600</v>
      </c>
      <c r="AE306" s="302">
        <v>2600</v>
      </c>
      <c r="AF306" s="334">
        <v>1690</v>
      </c>
      <c r="AG306" s="334">
        <v>2210</v>
      </c>
      <c r="AH306" s="335">
        <v>15</v>
      </c>
      <c r="AI306" s="335">
        <v>15</v>
      </c>
      <c r="AJ306" s="122"/>
      <c r="AK306" s="122"/>
    </row>
    <row r="307" spans="1:37">
      <c r="A307" s="371"/>
      <c r="B307" s="276"/>
      <c r="C307" s="235" t="s">
        <v>78</v>
      </c>
      <c r="D307" s="288">
        <v>1047</v>
      </c>
      <c r="E307" s="289">
        <v>996</v>
      </c>
      <c r="F307" s="289">
        <v>967</v>
      </c>
      <c r="G307" s="289">
        <v>951</v>
      </c>
      <c r="H307" s="289">
        <v>938</v>
      </c>
      <c r="I307" s="289">
        <v>932</v>
      </c>
      <c r="J307" s="289">
        <v>933</v>
      </c>
      <c r="K307" s="289">
        <v>944</v>
      </c>
      <c r="L307" s="289">
        <v>999</v>
      </c>
      <c r="M307" s="289">
        <v>967</v>
      </c>
      <c r="N307" s="289">
        <v>950</v>
      </c>
      <c r="O307" s="289">
        <v>941</v>
      </c>
      <c r="P307" s="289">
        <v>939</v>
      </c>
      <c r="Q307" s="289">
        <v>939</v>
      </c>
      <c r="R307" s="289">
        <v>943</v>
      </c>
      <c r="S307" s="289">
        <v>953</v>
      </c>
      <c r="T307" s="365">
        <v>981</v>
      </c>
      <c r="U307" s="337"/>
      <c r="V307" s="337"/>
      <c r="W307" s="337"/>
      <c r="X307" s="359"/>
      <c r="Y307" s="337"/>
      <c r="Z307" s="337"/>
      <c r="AA307" s="339"/>
      <c r="AB307" s="122"/>
      <c r="AC307" s="123"/>
      <c r="AD307" s="122"/>
      <c r="AE307" s="122"/>
      <c r="AH307" s="302"/>
      <c r="AI307" s="302"/>
      <c r="AJ307" s="122"/>
      <c r="AK307" s="122"/>
    </row>
    <row r="308" spans="1:37" ht="32.25" thickBot="1">
      <c r="A308" s="372"/>
      <c r="B308" s="281"/>
      <c r="C308" s="243" t="s">
        <v>221</v>
      </c>
      <c r="D308" s="337">
        <f t="shared" ref="D308:I308" si="110">IF(((D306="")*AND(D307="")),"",(D306-D307)*2)</f>
        <v>2018</v>
      </c>
      <c r="E308" s="337">
        <f t="shared" si="110"/>
        <v>2050</v>
      </c>
      <c r="F308" s="337">
        <f t="shared" si="110"/>
        <v>2062</v>
      </c>
      <c r="G308" s="337">
        <f t="shared" si="110"/>
        <v>2068</v>
      </c>
      <c r="H308" s="337">
        <f t="shared" si="110"/>
        <v>2090</v>
      </c>
      <c r="I308" s="337">
        <f t="shared" si="110"/>
        <v>2118</v>
      </c>
      <c r="J308" s="337">
        <f>IF(((J306="")*AND(J307="")),"",(J306-J307)*2)</f>
        <v>2154</v>
      </c>
      <c r="K308" s="337">
        <f>IF(((K306="")*AND(K307="")),"",(K306-K307)*2)</f>
        <v>2182</v>
      </c>
      <c r="L308" s="337">
        <f>IF(((L306="")*AND(L307="")),"",(L306-L307)*2)</f>
        <v>2144</v>
      </c>
      <c r="M308" s="337">
        <f>IF(((M306="")*AND(M307="")),"",(M306-M307)*2)</f>
        <v>2112</v>
      </c>
      <c r="N308" s="337">
        <f t="shared" ref="N308:T308" si="111">IF(((N306="")*AND(N307="")),"",(N306-N307)*2)</f>
        <v>2132</v>
      </c>
      <c r="O308" s="337">
        <f t="shared" si="111"/>
        <v>2118</v>
      </c>
      <c r="P308" s="337">
        <f t="shared" si="111"/>
        <v>2098</v>
      </c>
      <c r="Q308" s="337">
        <f t="shared" si="111"/>
        <v>2096</v>
      </c>
      <c r="R308" s="337">
        <f t="shared" si="111"/>
        <v>2110</v>
      </c>
      <c r="S308" s="337">
        <f t="shared" si="111"/>
        <v>2124</v>
      </c>
      <c r="T308" s="337">
        <f t="shared" si="111"/>
        <v>2108</v>
      </c>
      <c r="U308" s="337"/>
      <c r="V308" s="337"/>
      <c r="W308" s="337"/>
      <c r="X308" s="366"/>
      <c r="Y308" s="337"/>
      <c r="Z308" s="337"/>
      <c r="AA308" s="339"/>
      <c r="AB308" s="122"/>
      <c r="AC308" s="123"/>
      <c r="AD308" s="122"/>
      <c r="AE308" s="122"/>
      <c r="AH308" s="302"/>
      <c r="AI308" s="302"/>
      <c r="AJ308" s="122"/>
      <c r="AK308" s="122"/>
    </row>
    <row r="309" spans="1:37">
      <c r="A309" s="248">
        <v>43591</v>
      </c>
      <c r="B309" s="268" t="s">
        <v>76</v>
      </c>
      <c r="C309" s="235" t="s">
        <v>77</v>
      </c>
      <c r="D309" s="123">
        <v>2022.48</v>
      </c>
      <c r="E309" s="123">
        <v>2016.68</v>
      </c>
      <c r="F309" s="123">
        <v>2013.39</v>
      </c>
      <c r="G309" s="123">
        <v>2011.43</v>
      </c>
      <c r="H309" s="123">
        <v>2009.75</v>
      </c>
      <c r="I309" s="123">
        <v>2010.39</v>
      </c>
      <c r="J309" s="123">
        <v>2012.23</v>
      </c>
      <c r="K309" s="123">
        <v>2013.41</v>
      </c>
      <c r="L309" s="123">
        <v>2018.97</v>
      </c>
      <c r="M309" s="123">
        <v>2015.25</v>
      </c>
      <c r="N309" s="123">
        <v>2012.54</v>
      </c>
      <c r="O309" s="123">
        <v>2010.27</v>
      </c>
      <c r="P309" s="123">
        <v>2009.61</v>
      </c>
      <c r="Q309" s="123">
        <v>2011.06</v>
      </c>
      <c r="R309" s="123">
        <v>2012.06</v>
      </c>
      <c r="S309" s="123">
        <v>2014.72</v>
      </c>
      <c r="T309" s="123">
        <v>2019.79</v>
      </c>
      <c r="U309" s="235">
        <f>IF((T310=""),"",MAX(D311:T311))</f>
        <v>2196.48</v>
      </c>
      <c r="V309" s="235">
        <f>IF(T310="","",MIN(D311:T311))</f>
        <v>2040.1000000000001</v>
      </c>
      <c r="W309" s="235">
        <f>IF((T311=""),"",AVERAGE(D311:T311))</f>
        <v>2119.5188235294117</v>
      </c>
      <c r="X309" s="359">
        <f>STDEV(D311:T311)</f>
        <v>41.942887043328426</v>
      </c>
      <c r="Y309" s="235">
        <f>IF((T310=""),"",((U309-V309)/(U309+V309))*100)</f>
        <v>3.6911848708156079</v>
      </c>
      <c r="Z309" s="228" t="str">
        <f>IF(T310="","",IF(Y309&lt;15,IF(W309&gt;AF309,IF(W309&lt;AG309,"Pass","Fail"),"Fail"),"Fail"))</f>
        <v>Pass</v>
      </c>
      <c r="AA309" s="373" t="s">
        <v>159</v>
      </c>
      <c r="AB309" s="122" t="s">
        <v>164</v>
      </c>
      <c r="AD309" s="302">
        <v>1600</v>
      </c>
      <c r="AE309" s="302">
        <v>2600</v>
      </c>
      <c r="AF309" s="334">
        <v>1690</v>
      </c>
      <c r="AG309" s="334">
        <v>2210</v>
      </c>
      <c r="AH309" s="335">
        <v>15</v>
      </c>
      <c r="AI309" s="335">
        <v>15</v>
      </c>
      <c r="AJ309" s="122"/>
      <c r="AK309" s="122"/>
    </row>
    <row r="310" spans="1:37">
      <c r="A310" s="371"/>
      <c r="B310" s="276"/>
      <c r="C310" s="235" t="s">
        <v>78</v>
      </c>
      <c r="D310" s="123">
        <v>1002.43</v>
      </c>
      <c r="E310" s="123">
        <v>987.02</v>
      </c>
      <c r="F310" s="123">
        <v>977.36</v>
      </c>
      <c r="G310" s="123">
        <v>971.11</v>
      </c>
      <c r="H310" s="123">
        <v>960.21</v>
      </c>
      <c r="I310" s="123">
        <v>945.34</v>
      </c>
      <c r="J310" s="123">
        <v>932.3</v>
      </c>
      <c r="K310" s="123">
        <v>920.22</v>
      </c>
      <c r="L310" s="123">
        <v>920.73</v>
      </c>
      <c r="M310" s="123">
        <v>943.67</v>
      </c>
      <c r="N310" s="123">
        <v>943.5</v>
      </c>
      <c r="O310" s="123">
        <v>950.93</v>
      </c>
      <c r="P310" s="123">
        <v>957.99</v>
      </c>
      <c r="Q310" s="123">
        <v>957.39</v>
      </c>
      <c r="R310" s="123">
        <v>949.58</v>
      </c>
      <c r="S310" s="123">
        <v>946.61</v>
      </c>
      <c r="T310" s="123">
        <v>951.73</v>
      </c>
      <c r="U310" s="337"/>
      <c r="V310" s="337"/>
      <c r="W310" s="337"/>
      <c r="X310" s="359"/>
      <c r="Y310" s="337"/>
      <c r="Z310" s="337"/>
      <c r="AA310" s="339"/>
      <c r="AB310" s="122"/>
      <c r="AC310" s="123"/>
      <c r="AD310" s="122"/>
      <c r="AE310" s="122"/>
      <c r="AH310" s="302"/>
      <c r="AI310" s="302"/>
      <c r="AJ310" s="122"/>
      <c r="AK310" s="122"/>
    </row>
    <row r="311" spans="1:37" ht="32.25" thickBot="1">
      <c r="A311" s="372"/>
      <c r="B311" s="281"/>
      <c r="C311" s="243" t="s">
        <v>221</v>
      </c>
      <c r="D311" s="337">
        <f t="shared" ref="D311:I311" si="112">IF(((D309="")*AND(D310="")),"",(D309-D310)*2)</f>
        <v>2040.1000000000001</v>
      </c>
      <c r="E311" s="337">
        <f t="shared" si="112"/>
        <v>2059.3200000000002</v>
      </c>
      <c r="F311" s="337">
        <f t="shared" si="112"/>
        <v>2072.0600000000004</v>
      </c>
      <c r="G311" s="337">
        <f t="shared" si="112"/>
        <v>2080.6400000000003</v>
      </c>
      <c r="H311" s="337">
        <f t="shared" si="112"/>
        <v>2099.08</v>
      </c>
      <c r="I311" s="337">
        <f t="shared" si="112"/>
        <v>2130.1000000000004</v>
      </c>
      <c r="J311" s="337">
        <f>IF(((J309="")*AND(J310="")),"",(J309-J310)*2)</f>
        <v>2159.86</v>
      </c>
      <c r="K311" s="337">
        <f>IF(((K309="")*AND(K310="")),"",(K309-K310)*2)</f>
        <v>2186.38</v>
      </c>
      <c r="L311" s="337">
        <f>IF(((L309="")*AND(L310="")),"",(L309-L310)*2)</f>
        <v>2196.48</v>
      </c>
      <c r="M311" s="337">
        <f>IF(((M309="")*AND(M310="")),"",(M309-M310)*2)</f>
        <v>2143.16</v>
      </c>
      <c r="N311" s="337">
        <f t="shared" ref="N311:T311" si="113">IF(((N309="")*AND(N310="")),"",(N309-N310)*2)</f>
        <v>2138.08</v>
      </c>
      <c r="O311" s="337">
        <f t="shared" si="113"/>
        <v>2118.6800000000003</v>
      </c>
      <c r="P311" s="337">
        <f t="shared" si="113"/>
        <v>2103.2399999999998</v>
      </c>
      <c r="Q311" s="337">
        <f t="shared" si="113"/>
        <v>2107.34</v>
      </c>
      <c r="R311" s="337">
        <f t="shared" si="113"/>
        <v>2124.96</v>
      </c>
      <c r="S311" s="337">
        <f t="shared" si="113"/>
        <v>2136.2200000000003</v>
      </c>
      <c r="T311" s="337">
        <f t="shared" si="113"/>
        <v>2136.12</v>
      </c>
      <c r="U311" s="337"/>
      <c r="V311" s="337"/>
      <c r="W311" s="337"/>
      <c r="X311" s="366"/>
      <c r="Y311" s="337"/>
      <c r="Z311" s="337"/>
      <c r="AA311" s="339"/>
      <c r="AB311" s="122"/>
      <c r="AC311" s="123"/>
      <c r="AD311" s="122"/>
      <c r="AE311" s="122"/>
      <c r="AH311" s="302"/>
      <c r="AI311" s="302"/>
      <c r="AJ311" s="122"/>
      <c r="AK311" s="122"/>
    </row>
    <row r="312" spans="1:37">
      <c r="A312" s="248">
        <v>43598</v>
      </c>
      <c r="B312" s="268" t="s">
        <v>76</v>
      </c>
      <c r="C312" s="235" t="s">
        <v>77</v>
      </c>
      <c r="D312" s="123">
        <v>2015.62</v>
      </c>
      <c r="E312" s="123">
        <v>2007.76</v>
      </c>
      <c r="F312" s="123">
        <v>2004.49</v>
      </c>
      <c r="G312" s="123">
        <v>2001.57</v>
      </c>
      <c r="H312" s="123">
        <v>2000.26</v>
      </c>
      <c r="I312" s="123">
        <v>2000.8</v>
      </c>
      <c r="J312" s="123">
        <v>2002.34</v>
      </c>
      <c r="K312" s="123">
        <v>2004.79</v>
      </c>
      <c r="L312" s="123">
        <v>2009.76</v>
      </c>
      <c r="M312" s="123">
        <v>2007.62</v>
      </c>
      <c r="N312" s="123">
        <v>2003.55</v>
      </c>
      <c r="O312" s="123">
        <v>2001.77</v>
      </c>
      <c r="P312" s="123">
        <v>1999.85</v>
      </c>
      <c r="Q312" s="123">
        <v>2001.99</v>
      </c>
      <c r="R312" s="123">
        <v>2003.19</v>
      </c>
      <c r="S312" s="123">
        <v>2007.32</v>
      </c>
      <c r="T312" s="123">
        <v>2012.03</v>
      </c>
      <c r="U312" s="235">
        <f>IF((T313=""),"",MAX(D314:T314))</f>
        <v>2203.34</v>
      </c>
      <c r="V312" s="235">
        <f>IF(T313="","",MIN(D314:T314))</f>
        <v>2047.7199999999998</v>
      </c>
      <c r="W312" s="235">
        <f>IF((T314=""),"",AVERAGE(D314:T314))</f>
        <v>2129.2647058823527</v>
      </c>
      <c r="X312" s="359">
        <f>STDEV(D314:T314)</f>
        <v>42.440597032447471</v>
      </c>
      <c r="Y312" s="235">
        <f>IF((T313=""),"",((U312-V312)/(U312+V312))*100)</f>
        <v>3.660734028689324</v>
      </c>
      <c r="Z312" s="228" t="str">
        <f>IF(T313="","",IF(Y312&lt;15,IF(W312&gt;AF312,IF(W312&lt;AG312,"Pass","Fail"),"Fail"),"Fail"))</f>
        <v>Pass</v>
      </c>
      <c r="AA312" s="373">
        <v>1335</v>
      </c>
      <c r="AB312" s="122" t="s">
        <v>160</v>
      </c>
      <c r="AD312" s="302">
        <v>1600</v>
      </c>
      <c r="AE312" s="302">
        <v>2600</v>
      </c>
      <c r="AF312" s="334">
        <v>1690</v>
      </c>
      <c r="AG312" s="334">
        <v>2210</v>
      </c>
      <c r="AH312" s="335">
        <v>15</v>
      </c>
      <c r="AI312" s="335">
        <v>15</v>
      </c>
      <c r="AJ312" s="122"/>
      <c r="AK312" s="122"/>
    </row>
    <row r="313" spans="1:37">
      <c r="A313" s="371"/>
      <c r="B313" s="276"/>
      <c r="C313" s="235" t="s">
        <v>78</v>
      </c>
      <c r="D313" s="123">
        <v>991.76</v>
      </c>
      <c r="E313" s="123">
        <v>973.21</v>
      </c>
      <c r="F313" s="123">
        <v>963.57</v>
      </c>
      <c r="G313" s="123">
        <v>957.99</v>
      </c>
      <c r="H313" s="123">
        <v>947.13</v>
      </c>
      <c r="I313" s="123">
        <v>931.22</v>
      </c>
      <c r="J313" s="123">
        <v>916.44</v>
      </c>
      <c r="K313" s="123">
        <v>906.48</v>
      </c>
      <c r="L313" s="123">
        <v>908.09</v>
      </c>
      <c r="M313" s="123">
        <v>930.41</v>
      </c>
      <c r="N313" s="123">
        <v>928.39</v>
      </c>
      <c r="O313" s="123">
        <v>935.31</v>
      </c>
      <c r="P313" s="123">
        <v>942.34</v>
      </c>
      <c r="Q313" s="123">
        <v>943.46</v>
      </c>
      <c r="R313" s="123">
        <v>937.72</v>
      </c>
      <c r="S313" s="123">
        <v>933.53</v>
      </c>
      <c r="T313" s="123">
        <v>938.91</v>
      </c>
      <c r="U313" s="337"/>
      <c r="V313" s="337"/>
      <c r="W313" s="337"/>
      <c r="X313" s="359"/>
      <c r="Y313" s="337"/>
      <c r="Z313" s="337"/>
      <c r="AA313" s="339"/>
      <c r="AB313" s="122"/>
      <c r="AC313" s="123"/>
      <c r="AD313" s="122"/>
      <c r="AE313" s="122"/>
      <c r="AH313" s="302"/>
      <c r="AI313" s="302"/>
      <c r="AJ313" s="122"/>
      <c r="AK313" s="122"/>
    </row>
    <row r="314" spans="1:37" ht="32.25" thickBot="1">
      <c r="A314" s="372"/>
      <c r="B314" s="281"/>
      <c r="C314" s="243" t="s">
        <v>221</v>
      </c>
      <c r="D314" s="337">
        <f t="shared" ref="D314:I314" si="114">IF(((D312="")*AND(D313="")),"",(D312-D313)*2)</f>
        <v>2047.7199999999998</v>
      </c>
      <c r="E314" s="337">
        <f t="shared" si="114"/>
        <v>2069.1</v>
      </c>
      <c r="F314" s="337">
        <f t="shared" si="114"/>
        <v>2081.84</v>
      </c>
      <c r="G314" s="337">
        <f t="shared" si="114"/>
        <v>2087.16</v>
      </c>
      <c r="H314" s="337">
        <f t="shared" si="114"/>
        <v>2106.2600000000002</v>
      </c>
      <c r="I314" s="337">
        <f t="shared" si="114"/>
        <v>2139.16</v>
      </c>
      <c r="J314" s="337">
        <f>IF(((J312="")*AND(J313="")),"",(J312-J313)*2)</f>
        <v>2171.7999999999997</v>
      </c>
      <c r="K314" s="337">
        <f>IF(((K312="")*AND(K313="")),"",(K312-K313)*2)</f>
        <v>2196.62</v>
      </c>
      <c r="L314" s="337">
        <f>IF(((L312="")*AND(L313="")),"",(L312-L313)*2)</f>
        <v>2203.34</v>
      </c>
      <c r="M314" s="337">
        <f>IF(((M312="")*AND(M313="")),"",(M312-M313)*2)</f>
        <v>2154.42</v>
      </c>
      <c r="N314" s="337">
        <f t="shared" ref="N314:T314" si="115">IF(((N312="")*AND(N313="")),"",(N312-N313)*2)</f>
        <v>2150.3199999999997</v>
      </c>
      <c r="O314" s="337">
        <f t="shared" si="115"/>
        <v>2132.92</v>
      </c>
      <c r="P314" s="337">
        <f t="shared" si="115"/>
        <v>2115.0199999999995</v>
      </c>
      <c r="Q314" s="337">
        <f t="shared" si="115"/>
        <v>2117.06</v>
      </c>
      <c r="R314" s="337">
        <f t="shared" si="115"/>
        <v>2130.94</v>
      </c>
      <c r="S314" s="337">
        <f t="shared" si="115"/>
        <v>2147.58</v>
      </c>
      <c r="T314" s="337">
        <f t="shared" si="115"/>
        <v>2146.2399999999998</v>
      </c>
      <c r="U314" s="337"/>
      <c r="V314" s="337"/>
      <c r="W314" s="337"/>
      <c r="X314" s="366"/>
      <c r="Y314" s="337"/>
      <c r="Z314" s="337"/>
      <c r="AA314" s="339"/>
      <c r="AB314" s="122"/>
      <c r="AC314" s="123"/>
      <c r="AD314" s="122"/>
      <c r="AE314" s="122"/>
      <c r="AH314" s="302"/>
      <c r="AI314" s="302"/>
      <c r="AJ314" s="122"/>
      <c r="AK314" s="122"/>
    </row>
    <row r="315" spans="1:37">
      <c r="A315" s="248">
        <v>43603</v>
      </c>
      <c r="B315" s="268" t="s">
        <v>76</v>
      </c>
      <c r="C315" s="235" t="s">
        <v>77</v>
      </c>
      <c r="D315" s="123">
        <v>2064.75</v>
      </c>
      <c r="E315" s="123">
        <v>2053.92</v>
      </c>
      <c r="F315" s="123">
        <v>2047.28</v>
      </c>
      <c r="G315" s="123">
        <v>2043.3</v>
      </c>
      <c r="H315" s="123">
        <v>2041.85</v>
      </c>
      <c r="I315" s="123">
        <v>2043.26</v>
      </c>
      <c r="J315" s="123">
        <v>2046.73</v>
      </c>
      <c r="K315" s="123">
        <v>2054.09</v>
      </c>
      <c r="L315" s="123">
        <v>2064.5300000000002</v>
      </c>
      <c r="M315" s="123">
        <v>2061.33</v>
      </c>
      <c r="N315" s="123">
        <v>2054.02</v>
      </c>
      <c r="O315" s="123">
        <v>2048.36</v>
      </c>
      <c r="P315" s="123">
        <v>2043.84</v>
      </c>
      <c r="Q315" s="123">
        <v>2044.58</v>
      </c>
      <c r="R315" s="123">
        <v>2048.9</v>
      </c>
      <c r="S315" s="123">
        <v>2053.3000000000002</v>
      </c>
      <c r="T315" s="123">
        <v>2061.0100000000002</v>
      </c>
      <c r="U315" s="235">
        <f>IF((T316=""),"",MAX(D317:T317))</f>
        <v>2203.7800000000007</v>
      </c>
      <c r="V315" s="235">
        <f>IF(T316="","",MIN(D317:T317))</f>
        <v>2046.7600000000002</v>
      </c>
      <c r="W315" s="235">
        <f>IF((T317=""),"",AVERAGE(D317:T317))</f>
        <v>2123.7164705882351</v>
      </c>
      <c r="X315" s="359">
        <f>STDEV(D317:T317)</f>
        <v>41.697169109721578</v>
      </c>
      <c r="Y315" s="235">
        <f>IF((T316=""),"",((U315-V315)/(U315+V315))*100)</f>
        <v>3.6941188648971757</v>
      </c>
      <c r="Z315" s="228" t="str">
        <f>IF(T316="","",IF(Y315&lt;15,IF(W315&gt;AF315,IF(W315&lt;AG315,"Pass","Fail"),"Fail"),"Fail"))</f>
        <v>Pass</v>
      </c>
      <c r="AA315" s="373">
        <v>1335</v>
      </c>
      <c r="AB315" s="122"/>
      <c r="AD315" s="302">
        <v>1600</v>
      </c>
      <c r="AE315" s="302">
        <v>2600</v>
      </c>
      <c r="AF315" s="334">
        <v>1690</v>
      </c>
      <c r="AG315" s="334">
        <v>2210</v>
      </c>
      <c r="AH315" s="335">
        <v>15</v>
      </c>
      <c r="AI315" s="335">
        <v>15</v>
      </c>
      <c r="AJ315" s="122"/>
      <c r="AK315" s="122"/>
    </row>
    <row r="316" spans="1:37">
      <c r="A316" s="371"/>
      <c r="B316" s="276"/>
      <c r="C316" s="235" t="s">
        <v>78</v>
      </c>
      <c r="D316" s="123">
        <v>1041.3699999999999</v>
      </c>
      <c r="E316" s="123">
        <v>1021.25</v>
      </c>
      <c r="F316" s="123">
        <v>1009.37</v>
      </c>
      <c r="G316" s="123">
        <v>1001.12</v>
      </c>
      <c r="H316" s="123">
        <v>989.86</v>
      </c>
      <c r="I316" s="123">
        <v>978.07</v>
      </c>
      <c r="J316" s="123">
        <v>965.99</v>
      </c>
      <c r="K316" s="123">
        <v>958.28</v>
      </c>
      <c r="L316" s="123">
        <v>962.64</v>
      </c>
      <c r="M316" s="123">
        <v>988.25</v>
      </c>
      <c r="N316" s="123">
        <v>981.81</v>
      </c>
      <c r="O316" s="123">
        <v>985.35</v>
      </c>
      <c r="P316" s="123">
        <v>987.72</v>
      </c>
      <c r="Q316" s="123">
        <v>990.34</v>
      </c>
      <c r="R316" s="123">
        <v>986.54</v>
      </c>
      <c r="S316" s="123">
        <v>984.77</v>
      </c>
      <c r="T316" s="123">
        <v>990.73</v>
      </c>
      <c r="U316" s="337"/>
      <c r="V316" s="337"/>
      <c r="W316" s="337"/>
      <c r="X316" s="359"/>
      <c r="Y316" s="337"/>
      <c r="Z316" s="337"/>
      <c r="AA316" s="339"/>
      <c r="AB316" s="122"/>
      <c r="AC316" s="123"/>
      <c r="AD316" s="122"/>
      <c r="AE316" s="122"/>
      <c r="AH316" s="302"/>
      <c r="AI316" s="302"/>
      <c r="AJ316" s="122"/>
      <c r="AK316" s="122"/>
    </row>
    <row r="317" spans="1:37" ht="32.25" thickBot="1">
      <c r="A317" s="372"/>
      <c r="B317" s="281"/>
      <c r="C317" s="243" t="s">
        <v>221</v>
      </c>
      <c r="D317" s="337">
        <f t="shared" ref="D317:I317" si="116">IF(((D315="")*AND(D316="")),"",(D315-D316)*2)</f>
        <v>2046.7600000000002</v>
      </c>
      <c r="E317" s="337">
        <f t="shared" si="116"/>
        <v>2065.34</v>
      </c>
      <c r="F317" s="337">
        <f t="shared" si="116"/>
        <v>2075.8199999999997</v>
      </c>
      <c r="G317" s="337">
        <f t="shared" si="116"/>
        <v>2084.3599999999997</v>
      </c>
      <c r="H317" s="337">
        <f t="shared" si="116"/>
        <v>2103.9799999999996</v>
      </c>
      <c r="I317" s="337">
        <f t="shared" si="116"/>
        <v>2130.38</v>
      </c>
      <c r="J317" s="337">
        <f>IF(((J315="")*AND(J316="")),"",(J315-J316)*2)</f>
        <v>2161.48</v>
      </c>
      <c r="K317" s="337">
        <f>IF(((K315="")*AND(K316="")),"",(K315-K316)*2)</f>
        <v>2191.6200000000003</v>
      </c>
      <c r="L317" s="337">
        <f>IF(((L315="")*AND(L316="")),"",(L315-L316)*2)</f>
        <v>2203.7800000000007</v>
      </c>
      <c r="M317" s="337">
        <f>IF(((M315="")*AND(M316="")),"",(M315-M316)*2)</f>
        <v>2146.16</v>
      </c>
      <c r="N317" s="337">
        <f t="shared" ref="N317:T317" si="117">IF(((N315="")*AND(N316="")),"",(N315-N316)*2)</f>
        <v>2144.42</v>
      </c>
      <c r="O317" s="337">
        <f t="shared" si="117"/>
        <v>2126.0200000000004</v>
      </c>
      <c r="P317" s="337">
        <f t="shared" si="117"/>
        <v>2112.2399999999998</v>
      </c>
      <c r="Q317" s="337">
        <f t="shared" si="117"/>
        <v>2108.4799999999996</v>
      </c>
      <c r="R317" s="337">
        <f t="shared" si="117"/>
        <v>2124.7200000000003</v>
      </c>
      <c r="S317" s="337">
        <f t="shared" si="117"/>
        <v>2137.0600000000004</v>
      </c>
      <c r="T317" s="337">
        <f t="shared" si="117"/>
        <v>2140.5600000000004</v>
      </c>
      <c r="U317" s="337"/>
      <c r="V317" s="337"/>
      <c r="W317" s="337"/>
      <c r="X317" s="366"/>
      <c r="Y317" s="337"/>
      <c r="Z317" s="337"/>
      <c r="AA317" s="339"/>
      <c r="AB317" s="122"/>
      <c r="AC317" s="123"/>
      <c r="AD317" s="122"/>
      <c r="AE317" s="122"/>
      <c r="AH317" s="302"/>
      <c r="AI317" s="302"/>
      <c r="AJ317" s="122"/>
      <c r="AK317" s="122"/>
    </row>
    <row r="318" spans="1:37">
      <c r="A318" s="248">
        <v>43605</v>
      </c>
      <c r="B318" s="268" t="s">
        <v>76</v>
      </c>
      <c r="C318" s="235" t="s">
        <v>77</v>
      </c>
      <c r="D318" s="123">
        <v>2014.83</v>
      </c>
      <c r="E318" s="123">
        <v>2007.47</v>
      </c>
      <c r="F318" s="123">
        <v>2002.42</v>
      </c>
      <c r="G318" s="123">
        <v>2000.67</v>
      </c>
      <c r="H318" s="123">
        <v>1998.62</v>
      </c>
      <c r="I318" s="123">
        <v>1998.93</v>
      </c>
      <c r="J318" s="123">
        <v>2001.27</v>
      </c>
      <c r="K318" s="123">
        <v>2004.24</v>
      </c>
      <c r="L318" s="123">
        <v>2010.78</v>
      </c>
      <c r="M318" s="123">
        <v>2008.28</v>
      </c>
      <c r="N318" s="123">
        <v>2003.63</v>
      </c>
      <c r="O318" s="123">
        <v>2000.58</v>
      </c>
      <c r="P318" s="123">
        <v>1998.83</v>
      </c>
      <c r="Q318" s="123">
        <v>2000.59</v>
      </c>
      <c r="R318" s="123">
        <v>2001.32</v>
      </c>
      <c r="S318" s="123">
        <v>2005.67</v>
      </c>
      <c r="T318" s="123">
        <v>2010.72</v>
      </c>
      <c r="U318" s="235">
        <f>IF((T319=""),"",MAX(D320:T320))</f>
        <v>2183.48</v>
      </c>
      <c r="V318" s="235">
        <f>IF(T319="","",MIN(D320:T320))</f>
        <v>2037.6</v>
      </c>
      <c r="W318" s="235">
        <f>IF((T320=""),"",AVERAGE(D320:T320))</f>
        <v>2111.4011764705883</v>
      </c>
      <c r="X318" s="359">
        <f>STDEV(D320:T320)</f>
        <v>40.461748275740824</v>
      </c>
      <c r="Y318" s="235">
        <f>IF((T319=""),"",((U318-V318)/(U318+V318))*100)</f>
        <v>3.455987567162909</v>
      </c>
      <c r="Z318" s="228" t="str">
        <f>IF(T319="","",IF(Y318&lt;15,IF(W318&gt;AF318,IF(W318&lt;AG318,"Pass","Fail"),"Fail"),"Fail"))</f>
        <v>Pass</v>
      </c>
      <c r="AA318" s="373">
        <v>102</v>
      </c>
      <c r="AB318" s="122" t="s">
        <v>161</v>
      </c>
      <c r="AD318" s="302">
        <v>1600</v>
      </c>
      <c r="AE318" s="302">
        <v>2600</v>
      </c>
      <c r="AF318" s="334">
        <v>1690</v>
      </c>
      <c r="AG318" s="334">
        <v>2210</v>
      </c>
      <c r="AH318" s="335">
        <v>15</v>
      </c>
      <c r="AI318" s="335">
        <v>15</v>
      </c>
      <c r="AJ318" s="122"/>
      <c r="AK318" s="122"/>
    </row>
    <row r="319" spans="1:37">
      <c r="A319" s="371"/>
      <c r="B319" s="276"/>
      <c r="C319" s="235" t="s">
        <v>78</v>
      </c>
      <c r="D319" s="123">
        <v>996.03</v>
      </c>
      <c r="E319" s="123">
        <v>979.23</v>
      </c>
      <c r="F319" s="123">
        <v>971.04</v>
      </c>
      <c r="G319" s="123">
        <v>964.67</v>
      </c>
      <c r="H319" s="123">
        <v>955.04</v>
      </c>
      <c r="I319" s="123">
        <v>938.98</v>
      </c>
      <c r="J319" s="123">
        <v>924.96</v>
      </c>
      <c r="K319" s="123">
        <v>915.42</v>
      </c>
      <c r="L319" s="123">
        <v>919.04</v>
      </c>
      <c r="M319" s="123">
        <v>940.31</v>
      </c>
      <c r="N319" s="123">
        <v>938.22</v>
      </c>
      <c r="O319" s="123">
        <v>943.09</v>
      </c>
      <c r="P319" s="123">
        <v>950.72</v>
      </c>
      <c r="Q319" s="123">
        <v>950.59</v>
      </c>
      <c r="R319" s="123">
        <v>945.66</v>
      </c>
      <c r="S319" s="123">
        <v>941.27</v>
      </c>
      <c r="T319" s="123">
        <v>947.67</v>
      </c>
      <c r="U319" s="337"/>
      <c r="V319" s="337"/>
      <c r="W319" s="337"/>
      <c r="X319" s="359"/>
      <c r="Y319" s="337"/>
      <c r="Z319" s="337"/>
      <c r="AA319" s="339"/>
      <c r="AB319" s="122"/>
      <c r="AC319" s="123"/>
      <c r="AD319" s="122"/>
      <c r="AE319" s="122"/>
      <c r="AH319" s="302"/>
      <c r="AI319" s="302"/>
      <c r="AJ319" s="122"/>
      <c r="AK319" s="122"/>
    </row>
    <row r="320" spans="1:37" ht="32.25" thickBot="1">
      <c r="A320" s="372"/>
      <c r="B320" s="281"/>
      <c r="C320" s="243" t="s">
        <v>221</v>
      </c>
      <c r="D320" s="337">
        <f t="shared" ref="D320:I320" si="118">IF(((D318="")*AND(D319="")),"",(D318-D319)*2)</f>
        <v>2037.6</v>
      </c>
      <c r="E320" s="337">
        <f t="shared" si="118"/>
        <v>2056.48</v>
      </c>
      <c r="F320" s="337">
        <f t="shared" si="118"/>
        <v>2062.7600000000002</v>
      </c>
      <c r="G320" s="337">
        <f t="shared" si="118"/>
        <v>2072</v>
      </c>
      <c r="H320" s="337">
        <f t="shared" si="118"/>
        <v>2087.16</v>
      </c>
      <c r="I320" s="337">
        <f t="shared" si="118"/>
        <v>2119.9</v>
      </c>
      <c r="J320" s="337">
        <f>IF(((J318="")*AND(J319="")),"",(J318-J319)*2)</f>
        <v>2152.62</v>
      </c>
      <c r="K320" s="337">
        <f>IF(((K318="")*AND(K319="")),"",(K318-K319)*2)</f>
        <v>2177.6400000000003</v>
      </c>
      <c r="L320" s="337">
        <f>IF(((L318="")*AND(L319="")),"",(L318-L319)*2)</f>
        <v>2183.48</v>
      </c>
      <c r="M320" s="337">
        <f>IF(((M318="")*AND(M319="")),"",(M318-M319)*2)</f>
        <v>2135.94</v>
      </c>
      <c r="N320" s="337">
        <f t="shared" ref="N320:T320" si="119">IF(((N318="")*AND(N319="")),"",(N318-N319)*2)</f>
        <v>2130.8200000000002</v>
      </c>
      <c r="O320" s="337">
        <f t="shared" si="119"/>
        <v>2114.9799999999996</v>
      </c>
      <c r="P320" s="337">
        <f t="shared" si="119"/>
        <v>2096.2199999999998</v>
      </c>
      <c r="Q320" s="337">
        <f t="shared" si="119"/>
        <v>2100</v>
      </c>
      <c r="R320" s="337">
        <f t="shared" si="119"/>
        <v>2111.3199999999997</v>
      </c>
      <c r="S320" s="337">
        <f t="shared" si="119"/>
        <v>2128.8000000000002</v>
      </c>
      <c r="T320" s="337">
        <f t="shared" si="119"/>
        <v>2126.1000000000004</v>
      </c>
      <c r="U320" s="337"/>
      <c r="V320" s="337"/>
      <c r="W320" s="337"/>
      <c r="X320" s="366"/>
      <c r="Y320" s="337"/>
      <c r="Z320" s="337"/>
      <c r="AA320" s="339"/>
      <c r="AB320" s="122"/>
      <c r="AC320" s="123"/>
      <c r="AD320" s="122"/>
      <c r="AE320" s="122"/>
      <c r="AH320" s="302"/>
      <c r="AI320" s="302"/>
      <c r="AJ320" s="122"/>
      <c r="AK320" s="122"/>
    </row>
    <row r="321" spans="1:35">
      <c r="A321" s="248">
        <v>43608</v>
      </c>
      <c r="B321" s="268" t="s">
        <v>76</v>
      </c>
      <c r="C321" s="235" t="s">
        <v>77</v>
      </c>
      <c r="D321" s="123">
        <v>1958.13</v>
      </c>
      <c r="E321" s="123">
        <v>1950.86</v>
      </c>
      <c r="F321" s="123">
        <v>1946.55</v>
      </c>
      <c r="G321" s="123">
        <v>1943.95</v>
      </c>
      <c r="H321" s="123">
        <v>1942.39</v>
      </c>
      <c r="I321" s="123">
        <v>1943.47</v>
      </c>
      <c r="J321" s="123">
        <v>1944.24</v>
      </c>
      <c r="K321" s="123">
        <v>1947.75</v>
      </c>
      <c r="L321" s="123">
        <v>1952.58</v>
      </c>
      <c r="M321" s="123">
        <v>1951.45</v>
      </c>
      <c r="N321" s="123">
        <v>1944.52</v>
      </c>
      <c r="O321" s="123">
        <v>1944.45</v>
      </c>
      <c r="P321" s="123">
        <v>1941.89</v>
      </c>
      <c r="Q321" s="123">
        <v>1944.56</v>
      </c>
      <c r="R321" s="123">
        <v>1946.19</v>
      </c>
      <c r="S321" s="123">
        <v>1949.49</v>
      </c>
      <c r="T321" s="123">
        <v>1954.53</v>
      </c>
      <c r="U321" s="235">
        <f>IF((T322=""),"",MAX(D323:T323))</f>
        <v>2195.6799999999998</v>
      </c>
      <c r="V321" s="235">
        <f>IF(T322="","",MIN(D323:T323))</f>
        <v>2055.4800000000005</v>
      </c>
      <c r="W321" s="235">
        <f>IF((T323=""),"",AVERAGE(D323:T323))</f>
        <v>2131.0600000000004</v>
      </c>
      <c r="X321" s="359">
        <f>STDEV(D323:T323)</f>
        <v>38.491634805500198</v>
      </c>
      <c r="Y321" s="235">
        <f>IF((T322=""),"",((U321-V321)/(U321+V321))*100)</f>
        <v>3.297923390321686</v>
      </c>
      <c r="Z321" s="228" t="str">
        <f>IF(T322="","",IF(Y321&lt;15,IF(W321&gt;AF321,IF(W321&lt;AG321,"Pass","Fail"),"Fail"),"Fail"))</f>
        <v>Pass</v>
      </c>
      <c r="AA321" s="373">
        <v>1159</v>
      </c>
      <c r="AB321" s="270" t="s">
        <v>169</v>
      </c>
      <c r="AD321" s="302">
        <v>1600</v>
      </c>
      <c r="AE321" s="302">
        <v>2600</v>
      </c>
      <c r="AF321" s="334">
        <v>1690</v>
      </c>
      <c r="AG321" s="334">
        <v>2210</v>
      </c>
      <c r="AH321" s="335">
        <v>15</v>
      </c>
      <c r="AI321" s="335">
        <v>15</v>
      </c>
    </row>
    <row r="322" spans="1:35">
      <c r="A322" s="371"/>
      <c r="B322" s="276"/>
      <c r="C322" s="235" t="s">
        <v>78</v>
      </c>
      <c r="D322" s="123">
        <v>930.39</v>
      </c>
      <c r="E322" s="123">
        <v>911.23</v>
      </c>
      <c r="F322" s="123">
        <v>903.31</v>
      </c>
      <c r="G322" s="123">
        <v>897.29</v>
      </c>
      <c r="H322" s="123">
        <v>886.89</v>
      </c>
      <c r="I322" s="123">
        <v>873.5</v>
      </c>
      <c r="J322" s="123">
        <v>859.16</v>
      </c>
      <c r="K322" s="123">
        <v>851.19</v>
      </c>
      <c r="L322" s="123">
        <v>854.74</v>
      </c>
      <c r="M322" s="123">
        <v>871.87</v>
      </c>
      <c r="N322" s="123">
        <v>868.68</v>
      </c>
      <c r="O322" s="123">
        <v>875.26</v>
      </c>
      <c r="P322" s="123">
        <v>883.16</v>
      </c>
      <c r="Q322" s="123">
        <v>884.59</v>
      </c>
      <c r="R322" s="123">
        <v>880.59</v>
      </c>
      <c r="S322" s="123">
        <v>877.28</v>
      </c>
      <c r="T322" s="123">
        <v>883.86</v>
      </c>
      <c r="U322" s="337"/>
      <c r="V322" s="337"/>
      <c r="W322" s="337"/>
      <c r="X322" s="359"/>
      <c r="Y322" s="337"/>
      <c r="Z322" s="337"/>
      <c r="AA322" s="339"/>
      <c r="AB322" s="122"/>
    </row>
    <row r="323" spans="1:35" ht="32.25" thickBot="1">
      <c r="A323" s="372"/>
      <c r="B323" s="281"/>
      <c r="C323" s="243" t="s">
        <v>221</v>
      </c>
      <c r="D323" s="337">
        <f t="shared" ref="D323:I323" si="120">IF(((D321="")*AND(D322="")),"",(D321-D322)*2)</f>
        <v>2055.4800000000005</v>
      </c>
      <c r="E323" s="337">
        <f t="shared" si="120"/>
        <v>2079.2599999999998</v>
      </c>
      <c r="F323" s="337">
        <f t="shared" si="120"/>
        <v>2086.48</v>
      </c>
      <c r="G323" s="337">
        <f t="shared" si="120"/>
        <v>2093.3200000000002</v>
      </c>
      <c r="H323" s="337">
        <f t="shared" si="120"/>
        <v>2111</v>
      </c>
      <c r="I323" s="337">
        <f t="shared" si="120"/>
        <v>2139.94</v>
      </c>
      <c r="J323" s="337">
        <f>IF(((J321="")*AND(J322="")),"",(J321-J322)*2)</f>
        <v>2170.16</v>
      </c>
      <c r="K323" s="337">
        <f>IF(((K321="")*AND(K322="")),"",(K321-K322)*2)</f>
        <v>2193.12</v>
      </c>
      <c r="L323" s="337">
        <f>IF(((L321="")*AND(L322="")),"",(L321-L322)*2)</f>
        <v>2195.6799999999998</v>
      </c>
      <c r="M323" s="337">
        <f>IF(((M321="")*AND(M322="")),"",(M321-M322)*2)</f>
        <v>2159.16</v>
      </c>
      <c r="N323" s="337">
        <f t="shared" ref="N323:T323" si="121">IF(((N321="")*AND(N322="")),"",(N321-N322)*2)</f>
        <v>2151.6800000000003</v>
      </c>
      <c r="O323" s="337">
        <f t="shared" si="121"/>
        <v>2138.38</v>
      </c>
      <c r="P323" s="337">
        <f t="shared" si="121"/>
        <v>2117.46</v>
      </c>
      <c r="Q323" s="337">
        <f t="shared" si="121"/>
        <v>2119.9399999999996</v>
      </c>
      <c r="R323" s="337">
        <f t="shared" si="121"/>
        <v>2131.1999999999998</v>
      </c>
      <c r="S323" s="337">
        <f t="shared" si="121"/>
        <v>2144.42</v>
      </c>
      <c r="T323" s="337">
        <f t="shared" si="121"/>
        <v>2141.34</v>
      </c>
      <c r="U323" s="337"/>
      <c r="V323" s="337"/>
      <c r="W323" s="337"/>
      <c r="X323" s="366"/>
      <c r="Y323" s="337"/>
      <c r="Z323" s="337"/>
      <c r="AA323" s="339"/>
      <c r="AB323" s="122"/>
    </row>
    <row r="324" spans="1:35">
      <c r="A324" s="248">
        <v>43612</v>
      </c>
      <c r="B324" s="268" t="s">
        <v>76</v>
      </c>
      <c r="C324" s="235" t="s">
        <v>77</v>
      </c>
      <c r="D324" s="123">
        <v>1994.92</v>
      </c>
      <c r="E324" s="123">
        <v>1969.02</v>
      </c>
      <c r="F324" s="123">
        <v>1951.84</v>
      </c>
      <c r="G324" s="123">
        <v>1941.96</v>
      </c>
      <c r="H324" s="123">
        <v>1939.59</v>
      </c>
      <c r="I324" s="123">
        <v>1947.09</v>
      </c>
      <c r="J324" s="123">
        <v>1962.4</v>
      </c>
      <c r="K324" s="123">
        <v>1984.33</v>
      </c>
      <c r="L324" s="123">
        <v>2008.56</v>
      </c>
      <c r="M324" s="123">
        <v>1979.36</v>
      </c>
      <c r="N324" s="123">
        <v>1966.85</v>
      </c>
      <c r="O324" s="123">
        <v>1952.18</v>
      </c>
      <c r="P324" s="123">
        <v>1943.23</v>
      </c>
      <c r="Q324" s="123">
        <v>1943.46</v>
      </c>
      <c r="R324" s="123">
        <v>1953.18</v>
      </c>
      <c r="S324" s="123">
        <v>1968.51</v>
      </c>
      <c r="T324" s="123">
        <v>1985.12</v>
      </c>
      <c r="U324" s="235">
        <f>IF((T325=""),"",MAX(D326:T326))</f>
        <v>2189.8599999999997</v>
      </c>
      <c r="V324" s="235">
        <f>IF(T325="","",MIN(D326:T326))</f>
        <v>2040.5400000000002</v>
      </c>
      <c r="W324" s="235">
        <f>IF((T326=""),"",AVERAGE(D326:T326))</f>
        <v>2118.6470588235293</v>
      </c>
      <c r="X324" s="359">
        <f>STDEV(D326:T326)</f>
        <v>41.709587591569509</v>
      </c>
      <c r="Y324" s="235">
        <f>IF((T325=""),"",((U324-V324)/(U324+V324))*100)</f>
        <v>3.5296898638426506</v>
      </c>
      <c r="Z324" s="228" t="str">
        <f>IF(T325="","",IF(Y324&lt;15,IF(W324&gt;AF324,IF(W324&lt;AG324,"Pass","Fail"),"Fail"),"Fail"))</f>
        <v>Pass</v>
      </c>
      <c r="AA324" s="373">
        <v>74</v>
      </c>
      <c r="AB324" s="377" t="s">
        <v>170</v>
      </c>
      <c r="AD324" s="302">
        <v>1600</v>
      </c>
      <c r="AE324" s="302">
        <v>2600</v>
      </c>
      <c r="AF324" s="334">
        <v>1690</v>
      </c>
      <c r="AG324" s="334">
        <v>2210</v>
      </c>
      <c r="AH324" s="335">
        <v>15</v>
      </c>
      <c r="AI324" s="335">
        <v>15</v>
      </c>
    </row>
    <row r="325" spans="1:35">
      <c r="A325" s="371"/>
      <c r="B325" s="276"/>
      <c r="C325" s="235" t="s">
        <v>78</v>
      </c>
      <c r="D325" s="123">
        <v>974.65</v>
      </c>
      <c r="E325" s="123">
        <v>938.91</v>
      </c>
      <c r="F325" s="123">
        <v>915.9</v>
      </c>
      <c r="G325" s="123">
        <v>902.93</v>
      </c>
      <c r="H325" s="123">
        <v>893.61</v>
      </c>
      <c r="I325" s="123">
        <v>885.33</v>
      </c>
      <c r="J325" s="123">
        <v>881.84</v>
      </c>
      <c r="K325" s="123">
        <v>890.65</v>
      </c>
      <c r="L325" s="123">
        <v>913.63</v>
      </c>
      <c r="M325" s="123">
        <v>908.63</v>
      </c>
      <c r="N325" s="123">
        <v>896.11</v>
      </c>
      <c r="O325" s="123">
        <v>890.08</v>
      </c>
      <c r="P325" s="123">
        <v>891.25</v>
      </c>
      <c r="Q325" s="123">
        <v>890.99</v>
      </c>
      <c r="R325" s="123">
        <v>891.4</v>
      </c>
      <c r="S325" s="123">
        <v>898.71</v>
      </c>
      <c r="T325" s="123">
        <v>918.48</v>
      </c>
      <c r="U325" s="337"/>
      <c r="V325" s="337"/>
      <c r="W325" s="337"/>
      <c r="X325" s="359"/>
      <c r="Y325" s="337"/>
      <c r="Z325" s="337"/>
      <c r="AA325" s="339"/>
    </row>
    <row r="326" spans="1:35" ht="32.25" thickBot="1">
      <c r="A326" s="372"/>
      <c r="B326" s="281"/>
      <c r="C326" s="243" t="s">
        <v>221</v>
      </c>
      <c r="D326" s="337">
        <f t="shared" ref="D326:I326" si="122">IF(((D324="")*AND(D325="")),"",(D324-D325)*2)</f>
        <v>2040.5400000000002</v>
      </c>
      <c r="E326" s="337">
        <f t="shared" si="122"/>
        <v>2060.2200000000003</v>
      </c>
      <c r="F326" s="337">
        <f t="shared" si="122"/>
        <v>2071.88</v>
      </c>
      <c r="G326" s="337">
        <f t="shared" si="122"/>
        <v>2078.0600000000004</v>
      </c>
      <c r="H326" s="337">
        <f t="shared" si="122"/>
        <v>2091.96</v>
      </c>
      <c r="I326" s="337">
        <f t="shared" si="122"/>
        <v>2123.5199999999995</v>
      </c>
      <c r="J326" s="337">
        <f>IF(((J324="")*AND(J325="")),"",(J324-J325)*2)</f>
        <v>2161.12</v>
      </c>
      <c r="K326" s="337">
        <f>IF(((K324="")*AND(K325="")),"",(K324-K325)*2)</f>
        <v>2187.3599999999997</v>
      </c>
      <c r="L326" s="337">
        <f>IF(((L324="")*AND(L325="")),"",(L324-L325)*2)</f>
        <v>2189.8599999999997</v>
      </c>
      <c r="M326" s="337">
        <f>IF(((M324="")*AND(M325="")),"",(M324-M325)*2)</f>
        <v>2141.46</v>
      </c>
      <c r="N326" s="337">
        <f t="shared" ref="N326:T326" si="123">IF(((N324="")*AND(N325="")),"",(N324-N325)*2)</f>
        <v>2141.4799999999996</v>
      </c>
      <c r="O326" s="337">
        <f t="shared" si="123"/>
        <v>2124.1999999999998</v>
      </c>
      <c r="P326" s="337">
        <f t="shared" si="123"/>
        <v>2103.96</v>
      </c>
      <c r="Q326" s="337">
        <f t="shared" si="123"/>
        <v>2104.94</v>
      </c>
      <c r="R326" s="337">
        <f t="shared" si="123"/>
        <v>2123.5600000000004</v>
      </c>
      <c r="S326" s="337">
        <f t="shared" si="123"/>
        <v>2139.6</v>
      </c>
      <c r="T326" s="337">
        <f t="shared" si="123"/>
        <v>2133.2799999999997</v>
      </c>
      <c r="U326" s="337"/>
      <c r="V326" s="337"/>
      <c r="W326" s="337"/>
      <c r="X326" s="366"/>
      <c r="Y326" s="337"/>
      <c r="Z326" s="337"/>
      <c r="AA326" s="339"/>
    </row>
    <row r="327" spans="1:35">
      <c r="A327" s="248">
        <v>43616</v>
      </c>
      <c r="B327" s="268" t="s">
        <v>76</v>
      </c>
      <c r="C327" s="235" t="s">
        <v>77</v>
      </c>
      <c r="D327" s="123">
        <v>2034.25</v>
      </c>
      <c r="E327" s="123">
        <v>2022.41</v>
      </c>
      <c r="F327" s="123">
        <v>2014.22</v>
      </c>
      <c r="G327" s="123">
        <v>2008.75</v>
      </c>
      <c r="H327" s="123">
        <v>2007.23</v>
      </c>
      <c r="I327" s="123">
        <v>2008.9</v>
      </c>
      <c r="J327" s="123">
        <v>2015.67</v>
      </c>
      <c r="K327" s="123">
        <v>2024.92</v>
      </c>
      <c r="L327" s="123">
        <v>2036.38</v>
      </c>
      <c r="M327" s="123">
        <v>2038.78</v>
      </c>
      <c r="N327" s="123">
        <v>2024.94</v>
      </c>
      <c r="O327" s="123">
        <v>2016.09</v>
      </c>
      <c r="P327" s="123">
        <v>2009.66</v>
      </c>
      <c r="Q327" s="123">
        <v>2008.34</v>
      </c>
      <c r="R327" s="123">
        <v>2015.39</v>
      </c>
      <c r="S327" s="123">
        <v>2026.02</v>
      </c>
      <c r="T327" s="123">
        <v>2040.07</v>
      </c>
      <c r="U327" s="235">
        <f>IF((T328=""),"",MAX(D329:T329))</f>
        <v>2075.6600000000003</v>
      </c>
      <c r="V327" s="235">
        <f>IF(T328="","",MIN(D329:T329))</f>
        <v>1987.8200000000002</v>
      </c>
      <c r="W327" s="235">
        <f>IF((T329=""),"",AVERAGE(D329:T329))</f>
        <v>2029.0705882352941</v>
      </c>
      <c r="X327" s="359">
        <f>STDEV(D329:T329)</f>
        <v>27.782287628673654</v>
      </c>
      <c r="Y327" s="235">
        <f>IF((T328=""),"",((U327-V327)/(U327+V327))*100)</f>
        <v>2.161693917528821</v>
      </c>
      <c r="Z327" s="228" t="str">
        <f>IF(T328="","",IF(Y327&lt;15,IF(W327&gt;AF327,IF(W327&lt;AG327,"Pass","Fail"),"Fail"),"Fail"))</f>
        <v>Pass</v>
      </c>
      <c r="AA327" s="373">
        <v>1340</v>
      </c>
      <c r="AB327" s="377" t="s">
        <v>171</v>
      </c>
      <c r="AD327" s="302">
        <v>1600</v>
      </c>
      <c r="AE327" s="302">
        <v>2600</v>
      </c>
      <c r="AF327" s="334">
        <v>1690</v>
      </c>
      <c r="AG327" s="334">
        <v>2210</v>
      </c>
      <c r="AH327" s="335">
        <v>15</v>
      </c>
      <c r="AI327" s="335">
        <v>15</v>
      </c>
    </row>
    <row r="328" spans="1:35">
      <c r="A328" s="371"/>
      <c r="B328" s="276"/>
      <c r="C328" s="235" t="s">
        <v>78</v>
      </c>
      <c r="D328" s="123">
        <v>1040.3399999999999</v>
      </c>
      <c r="E328" s="123">
        <v>1027.0899999999999</v>
      </c>
      <c r="F328" s="123">
        <v>1016.68</v>
      </c>
      <c r="G328" s="123">
        <v>1008.8</v>
      </c>
      <c r="H328" s="123">
        <v>1002.23</v>
      </c>
      <c r="I328" s="123">
        <v>994.6</v>
      </c>
      <c r="J328" s="123">
        <v>988.61</v>
      </c>
      <c r="K328" s="123">
        <v>988.1</v>
      </c>
      <c r="L328" s="123">
        <v>998.55</v>
      </c>
      <c r="M328" s="123">
        <v>1008.7</v>
      </c>
      <c r="N328" s="123">
        <v>998.87</v>
      </c>
      <c r="O328" s="123">
        <v>995.55</v>
      </c>
      <c r="P328" s="123">
        <v>997.99</v>
      </c>
      <c r="Q328" s="123">
        <v>1002.14</v>
      </c>
      <c r="R328" s="123">
        <v>1003.62</v>
      </c>
      <c r="S328" s="123">
        <v>1009.21</v>
      </c>
      <c r="T328" s="123">
        <v>1023.84</v>
      </c>
      <c r="U328" s="337"/>
      <c r="V328" s="337"/>
      <c r="W328" s="337"/>
      <c r="X328" s="359"/>
      <c r="Y328" s="337"/>
      <c r="Z328" s="337"/>
      <c r="AA328" s="339"/>
    </row>
    <row r="329" spans="1:35" ht="32.25" thickBot="1">
      <c r="A329" s="372"/>
      <c r="B329" s="281"/>
      <c r="C329" s="243" t="s">
        <v>221</v>
      </c>
      <c r="D329" s="337">
        <f t="shared" ref="D329:I329" si="124">IF(((D327="")*AND(D328="")),"",(D327-D328)*2)</f>
        <v>1987.8200000000002</v>
      </c>
      <c r="E329" s="337">
        <f t="shared" si="124"/>
        <v>1990.6400000000003</v>
      </c>
      <c r="F329" s="337">
        <f t="shared" si="124"/>
        <v>1995.0800000000002</v>
      </c>
      <c r="G329" s="337">
        <f t="shared" si="124"/>
        <v>1999.9</v>
      </c>
      <c r="H329" s="337">
        <f t="shared" si="124"/>
        <v>2010</v>
      </c>
      <c r="I329" s="337">
        <f t="shared" si="124"/>
        <v>2028.6000000000001</v>
      </c>
      <c r="J329" s="337">
        <f>IF(((J327="")*AND(J328="")),"",(J327-J328)*2)</f>
        <v>2054.12</v>
      </c>
      <c r="K329" s="337">
        <f>IF(((K327="")*AND(K328="")),"",(K327-K328)*2)</f>
        <v>2073.6400000000003</v>
      </c>
      <c r="L329" s="337">
        <f>IF(((L327="")*AND(L328="")),"",(L327-L328)*2)</f>
        <v>2075.6600000000003</v>
      </c>
      <c r="M329" s="337">
        <f>IF(((M327="")*AND(M328="")),"",(M327-M328)*2)</f>
        <v>2060.16</v>
      </c>
      <c r="N329" s="337">
        <f t="shared" ref="N329:T329" si="125">IF(((N327="")*AND(N328="")),"",(N327-N328)*2)</f>
        <v>2052.1400000000003</v>
      </c>
      <c r="O329" s="337">
        <f t="shared" si="125"/>
        <v>2041.08</v>
      </c>
      <c r="P329" s="337">
        <f t="shared" si="125"/>
        <v>2023.3400000000001</v>
      </c>
      <c r="Q329" s="337">
        <f t="shared" si="125"/>
        <v>2012.3999999999999</v>
      </c>
      <c r="R329" s="337">
        <f t="shared" si="125"/>
        <v>2023.5400000000002</v>
      </c>
      <c r="S329" s="337">
        <f t="shared" si="125"/>
        <v>2033.62</v>
      </c>
      <c r="T329" s="337">
        <f t="shared" si="125"/>
        <v>2032.4599999999998</v>
      </c>
      <c r="U329" s="337"/>
      <c r="V329" s="337"/>
      <c r="W329" s="337"/>
      <c r="X329" s="366"/>
      <c r="Y329" s="337"/>
      <c r="Z329" s="337"/>
      <c r="AA329" s="339"/>
    </row>
    <row r="330" spans="1:35">
      <c r="A330" s="248">
        <v>43619</v>
      </c>
      <c r="B330" s="268" t="s">
        <v>76</v>
      </c>
      <c r="C330" s="235" t="s">
        <v>77</v>
      </c>
      <c r="D330" s="123">
        <v>2039.41</v>
      </c>
      <c r="E330" s="123">
        <v>2025.45</v>
      </c>
      <c r="F330" s="123">
        <v>2015.02</v>
      </c>
      <c r="G330" s="123">
        <v>2008.46</v>
      </c>
      <c r="H330" s="123">
        <v>2007.82</v>
      </c>
      <c r="I330" s="123">
        <v>2008.81</v>
      </c>
      <c r="J330" s="123">
        <v>2015.37</v>
      </c>
      <c r="K330" s="123">
        <v>2026.3</v>
      </c>
      <c r="L330" s="123">
        <v>2039.54</v>
      </c>
      <c r="M330" s="123">
        <v>2033.23</v>
      </c>
      <c r="N330" s="123">
        <v>2022.37</v>
      </c>
      <c r="O330" s="123">
        <v>2013.9</v>
      </c>
      <c r="P330" s="123">
        <v>2009.2</v>
      </c>
      <c r="Q330" s="123">
        <v>2010.9</v>
      </c>
      <c r="R330" s="123">
        <v>2015.72</v>
      </c>
      <c r="S330" s="123">
        <v>2024.29</v>
      </c>
      <c r="T330" s="123">
        <v>2036.03</v>
      </c>
      <c r="U330" s="235">
        <f>IF((T331=""),"",MAX(D332:T332))</f>
        <v>2093.3999999999996</v>
      </c>
      <c r="V330" s="235">
        <f>IF(T331="","",MIN(D332:T332))</f>
        <v>1996.2800000000002</v>
      </c>
      <c r="W330" s="235">
        <f>IF((T332=""),"",AVERAGE(D332:T332))</f>
        <v>2039.5576470588232</v>
      </c>
      <c r="X330" s="359">
        <f>STDEV(D332:T332)</f>
        <v>28.760503196530525</v>
      </c>
      <c r="Y330" s="235">
        <f>IF((T331=""),"",((U330-V330)/(U330+V330))*100)</f>
        <v>2.3747579272705797</v>
      </c>
      <c r="Z330" s="228" t="str">
        <f>IF(T331="","",IF(Y330&lt;15,IF(W330&gt;AF330,IF(W330&lt;AG330,"Pass","Fail"),"Fail"),"Fail"))</f>
        <v>Pass</v>
      </c>
      <c r="AA330" s="373">
        <v>1159</v>
      </c>
      <c r="AB330" s="377" t="s">
        <v>176</v>
      </c>
      <c r="AD330" s="302">
        <v>1600</v>
      </c>
      <c r="AE330" s="302">
        <v>2600</v>
      </c>
      <c r="AF330" s="334">
        <v>1690</v>
      </c>
      <c r="AG330" s="334">
        <v>2210</v>
      </c>
      <c r="AH330" s="335">
        <v>15</v>
      </c>
      <c r="AI330" s="335">
        <v>15</v>
      </c>
    </row>
    <row r="331" spans="1:35">
      <c r="A331" s="371"/>
      <c r="B331" s="276"/>
      <c r="C331" s="235" t="s">
        <v>78</v>
      </c>
      <c r="D331" s="123">
        <v>1041.27</v>
      </c>
      <c r="E331" s="123">
        <v>1022.98</v>
      </c>
      <c r="F331" s="123">
        <v>1011.58</v>
      </c>
      <c r="G331" s="123">
        <v>1004.59</v>
      </c>
      <c r="H331" s="123">
        <v>999.15</v>
      </c>
      <c r="I331" s="123">
        <v>989.36</v>
      </c>
      <c r="J331" s="123">
        <v>983.42</v>
      </c>
      <c r="K331" s="123">
        <v>983.97</v>
      </c>
      <c r="L331" s="123">
        <v>992.84</v>
      </c>
      <c r="M331" s="123">
        <v>996.52</v>
      </c>
      <c r="N331" s="123">
        <v>990.89</v>
      </c>
      <c r="O331" s="123">
        <v>989.41</v>
      </c>
      <c r="P331" s="123">
        <v>993.38</v>
      </c>
      <c r="Q331" s="123">
        <v>997.77</v>
      </c>
      <c r="R331" s="123">
        <v>998.98</v>
      </c>
      <c r="S331" s="123">
        <v>1004.09</v>
      </c>
      <c r="T331" s="123">
        <v>1015.38</v>
      </c>
      <c r="U331" s="337"/>
      <c r="V331" s="337"/>
      <c r="W331" s="337"/>
      <c r="X331" s="359"/>
      <c r="Y331" s="337"/>
      <c r="Z331" s="337"/>
      <c r="AA331" s="339"/>
    </row>
    <row r="332" spans="1:35" ht="32.25" thickBot="1">
      <c r="A332" s="372"/>
      <c r="B332" s="281"/>
      <c r="C332" s="243" t="s">
        <v>221</v>
      </c>
      <c r="D332" s="337">
        <f t="shared" ref="D332:I332" si="126">IF(((D330="")*AND(D331="")),"",(D330-D331)*2)</f>
        <v>1996.2800000000002</v>
      </c>
      <c r="E332" s="337">
        <f t="shared" si="126"/>
        <v>2004.94</v>
      </c>
      <c r="F332" s="337">
        <f t="shared" si="126"/>
        <v>2006.8799999999999</v>
      </c>
      <c r="G332" s="337">
        <f t="shared" si="126"/>
        <v>2007.74</v>
      </c>
      <c r="H332" s="337">
        <f t="shared" si="126"/>
        <v>2017.34</v>
      </c>
      <c r="I332" s="337">
        <f t="shared" si="126"/>
        <v>2038.8999999999999</v>
      </c>
      <c r="J332" s="337">
        <f>IF(((J330="")*AND(J331="")),"",(J330-J331)*2)</f>
        <v>2063.8999999999996</v>
      </c>
      <c r="K332" s="337">
        <f>IF(((K330="")*AND(K331="")),"",(K330-K331)*2)</f>
        <v>2084.66</v>
      </c>
      <c r="L332" s="337">
        <f>IF(((L330="")*AND(L331="")),"",(L330-L331)*2)</f>
        <v>2093.3999999999996</v>
      </c>
      <c r="M332" s="337">
        <f>IF(((M330="")*AND(M331="")),"",(M330-M331)*2)</f>
        <v>2073.42</v>
      </c>
      <c r="N332" s="337">
        <f t="shared" ref="N332:T332" si="127">IF(((N330="")*AND(N331="")),"",(N330-N331)*2)</f>
        <v>2062.96</v>
      </c>
      <c r="O332" s="337">
        <f t="shared" si="127"/>
        <v>2048.9800000000005</v>
      </c>
      <c r="P332" s="337">
        <f t="shared" si="127"/>
        <v>2031.64</v>
      </c>
      <c r="Q332" s="337">
        <f t="shared" si="127"/>
        <v>2026.2600000000002</v>
      </c>
      <c r="R332" s="337">
        <f t="shared" si="127"/>
        <v>2033.48</v>
      </c>
      <c r="S332" s="337">
        <f t="shared" si="127"/>
        <v>2040.3999999999999</v>
      </c>
      <c r="T332" s="337">
        <f t="shared" si="127"/>
        <v>2041.3</v>
      </c>
      <c r="U332" s="337"/>
      <c r="V332" s="337"/>
      <c r="W332" s="337"/>
      <c r="X332" s="366"/>
      <c r="Y332" s="337"/>
      <c r="Z332" s="337"/>
      <c r="AA332" s="339"/>
    </row>
    <row r="333" spans="1:35">
      <c r="A333" s="248">
        <v>43623</v>
      </c>
      <c r="B333" s="268" t="s">
        <v>76</v>
      </c>
      <c r="C333" s="235" t="s">
        <v>77</v>
      </c>
      <c r="D333" s="123">
        <v>2026.91</v>
      </c>
      <c r="E333" s="123">
        <v>2019.78</v>
      </c>
      <c r="F333" s="123">
        <v>2014.54</v>
      </c>
      <c r="G333" s="123">
        <v>2011.32</v>
      </c>
      <c r="H333" s="123">
        <v>2009.9</v>
      </c>
      <c r="I333" s="123">
        <v>2009.88</v>
      </c>
      <c r="J333" s="123">
        <v>2012.38</v>
      </c>
      <c r="K333" s="123">
        <v>2014.8</v>
      </c>
      <c r="L333" s="123">
        <v>2020.51</v>
      </c>
      <c r="M333" s="123">
        <v>2019.07</v>
      </c>
      <c r="N333" s="123">
        <v>2014.53</v>
      </c>
      <c r="O333" s="123">
        <v>2012.08</v>
      </c>
      <c r="P333" s="123">
        <v>2010.02</v>
      </c>
      <c r="Q333" s="123">
        <v>2011.1</v>
      </c>
      <c r="R333" s="123">
        <v>2013.3</v>
      </c>
      <c r="S333" s="123">
        <v>2017.27</v>
      </c>
      <c r="T333" s="123">
        <v>2022.41</v>
      </c>
      <c r="U333" s="235">
        <f>IF((T334=""),"",MAX(D335:T335))</f>
        <v>2088.56</v>
      </c>
      <c r="V333" s="235">
        <f>IF(T334="","",MIN(D335:T335))</f>
        <v>2004.98</v>
      </c>
      <c r="W333" s="235">
        <f>IF((T335=""),"",AVERAGE(D335:T335))</f>
        <v>2039.6717647058822</v>
      </c>
      <c r="X333" s="359">
        <f>STDEV(D335:T335)</f>
        <v>26.546671221476672</v>
      </c>
      <c r="Y333" s="235">
        <f>IF((T334=""),"",((U333-V333)/(U333+V333))*100)</f>
        <v>2.0417535922453411</v>
      </c>
      <c r="Z333" s="228" t="str">
        <f>IF(T334="","",IF(Y333&lt;15,IF(W333&gt;AF333,IF(W333&lt;AG333,"Pass","Fail"),"Fail"),"Fail"))</f>
        <v>Pass</v>
      </c>
      <c r="AA333" s="373" t="s">
        <v>177</v>
      </c>
      <c r="AB333" s="122" t="s">
        <v>178</v>
      </c>
      <c r="AD333" s="302">
        <v>1600</v>
      </c>
      <c r="AE333" s="302">
        <v>2600</v>
      </c>
      <c r="AF333" s="334">
        <v>1690</v>
      </c>
      <c r="AG333" s="334">
        <v>2210</v>
      </c>
      <c r="AH333" s="335">
        <v>15</v>
      </c>
      <c r="AI333" s="335">
        <v>15</v>
      </c>
    </row>
    <row r="334" spans="1:35">
      <c r="A334" s="371"/>
      <c r="B334" s="276"/>
      <c r="C334" s="235" t="s">
        <v>78</v>
      </c>
      <c r="D334" s="123">
        <v>1024.42</v>
      </c>
      <c r="E334" s="123">
        <v>1016.39</v>
      </c>
      <c r="F334" s="123">
        <v>1010.65</v>
      </c>
      <c r="G334" s="123">
        <v>1006.1</v>
      </c>
      <c r="H334" s="123">
        <v>999.29</v>
      </c>
      <c r="I334" s="123">
        <v>990.14</v>
      </c>
      <c r="J334" s="123">
        <v>981.38</v>
      </c>
      <c r="K334" s="123">
        <v>976.65</v>
      </c>
      <c r="L334" s="123">
        <v>976.23</v>
      </c>
      <c r="M334" s="123">
        <v>980.61</v>
      </c>
      <c r="N334" s="123">
        <v>982.34</v>
      </c>
      <c r="O334" s="123">
        <v>988.44</v>
      </c>
      <c r="P334" s="123">
        <v>994.8</v>
      </c>
      <c r="Q334" s="123">
        <v>999.55</v>
      </c>
      <c r="R334" s="123">
        <v>998.42</v>
      </c>
      <c r="S334" s="123">
        <v>997.52</v>
      </c>
      <c r="T334" s="123">
        <v>999.66</v>
      </c>
      <c r="U334" s="337"/>
      <c r="V334" s="337"/>
      <c r="W334" s="337"/>
      <c r="X334" s="359"/>
      <c r="Y334" s="337"/>
      <c r="Z334" s="337"/>
      <c r="AA334" s="339"/>
    </row>
    <row r="335" spans="1:35" ht="32.25" thickBot="1">
      <c r="A335" s="372"/>
      <c r="B335" s="281"/>
      <c r="C335" s="243" t="s">
        <v>221</v>
      </c>
      <c r="D335" s="337">
        <f t="shared" ref="D335:I335" si="128">IF(((D333="")*AND(D334="")),"",(D333-D334)*2)</f>
        <v>2004.98</v>
      </c>
      <c r="E335" s="337">
        <f t="shared" si="128"/>
        <v>2006.78</v>
      </c>
      <c r="F335" s="337">
        <f t="shared" si="128"/>
        <v>2007.78</v>
      </c>
      <c r="G335" s="337">
        <f t="shared" si="128"/>
        <v>2010.4399999999998</v>
      </c>
      <c r="H335" s="337">
        <f t="shared" si="128"/>
        <v>2021.2200000000003</v>
      </c>
      <c r="I335" s="337">
        <f t="shared" si="128"/>
        <v>2039.4800000000002</v>
      </c>
      <c r="J335" s="337">
        <f>IF(((J333="")*AND(J334="")),"",(J333-J334)*2)</f>
        <v>2062</v>
      </c>
      <c r="K335" s="337">
        <f>IF(((K333="")*AND(K334="")),"",(K333-K334)*2)</f>
        <v>2076.3000000000002</v>
      </c>
      <c r="L335" s="337">
        <f>IF(((L333="")*AND(L334="")),"",(L333-L334)*2)</f>
        <v>2088.56</v>
      </c>
      <c r="M335" s="337">
        <f>IF(((M333="")*AND(M334="")),"",(M333-M334)*2)</f>
        <v>2076.92</v>
      </c>
      <c r="N335" s="337">
        <f t="shared" ref="N335:T335" si="129">IF(((N333="")*AND(N334="")),"",(N333-N334)*2)</f>
        <v>2064.38</v>
      </c>
      <c r="O335" s="337">
        <f t="shared" si="129"/>
        <v>2047.2799999999997</v>
      </c>
      <c r="P335" s="337">
        <f t="shared" si="129"/>
        <v>2030.44</v>
      </c>
      <c r="Q335" s="337">
        <f t="shared" si="129"/>
        <v>2023.1</v>
      </c>
      <c r="R335" s="337">
        <f t="shared" si="129"/>
        <v>2029.76</v>
      </c>
      <c r="S335" s="337">
        <f t="shared" si="129"/>
        <v>2039.5</v>
      </c>
      <c r="T335" s="337">
        <f t="shared" si="129"/>
        <v>2045.5000000000002</v>
      </c>
      <c r="U335" s="337"/>
      <c r="V335" s="337"/>
      <c r="W335" s="337"/>
      <c r="X335" s="366"/>
      <c r="Y335" s="337"/>
      <c r="Z335" s="337"/>
      <c r="AA335" s="339"/>
    </row>
    <row r="336" spans="1:35">
      <c r="A336" s="248">
        <v>43627</v>
      </c>
      <c r="B336" s="268" t="s">
        <v>76</v>
      </c>
      <c r="C336" s="235" t="s">
        <v>77</v>
      </c>
      <c r="D336" s="123">
        <v>2036.41</v>
      </c>
      <c r="E336" s="123">
        <v>2021.65</v>
      </c>
      <c r="F336" s="123">
        <v>2012.64</v>
      </c>
      <c r="G336" s="123">
        <v>2006.84</v>
      </c>
      <c r="H336" s="123">
        <v>2005.71</v>
      </c>
      <c r="I336" s="123">
        <v>2006.66</v>
      </c>
      <c r="J336" s="123">
        <v>2013.95</v>
      </c>
      <c r="K336" s="123">
        <v>2021.99</v>
      </c>
      <c r="L336" s="123">
        <v>2035.21</v>
      </c>
      <c r="M336" s="123">
        <v>2029.67</v>
      </c>
      <c r="N336" s="123">
        <v>2020.67</v>
      </c>
      <c r="O336" s="123">
        <v>2010.38</v>
      </c>
      <c r="P336" s="123">
        <v>2006.45</v>
      </c>
      <c r="Q336" s="123">
        <v>2008.14</v>
      </c>
      <c r="R336" s="123">
        <v>2013.13</v>
      </c>
      <c r="S336" s="123">
        <v>2022.62</v>
      </c>
      <c r="T336" s="123">
        <v>2033.81</v>
      </c>
      <c r="U336" s="235">
        <f>IF((T337=""),"",MAX(D338:T338))</f>
        <v>2070.6000000000004</v>
      </c>
      <c r="V336" s="235">
        <f>IF(T337="","",MIN(D338:T338))</f>
        <v>1991.3200000000002</v>
      </c>
      <c r="W336" s="235">
        <f>IF((T338=""),"",AVERAGE(D338:T338))</f>
        <v>2026.3552941176476</v>
      </c>
      <c r="X336" s="359">
        <f>STDEV(D338:T338)</f>
        <v>24.762806312504022</v>
      </c>
      <c r="Y336" s="235">
        <f>IF((T337=""),"",((U336-V336)/(U336+V336))*100)</f>
        <v>1.9517863473431329</v>
      </c>
      <c r="Z336" s="228" t="str">
        <f>IF(T337="","",IF(Y336&lt;15,IF(W336&gt;AF336,IF(W336&lt;AG336,"Pass","Fail"),"Fail"),"Fail"))</f>
        <v>Pass</v>
      </c>
      <c r="AA336" s="373">
        <v>121</v>
      </c>
      <c r="AB336" s="377" t="s">
        <v>179</v>
      </c>
      <c r="AD336" s="302">
        <v>1600</v>
      </c>
      <c r="AE336" s="302">
        <v>2600</v>
      </c>
      <c r="AF336" s="334">
        <v>1690</v>
      </c>
      <c r="AG336" s="334">
        <v>2210</v>
      </c>
      <c r="AH336" s="335">
        <v>15</v>
      </c>
      <c r="AI336" s="335">
        <v>15</v>
      </c>
    </row>
    <row r="337" spans="1:35">
      <c r="A337" s="371"/>
      <c r="B337" s="276"/>
      <c r="C337" s="235" t="s">
        <v>78</v>
      </c>
      <c r="D337" s="123">
        <v>1039.2</v>
      </c>
      <c r="E337" s="123">
        <v>1025.99</v>
      </c>
      <c r="F337" s="123">
        <v>1014.82</v>
      </c>
      <c r="G337" s="123">
        <v>1006.38</v>
      </c>
      <c r="H337" s="123">
        <v>999.75</v>
      </c>
      <c r="I337" s="123">
        <v>994.13</v>
      </c>
      <c r="J337" s="123">
        <v>990.01</v>
      </c>
      <c r="K337" s="123">
        <v>991.97</v>
      </c>
      <c r="L337" s="123">
        <v>999.91</v>
      </c>
      <c r="M337" s="123">
        <v>999.13</v>
      </c>
      <c r="N337" s="123">
        <v>995.24</v>
      </c>
      <c r="O337" s="123">
        <v>995.04</v>
      </c>
      <c r="P337" s="123">
        <v>997.17</v>
      </c>
      <c r="Q337" s="123">
        <v>1001.44</v>
      </c>
      <c r="R337" s="123">
        <v>1004.84</v>
      </c>
      <c r="S337" s="123">
        <v>1010.04</v>
      </c>
      <c r="T337" s="123">
        <v>1016.85</v>
      </c>
      <c r="U337" s="337"/>
      <c r="V337" s="337"/>
      <c r="W337" s="337"/>
      <c r="X337" s="359"/>
      <c r="Y337" s="337"/>
      <c r="Z337" s="337"/>
      <c r="AA337" s="339"/>
    </row>
    <row r="338" spans="1:35" ht="32.25" thickBot="1">
      <c r="A338" s="372"/>
      <c r="B338" s="281"/>
      <c r="C338" s="243" t="s">
        <v>221</v>
      </c>
      <c r="D338" s="337">
        <f t="shared" ref="D338:I338" si="130">IF(((D336="")*AND(D337="")),"",(D336-D337)*2)</f>
        <v>1994.42</v>
      </c>
      <c r="E338" s="337">
        <f t="shared" si="130"/>
        <v>1991.3200000000002</v>
      </c>
      <c r="F338" s="337">
        <f t="shared" si="130"/>
        <v>1995.64</v>
      </c>
      <c r="G338" s="337">
        <f t="shared" si="130"/>
        <v>2000.9199999999998</v>
      </c>
      <c r="H338" s="337">
        <f t="shared" si="130"/>
        <v>2011.92</v>
      </c>
      <c r="I338" s="337">
        <f t="shared" si="130"/>
        <v>2025.0600000000002</v>
      </c>
      <c r="J338" s="337">
        <f>IF(((J336="")*AND(J337="")),"",(J336-J337)*2)</f>
        <v>2047.88</v>
      </c>
      <c r="K338" s="337">
        <f>IF(((K336="")*AND(K337="")),"",(K336-K337)*2)</f>
        <v>2060.04</v>
      </c>
      <c r="L338" s="337">
        <f>IF(((L336="")*AND(L337="")),"",(L336-L337)*2)</f>
        <v>2070.6000000000004</v>
      </c>
      <c r="M338" s="337">
        <f>IF(((M336="")*AND(M337="")),"",(M336-M337)*2)</f>
        <v>2061.08</v>
      </c>
      <c r="N338" s="337">
        <f t="shared" ref="N338:T338" si="131">IF(((N336="")*AND(N337="")),"",(N336-N337)*2)</f>
        <v>2050.86</v>
      </c>
      <c r="O338" s="337">
        <f t="shared" si="131"/>
        <v>2030.6800000000003</v>
      </c>
      <c r="P338" s="337">
        <f t="shared" si="131"/>
        <v>2018.5600000000002</v>
      </c>
      <c r="Q338" s="337">
        <f t="shared" si="131"/>
        <v>2013.4</v>
      </c>
      <c r="R338" s="337">
        <f t="shared" si="131"/>
        <v>2016.5800000000002</v>
      </c>
      <c r="S338" s="337">
        <f t="shared" si="131"/>
        <v>2025.1599999999999</v>
      </c>
      <c r="T338" s="337">
        <f t="shared" si="131"/>
        <v>2033.9199999999998</v>
      </c>
      <c r="U338" s="337"/>
      <c r="V338" s="337"/>
      <c r="W338" s="337"/>
      <c r="X338" s="366"/>
      <c r="Y338" s="337"/>
      <c r="Z338" s="337"/>
      <c r="AA338" s="339"/>
    </row>
    <row r="339" spans="1:35">
      <c r="A339" s="248">
        <v>43633</v>
      </c>
      <c r="B339" s="268" t="s">
        <v>76</v>
      </c>
      <c r="C339" s="235" t="s">
        <v>77</v>
      </c>
      <c r="D339" s="123">
        <v>2026.44</v>
      </c>
      <c r="E339" s="123">
        <v>1999.92</v>
      </c>
      <c r="F339" s="123">
        <v>1981.54</v>
      </c>
      <c r="G339" s="123">
        <v>1970.04</v>
      </c>
      <c r="H339" s="123">
        <v>1968.42</v>
      </c>
      <c r="I339" s="123">
        <v>1976.17</v>
      </c>
      <c r="J339" s="123">
        <v>1989.28</v>
      </c>
      <c r="K339" s="123">
        <v>2009.95</v>
      </c>
      <c r="L339" s="123">
        <v>2033.06</v>
      </c>
      <c r="M339" s="123">
        <v>2008.57</v>
      </c>
      <c r="N339" s="123">
        <v>1995.36</v>
      </c>
      <c r="O339" s="123">
        <v>1981.82</v>
      </c>
      <c r="P339" s="123">
        <v>1972.55</v>
      </c>
      <c r="Q339" s="123">
        <v>1972.57</v>
      </c>
      <c r="R339" s="123">
        <v>1981.58</v>
      </c>
      <c r="S339" s="123">
        <v>1996.13</v>
      </c>
      <c r="T339" s="123">
        <v>2013.66</v>
      </c>
      <c r="U339" s="235">
        <f>IF((T340=""),"",MAX(D341:T341))</f>
        <v>2067.84</v>
      </c>
      <c r="V339" s="235">
        <f>IF(T340="","",MIN(D341:T341))</f>
        <v>1989.96</v>
      </c>
      <c r="W339" s="235">
        <f>IF((T341=""),"",AVERAGE(D341:T341))</f>
        <v>2023.8647058823533</v>
      </c>
      <c r="X339" s="359">
        <f>STDEV(D341:T341)</f>
        <v>23.339663161035315</v>
      </c>
      <c r="Y339" s="235">
        <f>IF((T340=""),"",((U339-V339)/(U339+V339))*100)</f>
        <v>1.9192665976637613</v>
      </c>
      <c r="Z339" s="228" t="str">
        <f>IF(T340="","",IF(Y339&lt;15,IF(W339&gt;AF339,IF(W339&lt;AG339,"Pass","Fail"),"Fail"),"Fail"))</f>
        <v>Pass</v>
      </c>
      <c r="AA339" s="373">
        <v>1340</v>
      </c>
      <c r="AB339" s="122" t="s">
        <v>180</v>
      </c>
      <c r="AD339" s="302">
        <v>1600</v>
      </c>
      <c r="AE339" s="302">
        <v>2600</v>
      </c>
      <c r="AF339" s="334">
        <v>1690</v>
      </c>
      <c r="AG339" s="334">
        <v>2210</v>
      </c>
      <c r="AH339" s="335">
        <v>15</v>
      </c>
      <c r="AI339" s="335">
        <v>15</v>
      </c>
    </row>
    <row r="340" spans="1:35">
      <c r="A340" s="371"/>
      <c r="B340" s="276"/>
      <c r="C340" s="235" t="s">
        <v>78</v>
      </c>
      <c r="D340" s="123">
        <v>1031.46</v>
      </c>
      <c r="E340" s="123">
        <v>1002.5</v>
      </c>
      <c r="F340" s="123">
        <v>984.17</v>
      </c>
      <c r="G340" s="123">
        <v>970.92</v>
      </c>
      <c r="H340" s="123">
        <v>963.72</v>
      </c>
      <c r="I340" s="123">
        <v>962.55</v>
      </c>
      <c r="J340" s="123">
        <v>968.41</v>
      </c>
      <c r="K340" s="123">
        <v>979.92</v>
      </c>
      <c r="L340" s="123">
        <v>999.14</v>
      </c>
      <c r="M340" s="123">
        <v>984.94</v>
      </c>
      <c r="N340" s="123">
        <v>971.84</v>
      </c>
      <c r="O340" s="123">
        <v>965.08</v>
      </c>
      <c r="P340" s="123">
        <v>963.03</v>
      </c>
      <c r="Q340" s="123">
        <v>967.21</v>
      </c>
      <c r="R340" s="123">
        <v>973.58</v>
      </c>
      <c r="S340" s="123">
        <v>984.19</v>
      </c>
      <c r="T340" s="123">
        <v>1001.55</v>
      </c>
      <c r="U340" s="337"/>
      <c r="V340" s="337"/>
      <c r="W340" s="337"/>
      <c r="X340" s="359"/>
      <c r="Y340" s="337"/>
      <c r="Z340" s="337"/>
      <c r="AA340" s="339"/>
    </row>
    <row r="341" spans="1:35" ht="32.25" thickBot="1">
      <c r="A341" s="372"/>
      <c r="B341" s="281"/>
      <c r="C341" s="243" t="s">
        <v>221</v>
      </c>
      <c r="D341" s="337">
        <f t="shared" ref="D341:I341" si="132">IF(((D339="")*AND(D340="")),"",(D339-D340)*2)</f>
        <v>1989.96</v>
      </c>
      <c r="E341" s="337">
        <f t="shared" si="132"/>
        <v>1994.8400000000001</v>
      </c>
      <c r="F341" s="337">
        <f t="shared" si="132"/>
        <v>1994.74</v>
      </c>
      <c r="G341" s="337">
        <f t="shared" si="132"/>
        <v>1998.24</v>
      </c>
      <c r="H341" s="337">
        <f t="shared" si="132"/>
        <v>2009.4</v>
      </c>
      <c r="I341" s="337">
        <f t="shared" si="132"/>
        <v>2027.2400000000002</v>
      </c>
      <c r="J341" s="337">
        <f>IF(((J339="")*AND(J340="")),"",(J339-J340)*2)</f>
        <v>2041.74</v>
      </c>
      <c r="K341" s="337">
        <f>IF(((K339="")*AND(K340="")),"",(K339-K340)*2)</f>
        <v>2060.0600000000004</v>
      </c>
      <c r="L341" s="337">
        <f>IF(((L339="")*AND(L340="")),"",(L339-L340)*2)</f>
        <v>2067.84</v>
      </c>
      <c r="M341" s="337">
        <f>IF(((M339="")*AND(M340="")),"",(M339-M340)*2)</f>
        <v>2047.2599999999998</v>
      </c>
      <c r="N341" s="337">
        <f t="shared" ref="N341:T341" si="133">IF(((N339="")*AND(N340="")),"",(N339-N340)*2)</f>
        <v>2047.0399999999997</v>
      </c>
      <c r="O341" s="337">
        <f t="shared" si="133"/>
        <v>2033.4799999999998</v>
      </c>
      <c r="P341" s="337">
        <f t="shared" si="133"/>
        <v>2019.04</v>
      </c>
      <c r="Q341" s="337">
        <f t="shared" si="133"/>
        <v>2010.7199999999998</v>
      </c>
      <c r="R341" s="337">
        <f t="shared" si="133"/>
        <v>2015.9999999999998</v>
      </c>
      <c r="S341" s="337">
        <f t="shared" si="133"/>
        <v>2023.88</v>
      </c>
      <c r="T341" s="337">
        <f t="shared" si="133"/>
        <v>2024.2200000000003</v>
      </c>
      <c r="U341" s="337"/>
      <c r="V341" s="337"/>
      <c r="W341" s="337"/>
      <c r="X341" s="366"/>
      <c r="Y341" s="337"/>
      <c r="Z341" s="337"/>
      <c r="AA341" s="339"/>
    </row>
    <row r="342" spans="1:35">
      <c r="A342" s="248">
        <v>43637</v>
      </c>
      <c r="B342" s="268" t="s">
        <v>76</v>
      </c>
      <c r="C342" s="235" t="s">
        <v>77</v>
      </c>
      <c r="D342" s="123">
        <v>3728.69</v>
      </c>
      <c r="E342" s="123">
        <v>3723.9</v>
      </c>
      <c r="F342" s="123">
        <v>3718.35</v>
      </c>
      <c r="G342" s="123">
        <v>3712.83</v>
      </c>
      <c r="H342" s="123">
        <v>3714.47</v>
      </c>
      <c r="I342" s="123">
        <v>3713.45</v>
      </c>
      <c r="J342" s="123">
        <v>3722.4</v>
      </c>
      <c r="K342" s="123">
        <v>3726.01</v>
      </c>
      <c r="L342" s="123">
        <v>3735.5</v>
      </c>
      <c r="M342" s="123">
        <v>3736.94</v>
      </c>
      <c r="N342" s="123">
        <v>3722.97</v>
      </c>
      <c r="O342" s="123">
        <v>3719.52</v>
      </c>
      <c r="P342" s="123">
        <v>3716.62</v>
      </c>
      <c r="Q342" s="123">
        <v>3715.41</v>
      </c>
      <c r="R342" s="123">
        <v>3723.01</v>
      </c>
      <c r="S342" s="123">
        <v>3729.05</v>
      </c>
      <c r="T342" s="123">
        <v>3741.78</v>
      </c>
      <c r="U342" s="235">
        <f>IF((T343=""),"",MAX(D344:T344))</f>
        <v>2150.92</v>
      </c>
      <c r="V342" s="235">
        <f>IF(T343="","",MIN(D344:T344))</f>
        <v>2029.0600000000004</v>
      </c>
      <c r="W342" s="235">
        <f>IF((T344=""),"",AVERAGE(D344:T344))</f>
        <v>2079.4482352941177</v>
      </c>
      <c r="X342" s="359">
        <f>STDEV(D344:T344)</f>
        <v>34.90950591087153</v>
      </c>
      <c r="Y342" s="235">
        <f>IF((T343=""),"",((U342-V342)/(U342+V342))*100)</f>
        <v>2.9153249537079042</v>
      </c>
      <c r="Z342" s="228" t="str">
        <f>IF(T343="","",IF(Y342&lt;15,IF(W342&gt;AF342,IF(W342&lt;AG342,"Pass","Fail"),"Fail"),"Fail"))</f>
        <v>Pass</v>
      </c>
      <c r="AA342" s="373">
        <v>1335</v>
      </c>
      <c r="AB342" s="377" t="s">
        <v>181</v>
      </c>
      <c r="AD342" s="302">
        <v>1600</v>
      </c>
      <c r="AE342" s="302">
        <v>2600</v>
      </c>
      <c r="AF342" s="334">
        <v>1690</v>
      </c>
      <c r="AG342" s="334">
        <v>2210</v>
      </c>
      <c r="AH342" s="335">
        <v>15</v>
      </c>
      <c r="AI342" s="335">
        <v>15</v>
      </c>
    </row>
    <row r="343" spans="1:35">
      <c r="A343" s="371"/>
      <c r="B343" s="276"/>
      <c r="C343" s="235" t="s">
        <v>78</v>
      </c>
      <c r="D343" s="123">
        <v>2714.16</v>
      </c>
      <c r="E343" s="123">
        <v>2705.2</v>
      </c>
      <c r="F343" s="123">
        <v>2698.16</v>
      </c>
      <c r="G343" s="123">
        <v>2694.9</v>
      </c>
      <c r="H343" s="123">
        <v>2687.49</v>
      </c>
      <c r="I343" s="123">
        <v>2675.07</v>
      </c>
      <c r="J343" s="123">
        <v>2664.23</v>
      </c>
      <c r="K343" s="123">
        <v>2659.55</v>
      </c>
      <c r="L343" s="123">
        <v>2660.04</v>
      </c>
      <c r="M343" s="123">
        <v>2683.69</v>
      </c>
      <c r="N343" s="123">
        <v>2675.86</v>
      </c>
      <c r="O343" s="123">
        <v>2675.58</v>
      </c>
      <c r="P343" s="123">
        <v>2682.33</v>
      </c>
      <c r="Q343" s="123">
        <v>2685.92</v>
      </c>
      <c r="R343" s="123">
        <v>2682.48</v>
      </c>
      <c r="S343" s="123">
        <v>2683.76</v>
      </c>
      <c r="T343" s="123">
        <v>2697.17</v>
      </c>
      <c r="U343" s="337"/>
      <c r="V343" s="337"/>
      <c r="W343" s="337"/>
      <c r="X343" s="359"/>
      <c r="Y343" s="337"/>
      <c r="Z343" s="337"/>
      <c r="AA343" s="339"/>
    </row>
    <row r="344" spans="1:35" ht="32.25" thickBot="1">
      <c r="A344" s="372"/>
      <c r="B344" s="281"/>
      <c r="C344" s="243" t="s">
        <v>221</v>
      </c>
      <c r="D344" s="337">
        <f t="shared" ref="D344:I344" si="134">IF(((D342="")*AND(D343="")),"",(D342-D343)*2)</f>
        <v>2029.0600000000004</v>
      </c>
      <c r="E344" s="337">
        <f t="shared" si="134"/>
        <v>2037.4000000000005</v>
      </c>
      <c r="F344" s="337">
        <f t="shared" si="134"/>
        <v>2040.38</v>
      </c>
      <c r="G344" s="337">
        <f t="shared" si="134"/>
        <v>2035.8599999999997</v>
      </c>
      <c r="H344" s="337">
        <f t="shared" si="134"/>
        <v>2053.96</v>
      </c>
      <c r="I344" s="337">
        <f t="shared" si="134"/>
        <v>2076.7599999999993</v>
      </c>
      <c r="J344" s="337">
        <f>IF(((J342="")*AND(J343="")),"",(J342-J343)*2)</f>
        <v>2116.34</v>
      </c>
      <c r="K344" s="337">
        <f>IF(((K342="")*AND(K343="")),"",(K342-K343)*2)</f>
        <v>2132.92</v>
      </c>
      <c r="L344" s="337">
        <f>IF(((L342="")*AND(L343="")),"",(L342-L343)*2)</f>
        <v>2150.92</v>
      </c>
      <c r="M344" s="337">
        <f>IF(((M342="")*AND(M343="")),"",(M342-M343)*2)</f>
        <v>2106.5</v>
      </c>
      <c r="N344" s="337">
        <f t="shared" ref="N344:T344" si="135">IF(((N342="")*AND(N343="")),"",(N342-N343)*2)</f>
        <v>2094.2199999999993</v>
      </c>
      <c r="O344" s="337">
        <f t="shared" si="135"/>
        <v>2087.88</v>
      </c>
      <c r="P344" s="337">
        <f t="shared" si="135"/>
        <v>2068.58</v>
      </c>
      <c r="Q344" s="337">
        <f t="shared" si="135"/>
        <v>2058.9799999999996</v>
      </c>
      <c r="R344" s="337">
        <f t="shared" si="135"/>
        <v>2081.0600000000004</v>
      </c>
      <c r="S344" s="337">
        <f t="shared" si="135"/>
        <v>2090.58</v>
      </c>
      <c r="T344" s="337">
        <f t="shared" si="135"/>
        <v>2089.2200000000003</v>
      </c>
      <c r="U344" s="337"/>
      <c r="V344" s="337"/>
      <c r="W344" s="337"/>
      <c r="X344" s="366"/>
      <c r="Y344" s="337"/>
      <c r="Z344" s="337"/>
      <c r="AA344" s="339"/>
    </row>
    <row r="345" spans="1:35">
      <c r="A345" s="248">
        <v>43640</v>
      </c>
      <c r="B345" s="268" t="s">
        <v>76</v>
      </c>
      <c r="C345" s="235" t="s">
        <v>77</v>
      </c>
      <c r="D345" s="123">
        <v>3722.56</v>
      </c>
      <c r="E345" s="123">
        <v>3714.32</v>
      </c>
      <c r="F345" s="123">
        <v>3712.29</v>
      </c>
      <c r="G345" s="123">
        <v>3709.18</v>
      </c>
      <c r="H345" s="123">
        <v>3709.55</v>
      </c>
      <c r="I345" s="123">
        <v>3710.36</v>
      </c>
      <c r="J345" s="123">
        <v>3714.84</v>
      </c>
      <c r="K345" s="123">
        <v>3718.38</v>
      </c>
      <c r="L345" s="123">
        <v>3729.02</v>
      </c>
      <c r="M345" s="123">
        <v>3727.67</v>
      </c>
      <c r="N345" s="123">
        <v>3718.94</v>
      </c>
      <c r="O345" s="123">
        <v>3711.17</v>
      </c>
      <c r="P345" s="123">
        <v>3709.32</v>
      </c>
      <c r="Q345" s="123">
        <v>3709.54</v>
      </c>
      <c r="R345" s="123">
        <v>3716.83</v>
      </c>
      <c r="S345" s="123">
        <v>3722.56</v>
      </c>
      <c r="T345" s="123">
        <v>3739.09</v>
      </c>
      <c r="U345" s="235">
        <f>IF((T346=""),"",MAX(D347:T347))</f>
        <v>2108.3199999999997</v>
      </c>
      <c r="V345" s="235">
        <f>IF(T346="","",MIN(D347:T347))</f>
        <v>2023.2399999999998</v>
      </c>
      <c r="W345" s="235">
        <f>IF((T347=""),"",AVERAGE(D347:T347))</f>
        <v>2066.8482352941173</v>
      </c>
      <c r="X345" s="359">
        <f>STDEV(D347:T347)</f>
        <v>27.229290349569865</v>
      </c>
      <c r="Y345" s="235">
        <f>IF((T346=""),"",((U345-V345)/(U345+V345))*100)</f>
        <v>2.0592705902855082</v>
      </c>
      <c r="Z345" s="228" t="str">
        <f>IF(T346="","",IF(Y345&lt;15,IF(W345&gt;AF345,IF(W345&lt;AG345,"Pass","Fail"),"Fail"),"Fail"))</f>
        <v>Pass</v>
      </c>
      <c r="AA345" s="373" t="s">
        <v>183</v>
      </c>
      <c r="AB345" s="122" t="s">
        <v>184</v>
      </c>
      <c r="AD345" s="302">
        <v>1600</v>
      </c>
      <c r="AE345" s="302">
        <v>2600</v>
      </c>
      <c r="AF345" s="334">
        <v>1690</v>
      </c>
      <c r="AG345" s="334">
        <v>2210</v>
      </c>
      <c r="AH345" s="335">
        <v>15</v>
      </c>
      <c r="AI345" s="335">
        <v>15</v>
      </c>
    </row>
    <row r="346" spans="1:35">
      <c r="A346" s="371"/>
      <c r="B346" s="276"/>
      <c r="C346" s="235" t="s">
        <v>78</v>
      </c>
      <c r="D346" s="123">
        <v>2710.94</v>
      </c>
      <c r="E346" s="123">
        <v>2696.31</v>
      </c>
      <c r="F346" s="123">
        <v>2693.52</v>
      </c>
      <c r="G346" s="123">
        <v>2690.21</v>
      </c>
      <c r="H346" s="123">
        <v>2688.76</v>
      </c>
      <c r="I346" s="123">
        <v>2678.14</v>
      </c>
      <c r="J346" s="123">
        <v>2668.61</v>
      </c>
      <c r="K346" s="123">
        <v>2668.09</v>
      </c>
      <c r="L346" s="123">
        <v>2674.86</v>
      </c>
      <c r="M346" s="123">
        <v>2674.47</v>
      </c>
      <c r="N346" s="123">
        <v>2670.48</v>
      </c>
      <c r="O346" s="123">
        <v>2670.71</v>
      </c>
      <c r="P346" s="123">
        <v>2679.86</v>
      </c>
      <c r="Q346" s="123">
        <v>2685.91</v>
      </c>
      <c r="R346" s="123">
        <v>2683.78</v>
      </c>
      <c r="S346" s="123">
        <v>2690.24</v>
      </c>
      <c r="T346" s="123">
        <v>2702.52</v>
      </c>
      <c r="U346" s="337"/>
      <c r="V346" s="337"/>
      <c r="W346" s="337"/>
      <c r="X346" s="359"/>
      <c r="Y346" s="337"/>
      <c r="Z346" s="337"/>
      <c r="AA346" s="339"/>
    </row>
    <row r="347" spans="1:35" ht="32.25" thickBot="1">
      <c r="A347" s="372"/>
      <c r="B347" s="281"/>
      <c r="C347" s="243" t="s">
        <v>221</v>
      </c>
      <c r="D347" s="337">
        <f t="shared" ref="D347:I347" si="136">IF(((D345="")*AND(D346="")),"",(D345-D346)*2)</f>
        <v>2023.2399999999998</v>
      </c>
      <c r="E347" s="337">
        <f t="shared" si="136"/>
        <v>2036.0200000000004</v>
      </c>
      <c r="F347" s="337">
        <f t="shared" si="136"/>
        <v>2037.54</v>
      </c>
      <c r="G347" s="337">
        <f t="shared" si="136"/>
        <v>2037.9399999999996</v>
      </c>
      <c r="H347" s="337">
        <f t="shared" si="136"/>
        <v>2041.58</v>
      </c>
      <c r="I347" s="337">
        <f t="shared" si="136"/>
        <v>2064.4400000000005</v>
      </c>
      <c r="J347" s="337">
        <f>IF(((J345="")*AND(J346="")),"",(J345-J346)*2)</f>
        <v>2092.46</v>
      </c>
      <c r="K347" s="337">
        <f>IF(((K345="")*AND(K346="")),"",(K345-K346)*2)</f>
        <v>2100.58</v>
      </c>
      <c r="L347" s="337">
        <f>IF(((L345="")*AND(L346="")),"",(L345-L346)*2)</f>
        <v>2108.3199999999997</v>
      </c>
      <c r="M347" s="337">
        <f>IF(((M345="")*AND(M346="")),"",(M345-M346)*2)</f>
        <v>2106.4000000000005</v>
      </c>
      <c r="N347" s="337">
        <f t="shared" ref="N347:T347" si="137">IF(((N345="")*AND(N346="")),"",(N345-N346)*2)</f>
        <v>2096.92</v>
      </c>
      <c r="O347" s="337">
        <f t="shared" si="137"/>
        <v>2080.92</v>
      </c>
      <c r="P347" s="337">
        <f t="shared" si="137"/>
        <v>2058.92</v>
      </c>
      <c r="Q347" s="337">
        <f t="shared" si="137"/>
        <v>2047.2600000000002</v>
      </c>
      <c r="R347" s="337">
        <f t="shared" si="137"/>
        <v>2066.0999999999995</v>
      </c>
      <c r="S347" s="337">
        <f t="shared" si="137"/>
        <v>2064.6400000000003</v>
      </c>
      <c r="T347" s="337">
        <f t="shared" si="137"/>
        <v>2073.1400000000003</v>
      </c>
      <c r="U347" s="337"/>
      <c r="V347" s="337"/>
      <c r="W347" s="337"/>
      <c r="X347" s="366"/>
      <c r="Y347" s="337"/>
      <c r="Z347" s="337"/>
      <c r="AA347" s="339"/>
    </row>
    <row r="348" spans="1:35">
      <c r="A348" s="248">
        <v>43656</v>
      </c>
      <c r="B348" s="268" t="s">
        <v>76</v>
      </c>
      <c r="C348" s="235" t="s">
        <v>77</v>
      </c>
      <c r="D348" s="123">
        <v>3718.43</v>
      </c>
      <c r="E348" s="123">
        <v>3714.97</v>
      </c>
      <c r="F348" s="123">
        <v>3708.51</v>
      </c>
      <c r="G348" s="123">
        <v>3706.52</v>
      </c>
      <c r="H348" s="123">
        <v>3701.65</v>
      </c>
      <c r="I348" s="123">
        <v>3705.99</v>
      </c>
      <c r="J348" s="123">
        <v>3713.06</v>
      </c>
      <c r="K348" s="123">
        <v>3718.92</v>
      </c>
      <c r="L348" s="123">
        <v>3729.69</v>
      </c>
      <c r="M348" s="123">
        <v>3726.27</v>
      </c>
      <c r="N348" s="123">
        <v>3715.22</v>
      </c>
      <c r="O348" s="123">
        <v>3709.43</v>
      </c>
      <c r="P348" s="123">
        <v>3704.55</v>
      </c>
      <c r="Q348" s="123">
        <v>3709.91</v>
      </c>
      <c r="R348" s="123">
        <v>3715.07</v>
      </c>
      <c r="S348" s="123">
        <v>3719.58</v>
      </c>
      <c r="T348" s="123">
        <v>3737.91</v>
      </c>
      <c r="U348" s="235">
        <f>IF((T349=""),"",MAX(D350:T350))</f>
        <v>2103.5</v>
      </c>
      <c r="V348" s="235">
        <f>IF(T349="","",MIN(D350:T350))</f>
        <v>2032.3199999999997</v>
      </c>
      <c r="W348" s="235">
        <f>IF((T350=""),"",AVERAGE(D350:T350))</f>
        <v>2067.5388235294117</v>
      </c>
      <c r="X348" s="359">
        <f>STDEV(D350:T350)</f>
        <v>24.485925008653705</v>
      </c>
      <c r="Y348" s="235">
        <f>IF((T349=""),"",((U348-V348)/(U348+V348))*100)</f>
        <v>1.7210613614712509</v>
      </c>
      <c r="Z348" s="228" t="str">
        <f>IF(T349="","",IF(Y348&lt;15,IF(W348&gt;AF348,IF(W348&lt;AG348,"Pass","Fail"),"Fail"),"Fail"))</f>
        <v>Pass</v>
      </c>
      <c r="AA348" s="373">
        <v>1428</v>
      </c>
      <c r="AB348" s="377" t="s">
        <v>185</v>
      </c>
      <c r="AD348" s="302">
        <v>1600</v>
      </c>
      <c r="AE348" s="302">
        <v>2600</v>
      </c>
      <c r="AF348" s="334">
        <v>1690</v>
      </c>
      <c r="AG348" s="334">
        <v>2210</v>
      </c>
      <c r="AH348" s="335">
        <v>15</v>
      </c>
      <c r="AI348" s="335">
        <v>15</v>
      </c>
    </row>
    <row r="349" spans="1:35">
      <c r="A349" s="371"/>
      <c r="B349" s="276"/>
      <c r="C349" s="235" t="s">
        <v>78</v>
      </c>
      <c r="D349" s="123">
        <v>2702.27</v>
      </c>
      <c r="E349" s="123">
        <v>2690.99</v>
      </c>
      <c r="F349" s="123">
        <v>2687.75</v>
      </c>
      <c r="G349" s="123">
        <v>2687.3</v>
      </c>
      <c r="H349" s="123">
        <v>2683.09</v>
      </c>
      <c r="I349" s="123">
        <v>2674.14</v>
      </c>
      <c r="J349" s="123">
        <v>2667.77</v>
      </c>
      <c r="K349" s="123">
        <v>2667.17</v>
      </c>
      <c r="L349" s="123">
        <v>2677.98</v>
      </c>
      <c r="M349" s="123">
        <v>2678.41</v>
      </c>
      <c r="N349" s="123">
        <v>2666.31</v>
      </c>
      <c r="O349" s="123">
        <v>2665.65</v>
      </c>
      <c r="P349" s="123">
        <v>2674.23</v>
      </c>
      <c r="Q349" s="123">
        <v>2681.17</v>
      </c>
      <c r="R349" s="123">
        <v>2679.62</v>
      </c>
      <c r="S349" s="123">
        <v>2689.53</v>
      </c>
      <c r="T349" s="123">
        <v>2708.22</v>
      </c>
      <c r="U349" s="337"/>
      <c r="V349" s="337"/>
      <c r="W349" s="337"/>
      <c r="X349" s="359"/>
      <c r="Y349" s="337"/>
      <c r="Z349" s="337"/>
      <c r="AA349" s="339"/>
    </row>
    <row r="350" spans="1:35" ht="32.25" thickBot="1">
      <c r="A350" s="372"/>
      <c r="B350" s="281"/>
      <c r="C350" s="243" t="s">
        <v>221</v>
      </c>
      <c r="D350" s="337">
        <f t="shared" ref="D350:I350" si="138">IF(((D348="")*AND(D349="")),"",(D348-D349)*2)</f>
        <v>2032.3199999999997</v>
      </c>
      <c r="E350" s="337">
        <f t="shared" si="138"/>
        <v>2047.96</v>
      </c>
      <c r="F350" s="337">
        <f t="shared" si="138"/>
        <v>2041.5200000000004</v>
      </c>
      <c r="G350" s="337">
        <f t="shared" si="138"/>
        <v>2038.4399999999996</v>
      </c>
      <c r="H350" s="337">
        <f t="shared" si="138"/>
        <v>2037.12</v>
      </c>
      <c r="I350" s="337">
        <f t="shared" si="138"/>
        <v>2063.6999999999998</v>
      </c>
      <c r="J350" s="337">
        <f>IF(((J348="")*AND(J349="")),"",(J348-J349)*2)</f>
        <v>2090.58</v>
      </c>
      <c r="K350" s="337">
        <f>IF(((K348="")*AND(K349="")),"",(K348-K349)*2)</f>
        <v>2103.5</v>
      </c>
      <c r="L350" s="337">
        <f>IF(((L348="")*AND(L349="")),"",(L348-L349)*2)</f>
        <v>2103.42</v>
      </c>
      <c r="M350" s="337">
        <f>IF(((M348="")*AND(M349="")),"",(M348-M349)*2)</f>
        <v>2095.7200000000003</v>
      </c>
      <c r="N350" s="337">
        <f t="shared" ref="N350:T350" si="139">IF(((N348="")*AND(N349="")),"",(N348-N349)*2)</f>
        <v>2097.8199999999997</v>
      </c>
      <c r="O350" s="337">
        <f t="shared" si="139"/>
        <v>2087.5599999999995</v>
      </c>
      <c r="P350" s="337">
        <f t="shared" si="139"/>
        <v>2060.6400000000003</v>
      </c>
      <c r="Q350" s="337">
        <f t="shared" si="139"/>
        <v>2057.4799999999996</v>
      </c>
      <c r="R350" s="337">
        <f t="shared" si="139"/>
        <v>2070.9000000000005</v>
      </c>
      <c r="S350" s="337">
        <f t="shared" si="139"/>
        <v>2060.0999999999995</v>
      </c>
      <c r="T350" s="337">
        <f t="shared" si="139"/>
        <v>2059.38</v>
      </c>
      <c r="U350" s="337"/>
      <c r="V350" s="337"/>
      <c r="W350" s="337"/>
      <c r="X350" s="366"/>
      <c r="Y350" s="337"/>
      <c r="Z350" s="337"/>
      <c r="AA350" s="339"/>
    </row>
    <row r="351" spans="1:35">
      <c r="A351" s="248">
        <v>43661</v>
      </c>
      <c r="B351" s="268" t="s">
        <v>76</v>
      </c>
      <c r="C351" s="235" t="s">
        <v>77</v>
      </c>
      <c r="D351" s="123">
        <v>2110</v>
      </c>
      <c r="E351" s="123">
        <v>2086</v>
      </c>
      <c r="F351" s="123">
        <v>2070</v>
      </c>
      <c r="G351" s="123">
        <v>2063</v>
      </c>
      <c r="H351" s="123">
        <v>2060</v>
      </c>
      <c r="I351" s="123">
        <v>2062</v>
      </c>
      <c r="J351" s="123">
        <v>2072</v>
      </c>
      <c r="K351" s="123">
        <v>2086</v>
      </c>
      <c r="L351" s="123">
        <v>2111</v>
      </c>
      <c r="M351" s="123">
        <v>2094</v>
      </c>
      <c r="N351" s="123">
        <v>2082</v>
      </c>
      <c r="O351" s="123">
        <v>2069</v>
      </c>
      <c r="P351" s="123">
        <v>2061</v>
      </c>
      <c r="Q351" s="123">
        <v>2062</v>
      </c>
      <c r="R351" s="123">
        <v>2071</v>
      </c>
      <c r="S351" s="123">
        <v>2083</v>
      </c>
      <c r="T351" s="123">
        <v>2106</v>
      </c>
      <c r="U351" s="235">
        <f>IF((T352=""),"",MAX(D353:T353))</f>
        <v>2090</v>
      </c>
      <c r="V351" s="235">
        <f>IF(T352="","",MIN(D353:T353))</f>
        <v>2006</v>
      </c>
      <c r="W351" s="235">
        <f>IF((T353=""),"",AVERAGE(D353:T353))</f>
        <v>2038.5882352941176</v>
      </c>
      <c r="X351" s="359">
        <f>STDEV(D353:T353)</f>
        <v>26.464737915595855</v>
      </c>
      <c r="Y351" s="235">
        <f>IF((T352=""),"",((U351-V351)/(U351+V351))*100)</f>
        <v>2.05078125</v>
      </c>
      <c r="Z351" s="228" t="str">
        <f>IF(T352="","",IF(Y351&lt;15,IF(W351&gt;AF351,IF(W351&lt;AG351,"Pass","Fail"),"Fail"),"Fail"))</f>
        <v>Pass</v>
      </c>
      <c r="AA351" s="373">
        <v>1340</v>
      </c>
      <c r="AB351" s="377" t="s">
        <v>186</v>
      </c>
      <c r="AD351" s="302">
        <v>1600</v>
      </c>
      <c r="AE351" s="302">
        <v>2600</v>
      </c>
      <c r="AF351" s="334">
        <v>1690</v>
      </c>
      <c r="AG351" s="334">
        <v>2210</v>
      </c>
      <c r="AH351" s="335">
        <v>15</v>
      </c>
      <c r="AI351" s="335">
        <v>15</v>
      </c>
    </row>
    <row r="352" spans="1:35">
      <c r="A352" s="371"/>
      <c r="B352" s="276"/>
      <c r="C352" s="235" t="s">
        <v>78</v>
      </c>
      <c r="D352" s="123">
        <v>1107</v>
      </c>
      <c r="E352" s="123">
        <v>1079</v>
      </c>
      <c r="F352" s="123">
        <v>1065</v>
      </c>
      <c r="G352" s="123">
        <v>1056</v>
      </c>
      <c r="H352" s="123">
        <v>1050</v>
      </c>
      <c r="I352" s="123">
        <v>1044</v>
      </c>
      <c r="J352" s="123">
        <v>1044</v>
      </c>
      <c r="K352" s="123">
        <v>1051</v>
      </c>
      <c r="L352" s="123">
        <v>1066</v>
      </c>
      <c r="M352" s="123">
        <v>1052</v>
      </c>
      <c r="N352" s="123">
        <v>1048</v>
      </c>
      <c r="O352" s="123">
        <v>1043</v>
      </c>
      <c r="P352" s="123">
        <v>1045</v>
      </c>
      <c r="Q352" s="123">
        <v>1052</v>
      </c>
      <c r="R352" s="123">
        <v>1057</v>
      </c>
      <c r="S352" s="123">
        <v>1069</v>
      </c>
      <c r="T352" s="123">
        <v>1092</v>
      </c>
      <c r="U352" s="337"/>
      <c r="V352" s="337"/>
      <c r="W352" s="337"/>
      <c r="X352" s="359"/>
      <c r="Y352" s="337"/>
      <c r="Z352" s="337"/>
      <c r="AA352" s="339"/>
    </row>
    <row r="353" spans="1:35" ht="32.25" thickBot="1">
      <c r="A353" s="372"/>
      <c r="B353" s="281"/>
      <c r="C353" s="243" t="s">
        <v>221</v>
      </c>
      <c r="D353" s="337">
        <f t="shared" ref="D353:I353" si="140">IF(((D351="")*AND(D352="")),"",(D351-D352)*2)</f>
        <v>2006</v>
      </c>
      <c r="E353" s="337">
        <f t="shared" si="140"/>
        <v>2014</v>
      </c>
      <c r="F353" s="337">
        <f t="shared" si="140"/>
        <v>2010</v>
      </c>
      <c r="G353" s="337">
        <f t="shared" si="140"/>
        <v>2014</v>
      </c>
      <c r="H353" s="337">
        <f t="shared" si="140"/>
        <v>2020</v>
      </c>
      <c r="I353" s="337">
        <f t="shared" si="140"/>
        <v>2036</v>
      </c>
      <c r="J353" s="337">
        <f>IF(((J351="")*AND(J352="")),"",(J351-J352)*2)</f>
        <v>2056</v>
      </c>
      <c r="K353" s="337">
        <f>IF(((K351="")*AND(K352="")),"",(K351-K352)*2)</f>
        <v>2070</v>
      </c>
      <c r="L353" s="337">
        <f>IF(((L351="")*AND(L352="")),"",(L351-L352)*2)</f>
        <v>2090</v>
      </c>
      <c r="M353" s="337">
        <f>IF(((M351="")*AND(M352="")),"",(M351-M352)*2)</f>
        <v>2084</v>
      </c>
      <c r="N353" s="337">
        <f t="shared" ref="N353:T353" si="141">IF(((N351="")*AND(N352="")),"",(N351-N352)*2)</f>
        <v>2068</v>
      </c>
      <c r="O353" s="337">
        <f t="shared" si="141"/>
        <v>2052</v>
      </c>
      <c r="P353" s="337">
        <f t="shared" si="141"/>
        <v>2032</v>
      </c>
      <c r="Q353" s="337">
        <f t="shared" si="141"/>
        <v>2020</v>
      </c>
      <c r="R353" s="337">
        <f t="shared" si="141"/>
        <v>2028</v>
      </c>
      <c r="S353" s="337">
        <f t="shared" si="141"/>
        <v>2028</v>
      </c>
      <c r="T353" s="337">
        <f t="shared" si="141"/>
        <v>2028</v>
      </c>
      <c r="U353" s="337"/>
      <c r="V353" s="337"/>
      <c r="W353" s="337"/>
      <c r="X353" s="366"/>
      <c r="Y353" s="337"/>
      <c r="Z353" s="337"/>
      <c r="AA353" s="339"/>
    </row>
    <row r="354" spans="1:35">
      <c r="A354" s="248">
        <v>43667</v>
      </c>
      <c r="B354" s="268" t="s">
        <v>76</v>
      </c>
      <c r="C354" s="235" t="s">
        <v>77</v>
      </c>
      <c r="D354" s="123">
        <v>2058.31</v>
      </c>
      <c r="E354" s="123">
        <v>2043.92</v>
      </c>
      <c r="F354" s="123">
        <v>2031.62</v>
      </c>
      <c r="G354" s="123">
        <v>2022.4</v>
      </c>
      <c r="H354" s="123">
        <v>2020.52</v>
      </c>
      <c r="I354" s="123">
        <v>2023.81</v>
      </c>
      <c r="J354" s="123">
        <v>2031.04</v>
      </c>
      <c r="K354" s="123">
        <v>2043.34</v>
      </c>
      <c r="L354" s="123">
        <v>2059.64</v>
      </c>
      <c r="M354" s="123">
        <v>2050.27</v>
      </c>
      <c r="N354" s="123">
        <v>2039.52</v>
      </c>
      <c r="O354" s="123">
        <v>2029.37</v>
      </c>
      <c r="P354" s="123">
        <v>2023.5</v>
      </c>
      <c r="Q354" s="123">
        <v>2023.07</v>
      </c>
      <c r="R354" s="123">
        <v>2031.54</v>
      </c>
      <c r="S354" s="123">
        <v>2042.35</v>
      </c>
      <c r="T354" s="123">
        <v>2055.48</v>
      </c>
      <c r="U354" s="235">
        <f>IF((T355=""),"",MAX(D356:T356))</f>
        <v>2056.9799999999996</v>
      </c>
      <c r="V354" s="235">
        <f>IF(T355="","",MIN(D356:T356))</f>
        <v>1997.94</v>
      </c>
      <c r="W354" s="235">
        <f>IF((T356=""),"",AVERAGE(D356:T356))</f>
        <v>2026.4564705882353</v>
      </c>
      <c r="X354" s="359">
        <f>STDEV(D356:T356)</f>
        <v>20.053044949949655</v>
      </c>
      <c r="Y354" s="235">
        <f>IF((T355=""),"",((U354-V354)/(U354+V354))*100)</f>
        <v>1.4560089964783403</v>
      </c>
      <c r="Z354" s="228" t="str">
        <f>IF(T355="","",IF(Y354&lt;15,IF(W354&gt;AF354,IF(W354&lt;AG354,"Pass","Fail"),"Fail"),"Fail"))</f>
        <v>Pass</v>
      </c>
      <c r="AA354" s="373"/>
      <c r="AD354" s="302">
        <v>1600</v>
      </c>
      <c r="AE354" s="302">
        <v>2600</v>
      </c>
      <c r="AF354" s="334">
        <v>1690</v>
      </c>
      <c r="AG354" s="334">
        <v>2210</v>
      </c>
      <c r="AH354" s="335">
        <v>15</v>
      </c>
      <c r="AI354" s="335">
        <v>15</v>
      </c>
    </row>
    <row r="355" spans="1:35">
      <c r="A355" s="371"/>
      <c r="B355" s="276"/>
      <c r="C355" s="235" t="s">
        <v>78</v>
      </c>
      <c r="D355" s="123">
        <v>1059.3399999999999</v>
      </c>
      <c r="E355" s="123">
        <v>1041.4000000000001</v>
      </c>
      <c r="F355" s="123">
        <v>1029.25</v>
      </c>
      <c r="G355" s="123">
        <v>1019.85</v>
      </c>
      <c r="H355" s="123">
        <v>1013.87</v>
      </c>
      <c r="I355" s="123">
        <v>1009.36</v>
      </c>
      <c r="J355" s="123">
        <v>1010.69</v>
      </c>
      <c r="K355" s="123">
        <v>1015.33</v>
      </c>
      <c r="L355" s="123">
        <v>1031.1500000000001</v>
      </c>
      <c r="M355" s="123">
        <v>1022.74</v>
      </c>
      <c r="N355" s="123">
        <v>1012.65</v>
      </c>
      <c r="O355" s="123">
        <v>1010.95</v>
      </c>
      <c r="P355" s="123">
        <v>1010.13</v>
      </c>
      <c r="Q355" s="123">
        <v>1016.47</v>
      </c>
      <c r="R355" s="123">
        <v>1022.37</v>
      </c>
      <c r="S355" s="123">
        <v>1031.95</v>
      </c>
      <c r="T355" s="123">
        <v>1047.32</v>
      </c>
      <c r="U355" s="337"/>
      <c r="V355" s="337"/>
      <c r="W355" s="337"/>
      <c r="X355" s="359"/>
      <c r="Y355" s="337"/>
      <c r="Z355" s="337"/>
      <c r="AA355" s="339"/>
    </row>
    <row r="356" spans="1:35" ht="32.25" thickBot="1">
      <c r="A356" s="372"/>
      <c r="B356" s="281"/>
      <c r="C356" s="243" t="s">
        <v>221</v>
      </c>
      <c r="D356" s="337">
        <f t="shared" ref="D356:I356" si="142">IF(((D354="")*AND(D355="")),"",(D354-D355)*2)</f>
        <v>1997.94</v>
      </c>
      <c r="E356" s="337">
        <f t="shared" si="142"/>
        <v>2005.04</v>
      </c>
      <c r="F356" s="337">
        <f t="shared" si="142"/>
        <v>2004.7399999999998</v>
      </c>
      <c r="G356" s="337">
        <f t="shared" si="142"/>
        <v>2005.1000000000001</v>
      </c>
      <c r="H356" s="337">
        <f t="shared" si="142"/>
        <v>2013.3</v>
      </c>
      <c r="I356" s="337">
        <f t="shared" si="142"/>
        <v>2028.8999999999999</v>
      </c>
      <c r="J356" s="337">
        <f>IF(((J354="")*AND(J355="")),"",(J354-J355)*2)</f>
        <v>2040.6999999999998</v>
      </c>
      <c r="K356" s="337">
        <f>IF(((K354="")*AND(K355="")),"",(K354-K355)*2)</f>
        <v>2056.0199999999995</v>
      </c>
      <c r="L356" s="337">
        <f>IF(((L354="")*AND(L355="")),"",(L354-L355)*2)</f>
        <v>2056.9799999999996</v>
      </c>
      <c r="M356" s="337">
        <f>IF(((M354="")*AND(M355="")),"",(M354-M355)*2)</f>
        <v>2055.06</v>
      </c>
      <c r="N356" s="337">
        <f t="shared" ref="N356:T356" si="143">IF(((N354="")*AND(N355="")),"",(N354-N355)*2)</f>
        <v>2053.7399999999998</v>
      </c>
      <c r="O356" s="337">
        <f t="shared" si="143"/>
        <v>2036.8399999999997</v>
      </c>
      <c r="P356" s="337">
        <f t="shared" si="143"/>
        <v>2026.74</v>
      </c>
      <c r="Q356" s="337">
        <f t="shared" si="143"/>
        <v>2013.1999999999998</v>
      </c>
      <c r="R356" s="337">
        <f t="shared" si="143"/>
        <v>2018.34</v>
      </c>
      <c r="S356" s="337">
        <f t="shared" si="143"/>
        <v>2020.7999999999997</v>
      </c>
      <c r="T356" s="337">
        <f t="shared" si="143"/>
        <v>2016.3200000000002</v>
      </c>
      <c r="U356" s="337"/>
      <c r="V356" s="337"/>
      <c r="W356" s="337"/>
      <c r="X356" s="366"/>
      <c r="Y356" s="337"/>
      <c r="Z356" s="337"/>
      <c r="AA356" s="339"/>
    </row>
    <row r="357" spans="1:35">
      <c r="A357" s="248">
        <v>43671</v>
      </c>
      <c r="B357" s="268" t="s">
        <v>76</v>
      </c>
      <c r="C357" s="235" t="s">
        <v>77</v>
      </c>
      <c r="D357" s="123">
        <v>2011.35</v>
      </c>
      <c r="E357" s="123">
        <v>1985.44</v>
      </c>
      <c r="F357" s="123">
        <v>1965.67</v>
      </c>
      <c r="G357" s="123">
        <v>1955.08</v>
      </c>
      <c r="H357" s="123">
        <v>1952.66</v>
      </c>
      <c r="I357" s="123">
        <v>1960.05</v>
      </c>
      <c r="J357" s="123">
        <v>1976.04</v>
      </c>
      <c r="K357" s="123">
        <v>1998</v>
      </c>
      <c r="L357" s="123">
        <v>2028.24</v>
      </c>
      <c r="M357" s="123">
        <v>1995.02</v>
      </c>
      <c r="N357" s="123">
        <v>1982.34</v>
      </c>
      <c r="O357" s="123">
        <v>1965.77</v>
      </c>
      <c r="P357" s="123">
        <v>1956.74</v>
      </c>
      <c r="Q357" s="123">
        <v>1955.29</v>
      </c>
      <c r="R357" s="123">
        <v>1966.22</v>
      </c>
      <c r="S357" s="123">
        <v>1982.88</v>
      </c>
      <c r="T357" s="123">
        <v>2003.75</v>
      </c>
      <c r="U357" s="235">
        <f>IF((T358=""),"",MAX(D359:T359))</f>
        <v>2063.02</v>
      </c>
      <c r="V357" s="235">
        <f>IF(T358="","",MIN(D359:T359))</f>
        <v>2000.9799999999998</v>
      </c>
      <c r="W357" s="235">
        <f>IF((T359=""),"",AVERAGE(D359:T359))</f>
        <v>2031.1741176470587</v>
      </c>
      <c r="X357" s="359">
        <f>STDEV(D359:T359)</f>
        <v>19.990788834743217</v>
      </c>
      <c r="Y357" s="235">
        <f>IF((T358=""),"",((U357-V357)/(U357+V357))*100)</f>
        <v>1.5265748031496111</v>
      </c>
      <c r="Z357" s="228" t="str">
        <f>IF(T358="","",IF(Y357&lt;15,IF(W357&gt;AF357,IF(W357&lt;AG357,"Pass","Fail"),"Fail"),"Fail"))</f>
        <v>Pass</v>
      </c>
      <c r="AA357" s="373">
        <v>1159</v>
      </c>
      <c r="AD357" s="302">
        <v>1600</v>
      </c>
      <c r="AE357" s="302">
        <v>2600</v>
      </c>
      <c r="AF357" s="334">
        <v>1690</v>
      </c>
      <c r="AG357" s="334">
        <v>2210</v>
      </c>
      <c r="AH357" s="335">
        <v>15</v>
      </c>
      <c r="AI357" s="335">
        <v>15</v>
      </c>
    </row>
    <row r="358" spans="1:35">
      <c r="A358" s="371"/>
      <c r="B358" s="276"/>
      <c r="C358" s="235" t="s">
        <v>78</v>
      </c>
      <c r="D358" s="123">
        <v>1010.86</v>
      </c>
      <c r="E358" s="123">
        <v>981.29</v>
      </c>
      <c r="F358" s="123">
        <v>961.45</v>
      </c>
      <c r="G358" s="123">
        <v>949.09</v>
      </c>
      <c r="H358" s="123">
        <v>943.75</v>
      </c>
      <c r="I358" s="123">
        <v>943.09</v>
      </c>
      <c r="J358" s="123">
        <v>952.61</v>
      </c>
      <c r="K358" s="123">
        <v>969.96</v>
      </c>
      <c r="L358" s="123">
        <v>999.18</v>
      </c>
      <c r="M358" s="123">
        <v>963.51</v>
      </c>
      <c r="N358" s="123">
        <v>952.67</v>
      </c>
      <c r="O358" s="123">
        <v>944.02</v>
      </c>
      <c r="P358" s="123">
        <v>941.63</v>
      </c>
      <c r="Q358" s="123">
        <v>946.63</v>
      </c>
      <c r="R358" s="123">
        <v>954.26</v>
      </c>
      <c r="S358" s="123">
        <v>968.92</v>
      </c>
      <c r="T358" s="123">
        <v>992.64</v>
      </c>
      <c r="U358" s="337"/>
      <c r="V358" s="337"/>
      <c r="W358" s="337"/>
      <c r="X358" s="359"/>
      <c r="Y358" s="337"/>
      <c r="Z358" s="337"/>
      <c r="AA358" s="339"/>
    </row>
    <row r="359" spans="1:35" ht="32.25" thickBot="1">
      <c r="A359" s="372"/>
      <c r="B359" s="281"/>
      <c r="C359" s="243" t="s">
        <v>221</v>
      </c>
      <c r="D359" s="337">
        <f t="shared" ref="D359:I359" si="144">IF(((D357="")*AND(D358="")),"",(D357-D358)*2)</f>
        <v>2000.9799999999998</v>
      </c>
      <c r="E359" s="337">
        <f t="shared" si="144"/>
        <v>2008.3000000000002</v>
      </c>
      <c r="F359" s="337">
        <f t="shared" si="144"/>
        <v>2008.44</v>
      </c>
      <c r="G359" s="337">
        <f t="shared" si="144"/>
        <v>2011.9799999999998</v>
      </c>
      <c r="H359" s="337">
        <f t="shared" si="144"/>
        <v>2017.8200000000002</v>
      </c>
      <c r="I359" s="337">
        <f t="shared" si="144"/>
        <v>2033.9199999999998</v>
      </c>
      <c r="J359" s="337">
        <f>IF(((J357="")*AND(J358="")),"",(J357-J358)*2)</f>
        <v>2046.86</v>
      </c>
      <c r="K359" s="337">
        <f>IF(((K357="")*AND(K358="")),"",(K357-K358)*2)</f>
        <v>2056.08</v>
      </c>
      <c r="L359" s="337">
        <f>IF(((L357="")*AND(L358="")),"",(L357-L358)*2)</f>
        <v>2058.12</v>
      </c>
      <c r="M359" s="337">
        <f>IF(((M357="")*AND(M358="")),"",(M357-M358)*2)</f>
        <v>2063.02</v>
      </c>
      <c r="N359" s="337">
        <f t="shared" ref="N359:T359" si="145">IF(((N357="")*AND(N358="")),"",(N357-N358)*2)</f>
        <v>2059.34</v>
      </c>
      <c r="O359" s="337">
        <f t="shared" si="145"/>
        <v>2043.5</v>
      </c>
      <c r="P359" s="337">
        <f t="shared" si="145"/>
        <v>2030.22</v>
      </c>
      <c r="Q359" s="337">
        <f t="shared" si="145"/>
        <v>2017.32</v>
      </c>
      <c r="R359" s="337">
        <f t="shared" si="145"/>
        <v>2023.92</v>
      </c>
      <c r="S359" s="337">
        <f t="shared" si="145"/>
        <v>2027.9200000000003</v>
      </c>
      <c r="T359" s="337">
        <f t="shared" si="145"/>
        <v>2022.22</v>
      </c>
      <c r="U359" s="337"/>
      <c r="V359" s="337"/>
      <c r="W359" s="337"/>
      <c r="X359" s="366"/>
      <c r="Y359" s="337"/>
      <c r="Z359" s="337"/>
      <c r="AA359" s="339"/>
    </row>
    <row r="360" spans="1:35">
      <c r="A360" s="248">
        <v>43674</v>
      </c>
      <c r="B360" s="268" t="s">
        <v>76</v>
      </c>
      <c r="C360" s="235" t="s">
        <v>77</v>
      </c>
      <c r="D360" s="123">
        <v>2029.08</v>
      </c>
      <c r="E360" s="123">
        <v>2023.83</v>
      </c>
      <c r="F360" s="123">
        <v>2021.22</v>
      </c>
      <c r="G360" s="123">
        <v>2018.54</v>
      </c>
      <c r="H360" s="123">
        <v>2019.02</v>
      </c>
      <c r="I360" s="123">
        <v>2021.18</v>
      </c>
      <c r="J360" s="123">
        <v>2022.39</v>
      </c>
      <c r="K360" s="123">
        <v>2026.6</v>
      </c>
      <c r="L360" s="123">
        <v>2034.23</v>
      </c>
      <c r="M360" s="123">
        <v>2032.73</v>
      </c>
      <c r="N360" s="123">
        <v>2024.46</v>
      </c>
      <c r="O360" s="123">
        <v>2020.46</v>
      </c>
      <c r="P360" s="123">
        <v>2018.52</v>
      </c>
      <c r="Q360" s="123">
        <v>2020.97</v>
      </c>
      <c r="R360" s="123">
        <v>2023.75</v>
      </c>
      <c r="S360" s="123">
        <v>2030.84</v>
      </c>
      <c r="T360" s="123">
        <v>2040.49</v>
      </c>
      <c r="U360" s="235">
        <f>IF((T361=""),"",MAX(D362:T362))</f>
        <v>2072.48</v>
      </c>
      <c r="V360" s="235">
        <f>IF(T361="","",MIN(D362:T362))</f>
        <v>2006.62</v>
      </c>
      <c r="W360" s="235">
        <f>IF((T362=""),"",AVERAGE(D362:T362))</f>
        <v>2037.3529411764705</v>
      </c>
      <c r="X360" s="359">
        <f>STDEV(D362:T362)</f>
        <v>23.162243998775761</v>
      </c>
      <c r="Y360" s="235">
        <f>IF((T361=""),"",((U360-V360)/(U360+V360))*100)</f>
        <v>1.6145718418278574</v>
      </c>
      <c r="Z360" s="228" t="str">
        <f>IF(T361="","",IF(Y360&lt;15,IF(W360&gt;AF360,IF(W360&lt;AG360,"Pass","Fail"),"Fail"),"Fail"))</f>
        <v>Pass</v>
      </c>
      <c r="AA360" s="373">
        <v>1340</v>
      </c>
      <c r="AB360" s="122" t="s">
        <v>190</v>
      </c>
      <c r="AD360" s="302">
        <v>1600</v>
      </c>
      <c r="AE360" s="302">
        <v>2600</v>
      </c>
      <c r="AF360" s="334">
        <v>1690</v>
      </c>
      <c r="AG360" s="334">
        <v>2210</v>
      </c>
      <c r="AH360" s="335">
        <v>15</v>
      </c>
      <c r="AI360" s="335">
        <v>15</v>
      </c>
    </row>
    <row r="361" spans="1:35">
      <c r="A361" s="371"/>
      <c r="B361" s="276"/>
      <c r="C361" s="235" t="s">
        <v>78</v>
      </c>
      <c r="D361" s="123">
        <v>1025.77</v>
      </c>
      <c r="E361" s="123">
        <v>1018.29</v>
      </c>
      <c r="F361" s="123">
        <v>1015.3</v>
      </c>
      <c r="G361" s="123">
        <v>1013.33</v>
      </c>
      <c r="H361" s="123">
        <v>1008.54</v>
      </c>
      <c r="I361" s="123">
        <v>1002.59</v>
      </c>
      <c r="J361" s="123">
        <v>994.62</v>
      </c>
      <c r="K361" s="123">
        <v>991.85</v>
      </c>
      <c r="L361" s="123">
        <v>997.99</v>
      </c>
      <c r="M361" s="123">
        <v>996.49</v>
      </c>
      <c r="N361" s="123">
        <v>990.84</v>
      </c>
      <c r="O361" s="123">
        <v>995.16</v>
      </c>
      <c r="P361" s="123">
        <v>1002.56</v>
      </c>
      <c r="Q361" s="123">
        <v>1010.3</v>
      </c>
      <c r="R361" s="123">
        <v>1009.88</v>
      </c>
      <c r="S361" s="123">
        <v>1013.23</v>
      </c>
      <c r="T361" s="123">
        <v>1024.07</v>
      </c>
      <c r="U361" s="337"/>
      <c r="V361" s="337"/>
      <c r="W361" s="337"/>
      <c r="X361" s="359"/>
      <c r="Y361" s="337"/>
      <c r="Z361" s="337"/>
      <c r="AA361" s="339"/>
    </row>
    <row r="362" spans="1:35" ht="32.25" thickBot="1">
      <c r="A362" s="372"/>
      <c r="B362" s="281"/>
      <c r="C362" s="243" t="s">
        <v>221</v>
      </c>
      <c r="D362" s="337">
        <f t="shared" ref="D362:I362" si="146">IF(((D360="")*AND(D361="")),"",(D360-D361)*2)</f>
        <v>2006.62</v>
      </c>
      <c r="E362" s="337">
        <f t="shared" si="146"/>
        <v>2011.08</v>
      </c>
      <c r="F362" s="337">
        <f t="shared" si="146"/>
        <v>2011.8400000000001</v>
      </c>
      <c r="G362" s="337">
        <f t="shared" si="146"/>
        <v>2010.4199999999998</v>
      </c>
      <c r="H362" s="337">
        <f t="shared" si="146"/>
        <v>2020.96</v>
      </c>
      <c r="I362" s="337">
        <f t="shared" si="146"/>
        <v>2037.18</v>
      </c>
      <c r="J362" s="337">
        <f>IF(((J360="")*AND(J361="")),"",(J360-J361)*2)</f>
        <v>2055.54</v>
      </c>
      <c r="K362" s="337">
        <f>IF(((K360="")*AND(K361="")),"",(K360-K361)*2)</f>
        <v>2069.5</v>
      </c>
      <c r="L362" s="337">
        <f>IF(((L360="")*AND(L361="")),"",(L360-L361)*2)</f>
        <v>2072.48</v>
      </c>
      <c r="M362" s="337">
        <f>IF(((M360="")*AND(M361="")),"",(M360-M361)*2)</f>
        <v>2072.48</v>
      </c>
      <c r="N362" s="337">
        <f t="shared" ref="N362:T362" si="147">IF(((N360="")*AND(N361="")),"",(N360-N361)*2)</f>
        <v>2067.2399999999998</v>
      </c>
      <c r="O362" s="337">
        <f t="shared" si="147"/>
        <v>2050.6000000000004</v>
      </c>
      <c r="P362" s="337">
        <f t="shared" si="147"/>
        <v>2031.92</v>
      </c>
      <c r="Q362" s="337">
        <f t="shared" si="147"/>
        <v>2021.3400000000001</v>
      </c>
      <c r="R362" s="337">
        <f t="shared" si="147"/>
        <v>2027.74</v>
      </c>
      <c r="S362" s="337">
        <f t="shared" si="147"/>
        <v>2035.2199999999998</v>
      </c>
      <c r="T362" s="337">
        <f t="shared" si="147"/>
        <v>2032.8400000000001</v>
      </c>
      <c r="U362" s="337"/>
      <c r="V362" s="337"/>
      <c r="W362" s="337"/>
      <c r="X362" s="366"/>
      <c r="Y362" s="337"/>
      <c r="Z362" s="337"/>
      <c r="AA362" s="339"/>
    </row>
    <row r="363" spans="1:35">
      <c r="A363" s="248">
        <v>43678</v>
      </c>
      <c r="B363" s="268" t="s">
        <v>76</v>
      </c>
      <c r="C363" s="235" t="s">
        <v>77</v>
      </c>
      <c r="D363" s="123">
        <v>2007.84</v>
      </c>
      <c r="E363" s="123">
        <v>1996.34</v>
      </c>
      <c r="F363" s="123">
        <v>1981.04</v>
      </c>
      <c r="G363" s="123">
        <v>1970.25</v>
      </c>
      <c r="H363" s="123">
        <v>1966.84</v>
      </c>
      <c r="I363" s="123">
        <v>1971.22</v>
      </c>
      <c r="J363" s="123">
        <v>1980.26</v>
      </c>
      <c r="K363" s="123">
        <v>1995.81</v>
      </c>
      <c r="L363" s="123">
        <v>2016.4</v>
      </c>
      <c r="M363" s="123">
        <v>2041.48</v>
      </c>
      <c r="N363" s="123">
        <v>2012.48</v>
      </c>
      <c r="O363" s="123">
        <v>1989.88</v>
      </c>
      <c r="P363" s="123">
        <v>1973.58</v>
      </c>
      <c r="Q363" s="123">
        <v>1969.07</v>
      </c>
      <c r="R363" s="123">
        <v>1980.45</v>
      </c>
      <c r="S363" s="123">
        <v>1999.93</v>
      </c>
      <c r="T363" s="123">
        <v>2025.74</v>
      </c>
      <c r="U363" s="235">
        <f>IF((T364=""),"",MAX(D365:T365))</f>
        <v>2057.84</v>
      </c>
      <c r="V363" s="235">
        <f>IF(T364="","",MIN(D365:T365))</f>
        <v>1997.8799999999999</v>
      </c>
      <c r="W363" s="235">
        <f>IF((T365=""),"",AVERAGE(D365:T365))</f>
        <v>2027.9470588235297</v>
      </c>
      <c r="X363" s="359">
        <f>STDEV(D365:T365)</f>
        <v>20.04175633667931</v>
      </c>
      <c r="Y363" s="235">
        <f>IF((T364=""),"",((U363-V363)/(U363+V363))*100)</f>
        <v>1.4784058071070059</v>
      </c>
      <c r="Z363" s="228" t="str">
        <f>IF(T364="","",IF(Y363&lt;15,IF(W363&gt;AF363,IF(W363&lt;AG363,"Pass","Fail"),"Fail"),"Fail"))</f>
        <v>Pass</v>
      </c>
      <c r="AA363" s="373">
        <v>1159</v>
      </c>
      <c r="AB363" s="377" t="s">
        <v>191</v>
      </c>
      <c r="AD363" s="302">
        <v>1600</v>
      </c>
      <c r="AE363" s="302">
        <v>2600</v>
      </c>
      <c r="AF363" s="334">
        <v>1690</v>
      </c>
      <c r="AG363" s="334">
        <v>2210</v>
      </c>
      <c r="AH363" s="335">
        <v>15</v>
      </c>
      <c r="AI363" s="335">
        <v>15</v>
      </c>
    </row>
    <row r="364" spans="1:35">
      <c r="A364" s="371"/>
      <c r="B364" s="276"/>
      <c r="C364" s="235" t="s">
        <v>78</v>
      </c>
      <c r="D364" s="123">
        <v>1008.9</v>
      </c>
      <c r="E364" s="123">
        <v>994.93</v>
      </c>
      <c r="F364" s="123">
        <v>978.43</v>
      </c>
      <c r="G364" s="123">
        <v>966.81</v>
      </c>
      <c r="H364" s="123">
        <v>960.01</v>
      </c>
      <c r="I364" s="123">
        <v>955.2</v>
      </c>
      <c r="J364" s="123">
        <v>957.69</v>
      </c>
      <c r="K364" s="123">
        <v>968.54</v>
      </c>
      <c r="L364" s="123">
        <v>987.95</v>
      </c>
      <c r="M364" s="123">
        <v>1012.56</v>
      </c>
      <c r="N364" s="123">
        <v>986.54</v>
      </c>
      <c r="O364" s="123">
        <v>969.34</v>
      </c>
      <c r="P364" s="123">
        <v>961.02</v>
      </c>
      <c r="Q364" s="123">
        <v>960.47</v>
      </c>
      <c r="R364" s="123">
        <v>969.84</v>
      </c>
      <c r="S364" s="123">
        <v>987.43</v>
      </c>
      <c r="T364" s="123">
        <v>1015.4</v>
      </c>
      <c r="U364" s="337"/>
      <c r="V364" s="337"/>
      <c r="W364" s="337"/>
      <c r="X364" s="359"/>
      <c r="Y364" s="337"/>
      <c r="Z364" s="337"/>
      <c r="AA364" s="339"/>
    </row>
    <row r="365" spans="1:35" ht="32.25" thickBot="1">
      <c r="A365" s="372"/>
      <c r="B365" s="281"/>
      <c r="C365" s="243" t="s">
        <v>221</v>
      </c>
      <c r="D365" s="337">
        <f t="shared" ref="D365:I365" si="148">IF(((D363="")*AND(D364="")),"",(D363-D364)*2)</f>
        <v>1997.8799999999999</v>
      </c>
      <c r="E365" s="337">
        <f t="shared" si="148"/>
        <v>2002.82</v>
      </c>
      <c r="F365" s="337">
        <f t="shared" si="148"/>
        <v>2005.22</v>
      </c>
      <c r="G365" s="337">
        <f t="shared" si="148"/>
        <v>2006.88</v>
      </c>
      <c r="H365" s="337">
        <f t="shared" si="148"/>
        <v>2013.6599999999999</v>
      </c>
      <c r="I365" s="337">
        <f t="shared" si="148"/>
        <v>2032.04</v>
      </c>
      <c r="J365" s="337">
        <f>IF(((J363="")*AND(J364="")),"",(J363-J364)*2)</f>
        <v>2045.1399999999999</v>
      </c>
      <c r="K365" s="337">
        <f>IF(((K363="")*AND(K364="")),"",(K363-K364)*2)</f>
        <v>2054.54</v>
      </c>
      <c r="L365" s="337">
        <f>IF(((L363="")*AND(L364="")),"",(L363-L364)*2)</f>
        <v>2056.9</v>
      </c>
      <c r="M365" s="337">
        <f>IF(((M363="")*AND(M364="")),"",(M363-M364)*2)</f>
        <v>2057.84</v>
      </c>
      <c r="N365" s="337">
        <f t="shared" ref="N365:T365" si="149">IF(((N363="")*AND(N364="")),"",(N363-N364)*2)</f>
        <v>2051.88</v>
      </c>
      <c r="O365" s="337">
        <f t="shared" si="149"/>
        <v>2041.0800000000002</v>
      </c>
      <c r="P365" s="337">
        <f t="shared" si="149"/>
        <v>2025.12</v>
      </c>
      <c r="Q365" s="337">
        <f t="shared" si="149"/>
        <v>2017.1999999999998</v>
      </c>
      <c r="R365" s="337">
        <f t="shared" si="149"/>
        <v>2021.22</v>
      </c>
      <c r="S365" s="337">
        <f t="shared" si="149"/>
        <v>2025.0000000000002</v>
      </c>
      <c r="T365" s="337">
        <f t="shared" si="149"/>
        <v>2020.68</v>
      </c>
      <c r="U365" s="337"/>
      <c r="V365" s="337"/>
      <c r="W365" s="337"/>
      <c r="X365" s="366"/>
      <c r="Y365" s="337"/>
      <c r="Z365" s="337"/>
      <c r="AA365" s="339"/>
    </row>
    <row r="366" spans="1:35">
      <c r="A366" s="248">
        <v>43681</v>
      </c>
      <c r="B366" s="268" t="s">
        <v>76</v>
      </c>
      <c r="C366" s="235" t="s">
        <v>77</v>
      </c>
      <c r="D366" s="123">
        <v>2002.34</v>
      </c>
      <c r="E366" s="123">
        <v>1974.18</v>
      </c>
      <c r="F366" s="123">
        <v>1954.15</v>
      </c>
      <c r="G366" s="123">
        <v>1942.35</v>
      </c>
      <c r="H366" s="123">
        <v>1939.9</v>
      </c>
      <c r="I366" s="123">
        <v>1945.81</v>
      </c>
      <c r="J366" s="123">
        <v>1961.72</v>
      </c>
      <c r="K366" s="123">
        <v>1983.43</v>
      </c>
      <c r="L366" s="123">
        <v>2010.75</v>
      </c>
      <c r="M366" s="123">
        <v>1981.07</v>
      </c>
      <c r="N366" s="123">
        <v>1968.04</v>
      </c>
      <c r="O366" s="123">
        <v>1953.21</v>
      </c>
      <c r="P366" s="123">
        <v>1941.79</v>
      </c>
      <c r="Q366" s="123">
        <v>1943.22</v>
      </c>
      <c r="R366" s="123">
        <v>1952.99</v>
      </c>
      <c r="S366" s="123">
        <v>1969.43</v>
      </c>
      <c r="T366" s="123">
        <v>1990.49</v>
      </c>
      <c r="U366" s="235">
        <f>IF((T367=""),"",MAX(D368:T368))</f>
        <v>2045.0400000000002</v>
      </c>
      <c r="V366" s="235">
        <f>IF(T367="","",MIN(D368:T368))</f>
        <v>1975.7599999999998</v>
      </c>
      <c r="W366" s="235">
        <f>IF((T368=""),"",AVERAGE(D368:T368))</f>
        <v>2011.2682352941174</v>
      </c>
      <c r="X366" s="359">
        <f>STDEV(D368:T368)</f>
        <v>22.226468521588789</v>
      </c>
      <c r="Y366" s="235">
        <f>IF((T367=""),"",((U366-V366)/(U366+V366))*100)</f>
        <v>1.7230401910067754</v>
      </c>
      <c r="Z366" s="228" t="str">
        <f>IF(T367="","",IF(Y366&lt;15,IF(W366&gt;AF366,IF(W366&lt;AG366,"Pass","Fail"),"Fail"),"Fail"))</f>
        <v>Pass</v>
      </c>
      <c r="AA366" s="373">
        <v>1335</v>
      </c>
      <c r="AB366" s="377" t="s">
        <v>192</v>
      </c>
      <c r="AD366" s="302">
        <v>1600</v>
      </c>
      <c r="AE366" s="302">
        <v>2600</v>
      </c>
      <c r="AF366" s="334">
        <v>1690</v>
      </c>
      <c r="AG366" s="334">
        <v>2210</v>
      </c>
      <c r="AH366" s="335">
        <v>15</v>
      </c>
      <c r="AI366" s="335">
        <v>15</v>
      </c>
    </row>
    <row r="367" spans="1:35">
      <c r="A367" s="371"/>
      <c r="B367" s="276"/>
      <c r="C367" s="235" t="s">
        <v>78</v>
      </c>
      <c r="D367" s="123">
        <v>1014.46</v>
      </c>
      <c r="E367" s="123">
        <v>981.83</v>
      </c>
      <c r="F367" s="123">
        <v>959.23</v>
      </c>
      <c r="G367" s="123">
        <v>947.9</v>
      </c>
      <c r="H367" s="123">
        <v>940.98</v>
      </c>
      <c r="I367" s="123">
        <v>939.16</v>
      </c>
      <c r="J367" s="123">
        <v>944.99</v>
      </c>
      <c r="K367" s="123">
        <v>960.91</v>
      </c>
      <c r="L367" s="123">
        <v>990.34</v>
      </c>
      <c r="M367" s="123">
        <v>960.43</v>
      </c>
      <c r="N367" s="123">
        <v>949.05</v>
      </c>
      <c r="O367" s="123">
        <v>939.33</v>
      </c>
      <c r="P367" s="123">
        <v>938.58</v>
      </c>
      <c r="Q367" s="123">
        <v>943.93</v>
      </c>
      <c r="R367" s="123">
        <v>950.66</v>
      </c>
      <c r="S367" s="123">
        <v>966.43</v>
      </c>
      <c r="T367" s="123">
        <v>990.88</v>
      </c>
      <c r="U367" s="337"/>
      <c r="V367" s="337"/>
      <c r="W367" s="337"/>
      <c r="X367" s="359"/>
      <c r="Y367" s="337"/>
      <c r="Z367" s="337"/>
      <c r="AA367" s="339"/>
    </row>
    <row r="368" spans="1:35" ht="32.25" thickBot="1">
      <c r="A368" s="372"/>
      <c r="B368" s="281"/>
      <c r="C368" s="243" t="s">
        <v>221</v>
      </c>
      <c r="D368" s="337">
        <f t="shared" ref="D368:I368" si="150">IF(((D366="")*AND(D367="")),"",(D366-D367)*2)</f>
        <v>1975.7599999999998</v>
      </c>
      <c r="E368" s="337">
        <f t="shared" si="150"/>
        <v>1984.7</v>
      </c>
      <c r="F368" s="337">
        <f t="shared" si="150"/>
        <v>1989.8400000000001</v>
      </c>
      <c r="G368" s="337">
        <f t="shared" si="150"/>
        <v>1988.8999999999999</v>
      </c>
      <c r="H368" s="337">
        <f t="shared" si="150"/>
        <v>1997.8400000000001</v>
      </c>
      <c r="I368" s="337">
        <f t="shared" si="150"/>
        <v>2013.3</v>
      </c>
      <c r="J368" s="337">
        <f>IF(((J366="")*AND(J367="")),"",(J366-J367)*2)</f>
        <v>2033.46</v>
      </c>
      <c r="K368" s="337">
        <f>IF(((K366="")*AND(K367="")),"",(K366-K367)*2)</f>
        <v>2045.0400000000002</v>
      </c>
      <c r="L368" s="337">
        <f>IF(((L366="")*AND(L367="")),"",(L366-L367)*2)</f>
        <v>2040.82</v>
      </c>
      <c r="M368" s="337">
        <f>IF(((M366="")*AND(M367="")),"",(M366-M367)*2)</f>
        <v>2041.28</v>
      </c>
      <c r="N368" s="337">
        <f t="shared" ref="N368:T368" si="151">IF(((N366="")*AND(N367="")),"",(N366-N367)*2)</f>
        <v>2037.98</v>
      </c>
      <c r="O368" s="337">
        <f t="shared" si="151"/>
        <v>2027.76</v>
      </c>
      <c r="P368" s="337">
        <f t="shared" si="151"/>
        <v>2006.4199999999998</v>
      </c>
      <c r="Q368" s="337">
        <f t="shared" si="151"/>
        <v>1998.5800000000002</v>
      </c>
      <c r="R368" s="337">
        <f t="shared" si="151"/>
        <v>2004.66</v>
      </c>
      <c r="S368" s="337">
        <f t="shared" si="151"/>
        <v>2006.0000000000002</v>
      </c>
      <c r="T368" s="337">
        <f t="shared" si="151"/>
        <v>1999.22</v>
      </c>
      <c r="U368" s="337"/>
      <c r="V368" s="337"/>
      <c r="W368" s="337"/>
      <c r="X368" s="366"/>
      <c r="Y368" s="337"/>
      <c r="Z368" s="337"/>
      <c r="AA368" s="339"/>
    </row>
    <row r="369" spans="1:35">
      <c r="A369" s="248">
        <v>43685</v>
      </c>
      <c r="B369" s="268" t="s">
        <v>76</v>
      </c>
      <c r="C369" s="235" t="s">
        <v>77</v>
      </c>
      <c r="D369" s="123">
        <v>2087.2399999999998</v>
      </c>
      <c r="E369" s="123">
        <v>2075.46</v>
      </c>
      <c r="F369" s="123">
        <v>2066.16</v>
      </c>
      <c r="G369" s="123">
        <v>2060.14</v>
      </c>
      <c r="H369" s="123">
        <v>2059.5500000000002</v>
      </c>
      <c r="I369" s="123">
        <v>2061.21</v>
      </c>
      <c r="J369" s="123">
        <v>2068.4299999999998</v>
      </c>
      <c r="K369" s="123">
        <v>2078.16</v>
      </c>
      <c r="L369" s="123">
        <v>2092.84</v>
      </c>
      <c r="M369" s="123">
        <v>2095.08</v>
      </c>
      <c r="N369" s="123">
        <v>2080.23</v>
      </c>
      <c r="O369" s="123">
        <v>2067.61</v>
      </c>
      <c r="P369" s="123">
        <v>2060.54</v>
      </c>
      <c r="Q369" s="123">
        <v>2060.5500000000002</v>
      </c>
      <c r="R369" s="123">
        <v>2066.16</v>
      </c>
      <c r="S369" s="123">
        <v>2079.84</v>
      </c>
      <c r="T369" s="123">
        <v>2097.37</v>
      </c>
      <c r="U369" s="235">
        <f>IF((T370=""),"",MAX(D371:T371))</f>
        <v>2067.5200000000004</v>
      </c>
      <c r="V369" s="235">
        <f>IF(T370="","",MIN(D371:T371))</f>
        <v>1989.4599999999996</v>
      </c>
      <c r="W369" s="235">
        <f>IF((T371=""),"",AVERAGE(D371:T371))</f>
        <v>2029.1270588235293</v>
      </c>
      <c r="X369" s="359">
        <f>STDEV(D371:T371)</f>
        <v>24.691140051824792</v>
      </c>
      <c r="Y369" s="235">
        <f>IF((T370=""),"",((U369-V369)/(U369+V369))*100)</f>
        <v>1.9240913191586071</v>
      </c>
      <c r="Z369" s="228" t="str">
        <f>IF(T370="","",IF(Y369&lt;15,IF(W369&gt;AF369,IF(W369&lt;AG369,"Pass","Fail"),"Fail"),"Fail"))</f>
        <v>Pass</v>
      </c>
      <c r="AA369" s="373">
        <v>121</v>
      </c>
      <c r="AD369" s="302">
        <v>1600</v>
      </c>
      <c r="AE369" s="302">
        <v>2600</v>
      </c>
      <c r="AF369" s="334">
        <v>1690</v>
      </c>
      <c r="AG369" s="334">
        <v>2210</v>
      </c>
      <c r="AH369" s="335">
        <v>15</v>
      </c>
      <c r="AI369" s="335">
        <v>15</v>
      </c>
    </row>
    <row r="370" spans="1:35">
      <c r="A370" s="371"/>
      <c r="B370" s="276"/>
      <c r="C370" s="235" t="s">
        <v>78</v>
      </c>
      <c r="D370" s="123">
        <v>1092.51</v>
      </c>
      <c r="E370" s="123">
        <v>1076.6600000000001</v>
      </c>
      <c r="F370" s="123">
        <v>1064.97</v>
      </c>
      <c r="G370" s="123">
        <v>1058.07</v>
      </c>
      <c r="H370" s="123">
        <v>1051.69</v>
      </c>
      <c r="I370" s="123">
        <v>1044.99</v>
      </c>
      <c r="J370" s="123">
        <v>1042.8699999999999</v>
      </c>
      <c r="K370" s="123">
        <v>1045.18</v>
      </c>
      <c r="L370" s="123">
        <v>1059.08</v>
      </c>
      <c r="M370" s="123">
        <v>1064.77</v>
      </c>
      <c r="N370" s="123">
        <v>1051.42</v>
      </c>
      <c r="O370" s="123">
        <v>1046.26</v>
      </c>
      <c r="P370" s="123">
        <v>1048.17</v>
      </c>
      <c r="Q370" s="123">
        <v>1052.97</v>
      </c>
      <c r="R370" s="123">
        <v>1056.33</v>
      </c>
      <c r="S370" s="123">
        <v>1067.4100000000001</v>
      </c>
      <c r="T370" s="123">
        <v>1085.6400000000001</v>
      </c>
      <c r="U370" s="337"/>
      <c r="V370" s="337"/>
      <c r="W370" s="337"/>
      <c r="X370" s="359"/>
      <c r="Y370" s="337"/>
      <c r="Z370" s="337"/>
      <c r="AA370" s="339"/>
    </row>
    <row r="371" spans="1:35" ht="32.25" thickBot="1">
      <c r="A371" s="372"/>
      <c r="B371" s="281"/>
      <c r="C371" s="243" t="s">
        <v>221</v>
      </c>
      <c r="D371" s="337">
        <f t="shared" ref="D371:I371" si="152">IF(((D369="")*AND(D370="")),"",(D369-D370)*2)</f>
        <v>1989.4599999999996</v>
      </c>
      <c r="E371" s="337">
        <f t="shared" si="152"/>
        <v>1997.6</v>
      </c>
      <c r="F371" s="337">
        <f t="shared" si="152"/>
        <v>2002.3799999999997</v>
      </c>
      <c r="G371" s="337">
        <f t="shared" si="152"/>
        <v>2004.1399999999999</v>
      </c>
      <c r="H371" s="337">
        <f t="shared" si="152"/>
        <v>2015.7200000000003</v>
      </c>
      <c r="I371" s="337">
        <f t="shared" si="152"/>
        <v>2032.44</v>
      </c>
      <c r="J371" s="337">
        <f>IF(((J369="")*AND(J370="")),"",(J369-J370)*2)</f>
        <v>2051.12</v>
      </c>
      <c r="K371" s="337">
        <f>IF(((K369="")*AND(K370="")),"",(K369-K370)*2)</f>
        <v>2065.9599999999996</v>
      </c>
      <c r="L371" s="337">
        <f>IF(((L369="")*AND(L370="")),"",(L369-L370)*2)</f>
        <v>2067.5200000000004</v>
      </c>
      <c r="M371" s="337">
        <f>IF(((M369="")*AND(M370="")),"",(M369-M370)*2)</f>
        <v>2060.62</v>
      </c>
      <c r="N371" s="337">
        <f t="shared" ref="N371:T371" si="153">IF(((N369="")*AND(N370="")),"",(N369-N370)*2)</f>
        <v>2057.62</v>
      </c>
      <c r="O371" s="337">
        <f t="shared" si="153"/>
        <v>2042.7000000000003</v>
      </c>
      <c r="P371" s="337">
        <f t="shared" si="153"/>
        <v>2024.7399999999998</v>
      </c>
      <c r="Q371" s="337">
        <f t="shared" si="153"/>
        <v>2015.1600000000003</v>
      </c>
      <c r="R371" s="337">
        <f t="shared" si="153"/>
        <v>2019.6599999999999</v>
      </c>
      <c r="S371" s="337">
        <f t="shared" si="153"/>
        <v>2024.8600000000001</v>
      </c>
      <c r="T371" s="337">
        <f t="shared" si="153"/>
        <v>2023.4599999999996</v>
      </c>
      <c r="U371" s="337"/>
      <c r="V371" s="337"/>
      <c r="W371" s="337"/>
      <c r="X371" s="366"/>
      <c r="Y371" s="337"/>
      <c r="Z371" s="337"/>
      <c r="AA371" s="339"/>
    </row>
    <row r="372" spans="1:35">
      <c r="A372" s="248">
        <v>43690</v>
      </c>
      <c r="B372" s="268" t="s">
        <v>76</v>
      </c>
      <c r="C372" s="235" t="s">
        <v>77</v>
      </c>
      <c r="D372">
        <v>2059.09</v>
      </c>
      <c r="E372">
        <v>2042.55</v>
      </c>
      <c r="F372">
        <v>2030.8</v>
      </c>
      <c r="G372">
        <v>2023.46</v>
      </c>
      <c r="H372">
        <v>2021.37</v>
      </c>
      <c r="I372">
        <v>2024.11</v>
      </c>
      <c r="J372">
        <v>2031.84</v>
      </c>
      <c r="K372">
        <v>2042.29</v>
      </c>
      <c r="L372">
        <v>2057.5700000000002</v>
      </c>
      <c r="M372">
        <v>2050.63</v>
      </c>
      <c r="N372">
        <v>2039.46</v>
      </c>
      <c r="O372">
        <v>2029.78</v>
      </c>
      <c r="P372">
        <v>2023.2</v>
      </c>
      <c r="Q372">
        <v>2025</v>
      </c>
      <c r="R372">
        <v>2031.25</v>
      </c>
      <c r="S372">
        <v>2041.85</v>
      </c>
      <c r="T372">
        <v>2055.87</v>
      </c>
      <c r="U372" s="235">
        <f>IF((T373=""),"",MAX(D374:T374))</f>
        <v>2064.4200000000005</v>
      </c>
      <c r="V372" s="235">
        <f>IF(T373="","",MIN(D374:T374))</f>
        <v>1987.0000000000005</v>
      </c>
      <c r="W372" s="235">
        <f>IF((T374=""),"",AVERAGE(D374:T374))</f>
        <v>2028.3576470588237</v>
      </c>
      <c r="X372" s="359">
        <f>STDEV(D374:T374)</f>
        <v>22.410993822623041</v>
      </c>
      <c r="Y372" s="235">
        <f>IF((T373=""),"",((U372-V372)/(U372+V372))*100)</f>
        <v>1.9109349314561326</v>
      </c>
      <c r="Z372" s="228" t="str">
        <f>IF(T373="","",IF(Y372&lt;15,IF(W372&gt;AF372,IF(W372&lt;AG372,"Pass","Fail"),"Fail"),"Fail"))</f>
        <v>Pass</v>
      </c>
      <c r="AA372" s="373" t="s">
        <v>205</v>
      </c>
      <c r="AB372" s="381" t="s">
        <v>206</v>
      </c>
      <c r="AD372" s="302">
        <v>1600</v>
      </c>
      <c r="AE372" s="302">
        <v>2600</v>
      </c>
      <c r="AF372" s="334">
        <v>1690</v>
      </c>
      <c r="AG372" s="334">
        <v>2210</v>
      </c>
      <c r="AH372" s="335">
        <v>15</v>
      </c>
      <c r="AI372" s="335">
        <v>15</v>
      </c>
    </row>
    <row r="373" spans="1:35">
      <c r="A373" s="371"/>
      <c r="B373" s="276"/>
      <c r="C373" s="235" t="s">
        <v>78</v>
      </c>
      <c r="D373">
        <v>1065.5899999999999</v>
      </c>
      <c r="E373">
        <v>1043.22</v>
      </c>
      <c r="F373">
        <v>1029.3399999999999</v>
      </c>
      <c r="G373">
        <v>1019.97</v>
      </c>
      <c r="H373">
        <v>1013</v>
      </c>
      <c r="I373">
        <v>1008.05</v>
      </c>
      <c r="J373">
        <v>1006.66</v>
      </c>
      <c r="K373">
        <v>1012.85</v>
      </c>
      <c r="L373">
        <v>1025.3599999999999</v>
      </c>
      <c r="M373">
        <v>1023.78</v>
      </c>
      <c r="N373">
        <v>1014.23</v>
      </c>
      <c r="O373">
        <v>1008.78</v>
      </c>
      <c r="P373">
        <v>1010.3</v>
      </c>
      <c r="Q373">
        <v>1015.8</v>
      </c>
      <c r="R373">
        <v>1019.39</v>
      </c>
      <c r="S373">
        <v>1028.43</v>
      </c>
      <c r="T373">
        <v>1044.33</v>
      </c>
      <c r="U373" s="337"/>
      <c r="V373" s="337"/>
      <c r="W373" s="337"/>
      <c r="X373" s="359"/>
      <c r="Y373" s="337"/>
      <c r="Z373" s="337"/>
      <c r="AA373" s="339"/>
    </row>
    <row r="374" spans="1:35" ht="32.25" thickBot="1">
      <c r="A374" s="372"/>
      <c r="B374" s="281"/>
      <c r="C374" s="243" t="s">
        <v>221</v>
      </c>
      <c r="D374" s="337">
        <f t="shared" ref="D374:I374" si="154">IF(((D372="")*AND(D373="")),"",(D372-D373)*2)</f>
        <v>1987.0000000000005</v>
      </c>
      <c r="E374" s="337">
        <f t="shared" si="154"/>
        <v>1998.6599999999999</v>
      </c>
      <c r="F374" s="337">
        <f t="shared" si="154"/>
        <v>2002.92</v>
      </c>
      <c r="G374" s="337">
        <f t="shared" si="154"/>
        <v>2006.98</v>
      </c>
      <c r="H374" s="337">
        <f t="shared" si="154"/>
        <v>2016.7399999999998</v>
      </c>
      <c r="I374" s="337">
        <f t="shared" si="154"/>
        <v>2032.12</v>
      </c>
      <c r="J374" s="337">
        <f>IF(((J372="")*AND(J373="")),"",(J372-J373)*2)</f>
        <v>2050.3599999999997</v>
      </c>
      <c r="K374" s="337">
        <f>IF(((K372="")*AND(K373="")),"",(K372-K373)*2)</f>
        <v>2058.88</v>
      </c>
      <c r="L374" s="337">
        <f>IF(((L372="")*AND(L373="")),"",(L372-L373)*2)</f>
        <v>2064.4200000000005</v>
      </c>
      <c r="M374" s="337">
        <f>IF(((M372="")*AND(M373="")),"",(M372-M373)*2)</f>
        <v>2053.7000000000003</v>
      </c>
      <c r="N374" s="337">
        <f t="shared" ref="N374:T374" si="155">IF(((N372="")*AND(N373="")),"",(N372-N373)*2)</f>
        <v>2050.46</v>
      </c>
      <c r="O374" s="337">
        <f t="shared" si="155"/>
        <v>2042</v>
      </c>
      <c r="P374" s="337">
        <f t="shared" si="155"/>
        <v>2025.8000000000002</v>
      </c>
      <c r="Q374" s="337">
        <f t="shared" si="155"/>
        <v>2018.4</v>
      </c>
      <c r="R374" s="337">
        <f t="shared" si="155"/>
        <v>2023.72</v>
      </c>
      <c r="S374" s="337">
        <f t="shared" si="155"/>
        <v>2026.8399999999997</v>
      </c>
      <c r="T374" s="337">
        <f t="shared" si="155"/>
        <v>2023.08</v>
      </c>
      <c r="U374" s="337"/>
      <c r="V374" s="337"/>
      <c r="W374" s="337"/>
      <c r="X374" s="366"/>
      <c r="Y374" s="337"/>
      <c r="Z374" s="337"/>
      <c r="AA374" s="339"/>
    </row>
    <row r="375" spans="1:35">
      <c r="A375" s="248">
        <v>43694</v>
      </c>
      <c r="B375" s="268" t="s">
        <v>76</v>
      </c>
      <c r="C375" s="235" t="s">
        <v>77</v>
      </c>
      <c r="D375">
        <v>2028.87</v>
      </c>
      <c r="E375">
        <v>2002.57</v>
      </c>
      <c r="F375">
        <v>1983.85</v>
      </c>
      <c r="G375">
        <v>1972.84</v>
      </c>
      <c r="H375">
        <v>1971.44</v>
      </c>
      <c r="I375">
        <v>1979.59</v>
      </c>
      <c r="J375">
        <v>1993.91</v>
      </c>
      <c r="K375">
        <v>2015.38</v>
      </c>
      <c r="L375">
        <v>2041.34</v>
      </c>
      <c r="M375">
        <v>2010.45</v>
      </c>
      <c r="N375">
        <v>1999.82</v>
      </c>
      <c r="O375">
        <v>1985.83</v>
      </c>
      <c r="P375">
        <v>1975.72</v>
      </c>
      <c r="Q375">
        <v>1975.62</v>
      </c>
      <c r="R375">
        <v>1983.92</v>
      </c>
      <c r="S375">
        <v>1998.35</v>
      </c>
      <c r="T375">
        <v>2012.51</v>
      </c>
      <c r="U375" s="235">
        <f>IF((T376=""),"",MAX(D377:T377))</f>
        <v>2060.3000000000002</v>
      </c>
      <c r="V375" s="235">
        <f>IF(T376="","",MIN(D377:T377))</f>
        <v>1995.9599999999996</v>
      </c>
      <c r="W375" s="235">
        <f>IF((T377=""),"",AVERAGE(D377:T377))</f>
        <v>2027.6576470588236</v>
      </c>
      <c r="X375" s="359">
        <f>STDEV(D377:T377)</f>
        <v>21.668513888073811</v>
      </c>
      <c r="Y375" s="235">
        <f>IF((T376=""),"",((U375-V375)/(U375+V375))*100)</f>
        <v>1.5861902343538286</v>
      </c>
      <c r="Z375" s="228" t="str">
        <f>IF(T376="","",IF(Y375&lt;15,IF(W375&gt;AF375,IF(W375&lt;AG375,"Pass","Fail"),"Fail"),"Fail"))</f>
        <v>Pass</v>
      </c>
      <c r="AA375" s="373">
        <v>64</v>
      </c>
      <c r="AB375" s="377" t="s">
        <v>208</v>
      </c>
      <c r="AD375" s="302">
        <v>1600</v>
      </c>
      <c r="AE375" s="302">
        <v>2600</v>
      </c>
      <c r="AF375" s="334">
        <v>1690</v>
      </c>
      <c r="AG375" s="334">
        <v>2210</v>
      </c>
      <c r="AH375" s="335">
        <v>15</v>
      </c>
      <c r="AI375" s="335">
        <v>15</v>
      </c>
    </row>
    <row r="376" spans="1:35">
      <c r="A376" s="371"/>
      <c r="B376" s="276"/>
      <c r="C376" s="235" t="s">
        <v>78</v>
      </c>
      <c r="D376">
        <v>1030.8900000000001</v>
      </c>
      <c r="E376">
        <v>1002.58</v>
      </c>
      <c r="F376">
        <v>982.8</v>
      </c>
      <c r="G376">
        <v>971.17</v>
      </c>
      <c r="H376">
        <v>964.16</v>
      </c>
      <c r="I376">
        <v>964.09</v>
      </c>
      <c r="J376">
        <v>971.91</v>
      </c>
      <c r="K376">
        <v>987.59</v>
      </c>
      <c r="L376">
        <v>1011.58</v>
      </c>
      <c r="M376">
        <v>980.3</v>
      </c>
      <c r="N376">
        <v>972.37</v>
      </c>
      <c r="O376">
        <v>964.73</v>
      </c>
      <c r="P376">
        <v>963.24</v>
      </c>
      <c r="Q376">
        <v>967.08</v>
      </c>
      <c r="R376">
        <v>973.73</v>
      </c>
      <c r="S376">
        <v>986.98</v>
      </c>
      <c r="T376">
        <v>1001.72</v>
      </c>
      <c r="U376" s="337"/>
      <c r="V376" s="337"/>
      <c r="W376" s="337"/>
      <c r="X376" s="359"/>
      <c r="Y376" s="337"/>
      <c r="Z376" s="337"/>
      <c r="AA376" s="339"/>
    </row>
    <row r="377" spans="1:35" ht="32.25" thickBot="1">
      <c r="A377" s="372"/>
      <c r="B377" s="281"/>
      <c r="C377" s="243" t="s">
        <v>221</v>
      </c>
      <c r="D377" s="337">
        <f t="shared" ref="D377:I377" si="156">IF(((D375="")*AND(D376="")),"",(D375-D376)*2)</f>
        <v>1995.9599999999996</v>
      </c>
      <c r="E377" s="337">
        <f t="shared" si="156"/>
        <v>1999.9799999999998</v>
      </c>
      <c r="F377" s="337">
        <f t="shared" si="156"/>
        <v>2002.1</v>
      </c>
      <c r="G377" s="337">
        <f t="shared" si="156"/>
        <v>2003.34</v>
      </c>
      <c r="H377" s="337">
        <f t="shared" si="156"/>
        <v>2014.5600000000002</v>
      </c>
      <c r="I377" s="337">
        <f t="shared" si="156"/>
        <v>2030.9999999999998</v>
      </c>
      <c r="J377" s="337">
        <f>IF(((J375="")*AND(J376="")),"",(J375-J376)*2)</f>
        <v>2044.0000000000002</v>
      </c>
      <c r="K377" s="337">
        <f>IF(((K375="")*AND(K376="")),"",(K375-K376)*2)</f>
        <v>2055.58</v>
      </c>
      <c r="L377" s="337">
        <f>IF(((L375="")*AND(L376="")),"",(L375-L376)*2)</f>
        <v>2059.5199999999995</v>
      </c>
      <c r="M377" s="337">
        <f>IF(((M375="")*AND(M376="")),"",(M375-M376)*2)</f>
        <v>2060.3000000000002</v>
      </c>
      <c r="N377" s="337">
        <f t="shared" ref="N377:T377" si="157">IF(((N375="")*AND(N376="")),"",(N375-N376)*2)</f>
        <v>2054.8999999999996</v>
      </c>
      <c r="O377" s="337">
        <f t="shared" si="157"/>
        <v>2042.1999999999998</v>
      </c>
      <c r="P377" s="337">
        <f t="shared" si="157"/>
        <v>2024.96</v>
      </c>
      <c r="Q377" s="337">
        <f t="shared" si="157"/>
        <v>2017.0799999999997</v>
      </c>
      <c r="R377" s="337">
        <f t="shared" si="157"/>
        <v>2020.38</v>
      </c>
      <c r="S377" s="337">
        <f t="shared" si="157"/>
        <v>2022.7399999999998</v>
      </c>
      <c r="T377" s="337">
        <f t="shared" si="157"/>
        <v>2021.58</v>
      </c>
      <c r="U377" s="337"/>
      <c r="V377" s="337"/>
      <c r="W377" s="337"/>
      <c r="X377" s="366"/>
      <c r="Y377" s="337"/>
      <c r="Z377" s="337"/>
      <c r="AA377" s="339"/>
    </row>
    <row r="378" spans="1:35">
      <c r="A378" s="248">
        <v>43697</v>
      </c>
      <c r="B378" s="268" t="s">
        <v>76</v>
      </c>
      <c r="C378" s="235" t="s">
        <v>77</v>
      </c>
      <c r="D378">
        <v>2020.38</v>
      </c>
      <c r="E378">
        <v>2010.31</v>
      </c>
      <c r="F378">
        <v>2006.25</v>
      </c>
      <c r="G378">
        <v>2002.71</v>
      </c>
      <c r="H378">
        <v>2002.28</v>
      </c>
      <c r="I378">
        <v>2001.22</v>
      </c>
      <c r="J378">
        <v>2003.05</v>
      </c>
      <c r="K378">
        <v>2005.98</v>
      </c>
      <c r="L378">
        <v>2013.51</v>
      </c>
      <c r="M378">
        <v>2010.53</v>
      </c>
      <c r="N378">
        <v>2007.3</v>
      </c>
      <c r="O378">
        <v>2002.34</v>
      </c>
      <c r="P378">
        <v>2002.25</v>
      </c>
      <c r="Q378">
        <v>2002.75</v>
      </c>
      <c r="R378">
        <v>2005.65</v>
      </c>
      <c r="S378">
        <v>2008.36</v>
      </c>
      <c r="T378">
        <v>2015.46</v>
      </c>
      <c r="U378" s="235">
        <f>IF((T379=""),"",MAX(D380:T380))</f>
        <v>2059.8999999999996</v>
      </c>
      <c r="V378" s="235">
        <f>IF(T379="","",MIN(D380:T380))</f>
        <v>1995.7000000000003</v>
      </c>
      <c r="W378" s="235">
        <f>IF((T380=""),"",AVERAGE(D380:T380))</f>
        <v>2027.9800000000002</v>
      </c>
      <c r="X378" s="359">
        <f>STDEV(D380:T380)</f>
        <v>22.636454006756328</v>
      </c>
      <c r="Y378" s="235">
        <f>IF((T379=""),"",((U378-V378)/(U378+V378))*100)</f>
        <v>1.5829963507249079</v>
      </c>
      <c r="Z378" s="228" t="str">
        <f>IF(T379="","",IF(Y378&lt;15,IF(W378&gt;AF378,IF(W378&lt;AG378,"Pass","Fail"),"Fail"),"Fail"))</f>
        <v>Pass</v>
      </c>
      <c r="AA378" s="373">
        <v>1340</v>
      </c>
      <c r="AD378" s="302">
        <v>1600</v>
      </c>
      <c r="AE378" s="302">
        <v>2600</v>
      </c>
      <c r="AF378" s="334">
        <v>1690</v>
      </c>
      <c r="AG378" s="334">
        <v>2210</v>
      </c>
      <c r="AH378" s="335">
        <v>15</v>
      </c>
      <c r="AI378" s="335">
        <v>15</v>
      </c>
    </row>
    <row r="379" spans="1:35">
      <c r="A379" s="371"/>
      <c r="B379" s="276"/>
      <c r="C379" s="235" t="s">
        <v>78</v>
      </c>
      <c r="D379">
        <v>1022.53</v>
      </c>
      <c r="E379">
        <v>1011.62</v>
      </c>
      <c r="F379">
        <v>1005.95</v>
      </c>
      <c r="G379">
        <v>999.9</v>
      </c>
      <c r="H379">
        <v>993.82</v>
      </c>
      <c r="I379">
        <v>985.38</v>
      </c>
      <c r="J379">
        <v>979.21</v>
      </c>
      <c r="K379">
        <v>976.82</v>
      </c>
      <c r="L379">
        <v>984</v>
      </c>
      <c r="M379">
        <v>980.58</v>
      </c>
      <c r="N379">
        <v>977.62</v>
      </c>
      <c r="O379">
        <v>981.69</v>
      </c>
      <c r="P379">
        <v>988.49</v>
      </c>
      <c r="Q379">
        <v>994.55</v>
      </c>
      <c r="R379">
        <v>994.98</v>
      </c>
      <c r="S379">
        <v>997.48</v>
      </c>
      <c r="T379">
        <v>1007.88</v>
      </c>
      <c r="U379" s="337"/>
      <c r="V379" s="337"/>
      <c r="W379" s="337"/>
      <c r="X379" s="359"/>
      <c r="Y379" s="337"/>
      <c r="Z379" s="337"/>
      <c r="AA379" s="339"/>
    </row>
    <row r="380" spans="1:35" ht="32.25" thickBot="1">
      <c r="A380" s="372"/>
      <c r="B380" s="281"/>
      <c r="C380" s="243" t="s">
        <v>221</v>
      </c>
      <c r="D380" s="337">
        <f t="shared" ref="D380:I380" si="158">IF(((D378="")*AND(D379="")),"",(D378-D379)*2)</f>
        <v>1995.7000000000003</v>
      </c>
      <c r="E380" s="337">
        <f t="shared" si="158"/>
        <v>1997.3799999999999</v>
      </c>
      <c r="F380" s="337">
        <f t="shared" si="158"/>
        <v>2000.6</v>
      </c>
      <c r="G380" s="337">
        <f t="shared" si="158"/>
        <v>2005.6200000000001</v>
      </c>
      <c r="H380" s="337">
        <f t="shared" si="158"/>
        <v>2016.9199999999998</v>
      </c>
      <c r="I380" s="337">
        <f t="shared" si="158"/>
        <v>2031.68</v>
      </c>
      <c r="J380" s="337">
        <f>IF(((J378="")*AND(J379="")),"",(J378-J379)*2)</f>
        <v>2047.6799999999998</v>
      </c>
      <c r="K380" s="337">
        <f>IF(((K378="")*AND(K379="")),"",(K378-K379)*2)</f>
        <v>2058.3199999999997</v>
      </c>
      <c r="L380" s="337">
        <f>IF(((L378="")*AND(L379="")),"",(L378-L379)*2)</f>
        <v>2059.02</v>
      </c>
      <c r="M380" s="337">
        <f>IF(((M378="")*AND(M379="")),"",(M378-M379)*2)</f>
        <v>2059.8999999999996</v>
      </c>
      <c r="N380" s="337">
        <f t="shared" ref="N380:T380" si="159">IF(((N378="")*AND(N379="")),"",(N378-N379)*2)</f>
        <v>2059.3599999999997</v>
      </c>
      <c r="O380" s="337">
        <f t="shared" si="159"/>
        <v>2041.2999999999997</v>
      </c>
      <c r="P380" s="337">
        <f t="shared" si="159"/>
        <v>2027.52</v>
      </c>
      <c r="Q380" s="337">
        <f t="shared" si="159"/>
        <v>2016.4</v>
      </c>
      <c r="R380" s="337">
        <f t="shared" si="159"/>
        <v>2021.3400000000001</v>
      </c>
      <c r="S380" s="337">
        <f t="shared" si="159"/>
        <v>2021.7599999999998</v>
      </c>
      <c r="T380" s="337">
        <f t="shared" si="159"/>
        <v>2015.16</v>
      </c>
      <c r="U380" s="337"/>
      <c r="V380" s="337"/>
      <c r="W380" s="337"/>
      <c r="X380" s="366"/>
      <c r="Y380" s="337"/>
      <c r="Z380" s="337"/>
      <c r="AA380" s="339"/>
    </row>
    <row r="381" spans="1:35">
      <c r="A381" s="115">
        <v>43700</v>
      </c>
      <c r="B381" s="268" t="s">
        <v>76</v>
      </c>
      <c r="C381" s="235" t="s">
        <v>77</v>
      </c>
      <c r="D381">
        <v>2025.49</v>
      </c>
      <c r="E381">
        <v>2013.33</v>
      </c>
      <c r="F381">
        <v>1997.41</v>
      </c>
      <c r="G381">
        <v>1987</v>
      </c>
      <c r="H381">
        <v>1983.04</v>
      </c>
      <c r="I381">
        <v>1984.98</v>
      </c>
      <c r="J381">
        <v>1994.95</v>
      </c>
      <c r="K381">
        <v>2009.72</v>
      </c>
      <c r="L381">
        <v>2028.59</v>
      </c>
      <c r="M381">
        <v>2056.42</v>
      </c>
      <c r="N381">
        <v>2029.24</v>
      </c>
      <c r="O381">
        <v>2007.11</v>
      </c>
      <c r="P381">
        <v>1988.93</v>
      </c>
      <c r="Q381">
        <v>1984.05</v>
      </c>
      <c r="R381">
        <v>1995.6</v>
      </c>
      <c r="S381">
        <v>2015.75</v>
      </c>
      <c r="T381">
        <v>2043.13</v>
      </c>
      <c r="U381" s="235">
        <f>IF((T382=""),"",MAX(D383:T383))</f>
        <v>2061.08</v>
      </c>
      <c r="V381" s="235">
        <f>IF(T382="","",MIN(D383:T383))</f>
        <v>1997.2600000000002</v>
      </c>
      <c r="W381" s="235">
        <f>IF((T383=""),"",AVERAGE(D383:T383))</f>
        <v>2028.808235294118</v>
      </c>
      <c r="X381" s="359">
        <f>STDEV(D383:T383)</f>
        <v>22.02249765447085</v>
      </c>
      <c r="Y381" s="235">
        <f>IF((T382=""),"",((U381-V381)/(U381+V381))*100)</f>
        <v>1.5725641518453286</v>
      </c>
      <c r="Z381" s="228" t="str">
        <f>IF(T382="","",IF(Y381&lt;15,IF(W381&gt;AF381,IF(W381&lt;AG381,"Pass","Fail"),"Fail"),"Fail"))</f>
        <v>Pass</v>
      </c>
      <c r="AA381" s="373">
        <v>1340</v>
      </c>
      <c r="AB381" s="381" t="s">
        <v>209</v>
      </c>
      <c r="AD381" s="302">
        <v>1600</v>
      </c>
      <c r="AE381" s="302">
        <v>2600</v>
      </c>
      <c r="AF381" s="334">
        <v>1690</v>
      </c>
      <c r="AG381" s="334">
        <v>2210</v>
      </c>
      <c r="AH381" s="335">
        <v>15</v>
      </c>
      <c r="AI381" s="335">
        <v>15</v>
      </c>
    </row>
    <row r="382" spans="1:35">
      <c r="A382" s="371"/>
      <c r="B382" s="276"/>
      <c r="C382" s="235" t="s">
        <v>78</v>
      </c>
      <c r="D382">
        <v>1026.8599999999999</v>
      </c>
      <c r="E382">
        <v>1011.75</v>
      </c>
      <c r="F382">
        <v>995.18</v>
      </c>
      <c r="G382">
        <v>983.77</v>
      </c>
      <c r="H382">
        <v>974.99</v>
      </c>
      <c r="I382">
        <v>969.85</v>
      </c>
      <c r="J382">
        <v>969.84</v>
      </c>
      <c r="K382">
        <v>979.18</v>
      </c>
      <c r="L382">
        <v>999.97</v>
      </c>
      <c r="M382">
        <v>1027.71</v>
      </c>
      <c r="N382">
        <v>1000.2</v>
      </c>
      <c r="O382">
        <v>983.54</v>
      </c>
      <c r="P382">
        <v>977.22</v>
      </c>
      <c r="Q382">
        <v>976.03</v>
      </c>
      <c r="R382">
        <v>983.55</v>
      </c>
      <c r="S382">
        <v>1002.71</v>
      </c>
      <c r="T382">
        <v>1037.52</v>
      </c>
      <c r="U382" s="337"/>
      <c r="V382" s="337"/>
      <c r="W382" s="337"/>
      <c r="X382" s="359"/>
      <c r="Y382" s="337"/>
      <c r="Z382" s="337"/>
      <c r="AA382" s="339"/>
    </row>
    <row r="383" spans="1:35" ht="32.25" thickBot="1">
      <c r="A383" s="372"/>
      <c r="B383" s="281"/>
      <c r="C383" s="243" t="s">
        <v>221</v>
      </c>
      <c r="D383" s="337">
        <f t="shared" ref="D383:I383" si="160">IF(((D381="")*AND(D382="")),"",(D381-D382)*2)</f>
        <v>1997.2600000000002</v>
      </c>
      <c r="E383" s="337">
        <f t="shared" si="160"/>
        <v>2003.1599999999999</v>
      </c>
      <c r="F383" s="337">
        <f t="shared" si="160"/>
        <v>2004.4600000000003</v>
      </c>
      <c r="G383" s="337">
        <f t="shared" si="160"/>
        <v>2006.46</v>
      </c>
      <c r="H383" s="337">
        <f t="shared" si="160"/>
        <v>2016.1</v>
      </c>
      <c r="I383" s="337">
        <f t="shared" si="160"/>
        <v>2030.26</v>
      </c>
      <c r="J383" s="337">
        <f>IF(((J381="")*AND(J382="")),"",(J381-J382)*2)</f>
        <v>2050.2200000000003</v>
      </c>
      <c r="K383" s="337">
        <f>IF(((K381="")*AND(K382="")),"",(K381-K382)*2)</f>
        <v>2061.08</v>
      </c>
      <c r="L383" s="337">
        <f>IF(((L381="")*AND(L382="")),"",(L381-L382)*2)</f>
        <v>2057.2399999999998</v>
      </c>
      <c r="M383" s="337">
        <f>IF(((M381="")*AND(M382="")),"",(M381-M382)*2)</f>
        <v>2057.42</v>
      </c>
      <c r="N383" s="337">
        <f t="shared" ref="N383:T383" si="161">IF(((N381="")*AND(N382="")),"",(N381-N382)*2)</f>
        <v>2058.08</v>
      </c>
      <c r="O383" s="337">
        <f t="shared" si="161"/>
        <v>2047.1399999999999</v>
      </c>
      <c r="P383" s="337">
        <f t="shared" si="161"/>
        <v>2023.42</v>
      </c>
      <c r="Q383" s="337">
        <f t="shared" si="161"/>
        <v>2016.04</v>
      </c>
      <c r="R383" s="337">
        <f t="shared" si="161"/>
        <v>2024.1</v>
      </c>
      <c r="S383" s="337">
        <f t="shared" si="161"/>
        <v>2026.08</v>
      </c>
      <c r="T383" s="337">
        <f t="shared" si="161"/>
        <v>2011.2200000000003</v>
      </c>
      <c r="U383" s="337"/>
      <c r="V383" s="337"/>
      <c r="W383" s="337"/>
      <c r="X383" s="366"/>
      <c r="Y383" s="337"/>
      <c r="Z383" s="337"/>
      <c r="AA383" s="339"/>
    </row>
    <row r="384" spans="1:35">
      <c r="A384" s="248">
        <v>43704</v>
      </c>
      <c r="B384" s="268" t="s">
        <v>76</v>
      </c>
      <c r="C384" s="235" t="s">
        <v>77</v>
      </c>
      <c r="D384">
        <v>2024.97</v>
      </c>
      <c r="E384">
        <v>2019.41</v>
      </c>
      <c r="F384">
        <v>2015.11</v>
      </c>
      <c r="G384">
        <v>2013.67</v>
      </c>
      <c r="H384">
        <v>2013.14</v>
      </c>
      <c r="I384">
        <v>2015.04</v>
      </c>
      <c r="J384">
        <v>2018.45</v>
      </c>
      <c r="K384">
        <v>2023.16</v>
      </c>
      <c r="L384">
        <v>2032.5</v>
      </c>
      <c r="M384">
        <v>2027.42</v>
      </c>
      <c r="N384">
        <v>2020.15</v>
      </c>
      <c r="O384">
        <v>2017.48</v>
      </c>
      <c r="P384">
        <v>2014.83</v>
      </c>
      <c r="Q384">
        <v>2013.34</v>
      </c>
      <c r="R384">
        <v>2014.7</v>
      </c>
      <c r="S384">
        <v>2018.43</v>
      </c>
      <c r="T384">
        <v>2022.22</v>
      </c>
      <c r="U384" s="235">
        <f>IF((T385=""),"",MAX(D386:T386))</f>
        <v>2051.8000000000002</v>
      </c>
      <c r="V384" s="235">
        <f>IF(T385="","",MIN(D386:T386))</f>
        <v>1989.1</v>
      </c>
      <c r="W384" s="235">
        <f>IF((T386=""),"",AVERAGE(D386:T386))</f>
        <v>2018.9317647058826</v>
      </c>
      <c r="X384" s="359">
        <f>STDEV(D386:T386)</f>
        <v>21.165238079010052</v>
      </c>
      <c r="Y384" s="235">
        <f>IF((T385=""),"",((U384-V384)/(U384+V384))*100)</f>
        <v>1.551634536860607</v>
      </c>
      <c r="Z384" s="228" t="str">
        <f>IF(T385="","",IF(Y384&lt;15,IF(W384&gt;AF384,IF(W384&lt;AG384,"Pass","Fail"),"Fail"),"Fail"))</f>
        <v>Pass</v>
      </c>
      <c r="AA384" s="373">
        <v>1428</v>
      </c>
      <c r="AB384" s="377" t="s">
        <v>210</v>
      </c>
      <c r="AD384" s="302">
        <v>1600</v>
      </c>
      <c r="AE384" s="302">
        <v>2600</v>
      </c>
      <c r="AF384" s="334">
        <v>1690</v>
      </c>
      <c r="AG384" s="334">
        <v>2210</v>
      </c>
      <c r="AH384" s="335">
        <v>15</v>
      </c>
      <c r="AI384" s="335">
        <v>15</v>
      </c>
    </row>
    <row r="385" spans="1:35">
      <c r="A385" s="371"/>
      <c r="B385" s="276"/>
      <c r="C385" s="235" t="s">
        <v>78</v>
      </c>
      <c r="D385">
        <v>1030.42</v>
      </c>
      <c r="E385">
        <v>1019.66</v>
      </c>
      <c r="F385">
        <v>1014.91</v>
      </c>
      <c r="G385">
        <v>1017.15</v>
      </c>
      <c r="H385">
        <v>1012.6</v>
      </c>
      <c r="I385">
        <v>1004.8</v>
      </c>
      <c r="J385">
        <v>996.57</v>
      </c>
      <c r="K385">
        <v>997.26</v>
      </c>
      <c r="L385">
        <v>1013.38</v>
      </c>
      <c r="M385">
        <v>1005.77</v>
      </c>
      <c r="N385">
        <v>995.19</v>
      </c>
      <c r="O385">
        <v>998.13</v>
      </c>
      <c r="P385">
        <v>1007.43</v>
      </c>
      <c r="Q385">
        <v>1010.31</v>
      </c>
      <c r="R385">
        <v>1006.71</v>
      </c>
      <c r="S385">
        <v>1010.75</v>
      </c>
      <c r="T385">
        <v>1022.06</v>
      </c>
      <c r="U385" s="337"/>
      <c r="V385" s="337"/>
      <c r="W385" s="337"/>
      <c r="X385" s="359"/>
      <c r="Y385" s="337"/>
      <c r="Z385" s="337"/>
      <c r="AA385" s="339"/>
    </row>
    <row r="386" spans="1:35" ht="32.25" thickBot="1">
      <c r="A386" s="372"/>
      <c r="B386" s="281"/>
      <c r="C386" s="243" t="s">
        <v>221</v>
      </c>
      <c r="D386" s="337">
        <f t="shared" ref="D386:I386" si="162">IF(((D384="")*AND(D385="")),"",(D384-D385)*2)</f>
        <v>1989.1</v>
      </c>
      <c r="E386" s="337">
        <f t="shared" si="162"/>
        <v>1999.5000000000002</v>
      </c>
      <c r="F386" s="337">
        <f t="shared" si="162"/>
        <v>2000.3999999999999</v>
      </c>
      <c r="G386" s="337">
        <f t="shared" si="162"/>
        <v>1993.0400000000002</v>
      </c>
      <c r="H386" s="337">
        <f t="shared" si="162"/>
        <v>2001.0800000000002</v>
      </c>
      <c r="I386" s="337">
        <f t="shared" si="162"/>
        <v>2020.48</v>
      </c>
      <c r="J386" s="337">
        <f>IF(((J384="")*AND(J385="")),"",(J384-J385)*2)</f>
        <v>2043.76</v>
      </c>
      <c r="K386" s="337">
        <f>IF(((K384="")*AND(K385="")),"",(K384-K385)*2)</f>
        <v>2051.8000000000002</v>
      </c>
      <c r="L386" s="337">
        <f>IF(((L384="")*AND(L385="")),"",(L384-L385)*2)</f>
        <v>2038.24</v>
      </c>
      <c r="M386" s="337">
        <f>IF(((M384="")*AND(M385="")),"",(M384-M385)*2)</f>
        <v>2043.3000000000002</v>
      </c>
      <c r="N386" s="337">
        <f t="shared" ref="N386:T386" si="163">IF(((N384="")*AND(N385="")),"",(N384-N385)*2)</f>
        <v>2049.92</v>
      </c>
      <c r="O386" s="337">
        <f t="shared" si="163"/>
        <v>2038.7</v>
      </c>
      <c r="P386" s="337">
        <f t="shared" si="163"/>
        <v>2014.8</v>
      </c>
      <c r="Q386" s="337">
        <f t="shared" si="163"/>
        <v>2006.06</v>
      </c>
      <c r="R386" s="337">
        <f t="shared" si="163"/>
        <v>2015.98</v>
      </c>
      <c r="S386" s="337">
        <f t="shared" si="163"/>
        <v>2015.3600000000001</v>
      </c>
      <c r="T386" s="337">
        <f t="shared" si="163"/>
        <v>2000.3200000000002</v>
      </c>
      <c r="U386" s="337"/>
      <c r="V386" s="337"/>
      <c r="W386" s="337"/>
      <c r="X386" s="366"/>
      <c r="Y386" s="337"/>
      <c r="Z386" s="337"/>
      <c r="AA386" s="339"/>
    </row>
    <row r="387" spans="1:35">
      <c r="A387" s="248">
        <v>43710</v>
      </c>
      <c r="B387" s="268" t="s">
        <v>76</v>
      </c>
      <c r="C387" s="235" t="s">
        <v>77</v>
      </c>
      <c r="D387">
        <v>2022.56</v>
      </c>
      <c r="E387">
        <v>1992.98</v>
      </c>
      <c r="F387">
        <v>1973.29</v>
      </c>
      <c r="G387">
        <v>1961.88</v>
      </c>
      <c r="H387">
        <v>1958.26</v>
      </c>
      <c r="I387">
        <v>1965.14</v>
      </c>
      <c r="J387">
        <v>1981.23</v>
      </c>
      <c r="K387">
        <v>2003.44</v>
      </c>
      <c r="L387">
        <v>2031.45</v>
      </c>
      <c r="M387">
        <v>1999.86</v>
      </c>
      <c r="N387">
        <v>1988.55</v>
      </c>
      <c r="O387">
        <v>1973.18</v>
      </c>
      <c r="P387">
        <v>1963.07</v>
      </c>
      <c r="Q387">
        <v>1963.32</v>
      </c>
      <c r="R387">
        <v>1973.43</v>
      </c>
      <c r="S387">
        <v>1988.7</v>
      </c>
      <c r="T387">
        <v>2009.89</v>
      </c>
      <c r="U387" s="235">
        <f>IF((T388=""),"",MAX(D389:T389))</f>
        <v>2071.6800000000003</v>
      </c>
      <c r="V387" s="235">
        <f>IF(T388="","",MIN(D389:T389))</f>
        <v>2002.28</v>
      </c>
      <c r="W387" s="235">
        <f>IF((T389=""),"",AVERAGE(D389:T389))</f>
        <v>2038.0247058823534</v>
      </c>
      <c r="X387" s="359">
        <f>STDEV(D389:T389)</f>
        <v>22.294522342283756</v>
      </c>
      <c r="Y387" s="235">
        <f>IF((T388=""),"",((U387-V387)/(U387+V387))*100)</f>
        <v>1.7035022435173717</v>
      </c>
      <c r="Z387" s="228" t="str">
        <f>IF(T388="","",IF(Y387&lt;15,IF(W387&gt;AF387,IF(W387&lt;AG387,"Pass","Fail"),"Fail"),"Fail"))</f>
        <v>Pass</v>
      </c>
      <c r="AA387" s="373">
        <v>1428</v>
      </c>
      <c r="AB387" s="381" t="s">
        <v>211</v>
      </c>
      <c r="AD387" s="302">
        <v>1600</v>
      </c>
      <c r="AE387" s="302">
        <v>2600</v>
      </c>
      <c r="AF387" s="334">
        <v>1690</v>
      </c>
      <c r="AG387" s="334">
        <v>2210</v>
      </c>
      <c r="AH387" s="335">
        <v>15</v>
      </c>
      <c r="AI387" s="335">
        <v>15</v>
      </c>
    </row>
    <row r="388" spans="1:35">
      <c r="A388" s="371"/>
      <c r="B388" s="276"/>
      <c r="C388" s="235" t="s">
        <v>78</v>
      </c>
      <c r="D388">
        <v>1021.42</v>
      </c>
      <c r="E388">
        <v>986.65</v>
      </c>
      <c r="F388">
        <v>965.55</v>
      </c>
      <c r="G388">
        <v>954.21</v>
      </c>
      <c r="H388">
        <v>949.16</v>
      </c>
      <c r="I388">
        <v>945.94</v>
      </c>
      <c r="J388">
        <v>951.01</v>
      </c>
      <c r="K388">
        <v>967.6</v>
      </c>
      <c r="L388">
        <v>998</v>
      </c>
      <c r="M388">
        <v>968.42</v>
      </c>
      <c r="N388">
        <v>954.79</v>
      </c>
      <c r="O388">
        <v>945.02</v>
      </c>
      <c r="P388">
        <v>944.5</v>
      </c>
      <c r="Q388">
        <v>950.47</v>
      </c>
      <c r="R388">
        <v>955.91</v>
      </c>
      <c r="S388">
        <v>971.33</v>
      </c>
      <c r="T388">
        <v>997.04</v>
      </c>
      <c r="U388" s="337"/>
      <c r="V388" s="337"/>
      <c r="W388" s="337"/>
      <c r="X388" s="359"/>
      <c r="Y388" s="337"/>
      <c r="Z388" s="337"/>
      <c r="AA388" s="339"/>
    </row>
    <row r="389" spans="1:35" ht="32.25" thickBot="1">
      <c r="A389" s="372"/>
      <c r="B389" s="281"/>
      <c r="C389" s="243" t="s">
        <v>221</v>
      </c>
      <c r="D389" s="337">
        <f t="shared" ref="D389:I389" si="164">IF(((D387="")*AND(D388="")),"",(D387-D388)*2)</f>
        <v>2002.28</v>
      </c>
      <c r="E389" s="337">
        <f t="shared" si="164"/>
        <v>2012.66</v>
      </c>
      <c r="F389" s="337">
        <f t="shared" si="164"/>
        <v>2015.48</v>
      </c>
      <c r="G389" s="337">
        <f t="shared" si="164"/>
        <v>2015.3400000000001</v>
      </c>
      <c r="H389" s="337">
        <f t="shared" si="164"/>
        <v>2018.2</v>
      </c>
      <c r="I389" s="337">
        <f t="shared" si="164"/>
        <v>2038.4</v>
      </c>
      <c r="J389" s="337">
        <f>IF(((J387="")*AND(J388="")),"",(J387-J388)*2)</f>
        <v>2060.44</v>
      </c>
      <c r="K389" s="337">
        <f>IF(((K387="")*AND(K388="")),"",(K387-K388)*2)</f>
        <v>2071.6800000000003</v>
      </c>
      <c r="L389" s="337">
        <f>IF(((L387="")*AND(L388="")),"",(L387-L388)*2)</f>
        <v>2066.9</v>
      </c>
      <c r="M389" s="337">
        <f>IF(((M387="")*AND(M388="")),"",(M387-M388)*2)</f>
        <v>2062.88</v>
      </c>
      <c r="N389" s="337">
        <f t="shared" ref="N389:T389" si="165">IF(((N387="")*AND(N388="")),"",(N387-N388)*2)</f>
        <v>2067.52</v>
      </c>
      <c r="O389" s="337">
        <f t="shared" si="165"/>
        <v>2056.3200000000002</v>
      </c>
      <c r="P389" s="337">
        <f t="shared" si="165"/>
        <v>2037.1399999999999</v>
      </c>
      <c r="Q389" s="337">
        <f t="shared" si="165"/>
        <v>2025.6999999999998</v>
      </c>
      <c r="R389" s="337">
        <f t="shared" si="165"/>
        <v>2035.0400000000002</v>
      </c>
      <c r="S389" s="337">
        <f t="shared" si="165"/>
        <v>2034.74</v>
      </c>
      <c r="T389" s="337">
        <f t="shared" si="165"/>
        <v>2025.7000000000003</v>
      </c>
      <c r="U389" s="337"/>
      <c r="V389" s="337"/>
      <c r="W389" s="337"/>
      <c r="X389" s="366"/>
      <c r="Y389" s="337"/>
      <c r="Z389" s="337"/>
      <c r="AA389" s="339"/>
    </row>
    <row r="390" spans="1:35">
      <c r="A390" s="248">
        <v>43712</v>
      </c>
      <c r="B390" s="268" t="s">
        <v>76</v>
      </c>
      <c r="C390" s="235" t="s">
        <v>77</v>
      </c>
      <c r="D390">
        <v>2020.3</v>
      </c>
      <c r="E390">
        <v>2005.71</v>
      </c>
      <c r="F390">
        <v>1989.47</v>
      </c>
      <c r="G390">
        <v>1980.03</v>
      </c>
      <c r="H390">
        <v>1976.01</v>
      </c>
      <c r="I390">
        <v>1980.12</v>
      </c>
      <c r="J390">
        <v>1991.08</v>
      </c>
      <c r="K390">
        <v>2007.38</v>
      </c>
      <c r="L390">
        <v>2038.67</v>
      </c>
      <c r="M390">
        <v>2047.03</v>
      </c>
      <c r="N390">
        <v>2021.34</v>
      </c>
      <c r="O390">
        <v>1999.23</v>
      </c>
      <c r="P390">
        <v>1982.95</v>
      </c>
      <c r="Q390">
        <v>1978.95</v>
      </c>
      <c r="R390">
        <v>1990.24</v>
      </c>
      <c r="S390">
        <v>2011.66</v>
      </c>
      <c r="T390">
        <v>2040.97</v>
      </c>
      <c r="U390" s="235">
        <f>IF((T391=""),"",MAX(D392:T392))</f>
        <v>2071.5200000000004</v>
      </c>
      <c r="V390" s="235">
        <f>IF(T391="","",MIN(D392:T392))</f>
        <v>2013.2199999999998</v>
      </c>
      <c r="W390" s="235">
        <f>IF((T392=""),"",AVERAGE(D392:T392))</f>
        <v>2038.1070588235293</v>
      </c>
      <c r="X390" s="359">
        <f>STDEV(D392:T392)</f>
        <v>20.481930989504452</v>
      </c>
      <c r="Y390" s="235">
        <f>IF((T391=""),"",((U390-V390)/(U390+V390))*100)</f>
        <v>1.4272634243550539</v>
      </c>
      <c r="Z390" s="228" t="str">
        <f>IF(T391="","",IF(Y390&lt;15,IF(W390&gt;AF390,IF(W390&lt;AG390,"Pass","Fail"),"Fail"),"Fail"))</f>
        <v>Pass</v>
      </c>
      <c r="AA390" s="373">
        <v>1428</v>
      </c>
      <c r="AB390" s="381" t="s">
        <v>212</v>
      </c>
      <c r="AD390" s="302">
        <v>1600</v>
      </c>
      <c r="AE390" s="302">
        <v>2600</v>
      </c>
      <c r="AF390" s="334">
        <v>1690</v>
      </c>
      <c r="AG390" s="334">
        <v>2210</v>
      </c>
      <c r="AH390" s="335">
        <v>15</v>
      </c>
      <c r="AI390" s="335">
        <v>15</v>
      </c>
    </row>
    <row r="391" spans="1:35">
      <c r="A391" s="371"/>
      <c r="B391" s="276"/>
      <c r="C391" s="235" t="s">
        <v>78</v>
      </c>
      <c r="D391">
        <v>1013.69</v>
      </c>
      <c r="E391">
        <v>996.75</v>
      </c>
      <c r="F391">
        <v>982.18</v>
      </c>
      <c r="G391">
        <v>972.36</v>
      </c>
      <c r="H391">
        <v>965.14</v>
      </c>
      <c r="I391">
        <v>960.41</v>
      </c>
      <c r="J391">
        <v>962.79</v>
      </c>
      <c r="K391">
        <v>974.86</v>
      </c>
      <c r="L391">
        <v>1002.91</v>
      </c>
      <c r="M391">
        <v>1014.89</v>
      </c>
      <c r="N391">
        <v>988.2</v>
      </c>
      <c r="O391">
        <v>972.44</v>
      </c>
      <c r="P391">
        <v>965.54</v>
      </c>
      <c r="Q391">
        <v>966.31</v>
      </c>
      <c r="R391">
        <v>975.47</v>
      </c>
      <c r="S391">
        <v>994.75</v>
      </c>
      <c r="T391">
        <v>1028.54</v>
      </c>
      <c r="U391" s="337"/>
      <c r="V391" s="337"/>
      <c r="W391" s="337"/>
      <c r="X391" s="359"/>
      <c r="Y391" s="337"/>
      <c r="Z391" s="337"/>
      <c r="AA391" s="339"/>
    </row>
    <row r="392" spans="1:35" ht="32.25" thickBot="1">
      <c r="A392" s="372"/>
      <c r="B392" s="281"/>
      <c r="C392" s="243" t="s">
        <v>221</v>
      </c>
      <c r="D392" s="337">
        <f t="shared" ref="D392:I392" si="166">IF(((D390="")*AND(D391="")),"",(D390-D391)*2)</f>
        <v>2013.2199999999998</v>
      </c>
      <c r="E392" s="337">
        <f t="shared" si="166"/>
        <v>2017.92</v>
      </c>
      <c r="F392" s="337">
        <f t="shared" si="166"/>
        <v>2014.5800000000002</v>
      </c>
      <c r="G392" s="337">
        <f t="shared" si="166"/>
        <v>2015.34</v>
      </c>
      <c r="H392" s="337">
        <f t="shared" si="166"/>
        <v>2021.74</v>
      </c>
      <c r="I392" s="337">
        <f t="shared" si="166"/>
        <v>2039.4199999999998</v>
      </c>
      <c r="J392" s="337">
        <f>IF(((J390="")*AND(J391="")),"",(J390-J391)*2)</f>
        <v>2056.58</v>
      </c>
      <c r="K392" s="337">
        <f>IF(((K390="")*AND(K391="")),"",(K390-K391)*2)</f>
        <v>2065.04</v>
      </c>
      <c r="L392" s="337">
        <f>IF(((L390="")*AND(L391="")),"",(L390-L391)*2)</f>
        <v>2071.5200000000004</v>
      </c>
      <c r="M392" s="337">
        <f>IF(((M390="")*AND(M391="")),"",(M390-M391)*2)</f>
        <v>2064.2799999999997</v>
      </c>
      <c r="N392" s="337">
        <f t="shared" ref="N392:T392" si="167">IF(((N390="")*AND(N391="")),"",(N390-N391)*2)</f>
        <v>2066.2799999999997</v>
      </c>
      <c r="O392" s="337">
        <f t="shared" si="167"/>
        <v>2053.58</v>
      </c>
      <c r="P392" s="337">
        <f t="shared" si="167"/>
        <v>2034.8200000000002</v>
      </c>
      <c r="Q392" s="337">
        <f t="shared" si="167"/>
        <v>2025.2800000000002</v>
      </c>
      <c r="R392" s="337">
        <f t="shared" si="167"/>
        <v>2029.54</v>
      </c>
      <c r="S392" s="337">
        <f t="shared" si="167"/>
        <v>2033.8200000000002</v>
      </c>
      <c r="T392" s="337">
        <f t="shared" si="167"/>
        <v>2024.8600000000001</v>
      </c>
      <c r="U392" s="337"/>
      <c r="V392" s="337"/>
      <c r="W392" s="337"/>
      <c r="X392" s="366"/>
      <c r="Y392" s="337"/>
      <c r="Z392" s="337"/>
      <c r="AA392" s="339"/>
    </row>
    <row r="393" spans="1:35">
      <c r="A393" s="248">
        <v>43715</v>
      </c>
      <c r="B393" s="268" t="s">
        <v>76</v>
      </c>
      <c r="C393" s="235" t="s">
        <v>77</v>
      </c>
      <c r="D393">
        <v>2011.24</v>
      </c>
      <c r="E393">
        <v>2002.13</v>
      </c>
      <c r="F393">
        <v>1985.99</v>
      </c>
      <c r="G393">
        <v>1975.74</v>
      </c>
      <c r="H393">
        <v>1971.62</v>
      </c>
      <c r="I393">
        <v>1975.21</v>
      </c>
      <c r="J393">
        <v>1985.64</v>
      </c>
      <c r="K393">
        <v>2000.08</v>
      </c>
      <c r="L393">
        <v>2019.69</v>
      </c>
      <c r="M393">
        <v>2042.45</v>
      </c>
      <c r="N393">
        <v>2015.91</v>
      </c>
      <c r="O393">
        <v>1994.48</v>
      </c>
      <c r="P393">
        <v>1978.93</v>
      </c>
      <c r="Q393">
        <v>1974.19</v>
      </c>
      <c r="R393">
        <v>1985.59</v>
      </c>
      <c r="S393">
        <v>2005.21</v>
      </c>
      <c r="T393">
        <v>2032.47</v>
      </c>
      <c r="U393" s="235">
        <f>IF((S394=""),"",MAX(D395:S395))</f>
        <v>2104.6800000000003</v>
      </c>
      <c r="V393" s="235">
        <f>IF(S394="","",MIN(D395:S395))</f>
        <v>1965.3600000000001</v>
      </c>
      <c r="W393" s="235">
        <f>IF((S395=""),"",AVERAGE(D395:T395))</f>
        <v>2025.4694117647057</v>
      </c>
      <c r="X393" s="359">
        <f>STDEV(D395:S395)</f>
        <v>33.763839804342972</v>
      </c>
      <c r="Y393" s="235">
        <f>IF((S394=""),"",((U393-V393)/(U393+V393))*100)</f>
        <v>3.4230621812070678</v>
      </c>
      <c r="Z393" s="228" t="str">
        <f>IF(T394="","",IF(Y393&lt;15,IF(W393&gt;AF393,IF(W393&lt;AG393,"Pass","Fail"),"Fail"),"Fail"))</f>
        <v>Pass</v>
      </c>
      <c r="AA393" s="373">
        <v>1335</v>
      </c>
      <c r="AB393" s="377" t="s">
        <v>213</v>
      </c>
      <c r="AD393" s="302">
        <v>1600</v>
      </c>
      <c r="AE393" s="302">
        <v>2600</v>
      </c>
      <c r="AF393" s="334">
        <v>1690</v>
      </c>
      <c r="AG393" s="334">
        <v>2210</v>
      </c>
      <c r="AH393" s="335">
        <v>15</v>
      </c>
      <c r="AI393" s="335">
        <v>15</v>
      </c>
    </row>
    <row r="394" spans="1:35">
      <c r="A394" s="371"/>
      <c r="B394" s="276"/>
      <c r="C394" s="235" t="s">
        <v>78</v>
      </c>
      <c r="D394">
        <v>1001.2</v>
      </c>
      <c r="E394">
        <v>984.8</v>
      </c>
      <c r="F394">
        <v>974.38</v>
      </c>
      <c r="G394">
        <v>966.18</v>
      </c>
      <c r="H394">
        <v>960.78</v>
      </c>
      <c r="I394">
        <v>961.78</v>
      </c>
      <c r="J394">
        <v>972.16</v>
      </c>
      <c r="K394">
        <v>990.67</v>
      </c>
      <c r="L394">
        <v>1015.53</v>
      </c>
      <c r="M394">
        <v>990.11</v>
      </c>
      <c r="N394">
        <v>973.83</v>
      </c>
      <c r="O394">
        <v>967.72</v>
      </c>
      <c r="P394">
        <v>967.13</v>
      </c>
      <c r="Q394">
        <v>975.29</v>
      </c>
      <c r="R394">
        <v>993.46</v>
      </c>
      <c r="S394">
        <v>1022.53</v>
      </c>
      <c r="T394">
        <v>1022.53</v>
      </c>
      <c r="U394" s="337"/>
      <c r="V394" s="337"/>
      <c r="W394" s="359"/>
      <c r="X394" s="337"/>
      <c r="Y394" s="337"/>
      <c r="Z394" s="339"/>
      <c r="AB394" s="323"/>
      <c r="AC394" s="302"/>
      <c r="AG394" s="122"/>
      <c r="AI394" s="123"/>
    </row>
    <row r="395" spans="1:35" ht="32.25" thickBot="1">
      <c r="A395" s="372"/>
      <c r="B395" s="281"/>
      <c r="C395" s="243" t="s">
        <v>221</v>
      </c>
      <c r="D395" s="337">
        <f t="shared" ref="D395:I395" si="168">IF(((D393="")*AND(D394="")),"",(D393-D394)*2)</f>
        <v>2020.08</v>
      </c>
      <c r="E395" s="337">
        <f t="shared" si="168"/>
        <v>2034.6600000000003</v>
      </c>
      <c r="F395" s="337">
        <f t="shared" si="168"/>
        <v>2023.22</v>
      </c>
      <c r="G395" s="337">
        <f t="shared" si="168"/>
        <v>2019.1200000000001</v>
      </c>
      <c r="H395" s="337">
        <f t="shared" si="168"/>
        <v>2021.6799999999998</v>
      </c>
      <c r="I395" s="337">
        <f t="shared" si="168"/>
        <v>2026.8600000000001</v>
      </c>
      <c r="J395" s="337">
        <f>IF(((J393="")*AND(J394="")),"",(J393-J394)*2)</f>
        <v>2026.9600000000003</v>
      </c>
      <c r="K395" s="337">
        <f>IF(((K393="")*AND(K394="")),"",(K393-K394)*2)</f>
        <v>2018.82</v>
      </c>
      <c r="L395" s="337">
        <f>IF(((L393="")*AND(L394="")),"",(L393-L394)*2)</f>
        <v>2008.3200000000002</v>
      </c>
      <c r="M395" s="337">
        <f>IF(((M393="")*AND(M394="")),"",(M393-M394)*2)</f>
        <v>2104.6800000000003</v>
      </c>
      <c r="N395" s="337">
        <f t="shared" ref="N395:T395" si="169">IF(((N393="")*AND(N394="")),"",(N393-N394)*2)</f>
        <v>2084.16</v>
      </c>
      <c r="O395" s="337">
        <f t="shared" si="169"/>
        <v>2053.52</v>
      </c>
      <c r="P395" s="337">
        <f t="shared" si="169"/>
        <v>2023.6000000000001</v>
      </c>
      <c r="Q395" s="337">
        <f t="shared" si="169"/>
        <v>1997.8000000000002</v>
      </c>
      <c r="R395" s="337">
        <f t="shared" si="169"/>
        <v>1984.2599999999998</v>
      </c>
      <c r="S395" s="337">
        <f t="shared" si="169"/>
        <v>1965.3600000000001</v>
      </c>
      <c r="T395" s="337">
        <f t="shared" si="169"/>
        <v>2019.88</v>
      </c>
      <c r="U395" s="337"/>
      <c r="V395" s="337"/>
      <c r="W395" s="337"/>
      <c r="X395" s="366"/>
      <c r="Y395" s="337"/>
      <c r="Z395" s="337"/>
      <c r="AA395" s="339"/>
      <c r="AC395" s="302"/>
      <c r="AG395" s="122"/>
      <c r="AI395" s="123"/>
    </row>
    <row r="396" spans="1:35">
      <c r="A396" s="248">
        <v>43719</v>
      </c>
      <c r="B396" s="268" t="s">
        <v>76</v>
      </c>
      <c r="C396" s="235" t="s">
        <v>77</v>
      </c>
      <c r="D396">
        <v>2024.47</v>
      </c>
      <c r="E396">
        <v>2020.1</v>
      </c>
      <c r="F396">
        <v>2017.09</v>
      </c>
      <c r="G396">
        <v>2015.95</v>
      </c>
      <c r="H396">
        <v>2016.03</v>
      </c>
      <c r="I396">
        <v>2017.89</v>
      </c>
      <c r="J396">
        <v>2019.92</v>
      </c>
      <c r="K396">
        <v>2023.85</v>
      </c>
      <c r="L396">
        <v>2032.14</v>
      </c>
      <c r="M396">
        <v>2028.86</v>
      </c>
      <c r="N396">
        <v>2021.8</v>
      </c>
      <c r="O396">
        <v>2017.24</v>
      </c>
      <c r="P396">
        <v>2014.85</v>
      </c>
      <c r="Q396">
        <v>2017.39</v>
      </c>
      <c r="R396">
        <v>2021.59</v>
      </c>
      <c r="S396">
        <v>2026.26</v>
      </c>
      <c r="T396">
        <v>2036.08</v>
      </c>
      <c r="U396" s="235">
        <f>IF((S397=""),"",MAX(D398:S398))</f>
        <v>2049.1999999999998</v>
      </c>
      <c r="V396" s="235">
        <f>IF(S397="","",MIN(D398:S398))</f>
        <v>1969.3200000000002</v>
      </c>
      <c r="W396" s="235">
        <f>IF((S398=""),"",AVERAGE(D398:T398))</f>
        <v>2011.9447058823528</v>
      </c>
      <c r="X396" s="359">
        <f>STDEV(D398:S398)</f>
        <v>27.120255621951628</v>
      </c>
      <c r="Y396" s="235">
        <f>IF((S397=""),"",((U396-V396)/(U396+V396))*100)</f>
        <v>1.9877965021948294</v>
      </c>
      <c r="Z396" s="228" t="str">
        <f>IF(T397="","",IF(Y396&lt;15,IF(W396&gt;AF396,IF(W396&lt;AG396,"Pass","Fail"),"Fail"),"Fail"))</f>
        <v>Pass</v>
      </c>
      <c r="AA396" s="373">
        <v>74</v>
      </c>
      <c r="AD396" s="302">
        <v>1600</v>
      </c>
      <c r="AE396" s="302">
        <v>2600</v>
      </c>
      <c r="AF396" s="334">
        <v>1690</v>
      </c>
      <c r="AG396" s="334">
        <v>2210</v>
      </c>
      <c r="AH396" s="335">
        <v>15</v>
      </c>
      <c r="AI396" s="335">
        <v>15</v>
      </c>
    </row>
    <row r="397" spans="1:35">
      <c r="A397" s="371"/>
      <c r="B397" s="276"/>
      <c r="C397" s="235" t="s">
        <v>78</v>
      </c>
      <c r="D397">
        <v>1039.81</v>
      </c>
      <c r="E397">
        <v>1028.02</v>
      </c>
      <c r="F397">
        <v>1024.56</v>
      </c>
      <c r="G397">
        <v>1024.6600000000001</v>
      </c>
      <c r="H397">
        <v>1022.06</v>
      </c>
      <c r="I397">
        <v>1010.83</v>
      </c>
      <c r="J397">
        <v>1001.12</v>
      </c>
      <c r="K397">
        <v>999.25</v>
      </c>
      <c r="L397">
        <v>1007.74</v>
      </c>
      <c r="M397">
        <v>1007.01</v>
      </c>
      <c r="N397">
        <v>998.58</v>
      </c>
      <c r="O397">
        <v>1001.73</v>
      </c>
      <c r="P397">
        <v>1011.7</v>
      </c>
      <c r="Q397">
        <v>1019.59</v>
      </c>
      <c r="R397">
        <v>1017.61</v>
      </c>
      <c r="S397">
        <v>1020.93</v>
      </c>
      <c r="T397">
        <v>1034.78</v>
      </c>
      <c r="U397" s="337"/>
      <c r="V397" s="337"/>
      <c r="W397" s="359"/>
      <c r="X397" s="337"/>
      <c r="Y397" s="337"/>
      <c r="Z397" s="339"/>
      <c r="AB397" s="323"/>
    </row>
    <row r="398" spans="1:35" ht="32.25" thickBot="1">
      <c r="A398" s="372"/>
      <c r="B398" s="281"/>
      <c r="C398" s="243" t="s">
        <v>221</v>
      </c>
      <c r="D398" s="337">
        <f t="shared" ref="D398:H398" si="170">IF(((D396="")*AND(D397="")),"",(D396-D397)*2)</f>
        <v>1969.3200000000002</v>
      </c>
      <c r="E398" s="337">
        <f t="shared" si="170"/>
        <v>1984.1599999999999</v>
      </c>
      <c r="F398" s="337">
        <f t="shared" si="170"/>
        <v>1985.06</v>
      </c>
      <c r="G398" s="337">
        <f t="shared" si="170"/>
        <v>1982.58</v>
      </c>
      <c r="H398" s="337">
        <f t="shared" si="170"/>
        <v>1987.94</v>
      </c>
      <c r="I398" s="337">
        <f>IF(((I396="")*AND(I397="")),"",(I396-I397)*2)</f>
        <v>2014.1200000000001</v>
      </c>
      <c r="J398" s="337">
        <f>IF(((J396="")*AND(J397="")),"",(J396-J397)*2)</f>
        <v>2037.6000000000001</v>
      </c>
      <c r="K398" s="337">
        <f>IF(((K396="")*AND(K397="")),"",(K396-K397)*2)</f>
        <v>2049.1999999999998</v>
      </c>
      <c r="L398" s="337">
        <f>IF(((L396="")*AND(L397="")),"",(L396-L397)*2)</f>
        <v>2048.8000000000002</v>
      </c>
      <c r="M398" s="337">
        <f t="shared" ref="M398:T398" si="171">IF(((M396="")*AND(M397="")),"",(M396-M397)*2)</f>
        <v>2043.6999999999998</v>
      </c>
      <c r="N398" s="337">
        <f t="shared" si="171"/>
        <v>2046.4399999999998</v>
      </c>
      <c r="O398" s="337">
        <f t="shared" si="171"/>
        <v>2031.02</v>
      </c>
      <c r="P398" s="337">
        <f t="shared" si="171"/>
        <v>2006.2999999999997</v>
      </c>
      <c r="Q398" s="337">
        <f t="shared" si="171"/>
        <v>1995.6000000000001</v>
      </c>
      <c r="R398" s="337">
        <f t="shared" si="171"/>
        <v>2007.9599999999998</v>
      </c>
      <c r="S398" s="337">
        <f t="shared" si="171"/>
        <v>2010.66</v>
      </c>
      <c r="T398" s="337">
        <f t="shared" si="171"/>
        <v>2002.6</v>
      </c>
      <c r="U398" s="337"/>
      <c r="V398" s="337"/>
      <c r="W398" s="366"/>
      <c r="X398" s="337"/>
      <c r="Y398" s="337"/>
      <c r="Z398" s="339"/>
      <c r="AB398" s="323"/>
    </row>
    <row r="399" spans="1:35">
      <c r="A399" s="115">
        <v>43724</v>
      </c>
      <c r="B399" s="268" t="s">
        <v>76</v>
      </c>
      <c r="C399" s="235" t="s">
        <v>77</v>
      </c>
      <c r="D399">
        <v>2038.41</v>
      </c>
      <c r="E399">
        <v>2028.23</v>
      </c>
      <c r="F399">
        <v>2016.88</v>
      </c>
      <c r="G399">
        <v>2011.74</v>
      </c>
      <c r="H399">
        <v>2009.98</v>
      </c>
      <c r="I399">
        <v>2011.91</v>
      </c>
      <c r="J399">
        <v>2019.64</v>
      </c>
      <c r="K399">
        <v>2028.99</v>
      </c>
      <c r="L399">
        <v>2043.53</v>
      </c>
      <c r="M399">
        <v>2045.05</v>
      </c>
      <c r="N399">
        <v>2031.38</v>
      </c>
      <c r="O399">
        <v>2019.63</v>
      </c>
      <c r="P399">
        <v>2012.65</v>
      </c>
      <c r="Q399">
        <v>2012.53</v>
      </c>
      <c r="R399">
        <v>2019.65</v>
      </c>
      <c r="S399">
        <v>2030.94</v>
      </c>
      <c r="T399">
        <v>2047.49</v>
      </c>
      <c r="U399" s="235">
        <f>IF((S400=""),"",MAX(D401:S401))</f>
        <v>2048.4400000000005</v>
      </c>
      <c r="V399" s="235">
        <f>IF(S400="","",MIN(D401:S401))</f>
        <v>1983.7600000000002</v>
      </c>
      <c r="W399" s="235">
        <f>IF((S401=""),"",AVERAGE(D401:T401))</f>
        <v>2016.0941176470587</v>
      </c>
      <c r="X399" s="359">
        <f>STDEV(D401:S401)</f>
        <v>22.554577214688248</v>
      </c>
      <c r="Y399" s="235">
        <f>IF((S400=""),"",((U399-V399)/(U399+V399))*100)</f>
        <v>1.6040870988542306</v>
      </c>
      <c r="Z399" s="228" t="str">
        <f>IF(T400="","",IF(Y399&lt;15,IF(W399&gt;AF399,IF(W399&lt;AG399,"Pass","Fail"),"Fail"),"Fail"))</f>
        <v>Pass</v>
      </c>
      <c r="AA399" s="377">
        <v>121</v>
      </c>
      <c r="AB399" s="323" t="s">
        <v>214</v>
      </c>
      <c r="AD399" s="302">
        <v>1600</v>
      </c>
      <c r="AE399" s="302">
        <v>2600</v>
      </c>
      <c r="AF399" s="334">
        <v>1690</v>
      </c>
      <c r="AG399" s="334">
        <v>2210</v>
      </c>
      <c r="AH399" s="335">
        <v>15</v>
      </c>
      <c r="AI399" s="335">
        <v>15</v>
      </c>
    </row>
    <row r="400" spans="1:35">
      <c r="A400" s="371"/>
      <c r="B400" s="276"/>
      <c r="C400" s="235" t="s">
        <v>78</v>
      </c>
      <c r="D400">
        <v>1046.53</v>
      </c>
      <c r="E400">
        <v>1031.44</v>
      </c>
      <c r="F400">
        <v>1021.61</v>
      </c>
      <c r="G400">
        <v>1015.65</v>
      </c>
      <c r="H400">
        <v>1009.02</v>
      </c>
      <c r="I400">
        <v>1003.72</v>
      </c>
      <c r="J400">
        <v>1001.7</v>
      </c>
      <c r="K400">
        <v>1006.68</v>
      </c>
      <c r="L400">
        <v>1021.28</v>
      </c>
      <c r="M400">
        <v>1020.99</v>
      </c>
      <c r="N400">
        <v>1007.16</v>
      </c>
      <c r="O400">
        <v>1002.89</v>
      </c>
      <c r="P400">
        <v>1005.09</v>
      </c>
      <c r="Q400">
        <v>1011.63</v>
      </c>
      <c r="R400">
        <v>1014.86</v>
      </c>
      <c r="S400">
        <v>1025.5899999999999</v>
      </c>
      <c r="T400">
        <v>1045.99</v>
      </c>
      <c r="U400" s="337"/>
      <c r="V400" s="337"/>
      <c r="W400" s="359"/>
      <c r="X400" s="337"/>
      <c r="Y400" s="337"/>
      <c r="Z400" s="339"/>
      <c r="AB400" s="323"/>
    </row>
    <row r="401" spans="1:35" ht="32.25" thickBot="1">
      <c r="A401" s="372"/>
      <c r="B401" s="281"/>
      <c r="C401" s="243" t="s">
        <v>221</v>
      </c>
      <c r="D401" s="337">
        <f t="shared" ref="D401:H401" si="172">IF(((D399="")*AND(D400="")),"",(D399-D400)*2)</f>
        <v>1983.7600000000002</v>
      </c>
      <c r="E401" s="337">
        <f t="shared" si="172"/>
        <v>1993.58</v>
      </c>
      <c r="F401" s="337">
        <f t="shared" si="172"/>
        <v>1990.5400000000002</v>
      </c>
      <c r="G401" s="337">
        <f t="shared" si="172"/>
        <v>1992.18</v>
      </c>
      <c r="H401" s="337">
        <f t="shared" si="172"/>
        <v>2001.92</v>
      </c>
      <c r="I401" s="337">
        <f>IF(((I399="")*AND(I400="")),"",(I399-I400)*2)</f>
        <v>2016.38</v>
      </c>
      <c r="J401" s="337">
        <f>IF(((J399="")*AND(J400="")),"",(J399-J400)*2)</f>
        <v>2035.88</v>
      </c>
      <c r="K401" s="337">
        <f>IF(((K399="")*AND(K400="")),"",(K399-K400)*2)</f>
        <v>2044.6200000000001</v>
      </c>
      <c r="L401" s="337">
        <f>IF(((L399="")*AND(L400="")),"",(L399-L400)*2)</f>
        <v>2044.5</v>
      </c>
      <c r="M401" s="337">
        <f t="shared" ref="M401:T401" si="173">IF(((M399="")*AND(M400="")),"",(M399-M400)*2)</f>
        <v>2048.12</v>
      </c>
      <c r="N401" s="337">
        <f t="shared" si="173"/>
        <v>2048.4400000000005</v>
      </c>
      <c r="O401" s="337">
        <f t="shared" si="173"/>
        <v>2033.4800000000002</v>
      </c>
      <c r="P401" s="337">
        <f t="shared" si="173"/>
        <v>2015.1200000000001</v>
      </c>
      <c r="Q401" s="337">
        <f t="shared" si="173"/>
        <v>2001.8</v>
      </c>
      <c r="R401" s="337">
        <f t="shared" si="173"/>
        <v>2009.5800000000002</v>
      </c>
      <c r="S401" s="337">
        <f t="shared" si="173"/>
        <v>2010.7000000000003</v>
      </c>
      <c r="T401" s="337">
        <f t="shared" si="173"/>
        <v>2003</v>
      </c>
      <c r="U401" s="337"/>
      <c r="V401" s="337"/>
      <c r="W401" s="366"/>
      <c r="X401" s="337"/>
      <c r="Y401" s="337"/>
      <c r="Z401" s="339"/>
      <c r="AB401" s="323"/>
    </row>
    <row r="402" spans="1:35">
      <c r="A402" s="248">
        <v>43727</v>
      </c>
      <c r="B402" s="268" t="s">
        <v>76</v>
      </c>
      <c r="C402" s="235" t="s">
        <v>77</v>
      </c>
      <c r="D402" s="384">
        <v>2009.82</v>
      </c>
      <c r="E402" s="384">
        <v>1999.51</v>
      </c>
      <c r="F402" s="384">
        <v>1994.31</v>
      </c>
      <c r="G402" s="384">
        <v>1990.86</v>
      </c>
      <c r="H402" s="384">
        <v>1989.36</v>
      </c>
      <c r="I402" s="384">
        <v>1990.61</v>
      </c>
      <c r="J402" s="384">
        <v>1991.61</v>
      </c>
      <c r="K402" s="384">
        <v>1994.69</v>
      </c>
      <c r="L402" s="384">
        <v>2002.77</v>
      </c>
      <c r="M402" s="384">
        <v>1999.69</v>
      </c>
      <c r="N402" s="384">
        <v>1994.58</v>
      </c>
      <c r="O402" s="384">
        <v>1992.54</v>
      </c>
      <c r="P402" s="384">
        <v>1990.25</v>
      </c>
      <c r="Q402" s="384">
        <v>1991.7</v>
      </c>
      <c r="R402" s="384">
        <v>1993.89</v>
      </c>
      <c r="S402" s="384">
        <v>1996.34</v>
      </c>
      <c r="T402" s="384">
        <v>2005.51</v>
      </c>
      <c r="U402" s="235">
        <f>IF((S403=""),"",MAX(D404:S404))</f>
        <v>2048.1999999999998</v>
      </c>
      <c r="V402" s="235">
        <f>IF(S403="","",MIN(D404:S404))</f>
        <v>1969.5</v>
      </c>
      <c r="W402" s="235">
        <f>IF((S404=""),"",AVERAGE(D404:T404))</f>
        <v>2010.351764705882</v>
      </c>
      <c r="X402" s="359">
        <f>STDEV(D404:S404)</f>
        <v>25.097834933183641</v>
      </c>
      <c r="Y402" s="235">
        <f>IF((S403=""),"",((U402-V402)/(U402+V402))*100)</f>
        <v>1.9588321676581084</v>
      </c>
      <c r="Z402" s="228" t="str">
        <f>IF(T403="","",IF(Y402&lt;15,IF(W402&gt;AF402,IF(W402&lt;AG402,"Pass","Fail"),"Fail"),"Fail"))</f>
        <v>Pass</v>
      </c>
      <c r="AA402" s="377">
        <v>1159</v>
      </c>
      <c r="AB402" s="383" t="s">
        <v>216</v>
      </c>
      <c r="AD402" s="302">
        <v>1600</v>
      </c>
      <c r="AE402" s="302">
        <v>2600</v>
      </c>
      <c r="AF402" s="334">
        <v>1690</v>
      </c>
      <c r="AG402" s="334">
        <v>2210</v>
      </c>
      <c r="AH402" s="335">
        <v>15</v>
      </c>
      <c r="AI402" s="335">
        <v>15</v>
      </c>
    </row>
    <row r="403" spans="1:35">
      <c r="A403" s="371"/>
      <c r="B403" s="276"/>
      <c r="C403" s="235" t="s">
        <v>78</v>
      </c>
      <c r="D403" s="385">
        <v>1025.07</v>
      </c>
      <c r="E403" s="385">
        <v>1009.9</v>
      </c>
      <c r="F403" s="385">
        <v>1003.49</v>
      </c>
      <c r="G403" s="385">
        <v>998.07</v>
      </c>
      <c r="H403" s="385">
        <v>990.75</v>
      </c>
      <c r="I403" s="385">
        <v>981.32</v>
      </c>
      <c r="J403" s="385">
        <v>972.73</v>
      </c>
      <c r="K403" s="385">
        <v>970.81</v>
      </c>
      <c r="L403" s="385">
        <v>978.67</v>
      </c>
      <c r="M403" s="385">
        <v>982.97</v>
      </c>
      <c r="N403" s="385">
        <v>976.59</v>
      </c>
      <c r="O403" s="385">
        <v>979.95</v>
      </c>
      <c r="P403" s="385">
        <v>986.22</v>
      </c>
      <c r="Q403" s="385">
        <v>991.62</v>
      </c>
      <c r="R403" s="385">
        <v>990.92</v>
      </c>
      <c r="S403" s="385">
        <v>993.58</v>
      </c>
      <c r="T403" s="385">
        <v>1007.39</v>
      </c>
      <c r="U403" s="337"/>
      <c r="V403" s="337"/>
      <c r="W403" s="359"/>
      <c r="X403" s="337"/>
      <c r="Y403" s="337"/>
      <c r="Z403" s="339"/>
      <c r="AB403" s="323"/>
    </row>
    <row r="404" spans="1:35" ht="32.25" thickBot="1">
      <c r="A404" s="372"/>
      <c r="B404" s="281"/>
      <c r="C404" s="243" t="s">
        <v>221</v>
      </c>
      <c r="D404" s="337">
        <f t="shared" ref="D404:H404" si="174">IF(((D402="")*AND(D403="")),"",(D402-D403)*2)</f>
        <v>1969.5</v>
      </c>
      <c r="E404" s="337">
        <f t="shared" si="174"/>
        <v>1979.22</v>
      </c>
      <c r="F404" s="337">
        <f t="shared" si="174"/>
        <v>1981.6399999999999</v>
      </c>
      <c r="G404" s="337">
        <f t="shared" si="174"/>
        <v>1985.5799999999997</v>
      </c>
      <c r="H404" s="337">
        <f t="shared" si="174"/>
        <v>1997.2199999999998</v>
      </c>
      <c r="I404" s="337">
        <f>IF(((I402="")*AND(I403="")),"",(I402-I403)*2)</f>
        <v>2018.5799999999997</v>
      </c>
      <c r="J404" s="337">
        <f>IF(((J402="")*AND(J403="")),"",(J402-J403)*2)</f>
        <v>2037.7599999999998</v>
      </c>
      <c r="K404" s="337">
        <f>IF(((K402="")*AND(K403="")),"",(K402-K403)*2)</f>
        <v>2047.7600000000002</v>
      </c>
      <c r="L404" s="337">
        <f>IF(((L402="")*AND(L403="")),"",(L402-L403)*2)</f>
        <v>2048.1999999999998</v>
      </c>
      <c r="M404" s="337">
        <f t="shared" ref="M404:T404" si="175">IF(((M402="")*AND(M403="")),"",(M402-M403)*2)</f>
        <v>2033.44</v>
      </c>
      <c r="N404" s="337">
        <f t="shared" si="175"/>
        <v>2035.9799999999998</v>
      </c>
      <c r="O404" s="337">
        <f t="shared" si="175"/>
        <v>2025.1799999999998</v>
      </c>
      <c r="P404" s="337">
        <f t="shared" si="175"/>
        <v>2008.06</v>
      </c>
      <c r="Q404" s="337">
        <f t="shared" si="175"/>
        <v>2000.16</v>
      </c>
      <c r="R404" s="337">
        <f t="shared" si="175"/>
        <v>2005.9400000000003</v>
      </c>
      <c r="S404" s="337">
        <f t="shared" si="175"/>
        <v>2005.5199999999998</v>
      </c>
      <c r="T404" s="337">
        <f t="shared" si="175"/>
        <v>1996.24</v>
      </c>
      <c r="U404" s="337"/>
      <c r="V404" s="337"/>
      <c r="W404" s="366"/>
      <c r="X404" s="337"/>
      <c r="Y404" s="337"/>
      <c r="Z404" s="339"/>
      <c r="AB404" s="323"/>
    </row>
    <row r="405" spans="1:35">
      <c r="A405" s="248">
        <v>43732</v>
      </c>
      <c r="B405" s="268" t="s">
        <v>76</v>
      </c>
      <c r="C405" s="235" t="s">
        <v>77</v>
      </c>
      <c r="D405">
        <v>2012.84</v>
      </c>
      <c r="E405">
        <v>2003.56</v>
      </c>
      <c r="F405">
        <v>1998.97</v>
      </c>
      <c r="G405">
        <v>1996.36</v>
      </c>
      <c r="H405">
        <v>1994.9</v>
      </c>
      <c r="I405">
        <v>1994.57</v>
      </c>
      <c r="J405">
        <v>1997.62</v>
      </c>
      <c r="K405">
        <v>2000.12</v>
      </c>
      <c r="L405">
        <v>2007.26</v>
      </c>
      <c r="M405">
        <v>2003.19</v>
      </c>
      <c r="N405">
        <v>1999.38</v>
      </c>
      <c r="O405">
        <v>1996.97</v>
      </c>
      <c r="P405">
        <v>1995.32</v>
      </c>
      <c r="Q405">
        <v>1996.28</v>
      </c>
      <c r="R405">
        <v>1997.85</v>
      </c>
      <c r="S405">
        <v>2001.68</v>
      </c>
      <c r="T405">
        <v>2008.27</v>
      </c>
      <c r="U405" s="235">
        <f>IF((S406=""),"",MAX(D407:S407))</f>
        <v>2084.44</v>
      </c>
      <c r="V405" s="235">
        <f>IF(S406="","",MIN(D407:S407))</f>
        <v>1966.3199999999997</v>
      </c>
      <c r="W405" s="235">
        <f>IF((S407=""),"",AVERAGE(D407:T407))</f>
        <v>2024.2035294117647</v>
      </c>
      <c r="X405" s="359">
        <f>STDEV(D407:S407)</f>
        <v>34.408078896290256</v>
      </c>
      <c r="Y405" s="235">
        <f>IF((S406=""),"",((U405-V405)/(U405+V405))*100)</f>
        <v>2.9159960106251752</v>
      </c>
      <c r="Z405" s="228" t="str">
        <f>IF(T406="","",IF(Y405&lt;15,IF(W405&gt;AF405,IF(W405&lt;AG405,"Pass","Fail"),"Fail"),"Fail"))</f>
        <v>Pass</v>
      </c>
      <c r="AA405" s="377">
        <v>1335</v>
      </c>
      <c r="AB405" s="383"/>
      <c r="AD405" s="302">
        <v>1600</v>
      </c>
      <c r="AE405" s="302">
        <v>2600</v>
      </c>
      <c r="AF405" s="334">
        <v>1690</v>
      </c>
      <c r="AG405" s="334">
        <v>2210</v>
      </c>
      <c r="AH405" s="335">
        <v>15</v>
      </c>
      <c r="AI405" s="335">
        <v>15</v>
      </c>
    </row>
    <row r="406" spans="1:35">
      <c r="A406" s="371"/>
      <c r="B406" s="276"/>
      <c r="C406" s="235" t="s">
        <v>78</v>
      </c>
      <c r="D406">
        <v>1029.68</v>
      </c>
      <c r="E406">
        <v>1013.91</v>
      </c>
      <c r="F406">
        <v>1006.22</v>
      </c>
      <c r="G406">
        <v>1001.47</v>
      </c>
      <c r="H406">
        <v>993</v>
      </c>
      <c r="I406">
        <v>980.36</v>
      </c>
      <c r="J406">
        <v>966.01</v>
      </c>
      <c r="K406">
        <v>959.21</v>
      </c>
      <c r="L406">
        <v>965.04</v>
      </c>
      <c r="M406">
        <v>985.67</v>
      </c>
      <c r="N406">
        <v>978.89</v>
      </c>
      <c r="O406">
        <v>981.31</v>
      </c>
      <c r="P406">
        <v>988.21</v>
      </c>
      <c r="Q406">
        <v>989.98</v>
      </c>
      <c r="R406">
        <v>984.62</v>
      </c>
      <c r="S406">
        <v>984.09</v>
      </c>
      <c r="T406">
        <v>991.74</v>
      </c>
      <c r="U406" s="337"/>
      <c r="V406" s="337"/>
      <c r="W406" s="359"/>
      <c r="X406" s="337"/>
      <c r="Y406" s="337"/>
      <c r="Z406" s="339"/>
      <c r="AB406" s="323"/>
    </row>
    <row r="407" spans="1:35" ht="32.25" thickBot="1">
      <c r="A407" s="372"/>
      <c r="B407" s="281"/>
      <c r="C407" s="243" t="s">
        <v>221</v>
      </c>
      <c r="D407" s="337">
        <f t="shared" ref="D407:H407" si="176">IF(((D405="")*AND(D406="")),"",(D405-D406)*2)</f>
        <v>1966.3199999999997</v>
      </c>
      <c r="E407" s="337">
        <f t="shared" si="176"/>
        <v>1979.3</v>
      </c>
      <c r="F407" s="337">
        <f t="shared" si="176"/>
        <v>1985.5</v>
      </c>
      <c r="G407" s="337">
        <f t="shared" si="176"/>
        <v>1989.7799999999997</v>
      </c>
      <c r="H407" s="337">
        <f t="shared" si="176"/>
        <v>2003.8000000000002</v>
      </c>
      <c r="I407" s="337">
        <f>IF(((I405="")*AND(I406="")),"",(I405-I406)*2)</f>
        <v>2028.4199999999998</v>
      </c>
      <c r="J407" s="337">
        <f>IF(((J405="")*AND(J406="")),"",(J405-J406)*2)</f>
        <v>2063.2199999999998</v>
      </c>
      <c r="K407" s="337">
        <f>IF(((K405="")*AND(K406="")),"",(K405-K406)*2)</f>
        <v>2081.8199999999997</v>
      </c>
      <c r="L407" s="337">
        <f>IF(((L405="")*AND(L406="")),"",(L405-L406)*2)</f>
        <v>2084.44</v>
      </c>
      <c r="M407" s="337">
        <f t="shared" ref="M407:T407" si="177">IF(((M405="")*AND(M406="")),"",(M405-M406)*2)</f>
        <v>2035.0400000000002</v>
      </c>
      <c r="N407" s="337">
        <f t="shared" si="177"/>
        <v>2040.9800000000002</v>
      </c>
      <c r="O407" s="337">
        <f t="shared" si="177"/>
        <v>2031.3200000000002</v>
      </c>
      <c r="P407" s="337">
        <f t="shared" si="177"/>
        <v>2014.2199999999998</v>
      </c>
      <c r="Q407" s="337">
        <f t="shared" si="177"/>
        <v>2012.6</v>
      </c>
      <c r="R407" s="337">
        <f t="shared" si="177"/>
        <v>2026.4599999999998</v>
      </c>
      <c r="S407" s="337">
        <f t="shared" si="177"/>
        <v>2035.18</v>
      </c>
      <c r="T407" s="337">
        <f t="shared" si="177"/>
        <v>2033.06</v>
      </c>
      <c r="U407" s="337"/>
      <c r="V407" s="337"/>
      <c r="W407" s="366"/>
      <c r="X407" s="337"/>
      <c r="Y407" s="337"/>
      <c r="Z407" s="339"/>
      <c r="AB407" s="323"/>
    </row>
    <row r="408" spans="1:35" ht="18.75">
      <c r="A408" s="115">
        <v>43734</v>
      </c>
      <c r="B408" s="268" t="s">
        <v>76</v>
      </c>
      <c r="C408" s="235" t="s">
        <v>77</v>
      </c>
      <c r="D408">
        <v>2030.44</v>
      </c>
      <c r="E408">
        <v>2024.7</v>
      </c>
      <c r="F408">
        <v>2020.92</v>
      </c>
      <c r="G408">
        <v>2019.25</v>
      </c>
      <c r="H408">
        <v>2018.87</v>
      </c>
      <c r="I408">
        <v>2020.12</v>
      </c>
      <c r="J408">
        <v>2024.99</v>
      </c>
      <c r="K408">
        <v>2029.47</v>
      </c>
      <c r="L408">
        <v>2036.97</v>
      </c>
      <c r="M408">
        <v>2029.47</v>
      </c>
      <c r="N408">
        <v>2026.72</v>
      </c>
      <c r="O408">
        <v>2022.77</v>
      </c>
      <c r="P408">
        <v>2020.53</v>
      </c>
      <c r="Q408">
        <v>2020.06</v>
      </c>
      <c r="R408">
        <v>2021.45</v>
      </c>
      <c r="S408">
        <v>2024.64</v>
      </c>
      <c r="T408">
        <v>2028.54</v>
      </c>
      <c r="U408" s="235">
        <f>IF((T409=""),"",MAX(D410:T410))</f>
        <v>2006.6999999999998</v>
      </c>
      <c r="V408" s="235">
        <f>IF(T409="","",MIN(D410:T410))</f>
        <v>1961.62</v>
      </c>
      <c r="W408" s="235">
        <f>IF((T410=""),"",AVERAGE(D410:T410))</f>
        <v>1982.5858823529406</v>
      </c>
      <c r="X408" s="359">
        <f>STDEV(D410:T410)</f>
        <v>14.425574104183717</v>
      </c>
      <c r="Y408" s="235">
        <f>IF((T409=""),"",((U408-V408)/(U408+V408))*100)</f>
        <v>1.135997097008304</v>
      </c>
      <c r="Z408" s="228" t="str">
        <f>IF(T409="","",IF(Y408&lt;15,IF(W408&gt;AF408,IF(W408&lt;AG408,"Pass","Fail"),"Fail"),"Fail"))</f>
        <v>Pass</v>
      </c>
      <c r="AA408" s="373" t="s">
        <v>138</v>
      </c>
      <c r="AB408" s="377" t="s">
        <v>217</v>
      </c>
      <c r="AC408" s="386" t="s">
        <v>218</v>
      </c>
      <c r="AD408" s="302">
        <v>1600</v>
      </c>
      <c r="AE408" s="302">
        <v>2600</v>
      </c>
      <c r="AF408" s="334">
        <v>1690</v>
      </c>
      <c r="AG408" s="334">
        <v>2210</v>
      </c>
      <c r="AH408" s="335">
        <v>15</v>
      </c>
      <c r="AI408" s="335">
        <v>15</v>
      </c>
    </row>
    <row r="409" spans="1:35">
      <c r="A409" s="371"/>
      <c r="B409" s="276"/>
      <c r="C409" s="235" t="s">
        <v>78</v>
      </c>
      <c r="D409">
        <v>1027.9100000000001</v>
      </c>
      <c r="E409">
        <v>1027.29</v>
      </c>
      <c r="F409">
        <v>1029.1500000000001</v>
      </c>
      <c r="G409">
        <v>1033.76</v>
      </c>
      <c r="H409">
        <v>1035.07</v>
      </c>
      <c r="I409">
        <v>1033.1500000000001</v>
      </c>
      <c r="J409">
        <v>1032.82</v>
      </c>
      <c r="K409">
        <v>1036.48</v>
      </c>
      <c r="L409">
        <v>1047.1400000000001</v>
      </c>
      <c r="M409">
        <v>1048.6600000000001</v>
      </c>
      <c r="N409">
        <v>1040.22</v>
      </c>
      <c r="O409">
        <v>1038.2</v>
      </c>
      <c r="P409">
        <v>1036.99</v>
      </c>
      <c r="Q409">
        <v>1029.96</v>
      </c>
      <c r="R409">
        <v>1024.1099999999999</v>
      </c>
      <c r="S409">
        <v>1021.83</v>
      </c>
      <c r="T409">
        <v>1025.19</v>
      </c>
      <c r="U409" s="337"/>
      <c r="V409" s="337"/>
      <c r="W409" s="337"/>
      <c r="X409" s="359"/>
      <c r="Y409" s="337"/>
      <c r="Z409" s="337"/>
      <c r="AA409" s="339"/>
    </row>
    <row r="410" spans="1:35" ht="32.25" thickBot="1">
      <c r="A410" s="372"/>
      <c r="B410" s="281"/>
      <c r="C410" s="243" t="s">
        <v>221</v>
      </c>
      <c r="D410" s="337">
        <f t="shared" ref="D410:I410" si="178">IF(((D408="")*AND(D409="")),"",(D408-D409)*2)</f>
        <v>2005.06</v>
      </c>
      <c r="E410" s="337">
        <f t="shared" si="178"/>
        <v>1994.8200000000002</v>
      </c>
      <c r="F410" s="337">
        <f t="shared" si="178"/>
        <v>1983.54</v>
      </c>
      <c r="G410" s="337">
        <f t="shared" si="178"/>
        <v>1970.98</v>
      </c>
      <c r="H410" s="337">
        <f t="shared" si="178"/>
        <v>1967.6</v>
      </c>
      <c r="I410" s="337">
        <f t="shared" si="178"/>
        <v>1973.9399999999996</v>
      </c>
      <c r="J410" s="337">
        <f>IF(((J408="")*AND(J409="")),"",(J408-J409)*2)</f>
        <v>1984.3400000000001</v>
      </c>
      <c r="K410" s="337">
        <f>IF(((K408="")*AND(K409="")),"",(K408-K409)*2)</f>
        <v>1985.98</v>
      </c>
      <c r="L410" s="337">
        <f>IF(((L408="")*AND(L409="")),"",(L408-L409)*2)</f>
        <v>1979.6599999999999</v>
      </c>
      <c r="M410" s="337">
        <f>IF(((M408="")*AND(M409="")),"",(M408-M409)*2)</f>
        <v>1961.62</v>
      </c>
      <c r="N410" s="337">
        <f t="shared" ref="N410:T410" si="179">IF(((N408="")*AND(N409="")),"",(N408-N409)*2)</f>
        <v>1973</v>
      </c>
      <c r="O410" s="337">
        <f t="shared" si="179"/>
        <v>1969.1399999999999</v>
      </c>
      <c r="P410" s="337">
        <f t="shared" si="179"/>
        <v>1967.08</v>
      </c>
      <c r="Q410" s="337">
        <f t="shared" si="179"/>
        <v>1980.1999999999998</v>
      </c>
      <c r="R410" s="337">
        <f t="shared" si="179"/>
        <v>1994.6800000000003</v>
      </c>
      <c r="S410" s="337">
        <f t="shared" si="179"/>
        <v>2005.6200000000001</v>
      </c>
      <c r="T410" s="337">
        <f t="shared" si="179"/>
        <v>2006.6999999999998</v>
      </c>
      <c r="U410" s="337"/>
      <c r="V410" s="337"/>
      <c r="W410" s="337"/>
      <c r="X410" s="366"/>
      <c r="Y410" s="337"/>
      <c r="Z410" s="337"/>
      <c r="AA410" s="339"/>
    </row>
    <row r="411" spans="1:35">
      <c r="A411" s="115">
        <v>43738</v>
      </c>
      <c r="B411" s="268" t="s">
        <v>76</v>
      </c>
      <c r="C411" s="235" t="s">
        <v>77</v>
      </c>
      <c r="D411">
        <v>2008.31</v>
      </c>
      <c r="E411">
        <v>1999.69</v>
      </c>
      <c r="F411">
        <v>1995.06</v>
      </c>
      <c r="G411">
        <v>1990.04</v>
      </c>
      <c r="H411">
        <v>1989.28</v>
      </c>
      <c r="I411">
        <v>1989.17</v>
      </c>
      <c r="J411">
        <v>1992.41</v>
      </c>
      <c r="K411">
        <v>1995.16</v>
      </c>
      <c r="L411">
        <v>2001.99</v>
      </c>
      <c r="M411">
        <v>1999.55</v>
      </c>
      <c r="N411">
        <v>1993.72</v>
      </c>
      <c r="O411">
        <v>1990.82</v>
      </c>
      <c r="P411">
        <v>1990.46</v>
      </c>
      <c r="Q411">
        <v>1991.1</v>
      </c>
      <c r="R411">
        <v>1992.03</v>
      </c>
      <c r="S411">
        <v>1996.16</v>
      </c>
      <c r="T411">
        <v>2004.75</v>
      </c>
      <c r="U411" s="235">
        <f>IF((T412=""),"",MAX(D413:T413))</f>
        <v>1979.1000000000001</v>
      </c>
      <c r="V411" s="235">
        <f>IF(T412="","",MIN(D413:T413))</f>
        <v>1938.44</v>
      </c>
      <c r="W411" s="235">
        <f>IF((T413=""),"",AVERAGE(D413:T413))</f>
        <v>1959.6117647058825</v>
      </c>
      <c r="X411" s="359">
        <f>STDEV(D413:T413)</f>
        <v>12.509214721203579</v>
      </c>
      <c r="Y411" s="235">
        <f>IF((T412=""),"",((U411-V411)/(U411+V411))*100)</f>
        <v>1.0378962307979007</v>
      </c>
      <c r="Z411" s="228" t="str">
        <f>IF(T412="","",IF(Y411&lt;15,IF(W411&gt;AF411,IF(W411&lt;AG411,"Pass","Fail"),"Fail"),"Fail"))</f>
        <v>Pass</v>
      </c>
      <c r="AA411" s="373">
        <v>121</v>
      </c>
      <c r="AB411" s="377" t="s">
        <v>219</v>
      </c>
      <c r="AD411" s="302">
        <v>1600</v>
      </c>
      <c r="AE411" s="302">
        <v>2600</v>
      </c>
      <c r="AF411" s="334">
        <v>1690</v>
      </c>
      <c r="AG411" s="334">
        <v>2210</v>
      </c>
      <c r="AH411" s="335">
        <v>15</v>
      </c>
      <c r="AI411" s="335">
        <v>15</v>
      </c>
    </row>
    <row r="412" spans="1:35">
      <c r="A412" s="371"/>
      <c r="B412" s="276"/>
      <c r="C412" s="235" t="s">
        <v>78</v>
      </c>
      <c r="D412">
        <v>1019.54</v>
      </c>
      <c r="E412">
        <v>1013.32</v>
      </c>
      <c r="F412">
        <v>1013.49</v>
      </c>
      <c r="G412">
        <v>1016.05</v>
      </c>
      <c r="H412">
        <v>1014.81</v>
      </c>
      <c r="I412">
        <v>1012.65</v>
      </c>
      <c r="J412">
        <v>1010.22</v>
      </c>
      <c r="K412">
        <v>1012.89</v>
      </c>
      <c r="L412">
        <v>1024.07</v>
      </c>
      <c r="M412">
        <v>1030.33</v>
      </c>
      <c r="N412">
        <v>1020.74</v>
      </c>
      <c r="O412">
        <v>1016.38</v>
      </c>
      <c r="P412">
        <v>1016.9</v>
      </c>
      <c r="Q412">
        <v>1010.86</v>
      </c>
      <c r="R412">
        <v>1007.21</v>
      </c>
      <c r="S412">
        <v>1006.61</v>
      </c>
      <c r="T412">
        <v>1016.93</v>
      </c>
      <c r="U412" s="337"/>
      <c r="V412" s="337"/>
      <c r="W412" s="337"/>
      <c r="X412" s="359"/>
      <c r="Y412" s="337"/>
      <c r="Z412" s="337"/>
      <c r="AA412" s="339"/>
    </row>
    <row r="413" spans="1:35" ht="32.25" thickBot="1">
      <c r="A413" s="372"/>
      <c r="B413" s="281"/>
      <c r="C413" s="243" t="s">
        <v>221</v>
      </c>
      <c r="D413" s="337">
        <f t="shared" ref="D413:I413" si="180">IF(((D411="")*AND(D412="")),"",(D411-D412)*2)</f>
        <v>1977.54</v>
      </c>
      <c r="E413" s="337">
        <f t="shared" si="180"/>
        <v>1972.74</v>
      </c>
      <c r="F413" s="337">
        <f t="shared" si="180"/>
        <v>1963.1399999999999</v>
      </c>
      <c r="G413" s="337">
        <f t="shared" si="180"/>
        <v>1947.98</v>
      </c>
      <c r="H413" s="337">
        <f t="shared" si="180"/>
        <v>1948.94</v>
      </c>
      <c r="I413" s="337">
        <f t="shared" si="180"/>
        <v>1953.0400000000002</v>
      </c>
      <c r="J413" s="337">
        <f>IF(((J411="")*AND(J412="")),"",(J411-J412)*2)</f>
        <v>1964.38</v>
      </c>
      <c r="K413" s="337">
        <f>IF(((K411="")*AND(K412="")),"",(K411-K412)*2)</f>
        <v>1964.5400000000002</v>
      </c>
      <c r="L413" s="337">
        <f>IF(((L411="")*AND(L412="")),"",(L411-L412)*2)</f>
        <v>1955.8400000000001</v>
      </c>
      <c r="M413" s="337">
        <f>IF(((M411="")*AND(M412="")),"",(M411-M412)*2)</f>
        <v>1938.44</v>
      </c>
      <c r="N413" s="337">
        <f t="shared" ref="N413:T413" si="181">IF(((N411="")*AND(N412="")),"",(N411-N412)*2)</f>
        <v>1945.96</v>
      </c>
      <c r="O413" s="337">
        <f t="shared" si="181"/>
        <v>1948.8799999999999</v>
      </c>
      <c r="P413" s="337">
        <f t="shared" si="181"/>
        <v>1947.1200000000001</v>
      </c>
      <c r="Q413" s="337">
        <f t="shared" si="181"/>
        <v>1960.4799999999998</v>
      </c>
      <c r="R413" s="337">
        <f t="shared" si="181"/>
        <v>1969.6399999999999</v>
      </c>
      <c r="S413" s="337">
        <f t="shared" si="181"/>
        <v>1979.1000000000001</v>
      </c>
      <c r="T413" s="337">
        <f t="shared" si="181"/>
        <v>1975.64</v>
      </c>
      <c r="U413" s="337"/>
      <c r="V413" s="337"/>
      <c r="W413" s="337"/>
      <c r="X413" s="366"/>
      <c r="Y413" s="337"/>
      <c r="Z413" s="337"/>
      <c r="AA413" s="339"/>
    </row>
    <row r="414" spans="1:35">
      <c r="A414" s="248">
        <v>43752</v>
      </c>
      <c r="B414" s="268" t="s">
        <v>76</v>
      </c>
      <c r="C414" s="235" t="s">
        <v>77</v>
      </c>
      <c r="D414">
        <v>2041.32</v>
      </c>
      <c r="E414">
        <v>2027.03</v>
      </c>
      <c r="F414">
        <v>2016.66</v>
      </c>
      <c r="G414">
        <v>2009.26</v>
      </c>
      <c r="H414">
        <v>2005.9</v>
      </c>
      <c r="I414">
        <v>2006.54</v>
      </c>
      <c r="J414">
        <v>2014.43</v>
      </c>
      <c r="K414">
        <v>2024.81</v>
      </c>
      <c r="L414">
        <v>2038.36</v>
      </c>
      <c r="M414">
        <v>2038.41</v>
      </c>
      <c r="N414">
        <v>2025.9</v>
      </c>
      <c r="O414">
        <v>2015.74</v>
      </c>
      <c r="P414">
        <v>2008.11</v>
      </c>
      <c r="Q414">
        <v>2008.19</v>
      </c>
      <c r="R414">
        <v>2015.44</v>
      </c>
      <c r="S414">
        <v>2027.43</v>
      </c>
      <c r="T414">
        <v>2041.77</v>
      </c>
      <c r="U414" s="235">
        <f>IF((T415=""),"",MAX(D416:T416))</f>
        <v>1986.6600000000003</v>
      </c>
      <c r="V414" s="235">
        <f>IF(T415="","",MIN(D416:T416))</f>
        <v>1932.04</v>
      </c>
      <c r="W414" s="235">
        <f>IF((T416=""),"",AVERAGE(D416:T416))</f>
        <v>1957.5988235294121</v>
      </c>
      <c r="X414" s="359">
        <f>STDEV(D416:T416)</f>
        <v>15.628677920074148</v>
      </c>
      <c r="Y414" s="235">
        <f>IF((T415=""),"",((U414-V414)/(U414+V414))*100)</f>
        <v>1.3938295863424184</v>
      </c>
      <c r="Z414" s="228" t="str">
        <f>IF(T415="","",IF(Y414&lt;15,IF(W414&gt;AF414,IF(W414&lt;AG414,"Pass","Fail"),"Fail"),"Fail"))</f>
        <v>Pass</v>
      </c>
      <c r="AA414" s="373">
        <v>1428</v>
      </c>
      <c r="AB414" s="380" t="s">
        <v>220</v>
      </c>
      <c r="AD414" s="302">
        <v>1600</v>
      </c>
      <c r="AE414" s="302">
        <v>2600</v>
      </c>
      <c r="AF414" s="334">
        <v>1690</v>
      </c>
      <c r="AG414" s="334">
        <v>2210</v>
      </c>
      <c r="AH414" s="335">
        <v>15</v>
      </c>
      <c r="AI414" s="335">
        <v>15</v>
      </c>
    </row>
    <row r="415" spans="1:35">
      <c r="A415" s="371"/>
      <c r="B415" s="276"/>
      <c r="C415" s="235" t="s">
        <v>78</v>
      </c>
      <c r="D415">
        <v>1055.29</v>
      </c>
      <c r="E415">
        <v>1039.9100000000001</v>
      </c>
      <c r="F415">
        <v>1034.44</v>
      </c>
      <c r="G415">
        <v>1036.06</v>
      </c>
      <c r="H415">
        <v>1036.05</v>
      </c>
      <c r="I415">
        <v>1033.1300000000001</v>
      </c>
      <c r="J415">
        <v>1035.33</v>
      </c>
      <c r="K415">
        <v>1045.27</v>
      </c>
      <c r="L415">
        <v>1066.31</v>
      </c>
      <c r="M415">
        <v>1072.3900000000001</v>
      </c>
      <c r="N415">
        <v>1051.52</v>
      </c>
      <c r="O415">
        <v>1039.72</v>
      </c>
      <c r="P415">
        <v>1036.6199999999999</v>
      </c>
      <c r="Q415">
        <v>1029.8499999999999</v>
      </c>
      <c r="R415">
        <v>1028.0999999999999</v>
      </c>
      <c r="S415">
        <v>1034.0999999999999</v>
      </c>
      <c r="T415">
        <v>1051.6199999999999</v>
      </c>
      <c r="U415" s="337"/>
      <c r="V415" s="337"/>
      <c r="W415" s="337"/>
      <c r="X415" s="359"/>
      <c r="Y415" s="337"/>
      <c r="Z415" s="337"/>
      <c r="AA415" s="339"/>
    </row>
    <row r="416" spans="1:35" ht="32.25" thickBot="1">
      <c r="A416" s="372"/>
      <c r="B416" s="281"/>
      <c r="C416" s="243" t="s">
        <v>221</v>
      </c>
      <c r="D416" s="337">
        <f t="shared" ref="D416:I416" si="182">IF(((D414="")*AND(D415="")),"",(D414-D415)*2)</f>
        <v>1972.06</v>
      </c>
      <c r="E416" s="337">
        <f t="shared" si="182"/>
        <v>1974.2399999999998</v>
      </c>
      <c r="F416" s="337">
        <f t="shared" si="182"/>
        <v>1964.44</v>
      </c>
      <c r="G416" s="337">
        <f t="shared" si="182"/>
        <v>1946.4</v>
      </c>
      <c r="H416" s="337">
        <f t="shared" si="182"/>
        <v>1939.7000000000003</v>
      </c>
      <c r="I416" s="337">
        <f t="shared" si="182"/>
        <v>1946.8199999999997</v>
      </c>
      <c r="J416" s="337">
        <f>IF(((J414="")*AND(J415="")),"",(J414-J415)*2)</f>
        <v>1958.2000000000003</v>
      </c>
      <c r="K416" s="337">
        <f>IF(((K414="")*AND(K415="")),"",(K414-K415)*2)</f>
        <v>1959.08</v>
      </c>
      <c r="L416" s="337">
        <f>IF(((L414="")*AND(L415="")),"",(L414-L415)*2)</f>
        <v>1944.1</v>
      </c>
      <c r="M416" s="337">
        <f>IF(((M414="")*AND(M415="")),"",(M414-M415)*2)</f>
        <v>1932.04</v>
      </c>
      <c r="N416" s="337">
        <f t="shared" ref="N416:T416" si="183">IF(((N414="")*AND(N415="")),"",(N414-N415)*2)</f>
        <v>1948.7600000000002</v>
      </c>
      <c r="O416" s="337">
        <f t="shared" si="183"/>
        <v>1952.04</v>
      </c>
      <c r="P416" s="337">
        <f t="shared" si="183"/>
        <v>1942.98</v>
      </c>
      <c r="Q416" s="337">
        <f t="shared" si="183"/>
        <v>1956.6800000000003</v>
      </c>
      <c r="R416" s="337">
        <f t="shared" si="183"/>
        <v>1974.6800000000003</v>
      </c>
      <c r="S416" s="337">
        <f t="shared" si="183"/>
        <v>1986.6600000000003</v>
      </c>
      <c r="T416" s="337">
        <f t="shared" si="183"/>
        <v>1980.3000000000002</v>
      </c>
      <c r="U416" s="337"/>
      <c r="V416" s="337"/>
      <c r="W416" s="337"/>
      <c r="X416" s="366"/>
      <c r="Y416" s="337"/>
      <c r="Z416" s="337"/>
      <c r="AA416" s="339"/>
    </row>
    <row r="417" spans="1:35">
      <c r="A417" s="248">
        <v>43756</v>
      </c>
      <c r="B417" s="268" t="s">
        <v>76</v>
      </c>
      <c r="C417" s="235" t="s">
        <v>77</v>
      </c>
      <c r="D417">
        <v>2005.85</v>
      </c>
      <c r="E417">
        <v>1991.3</v>
      </c>
      <c r="F417">
        <v>1975.29</v>
      </c>
      <c r="G417">
        <v>1964.3</v>
      </c>
      <c r="H417">
        <v>1959.92</v>
      </c>
      <c r="I417">
        <v>1964.84</v>
      </c>
      <c r="J417">
        <v>1973.79</v>
      </c>
      <c r="K417">
        <v>1989.83</v>
      </c>
      <c r="L417">
        <v>2013.92</v>
      </c>
      <c r="M417">
        <v>2033.32</v>
      </c>
      <c r="N417">
        <v>2004.2</v>
      </c>
      <c r="O417">
        <v>1982.29</v>
      </c>
      <c r="P417">
        <v>1967.34</v>
      </c>
      <c r="Q417">
        <v>1962.55</v>
      </c>
      <c r="R417">
        <v>1974.67</v>
      </c>
      <c r="S417">
        <v>1995.17</v>
      </c>
      <c r="T417">
        <v>2023.24</v>
      </c>
      <c r="U417" s="235">
        <f>IF((T418=""),"",MAX(D419:T419))</f>
        <v>2055.6</v>
      </c>
      <c r="V417" s="235">
        <f>IF(T418="","",MIN(D419:T419))</f>
        <v>1973.8199999999997</v>
      </c>
      <c r="W417" s="235">
        <f>IF((T419=""),"",AVERAGE(D419:T419))</f>
        <v>2016.498823529412</v>
      </c>
      <c r="X417" s="359">
        <f>STDEV(D419:T419)</f>
        <v>24.609508803091014</v>
      </c>
      <c r="Y417" s="235">
        <f>IF((T418=""),"",((U417-V417)/(U417+V417))*100)</f>
        <v>2.0295724943043965</v>
      </c>
      <c r="Z417" s="228" t="str">
        <f>IF(T418="","",IF(Y417&lt;15,IF(W417&gt;AF417,IF(W417&lt;AG417,"Pass","Fail"),"Fail"),"Fail"))</f>
        <v>Pass</v>
      </c>
      <c r="AA417" s="373"/>
      <c r="AD417" s="302">
        <v>1600</v>
      </c>
      <c r="AE417" s="302">
        <v>2600</v>
      </c>
      <c r="AF417" s="334">
        <v>1690</v>
      </c>
      <c r="AG417" s="334">
        <v>2210</v>
      </c>
      <c r="AH417" s="335">
        <v>15</v>
      </c>
      <c r="AI417" s="335">
        <v>15</v>
      </c>
    </row>
    <row r="418" spans="1:35">
      <c r="A418" s="371"/>
      <c r="B418" s="276"/>
      <c r="C418" s="235" t="s">
        <v>78</v>
      </c>
      <c r="D418">
        <v>1018.94</v>
      </c>
      <c r="E418">
        <v>998.3</v>
      </c>
      <c r="F418">
        <v>980.72</v>
      </c>
      <c r="G418">
        <v>970.11</v>
      </c>
      <c r="H418">
        <v>961.43</v>
      </c>
      <c r="I418">
        <v>953.25</v>
      </c>
      <c r="J418">
        <v>952.25</v>
      </c>
      <c r="K418">
        <v>962.03</v>
      </c>
      <c r="L418">
        <v>988.05</v>
      </c>
      <c r="M418">
        <v>1013.51</v>
      </c>
      <c r="N418">
        <v>984.17</v>
      </c>
      <c r="O418">
        <v>966.8</v>
      </c>
      <c r="P418">
        <v>960.9</v>
      </c>
      <c r="Q418">
        <v>960.49</v>
      </c>
      <c r="R418">
        <v>967.18</v>
      </c>
      <c r="S418">
        <v>985.98</v>
      </c>
      <c r="T418">
        <v>1017.47</v>
      </c>
      <c r="U418" s="337"/>
      <c r="V418" s="337"/>
      <c r="W418" s="337"/>
      <c r="X418" s="359"/>
      <c r="Y418" s="337"/>
      <c r="Z418" s="337"/>
      <c r="AA418" s="339"/>
    </row>
    <row r="419" spans="1:35" ht="32.25" thickBot="1">
      <c r="A419" s="372"/>
      <c r="B419" s="281"/>
      <c r="C419" s="243" t="s">
        <v>221</v>
      </c>
      <c r="D419" s="337">
        <f t="shared" ref="D419:I419" si="184">IF(((D417="")*AND(D418="")),"",(D417-D418)*2)</f>
        <v>1973.8199999999997</v>
      </c>
      <c r="E419" s="337">
        <f t="shared" si="184"/>
        <v>1986</v>
      </c>
      <c r="F419" s="337">
        <f t="shared" si="184"/>
        <v>1989.1399999999999</v>
      </c>
      <c r="G419" s="337">
        <f t="shared" si="184"/>
        <v>1988.3799999999999</v>
      </c>
      <c r="H419" s="337">
        <f t="shared" si="184"/>
        <v>1996.9800000000002</v>
      </c>
      <c r="I419" s="337">
        <f t="shared" si="184"/>
        <v>2023.1799999999998</v>
      </c>
      <c r="J419" s="337">
        <f>IF(((J417="")*AND(J418="")),"",(J417-J418)*2)</f>
        <v>2043.08</v>
      </c>
      <c r="K419" s="337">
        <f>IF(((K417="")*AND(K418="")),"",(K417-K418)*2)</f>
        <v>2055.6</v>
      </c>
      <c r="L419" s="337">
        <f>IF(((L417="")*AND(L418="")),"",(L417-L418)*2)</f>
        <v>2051.7400000000002</v>
      </c>
      <c r="M419" s="337">
        <f>IF(((M417="")*AND(M418="")),"",(M417-M418)*2)</f>
        <v>2039.62</v>
      </c>
      <c r="N419" s="337">
        <f t="shared" ref="N419:T419" si="185">IF(((N417="")*AND(N418="")),"",(N417-N418)*2)</f>
        <v>2040.0600000000002</v>
      </c>
      <c r="O419" s="337">
        <f t="shared" si="185"/>
        <v>2030.98</v>
      </c>
      <c r="P419" s="337">
        <f t="shared" si="185"/>
        <v>2012.8799999999999</v>
      </c>
      <c r="Q419" s="337">
        <f t="shared" si="185"/>
        <v>2004.12</v>
      </c>
      <c r="R419" s="337">
        <f t="shared" si="185"/>
        <v>2014.9800000000002</v>
      </c>
      <c r="S419" s="337">
        <f t="shared" si="185"/>
        <v>2018.38</v>
      </c>
      <c r="T419" s="337">
        <f t="shared" si="185"/>
        <v>2011.54</v>
      </c>
      <c r="U419" s="337"/>
      <c r="V419" s="337"/>
      <c r="W419" s="337"/>
      <c r="X419" s="366"/>
      <c r="Y419" s="337"/>
      <c r="Z419" s="337"/>
      <c r="AA419" s="339"/>
    </row>
    <row r="420" spans="1:35">
      <c r="A420" s="248">
        <v>43760</v>
      </c>
      <c r="B420" s="268" t="s">
        <v>76</v>
      </c>
      <c r="C420" s="235" t="s">
        <v>77</v>
      </c>
      <c r="D420">
        <v>2025.31</v>
      </c>
      <c r="E420">
        <v>2020.48</v>
      </c>
      <c r="F420">
        <v>2017.78</v>
      </c>
      <c r="G420">
        <v>2015.45</v>
      </c>
      <c r="H420">
        <v>2015.15</v>
      </c>
      <c r="I420">
        <v>2015.11</v>
      </c>
      <c r="J420">
        <v>2017.93</v>
      </c>
      <c r="K420">
        <v>2021.21</v>
      </c>
      <c r="L420">
        <v>2028.73</v>
      </c>
      <c r="M420">
        <v>2025.98</v>
      </c>
      <c r="N420">
        <v>2021.1</v>
      </c>
      <c r="O420">
        <v>2017.84</v>
      </c>
      <c r="P420">
        <v>2014.93</v>
      </c>
      <c r="Q420">
        <v>2015.89</v>
      </c>
      <c r="R420">
        <v>2018.83</v>
      </c>
      <c r="S420">
        <v>2024.29</v>
      </c>
      <c r="T420">
        <v>2033.57</v>
      </c>
      <c r="U420" s="235">
        <f>IF((T421=""),"",MAX(D422:T422))</f>
        <v>2074.6400000000003</v>
      </c>
      <c r="V420" s="235">
        <f>IF(T421="","",MIN(D422:T422))</f>
        <v>1987.1</v>
      </c>
      <c r="W420" s="235">
        <f>IF((T422=""),"",AVERAGE(D422:T422))</f>
        <v>2031.2800000000007</v>
      </c>
      <c r="X420" s="359">
        <f>STDEV(D422:T422)</f>
        <v>26.032207935555551</v>
      </c>
      <c r="Y420" s="235">
        <f>IF((T421=""),"",((U420-V420)/(U420+V420))*100)</f>
        <v>2.1552339637692324</v>
      </c>
      <c r="Z420" s="228" t="str">
        <f>IF(T421="","",IF(Y420&lt;15,IF(W420&gt;AF420,IF(W420&lt;AG420,"Pass","Fail"),"Fail"),"Fail"))</f>
        <v>Pass</v>
      </c>
      <c r="AA420" s="373">
        <v>1335</v>
      </c>
      <c r="AB420" s="377" t="s">
        <v>246</v>
      </c>
      <c r="AD420" s="302">
        <v>1600</v>
      </c>
      <c r="AE420" s="302">
        <v>2600</v>
      </c>
      <c r="AF420" s="334">
        <v>1690</v>
      </c>
      <c r="AG420" s="334">
        <v>2210</v>
      </c>
      <c r="AH420" s="335">
        <v>15</v>
      </c>
      <c r="AI420" s="335">
        <v>15</v>
      </c>
    </row>
    <row r="421" spans="1:35">
      <c r="A421" s="371"/>
      <c r="B421" s="276"/>
      <c r="C421" s="235" t="s">
        <v>78</v>
      </c>
      <c r="D421">
        <v>1031.76</v>
      </c>
      <c r="E421">
        <v>1019.25</v>
      </c>
      <c r="F421">
        <v>1014.78</v>
      </c>
      <c r="G421">
        <v>1014.59</v>
      </c>
      <c r="H421">
        <v>1010.49</v>
      </c>
      <c r="I421">
        <v>998.52</v>
      </c>
      <c r="J421">
        <v>988.34</v>
      </c>
      <c r="K421">
        <v>983.89</v>
      </c>
      <c r="L421">
        <v>992.54</v>
      </c>
      <c r="M421">
        <v>1000.63</v>
      </c>
      <c r="N421">
        <v>991.53</v>
      </c>
      <c r="O421">
        <v>994.4</v>
      </c>
      <c r="P421">
        <v>1002.55</v>
      </c>
      <c r="Q421">
        <v>1007.78</v>
      </c>
      <c r="R421">
        <v>1004.74</v>
      </c>
      <c r="S421">
        <v>1007.23</v>
      </c>
      <c r="T421">
        <v>1020.68</v>
      </c>
      <c r="U421" s="337"/>
      <c r="V421" s="337"/>
      <c r="W421" s="337"/>
      <c r="X421" s="359"/>
      <c r="Y421" s="337"/>
      <c r="Z421" s="337"/>
      <c r="AA421" s="339"/>
    </row>
    <row r="422" spans="1:35" ht="32.25" thickBot="1">
      <c r="A422" s="372"/>
      <c r="B422" s="281"/>
      <c r="C422" s="243" t="s">
        <v>221</v>
      </c>
      <c r="D422" s="337">
        <f t="shared" ref="D422:I422" si="186">IF(((D420="")*AND(D421="")),"",(D420-D421)*2)</f>
        <v>1987.1</v>
      </c>
      <c r="E422" s="337">
        <f t="shared" si="186"/>
        <v>2002.46</v>
      </c>
      <c r="F422" s="337">
        <f t="shared" si="186"/>
        <v>2006</v>
      </c>
      <c r="G422" s="337">
        <f t="shared" si="186"/>
        <v>2001.72</v>
      </c>
      <c r="H422" s="337">
        <f t="shared" si="186"/>
        <v>2009.3200000000002</v>
      </c>
      <c r="I422" s="337">
        <f t="shared" si="186"/>
        <v>2033.1799999999998</v>
      </c>
      <c r="J422" s="337">
        <f>IF(((J420="")*AND(J421="")),"",(J420-J421)*2)</f>
        <v>2059.1800000000003</v>
      </c>
      <c r="K422" s="337">
        <f>IF(((K420="")*AND(K421="")),"",(K420-K421)*2)</f>
        <v>2074.6400000000003</v>
      </c>
      <c r="L422" s="337">
        <f>IF(((L420="")*AND(L421="")),"",(L420-L421)*2)</f>
        <v>2072.38</v>
      </c>
      <c r="M422" s="337">
        <f>IF(((M420="")*AND(M421="")),"",(M420-M421)*2)</f>
        <v>2050.6999999999998</v>
      </c>
      <c r="N422" s="337">
        <f t="shared" ref="N422:T422" si="187">IF(((N420="")*AND(N421="")),"",(N420-N421)*2)</f>
        <v>2059.14</v>
      </c>
      <c r="O422" s="337">
        <f t="shared" si="187"/>
        <v>2046.8799999999999</v>
      </c>
      <c r="P422" s="337">
        <f t="shared" si="187"/>
        <v>2024.7600000000002</v>
      </c>
      <c r="Q422" s="337">
        <f t="shared" si="187"/>
        <v>2016.2200000000003</v>
      </c>
      <c r="R422" s="337">
        <f t="shared" si="187"/>
        <v>2028.1799999999998</v>
      </c>
      <c r="S422" s="337">
        <f t="shared" si="187"/>
        <v>2034.12</v>
      </c>
      <c r="T422" s="337">
        <f t="shared" si="187"/>
        <v>2025.78</v>
      </c>
      <c r="U422" s="337"/>
      <c r="V422" s="337"/>
      <c r="W422" s="337"/>
      <c r="X422" s="366"/>
      <c r="Y422" s="337"/>
      <c r="Z422" s="337"/>
      <c r="AA422" s="339"/>
    </row>
    <row r="423" spans="1:35">
      <c r="A423" s="248">
        <v>43766</v>
      </c>
      <c r="B423" s="268" t="s">
        <v>76</v>
      </c>
      <c r="C423" s="235" t="s">
        <v>77</v>
      </c>
      <c r="D423">
        <v>2037.93</v>
      </c>
      <c r="E423">
        <v>2029.13</v>
      </c>
      <c r="F423">
        <v>2024.82</v>
      </c>
      <c r="G423">
        <v>2020.2</v>
      </c>
      <c r="H423">
        <v>2019.4</v>
      </c>
      <c r="I423">
        <v>2019.29</v>
      </c>
      <c r="J423">
        <v>2021.01</v>
      </c>
      <c r="K423">
        <v>2024.32</v>
      </c>
      <c r="L423">
        <v>2030.04</v>
      </c>
      <c r="M423">
        <v>2026.14</v>
      </c>
      <c r="N423">
        <v>2022.84</v>
      </c>
      <c r="O423">
        <v>2021.43</v>
      </c>
      <c r="P423">
        <v>2018.98</v>
      </c>
      <c r="Q423">
        <v>2020.46</v>
      </c>
      <c r="R423">
        <v>2023.5</v>
      </c>
      <c r="S423">
        <v>2026.61</v>
      </c>
      <c r="T423">
        <v>2032.33</v>
      </c>
      <c r="U423" s="235">
        <f>IF((T424=""),"",MAX(D425:T425))</f>
        <v>2113.1</v>
      </c>
      <c r="V423" s="235">
        <f>IF(T424="","",MIN(D425:T425))</f>
        <v>2000.8600000000001</v>
      </c>
      <c r="W423" s="235">
        <f>IF((T425=""),"",AVERAGE(D425:T425))</f>
        <v>2050.3070588235291</v>
      </c>
      <c r="X423" s="359">
        <f>STDEV(D425:T425)</f>
        <v>33.605419906003547</v>
      </c>
      <c r="Y423" s="235">
        <f>IF((T424=""),"",((U423-V423)/(U423+V423))*100)</f>
        <v>2.728271543719428</v>
      </c>
      <c r="Z423" s="228" t="str">
        <f>IF(T424="","",IF(Y423&lt;15,IF(W423&gt;AF423,IF(W423&lt;AG423,"Pass","Fail"),"Fail"),"Fail"))</f>
        <v>Pass</v>
      </c>
      <c r="AA423" s="373">
        <v>1428</v>
      </c>
      <c r="AB423" s="377" t="s">
        <v>247</v>
      </c>
      <c r="AD423" s="302">
        <v>1600</v>
      </c>
      <c r="AE423" s="302">
        <v>2600</v>
      </c>
      <c r="AF423" s="334">
        <v>1690</v>
      </c>
      <c r="AG423" s="334">
        <v>2210</v>
      </c>
      <c r="AH423" s="335">
        <v>15</v>
      </c>
      <c r="AI423" s="335">
        <v>15</v>
      </c>
    </row>
    <row r="424" spans="1:35">
      <c r="A424" s="371"/>
      <c r="B424" s="276"/>
      <c r="C424" s="235" t="s">
        <v>78</v>
      </c>
      <c r="D424">
        <v>1037.5</v>
      </c>
      <c r="E424">
        <v>1027.04</v>
      </c>
      <c r="F424">
        <v>1019.33</v>
      </c>
      <c r="G424">
        <v>1014.35</v>
      </c>
      <c r="H424">
        <v>1005.45</v>
      </c>
      <c r="I424">
        <v>992.06</v>
      </c>
      <c r="J424">
        <v>979.35</v>
      </c>
      <c r="K424">
        <v>970.52</v>
      </c>
      <c r="L424">
        <v>973.49</v>
      </c>
      <c r="M424">
        <v>988.75</v>
      </c>
      <c r="N424">
        <v>988.3</v>
      </c>
      <c r="O424">
        <v>992.17</v>
      </c>
      <c r="P424">
        <v>1001.08</v>
      </c>
      <c r="Q424">
        <v>1003.32</v>
      </c>
      <c r="R424">
        <v>997.76</v>
      </c>
      <c r="S424">
        <v>997.37</v>
      </c>
      <c r="T424">
        <v>1002.98</v>
      </c>
      <c r="U424" s="337"/>
      <c r="V424" s="337"/>
      <c r="W424" s="337"/>
      <c r="X424" s="359"/>
      <c r="Y424" s="337"/>
      <c r="Z424" s="337"/>
      <c r="AA424" s="339"/>
    </row>
    <row r="425" spans="1:35" ht="32.25" thickBot="1">
      <c r="A425" s="372"/>
      <c r="B425" s="281"/>
      <c r="C425" s="243" t="s">
        <v>221</v>
      </c>
      <c r="D425" s="337">
        <f t="shared" ref="D425:I425" si="188">IF(((D423="")*AND(D424="")),"",(D423-D424)*2)</f>
        <v>2000.8600000000001</v>
      </c>
      <c r="E425" s="337">
        <f t="shared" si="188"/>
        <v>2004.1800000000003</v>
      </c>
      <c r="F425" s="337">
        <f t="shared" si="188"/>
        <v>2010.9799999999998</v>
      </c>
      <c r="G425" s="337">
        <f t="shared" si="188"/>
        <v>2011.7</v>
      </c>
      <c r="H425" s="337">
        <f t="shared" si="188"/>
        <v>2027.9</v>
      </c>
      <c r="I425" s="337">
        <f t="shared" si="188"/>
        <v>2054.46</v>
      </c>
      <c r="J425" s="337">
        <f>IF(((J423="")*AND(J424="")),"",(J423-J424)*2)</f>
        <v>2083.3199999999997</v>
      </c>
      <c r="K425" s="337">
        <f>IF(((K423="")*AND(K424="")),"",(K423-K424)*2)</f>
        <v>2107.6</v>
      </c>
      <c r="L425" s="337">
        <f>IF(((L423="")*AND(L424="")),"",(L423-L424)*2)</f>
        <v>2113.1</v>
      </c>
      <c r="M425" s="337">
        <f>IF(((M423="")*AND(M424="")),"",(M423-M424)*2)</f>
        <v>2074.7800000000002</v>
      </c>
      <c r="N425" s="337">
        <f t="shared" ref="N425:T425" si="189">IF(((N423="")*AND(N424="")),"",(N423-N424)*2)</f>
        <v>2069.08</v>
      </c>
      <c r="O425" s="337">
        <f t="shared" si="189"/>
        <v>2058.5200000000004</v>
      </c>
      <c r="P425" s="337">
        <f t="shared" si="189"/>
        <v>2035.8</v>
      </c>
      <c r="Q425" s="337">
        <f t="shared" si="189"/>
        <v>2034.28</v>
      </c>
      <c r="R425" s="337">
        <f t="shared" si="189"/>
        <v>2051.48</v>
      </c>
      <c r="S425" s="337">
        <f t="shared" si="189"/>
        <v>2058.4799999999996</v>
      </c>
      <c r="T425" s="337">
        <f t="shared" si="189"/>
        <v>2058.6999999999998</v>
      </c>
      <c r="U425" s="337"/>
      <c r="V425" s="337"/>
      <c r="W425" s="337"/>
      <c r="X425" s="366"/>
      <c r="Y425" s="337"/>
      <c r="Z425" s="337"/>
      <c r="AA425" s="339"/>
    </row>
    <row r="426" spans="1:35">
      <c r="A426" s="248">
        <v>43769</v>
      </c>
      <c r="B426" s="268" t="s">
        <v>76</v>
      </c>
      <c r="C426" s="235" t="s">
        <v>77</v>
      </c>
      <c r="D426">
        <v>2028.25</v>
      </c>
      <c r="E426">
        <v>2017.5</v>
      </c>
      <c r="F426">
        <v>2011.09</v>
      </c>
      <c r="G426">
        <v>2008.07</v>
      </c>
      <c r="H426">
        <v>2006.53</v>
      </c>
      <c r="I426">
        <v>2005.95</v>
      </c>
      <c r="J426">
        <v>2008.44</v>
      </c>
      <c r="K426">
        <v>2013.2</v>
      </c>
      <c r="L426">
        <v>2019.61</v>
      </c>
      <c r="M426">
        <v>2016.44</v>
      </c>
      <c r="N426">
        <v>2010.13</v>
      </c>
      <c r="O426">
        <v>2008.02</v>
      </c>
      <c r="P426">
        <v>2006.87</v>
      </c>
      <c r="Q426">
        <v>2008.19</v>
      </c>
      <c r="R426">
        <v>2010.3</v>
      </c>
      <c r="S426">
        <v>2014.51</v>
      </c>
      <c r="T426">
        <v>2024.07</v>
      </c>
      <c r="U426" s="235">
        <f>IF((T427=""),"",MAX(D428:T428))</f>
        <v>2095.7399999999998</v>
      </c>
      <c r="V426" s="235">
        <f>IF(T427="","",MIN(D428:T428))</f>
        <v>1990.04</v>
      </c>
      <c r="W426" s="235">
        <f>IF((T428=""),"",AVERAGE(D428:T428))</f>
        <v>2037.876470588235</v>
      </c>
      <c r="X426" s="359">
        <f>STDEV(D428:T428)</f>
        <v>32.567949148890349</v>
      </c>
      <c r="Y426" s="235">
        <f>IF((T427=""),"",((U426-V426)/(U426+V426))*100)</f>
        <v>2.587021327628992</v>
      </c>
      <c r="Z426" s="228" t="str">
        <f>IF(T427="","",IF(Y426&lt;15,IF(W426&gt;AF426,IF(W426&lt;AG426,"Pass","Fail"),"Fail"),"Fail"))</f>
        <v>Pass</v>
      </c>
      <c r="AA426" s="373">
        <v>1428</v>
      </c>
      <c r="AB426" s="381" t="s">
        <v>248</v>
      </c>
      <c r="AD426" s="302">
        <v>1600</v>
      </c>
      <c r="AE426" s="302">
        <v>2600</v>
      </c>
      <c r="AF426" s="334">
        <v>1690</v>
      </c>
      <c r="AG426" s="334">
        <v>2210</v>
      </c>
      <c r="AH426" s="335">
        <v>15</v>
      </c>
      <c r="AI426" s="335">
        <v>15</v>
      </c>
    </row>
    <row r="427" spans="1:35">
      <c r="A427" s="371"/>
      <c r="B427" s="276"/>
      <c r="C427" s="235" t="s">
        <v>78</v>
      </c>
      <c r="D427">
        <v>1033.23</v>
      </c>
      <c r="E427">
        <v>1014.33</v>
      </c>
      <c r="F427">
        <v>1007.58</v>
      </c>
      <c r="G427">
        <v>1011.43</v>
      </c>
      <c r="H427">
        <v>1010.63</v>
      </c>
      <c r="I427">
        <v>986.02</v>
      </c>
      <c r="J427">
        <v>973.04</v>
      </c>
      <c r="K427">
        <v>965.33</v>
      </c>
      <c r="L427">
        <v>976.32</v>
      </c>
      <c r="M427">
        <v>987.77</v>
      </c>
      <c r="N427">
        <v>976.81</v>
      </c>
      <c r="O427">
        <v>980.98</v>
      </c>
      <c r="P427">
        <v>991.18</v>
      </c>
      <c r="Q427">
        <v>995.66</v>
      </c>
      <c r="R427">
        <v>990.56</v>
      </c>
      <c r="S427">
        <v>989.72</v>
      </c>
      <c r="T427">
        <v>1004.63</v>
      </c>
      <c r="U427" s="337"/>
      <c r="V427" s="337"/>
      <c r="W427" s="337"/>
      <c r="X427" s="359"/>
      <c r="Y427" s="337"/>
      <c r="Z427" s="337"/>
      <c r="AA427" s="339"/>
    </row>
    <row r="428" spans="1:35" ht="32.25" thickBot="1">
      <c r="A428" s="372"/>
      <c r="B428" s="281"/>
      <c r="C428" s="243" t="s">
        <v>221</v>
      </c>
      <c r="D428" s="337">
        <f t="shared" ref="D428:I428" si="190">IF(((D426="")*AND(D427="")),"",(D426-D427)*2)</f>
        <v>1990.04</v>
      </c>
      <c r="E428" s="337">
        <f t="shared" si="190"/>
        <v>2006.34</v>
      </c>
      <c r="F428" s="337">
        <f t="shared" si="190"/>
        <v>2007.0199999999998</v>
      </c>
      <c r="G428" s="337">
        <f t="shared" si="190"/>
        <v>1993.28</v>
      </c>
      <c r="H428" s="337">
        <f t="shared" si="190"/>
        <v>1991.8</v>
      </c>
      <c r="I428" s="337">
        <f t="shared" si="190"/>
        <v>2039.8600000000001</v>
      </c>
      <c r="J428" s="337">
        <f>IF(((J426="")*AND(J427="")),"",(J426-J427)*2)</f>
        <v>2070.8000000000002</v>
      </c>
      <c r="K428" s="337">
        <f>IF(((K426="")*AND(K427="")),"",(K426-K427)*2)</f>
        <v>2095.7399999999998</v>
      </c>
      <c r="L428" s="337">
        <f>IF(((L426="")*AND(L427="")),"",(L426-L427)*2)</f>
        <v>2086.58</v>
      </c>
      <c r="M428" s="337">
        <f>IF(((M426="")*AND(M427="")),"",(M426-M427)*2)</f>
        <v>2057.34</v>
      </c>
      <c r="N428" s="337">
        <f t="shared" ref="N428:T428" si="191">IF(((N426="")*AND(N427="")),"",(N426-N427)*2)</f>
        <v>2066.6400000000003</v>
      </c>
      <c r="O428" s="337">
        <f t="shared" si="191"/>
        <v>2054.08</v>
      </c>
      <c r="P428" s="337">
        <f t="shared" si="191"/>
        <v>2031.3799999999999</v>
      </c>
      <c r="Q428" s="337">
        <f t="shared" si="191"/>
        <v>2025.0600000000002</v>
      </c>
      <c r="R428" s="337">
        <f t="shared" si="191"/>
        <v>2039.48</v>
      </c>
      <c r="S428" s="337">
        <f t="shared" si="191"/>
        <v>2049.58</v>
      </c>
      <c r="T428" s="337">
        <f t="shared" si="191"/>
        <v>2038.8799999999999</v>
      </c>
      <c r="U428" s="337"/>
      <c r="V428" s="337"/>
      <c r="W428" s="337"/>
      <c r="X428" s="366"/>
      <c r="Y428" s="337"/>
      <c r="Z428" s="337"/>
      <c r="AA428" s="339"/>
    </row>
    <row r="429" spans="1:35">
      <c r="A429" s="115">
        <v>43773</v>
      </c>
      <c r="B429" s="268" t="s">
        <v>76</v>
      </c>
      <c r="C429" s="235" t="s">
        <v>77</v>
      </c>
      <c r="D429">
        <v>2034.54</v>
      </c>
      <c r="E429">
        <v>2027.07</v>
      </c>
      <c r="F429">
        <v>2021.4</v>
      </c>
      <c r="G429">
        <v>2019.29</v>
      </c>
      <c r="H429">
        <v>2018.39</v>
      </c>
      <c r="I429">
        <v>2017.74</v>
      </c>
      <c r="J429">
        <v>2019.34</v>
      </c>
      <c r="K429">
        <v>2022.72</v>
      </c>
      <c r="L429">
        <v>2027.85</v>
      </c>
      <c r="M429">
        <v>2025.28</v>
      </c>
      <c r="N429">
        <v>2021.4</v>
      </c>
      <c r="O429">
        <v>2018.59</v>
      </c>
      <c r="P429">
        <v>2017.47</v>
      </c>
      <c r="Q429">
        <v>2018.49</v>
      </c>
      <c r="R429">
        <v>2021.54</v>
      </c>
      <c r="S429">
        <v>2025.33</v>
      </c>
      <c r="T429">
        <v>2031.63</v>
      </c>
      <c r="U429" s="235">
        <f>IF((T430=""),"",MAX(D431:T431))</f>
        <v>2102.54</v>
      </c>
      <c r="V429" s="235">
        <f>IF(T430="","",MIN(D431:T431))</f>
        <v>1994.88</v>
      </c>
      <c r="W429" s="235">
        <f>IF((T431=""),"",AVERAGE(D431:T431))</f>
        <v>2044.9576470588236</v>
      </c>
      <c r="X429" s="359">
        <f>STDEV(D431:T431)</f>
        <v>31.011026976184546</v>
      </c>
      <c r="Y429" s="235">
        <f>IF((T430=""),"",((U429-V429)/(U429+V429))*100)</f>
        <v>2.6275070654216517</v>
      </c>
      <c r="Z429" s="228" t="str">
        <f>IF(T430="","",IF(Y429&lt;15,IF(W429&gt;AF429,IF(W429&lt;AG429,"Pass","Fail"),"Fail"),"Fail"))</f>
        <v>Pass</v>
      </c>
      <c r="AA429" s="373">
        <v>121</v>
      </c>
      <c r="AB429" s="377" t="s">
        <v>253</v>
      </c>
      <c r="AD429" s="302">
        <v>1600</v>
      </c>
      <c r="AE429" s="302">
        <v>2600</v>
      </c>
      <c r="AF429" s="334">
        <v>1690</v>
      </c>
      <c r="AG429" s="334">
        <v>2210</v>
      </c>
      <c r="AH429" s="335">
        <v>15</v>
      </c>
      <c r="AI429" s="335">
        <v>15</v>
      </c>
    </row>
    <row r="430" spans="1:35">
      <c r="A430" s="371"/>
      <c r="B430" s="276"/>
      <c r="C430" s="235" t="s">
        <v>78</v>
      </c>
      <c r="D430">
        <v>1037.0999999999999</v>
      </c>
      <c r="E430">
        <v>1023.98</v>
      </c>
      <c r="F430">
        <v>1018.37</v>
      </c>
      <c r="G430">
        <v>1013.41</v>
      </c>
      <c r="H430">
        <v>1006.17</v>
      </c>
      <c r="I430">
        <v>993.09</v>
      </c>
      <c r="J430">
        <v>981.98</v>
      </c>
      <c r="K430">
        <v>974.06</v>
      </c>
      <c r="L430">
        <v>976.58</v>
      </c>
      <c r="M430">
        <v>992.35</v>
      </c>
      <c r="N430">
        <v>989.03</v>
      </c>
      <c r="O430">
        <v>993.07</v>
      </c>
      <c r="P430">
        <v>1001.43</v>
      </c>
      <c r="Q430">
        <v>1002.83</v>
      </c>
      <c r="R430">
        <v>999.41</v>
      </c>
      <c r="S430">
        <v>998.47</v>
      </c>
      <c r="T430">
        <v>1004.6</v>
      </c>
      <c r="U430" s="337"/>
      <c r="V430" s="337"/>
      <c r="W430" s="337"/>
      <c r="X430" s="359"/>
      <c r="Y430" s="337"/>
      <c r="Z430" s="337"/>
      <c r="AA430" s="339"/>
    </row>
    <row r="431" spans="1:35" ht="32.25" thickBot="1">
      <c r="A431" s="372"/>
      <c r="B431" s="281"/>
      <c r="C431" s="243" t="s">
        <v>221</v>
      </c>
      <c r="D431" s="337">
        <f t="shared" ref="D431:I431" si="192">IF(((D429="")*AND(D430="")),"",(D429-D430)*2)</f>
        <v>1994.88</v>
      </c>
      <c r="E431" s="337">
        <f t="shared" si="192"/>
        <v>2006.1799999999998</v>
      </c>
      <c r="F431" s="337">
        <f t="shared" si="192"/>
        <v>2006.0600000000002</v>
      </c>
      <c r="G431" s="337">
        <f t="shared" si="192"/>
        <v>2011.76</v>
      </c>
      <c r="H431" s="337">
        <f t="shared" si="192"/>
        <v>2024.4400000000003</v>
      </c>
      <c r="I431" s="337">
        <f t="shared" si="192"/>
        <v>2049.3000000000002</v>
      </c>
      <c r="J431" s="337">
        <f>IF(((J429="")*AND(J430="")),"",(J429-J430)*2)</f>
        <v>2074.7199999999998</v>
      </c>
      <c r="K431" s="337">
        <f>IF(((K429="")*AND(K430="")),"",(K429-K430)*2)</f>
        <v>2097.3200000000002</v>
      </c>
      <c r="L431" s="337">
        <f>IF(((L429="")*AND(L430="")),"",(L429-L430)*2)</f>
        <v>2102.54</v>
      </c>
      <c r="M431" s="337">
        <f>IF(((M429="")*AND(M430="")),"",(M429-M430)*2)</f>
        <v>2065.8599999999997</v>
      </c>
      <c r="N431" s="337">
        <f t="shared" ref="N431:T431" si="193">IF(((N429="")*AND(N430="")),"",(N429-N430)*2)</f>
        <v>2064.7400000000002</v>
      </c>
      <c r="O431" s="337">
        <f t="shared" si="193"/>
        <v>2051.04</v>
      </c>
      <c r="P431" s="337">
        <f t="shared" si="193"/>
        <v>2032.0800000000002</v>
      </c>
      <c r="Q431" s="337">
        <f t="shared" si="193"/>
        <v>2031.32</v>
      </c>
      <c r="R431" s="337">
        <f t="shared" si="193"/>
        <v>2044.26</v>
      </c>
      <c r="S431" s="337">
        <f t="shared" si="193"/>
        <v>2053.7199999999998</v>
      </c>
      <c r="T431" s="337">
        <f t="shared" si="193"/>
        <v>2054.0600000000004</v>
      </c>
      <c r="U431" s="337"/>
      <c r="V431" s="337"/>
      <c r="W431" s="337"/>
      <c r="X431" s="366"/>
      <c r="Y431" s="337"/>
      <c r="Z431" s="337"/>
      <c r="AA431" s="339"/>
    </row>
    <row r="432" spans="1:35">
      <c r="A432" s="115">
        <v>43780</v>
      </c>
      <c r="B432" s="268" t="s">
        <v>76</v>
      </c>
      <c r="C432" s="235" t="s">
        <v>77</v>
      </c>
      <c r="D432">
        <v>2032.18</v>
      </c>
      <c r="E432">
        <v>2024.02</v>
      </c>
      <c r="F432">
        <v>2020</v>
      </c>
      <c r="G432">
        <v>2016.85</v>
      </c>
      <c r="H432">
        <v>2015.63</v>
      </c>
      <c r="I432">
        <v>2015.04</v>
      </c>
      <c r="J432">
        <v>2017.52</v>
      </c>
      <c r="K432">
        <v>2020.43</v>
      </c>
      <c r="L432">
        <v>2025.39</v>
      </c>
      <c r="M432">
        <v>2022.33</v>
      </c>
      <c r="N432">
        <v>2019.38</v>
      </c>
      <c r="O432">
        <v>2015.99</v>
      </c>
      <c r="P432">
        <v>2016</v>
      </c>
      <c r="Q432">
        <v>2016.38</v>
      </c>
      <c r="R432">
        <v>2018.28</v>
      </c>
      <c r="S432">
        <v>2022.1</v>
      </c>
      <c r="T432">
        <v>2029.34</v>
      </c>
      <c r="U432" s="235">
        <f>IF((T433=""),"",MAX(D434:T434))</f>
        <v>2071.6000000000004</v>
      </c>
      <c r="V432" s="235">
        <f>IF(T433="","",MIN(D434:T434))</f>
        <v>1963.96</v>
      </c>
      <c r="W432" s="235">
        <f>IF((T434=""),"",AVERAGE(D434:T434))</f>
        <v>2028.5152941176473</v>
      </c>
      <c r="X432" s="359">
        <f>STDEV(D434:T434)</f>
        <v>28.908783725203484</v>
      </c>
      <c r="Y432" s="235">
        <f>IF((T433=""),"",((U432-V432)/(U432+V432))*100)</f>
        <v>2.6672878113570437</v>
      </c>
      <c r="Z432" s="228" t="str">
        <f>IF(T433="","",IF(Y432&lt;15,IF(W432&gt;AF432,IF(W432&lt;AG432,"Pass","Fail"),"Fail"),"Fail"))</f>
        <v>Pass</v>
      </c>
      <c r="AA432" s="373">
        <v>1159</v>
      </c>
      <c r="AD432" s="302">
        <v>1600</v>
      </c>
      <c r="AE432" s="302">
        <v>2600</v>
      </c>
      <c r="AF432" s="334">
        <v>1690</v>
      </c>
      <c r="AG432" s="334">
        <v>2210</v>
      </c>
      <c r="AH432" s="335">
        <v>15</v>
      </c>
      <c r="AI432" s="335">
        <v>15</v>
      </c>
    </row>
    <row r="433" spans="1:35">
      <c r="A433" s="371"/>
      <c r="B433" s="276"/>
      <c r="C433" s="235" t="s">
        <v>78</v>
      </c>
      <c r="D433">
        <v>1050.2</v>
      </c>
      <c r="E433">
        <v>1029.5899999999999</v>
      </c>
      <c r="F433">
        <v>1019.33</v>
      </c>
      <c r="G433">
        <v>1013.11</v>
      </c>
      <c r="H433">
        <v>1004.57</v>
      </c>
      <c r="I433">
        <v>993.8</v>
      </c>
      <c r="J433">
        <v>985.49</v>
      </c>
      <c r="K433">
        <v>984.63</v>
      </c>
      <c r="L433">
        <v>998.64</v>
      </c>
      <c r="M433">
        <v>999.59</v>
      </c>
      <c r="N433">
        <v>989.44</v>
      </c>
      <c r="O433">
        <v>991.16</v>
      </c>
      <c r="P433">
        <v>997.15</v>
      </c>
      <c r="Q433">
        <v>1005.4</v>
      </c>
      <c r="R433">
        <v>1004.75</v>
      </c>
      <c r="S433">
        <v>1010.32</v>
      </c>
      <c r="T433">
        <v>1027.31</v>
      </c>
      <c r="U433" s="337"/>
      <c r="V433" s="337"/>
      <c r="W433" s="337"/>
      <c r="X433" s="359"/>
      <c r="Y433" s="337"/>
      <c r="Z433" s="337"/>
      <c r="AA433" s="339"/>
    </row>
    <row r="434" spans="1:35" ht="32.25" thickBot="1">
      <c r="A434" s="372"/>
      <c r="B434" s="281"/>
      <c r="C434" s="243" t="s">
        <v>221</v>
      </c>
      <c r="D434" s="337">
        <f t="shared" ref="D434:I434" si="194">IF(((D432="")*AND(D433="")),"",(D432-D433)*2)</f>
        <v>1963.96</v>
      </c>
      <c r="E434" s="337">
        <f t="shared" si="194"/>
        <v>1988.8600000000001</v>
      </c>
      <c r="F434" s="337">
        <f t="shared" si="194"/>
        <v>2001.34</v>
      </c>
      <c r="G434" s="337">
        <f t="shared" si="194"/>
        <v>2007.4799999999998</v>
      </c>
      <c r="H434" s="337">
        <f t="shared" si="194"/>
        <v>2022.1200000000001</v>
      </c>
      <c r="I434" s="337">
        <f t="shared" si="194"/>
        <v>2042.48</v>
      </c>
      <c r="J434" s="337">
        <f>IF(((J432="")*AND(J433="")),"",(J432-J433)*2)</f>
        <v>2064.06</v>
      </c>
      <c r="K434" s="337">
        <f>IF(((K432="")*AND(K433="")),"",(K432-K433)*2)</f>
        <v>2071.6000000000004</v>
      </c>
      <c r="L434" s="337">
        <f>IF(((L432="")*AND(L433="")),"",(L432-L433)*2)</f>
        <v>2053.5</v>
      </c>
      <c r="M434" s="337">
        <f>IF(((M432="")*AND(M433="")),"",(M432-M433)*2)</f>
        <v>2045.4799999999998</v>
      </c>
      <c r="N434" s="337">
        <f t="shared" ref="N434:T434" si="195">IF(((N432="")*AND(N433="")),"",(N432-N433)*2)</f>
        <v>2059.88</v>
      </c>
      <c r="O434" s="337">
        <f t="shared" si="195"/>
        <v>2049.66</v>
      </c>
      <c r="P434" s="337">
        <f t="shared" si="195"/>
        <v>2037.7</v>
      </c>
      <c r="Q434" s="337">
        <f t="shared" si="195"/>
        <v>2021.9600000000003</v>
      </c>
      <c r="R434" s="337">
        <f t="shared" si="195"/>
        <v>2027.06</v>
      </c>
      <c r="S434" s="337">
        <f t="shared" si="195"/>
        <v>2023.5599999999997</v>
      </c>
      <c r="T434" s="337">
        <f t="shared" si="195"/>
        <v>2004.06</v>
      </c>
      <c r="U434" s="337"/>
      <c r="V434" s="337"/>
      <c r="W434" s="337"/>
      <c r="X434" s="366"/>
      <c r="Y434" s="337"/>
      <c r="Z434" s="337"/>
      <c r="AA434" s="339"/>
    </row>
    <row r="435" spans="1:35">
      <c r="A435" s="115">
        <v>43786</v>
      </c>
      <c r="B435" s="268" t="s">
        <v>76</v>
      </c>
      <c r="C435" s="235" t="s">
        <v>77</v>
      </c>
      <c r="D435">
        <v>2040.9</v>
      </c>
      <c r="E435">
        <v>2032.77</v>
      </c>
      <c r="F435">
        <v>2027.81</v>
      </c>
      <c r="G435">
        <v>2024.34</v>
      </c>
      <c r="H435">
        <v>2021.61</v>
      </c>
      <c r="I435">
        <v>2022.01</v>
      </c>
      <c r="J435">
        <v>2023.25</v>
      </c>
      <c r="K435">
        <v>2027.17</v>
      </c>
      <c r="L435">
        <v>2034.48</v>
      </c>
      <c r="M435">
        <v>2030.47</v>
      </c>
      <c r="N435">
        <v>2026.59</v>
      </c>
      <c r="O435">
        <v>2023.3</v>
      </c>
      <c r="P435">
        <v>2021.88</v>
      </c>
      <c r="Q435">
        <v>2022.62</v>
      </c>
      <c r="R435">
        <v>2026.62</v>
      </c>
      <c r="S435">
        <v>2030.22</v>
      </c>
      <c r="T435">
        <v>2037.21</v>
      </c>
      <c r="U435" s="235">
        <f>IF((T436=""),"",MAX(D437:T437))</f>
        <v>2132.5600000000004</v>
      </c>
      <c r="V435" s="235">
        <f>IF(T436="","",MIN(D437:T437))</f>
        <v>2003.3400000000001</v>
      </c>
      <c r="W435" s="235">
        <f>IF((T437=""),"",AVERAGE(D437:T437))</f>
        <v>2076.814117647059</v>
      </c>
      <c r="X435" s="359">
        <f>STDEV(D437:T437)</f>
        <v>33.958662197373108</v>
      </c>
      <c r="Y435" s="235">
        <f>IF((T436=""),"",((U435-V435)/(U435+V435))*100)</f>
        <v>3.124350201890767</v>
      </c>
      <c r="Z435" s="228" t="str">
        <f>IF(T436="","",IF(Y435&lt;15,IF(W435&gt;AF435,IF(W435&lt;AG435,"Pass","Fail"),"Fail"),"Fail"))</f>
        <v>Pass</v>
      </c>
      <c r="AA435" s="373">
        <v>74</v>
      </c>
      <c r="AD435" s="302">
        <v>1600</v>
      </c>
      <c r="AE435" s="302">
        <v>2600</v>
      </c>
      <c r="AF435" s="334">
        <v>1690</v>
      </c>
      <c r="AG435" s="334">
        <v>2210</v>
      </c>
      <c r="AH435" s="335">
        <v>15</v>
      </c>
      <c r="AI435" s="335">
        <v>15</v>
      </c>
    </row>
    <row r="436" spans="1:35">
      <c r="A436" s="371"/>
      <c r="B436" s="276"/>
      <c r="C436" s="235" t="s">
        <v>78</v>
      </c>
      <c r="D436">
        <v>1039.23</v>
      </c>
      <c r="E436">
        <v>1018.03</v>
      </c>
      <c r="F436">
        <v>1007.5</v>
      </c>
      <c r="G436">
        <v>999.83</v>
      </c>
      <c r="H436">
        <v>990.23</v>
      </c>
      <c r="I436">
        <v>977.18</v>
      </c>
      <c r="J436">
        <v>964.7</v>
      </c>
      <c r="K436">
        <v>960.89</v>
      </c>
      <c r="L436">
        <v>973.54</v>
      </c>
      <c r="M436">
        <v>984.28</v>
      </c>
      <c r="N436">
        <v>974.27</v>
      </c>
      <c r="O436">
        <v>975.66</v>
      </c>
      <c r="P436">
        <v>983.75</v>
      </c>
      <c r="Q436">
        <v>989.35</v>
      </c>
      <c r="R436">
        <v>987.39</v>
      </c>
      <c r="S436">
        <v>990.06</v>
      </c>
      <c r="T436">
        <v>1004.44</v>
      </c>
      <c r="U436" s="337"/>
      <c r="V436" s="337"/>
      <c r="W436" s="337"/>
      <c r="X436" s="359"/>
      <c r="Y436" s="337"/>
      <c r="Z436" s="337"/>
      <c r="AA436" s="339"/>
    </row>
    <row r="437" spans="1:35" ht="32.25" thickBot="1">
      <c r="A437" s="372"/>
      <c r="B437" s="281"/>
      <c r="C437" s="243" t="s">
        <v>221</v>
      </c>
      <c r="D437" s="337">
        <f t="shared" ref="D437:I437" si="196">IF(((D435="")*AND(D436="")),"",(D435-D436)*2)</f>
        <v>2003.3400000000001</v>
      </c>
      <c r="E437" s="337">
        <f t="shared" si="196"/>
        <v>2029.48</v>
      </c>
      <c r="F437" s="337">
        <f t="shared" si="196"/>
        <v>2040.62</v>
      </c>
      <c r="G437" s="337">
        <f t="shared" si="196"/>
        <v>2049.0199999999995</v>
      </c>
      <c r="H437" s="337">
        <f t="shared" si="196"/>
        <v>2062.7599999999998</v>
      </c>
      <c r="I437" s="337">
        <f t="shared" si="196"/>
        <v>2089.66</v>
      </c>
      <c r="J437" s="337">
        <f>IF(((J435="")*AND(J436="")),"",(J435-J436)*2)</f>
        <v>2117.1</v>
      </c>
      <c r="K437" s="337">
        <f>IF(((K435="")*AND(K436="")),"",(K435-K436)*2)</f>
        <v>2132.5600000000004</v>
      </c>
      <c r="L437" s="337">
        <f>IF(((L435="")*AND(L436="")),"",(L435-L436)*2)</f>
        <v>2121.88</v>
      </c>
      <c r="M437" s="337">
        <f>IF(((M435="")*AND(M436="")),"",(M435-M436)*2)</f>
        <v>2092.38</v>
      </c>
      <c r="N437" s="337">
        <f t="shared" ref="N437:T437" si="197">IF(((N435="")*AND(N436="")),"",(N435-N436)*2)</f>
        <v>2104.64</v>
      </c>
      <c r="O437" s="337">
        <f t="shared" si="197"/>
        <v>2095.2799999999997</v>
      </c>
      <c r="P437" s="337">
        <f t="shared" si="197"/>
        <v>2076.2600000000002</v>
      </c>
      <c r="Q437" s="337">
        <f t="shared" si="197"/>
        <v>2066.54</v>
      </c>
      <c r="R437" s="337">
        <f t="shared" si="197"/>
        <v>2078.46</v>
      </c>
      <c r="S437" s="337">
        <f t="shared" si="197"/>
        <v>2080.3200000000002</v>
      </c>
      <c r="T437" s="337">
        <f t="shared" si="197"/>
        <v>2065.54</v>
      </c>
      <c r="U437" s="337"/>
      <c r="V437" s="337"/>
      <c r="W437" s="337"/>
      <c r="X437" s="366"/>
      <c r="Y437" s="337"/>
      <c r="Z437" s="337"/>
      <c r="AA437" s="339"/>
    </row>
    <row r="438" spans="1:35">
      <c r="A438" s="115">
        <v>43789</v>
      </c>
      <c r="B438" s="268" t="s">
        <v>76</v>
      </c>
      <c r="C438" s="235" t="s">
        <v>77</v>
      </c>
      <c r="D438">
        <v>2033.25</v>
      </c>
      <c r="E438">
        <v>2024.14</v>
      </c>
      <c r="F438">
        <v>2019.72</v>
      </c>
      <c r="G438">
        <v>2016.16</v>
      </c>
      <c r="H438">
        <v>2014.78</v>
      </c>
      <c r="I438">
        <v>2015.45</v>
      </c>
      <c r="J438">
        <v>2017.43</v>
      </c>
      <c r="K438">
        <v>2019.61</v>
      </c>
      <c r="L438">
        <v>2025.49</v>
      </c>
      <c r="M438">
        <v>2022.67</v>
      </c>
      <c r="N438">
        <v>2018.6</v>
      </c>
      <c r="O438">
        <v>2017.13</v>
      </c>
      <c r="P438">
        <v>2014.43</v>
      </c>
      <c r="Q438">
        <v>2016.25</v>
      </c>
      <c r="R438">
        <v>2017.66</v>
      </c>
      <c r="S438">
        <v>2021.68</v>
      </c>
      <c r="T438">
        <v>2026.44</v>
      </c>
      <c r="U438" s="235">
        <f>IF((T439=""),"",MAX(D440:T440))</f>
        <v>2146.62</v>
      </c>
      <c r="V438" s="235">
        <f>IF(T439="","",MIN(D440:T440))</f>
        <v>1988.06</v>
      </c>
      <c r="W438" s="235">
        <f>IF((T440=""),"",AVERAGE(D440:T440))</f>
        <v>2076.725882352941</v>
      </c>
      <c r="X438" s="359">
        <f>STDEV(D440:T440)</f>
        <v>40.740874907582565</v>
      </c>
      <c r="Y438" s="235">
        <f>IF((T439=""),"",((U438-V438)/(U438+V438))*100)</f>
        <v>3.8348796037420052</v>
      </c>
      <c r="Z438" s="228" t="str">
        <f>IF(T439="","",IF(Y438&lt;15,IF(W438&gt;AF438,IF(W438&lt;AG438,"Pass","Fail"),"Fail"),"Fail"))</f>
        <v>Pass</v>
      </c>
      <c r="AA438" s="373">
        <v>74</v>
      </c>
      <c r="AB438" s="377" t="s">
        <v>255</v>
      </c>
      <c r="AD438" s="302">
        <v>1600</v>
      </c>
      <c r="AE438" s="302">
        <v>2600</v>
      </c>
      <c r="AF438" s="334">
        <v>1690</v>
      </c>
      <c r="AG438" s="334">
        <v>2210</v>
      </c>
      <c r="AH438" s="335">
        <v>15</v>
      </c>
      <c r="AI438" s="335">
        <v>15</v>
      </c>
    </row>
    <row r="439" spans="1:35">
      <c r="A439" s="371"/>
      <c r="B439" s="276"/>
      <c r="C439" s="235" t="s">
        <v>78</v>
      </c>
      <c r="D439">
        <v>1039.22</v>
      </c>
      <c r="E439">
        <v>1014.1</v>
      </c>
      <c r="F439">
        <v>1002.22</v>
      </c>
      <c r="G439">
        <v>994.94</v>
      </c>
      <c r="H439">
        <v>982.25</v>
      </c>
      <c r="I439">
        <v>966.83</v>
      </c>
      <c r="J439">
        <v>952.85</v>
      </c>
      <c r="K439">
        <v>946.3</v>
      </c>
      <c r="L439">
        <v>956.23</v>
      </c>
      <c r="M439">
        <v>987.13</v>
      </c>
      <c r="N439">
        <v>973.98</v>
      </c>
      <c r="O439">
        <v>973.15</v>
      </c>
      <c r="P439">
        <v>977.66</v>
      </c>
      <c r="Q439">
        <v>979.83</v>
      </c>
      <c r="R439">
        <v>975.84</v>
      </c>
      <c r="S439">
        <v>976.87</v>
      </c>
      <c r="T439">
        <v>989.32</v>
      </c>
      <c r="U439" s="337"/>
      <c r="V439" s="337"/>
      <c r="W439" s="337"/>
      <c r="X439" s="359"/>
      <c r="Y439" s="337"/>
      <c r="Z439" s="337"/>
      <c r="AA439" s="339"/>
    </row>
    <row r="440" spans="1:35" ht="32.25" thickBot="1">
      <c r="A440" s="372"/>
      <c r="B440" s="281"/>
      <c r="C440" s="243" t="s">
        <v>221</v>
      </c>
      <c r="D440" s="337">
        <f t="shared" ref="D440:I440" si="198">IF(((D438="")*AND(D439="")),"",(D438-D439)*2)</f>
        <v>1988.06</v>
      </c>
      <c r="E440" s="337">
        <f t="shared" si="198"/>
        <v>2020.0800000000002</v>
      </c>
      <c r="F440" s="337">
        <f t="shared" si="198"/>
        <v>2035</v>
      </c>
      <c r="G440" s="337">
        <f t="shared" si="198"/>
        <v>2042.44</v>
      </c>
      <c r="H440" s="337">
        <f t="shared" si="198"/>
        <v>2065.06</v>
      </c>
      <c r="I440" s="337">
        <f t="shared" si="198"/>
        <v>2097.2399999999998</v>
      </c>
      <c r="J440" s="337">
        <f>IF(((J438="")*AND(J439="")),"",(J438-J439)*2)</f>
        <v>2129.16</v>
      </c>
      <c r="K440" s="337">
        <f>IF(((K438="")*AND(K439="")),"",(K438-K439)*2)</f>
        <v>2146.62</v>
      </c>
      <c r="L440" s="337">
        <f>IF(((L438="")*AND(L439="")),"",(L438-L439)*2)</f>
        <v>2138.52</v>
      </c>
      <c r="M440" s="337">
        <f>IF(((M438="")*AND(M439="")),"",(M438-M439)*2)</f>
        <v>2071.08</v>
      </c>
      <c r="N440" s="337">
        <f t="shared" ref="N440:T440" si="199">IF(((N438="")*AND(N439="")),"",(N438-N439)*2)</f>
        <v>2089.2399999999998</v>
      </c>
      <c r="O440" s="337">
        <f t="shared" si="199"/>
        <v>2087.96</v>
      </c>
      <c r="P440" s="337">
        <f t="shared" si="199"/>
        <v>2073.54</v>
      </c>
      <c r="Q440" s="337">
        <f t="shared" si="199"/>
        <v>2072.84</v>
      </c>
      <c r="R440" s="337">
        <f t="shared" si="199"/>
        <v>2083.6400000000003</v>
      </c>
      <c r="S440" s="337">
        <f t="shared" si="199"/>
        <v>2089.62</v>
      </c>
      <c r="T440" s="337">
        <f t="shared" si="199"/>
        <v>2074.2399999999998</v>
      </c>
      <c r="U440" s="337"/>
      <c r="V440" s="337"/>
      <c r="W440" s="337"/>
      <c r="X440" s="366"/>
      <c r="Y440" s="337"/>
      <c r="Z440" s="337"/>
      <c r="AA440" s="339"/>
    </row>
    <row r="441" spans="1:35">
      <c r="A441" s="115">
        <v>43792</v>
      </c>
      <c r="B441" s="268" t="s">
        <v>76</v>
      </c>
      <c r="C441" s="235" t="s">
        <v>77</v>
      </c>
      <c r="D441">
        <v>2039.27</v>
      </c>
      <c r="E441">
        <v>2031.3</v>
      </c>
      <c r="F441">
        <v>2027.12</v>
      </c>
      <c r="G441">
        <v>2024.02</v>
      </c>
      <c r="H441">
        <v>2022.28</v>
      </c>
      <c r="I441">
        <v>2022.44</v>
      </c>
      <c r="J441">
        <v>2025.01</v>
      </c>
      <c r="K441">
        <v>2027.57</v>
      </c>
      <c r="L441">
        <v>2034.47</v>
      </c>
      <c r="M441">
        <v>2029.14</v>
      </c>
      <c r="N441">
        <v>2026.37</v>
      </c>
      <c r="O441">
        <v>2024.06</v>
      </c>
      <c r="P441">
        <v>2023.55</v>
      </c>
      <c r="Q441">
        <v>2023.13</v>
      </c>
      <c r="R441">
        <v>2025.41</v>
      </c>
      <c r="S441">
        <v>2029.41</v>
      </c>
      <c r="T441">
        <v>2035.2</v>
      </c>
      <c r="U441" s="235">
        <f>IF((T442=""),"",MAX(D443:T443))</f>
        <v>2153.14</v>
      </c>
      <c r="V441" s="235">
        <f>IF(T442="","",MIN(D443:T443))</f>
        <v>1997.7199999999998</v>
      </c>
      <c r="W441" s="235">
        <f>IF((T443=""),"",AVERAGE(D443:T443))</f>
        <v>2084.1929411764709</v>
      </c>
      <c r="X441" s="359">
        <f>STDEV(D443:T443)</f>
        <v>40.957012184225896</v>
      </c>
      <c r="Y441" s="235">
        <f>IF((T442=""),"",((U441-V441)/(U441+V441))*100)</f>
        <v>3.744284316984916</v>
      </c>
      <c r="Z441" s="228" t="str">
        <f>IF(T442="","",IF(Y441&lt;15,IF(W441&gt;AF441,IF(W441&lt;AG441,"Pass","Fail"),"Fail"),"Fail"))</f>
        <v>Pass</v>
      </c>
      <c r="AA441" s="373">
        <v>121</v>
      </c>
      <c r="AB441" s="377" t="s">
        <v>256</v>
      </c>
      <c r="AD441" s="302">
        <v>1600</v>
      </c>
      <c r="AE441" s="302">
        <v>2600</v>
      </c>
      <c r="AF441" s="334">
        <v>1690</v>
      </c>
      <c r="AG441" s="334">
        <v>2210</v>
      </c>
      <c r="AH441" s="335">
        <v>15</v>
      </c>
      <c r="AI441" s="335">
        <v>15</v>
      </c>
    </row>
    <row r="442" spans="1:35">
      <c r="A442" s="371"/>
      <c r="B442" s="276"/>
      <c r="C442" s="235" t="s">
        <v>78</v>
      </c>
      <c r="D442">
        <v>1040.4100000000001</v>
      </c>
      <c r="E442">
        <v>1019.01</v>
      </c>
      <c r="F442">
        <v>1006.88</v>
      </c>
      <c r="G442">
        <v>998.49</v>
      </c>
      <c r="H442">
        <v>986.51</v>
      </c>
      <c r="I442">
        <v>971.31</v>
      </c>
      <c r="J442">
        <v>956.72</v>
      </c>
      <c r="K442">
        <v>951</v>
      </c>
      <c r="L442">
        <v>959.9</v>
      </c>
      <c r="M442">
        <v>987.48</v>
      </c>
      <c r="N442">
        <v>975.58</v>
      </c>
      <c r="O442">
        <v>976.61</v>
      </c>
      <c r="P442">
        <v>982.26</v>
      </c>
      <c r="Q442">
        <v>984.04</v>
      </c>
      <c r="R442">
        <v>980.87</v>
      </c>
      <c r="S442">
        <v>982.2</v>
      </c>
      <c r="T442">
        <v>994.84</v>
      </c>
      <c r="U442" s="337"/>
      <c r="V442" s="337"/>
      <c r="W442" s="337"/>
      <c r="X442" s="359"/>
      <c r="Y442" s="337"/>
      <c r="Z442" s="337"/>
      <c r="AA442" s="339"/>
    </row>
    <row r="443" spans="1:35" ht="32.25" thickBot="1">
      <c r="A443" s="372"/>
      <c r="B443" s="281"/>
      <c r="C443" s="243" t="s">
        <v>221</v>
      </c>
      <c r="D443" s="337">
        <f t="shared" ref="D443:I443" si="200">IF(((D441="")*AND(D442="")),"",(D441-D442)*2)</f>
        <v>1997.7199999999998</v>
      </c>
      <c r="E443" s="337">
        <f t="shared" si="200"/>
        <v>2024.58</v>
      </c>
      <c r="F443" s="337">
        <f t="shared" si="200"/>
        <v>2040.4799999999998</v>
      </c>
      <c r="G443" s="337">
        <f t="shared" si="200"/>
        <v>2051.06</v>
      </c>
      <c r="H443" s="337">
        <f t="shared" si="200"/>
        <v>2071.54</v>
      </c>
      <c r="I443" s="337">
        <f t="shared" si="200"/>
        <v>2102.2600000000002</v>
      </c>
      <c r="J443" s="337">
        <f>IF(((J441="")*AND(J442="")),"",(J441-J442)*2)</f>
        <v>2136.58</v>
      </c>
      <c r="K443" s="337">
        <f>IF(((K441="")*AND(K442="")),"",(K441-K442)*2)</f>
        <v>2153.14</v>
      </c>
      <c r="L443" s="337">
        <f>IF(((L441="")*AND(L442="")),"",(L441-L442)*2)</f>
        <v>2149.1400000000003</v>
      </c>
      <c r="M443" s="337">
        <f>IF(((M441="")*AND(M442="")),"",(M441-M442)*2)</f>
        <v>2083.3200000000002</v>
      </c>
      <c r="N443" s="337">
        <f t="shared" ref="N443:T443" si="201">IF(((N441="")*AND(N442="")),"",(N441-N442)*2)</f>
        <v>2101.58</v>
      </c>
      <c r="O443" s="337">
        <f t="shared" si="201"/>
        <v>2094.8999999999996</v>
      </c>
      <c r="P443" s="337">
        <f t="shared" si="201"/>
        <v>2082.58</v>
      </c>
      <c r="Q443" s="337">
        <f t="shared" si="201"/>
        <v>2078.1800000000003</v>
      </c>
      <c r="R443" s="337">
        <f t="shared" si="201"/>
        <v>2089.08</v>
      </c>
      <c r="S443" s="337">
        <f t="shared" si="201"/>
        <v>2094.42</v>
      </c>
      <c r="T443" s="337">
        <f t="shared" si="201"/>
        <v>2080.7200000000003</v>
      </c>
      <c r="U443" s="337"/>
      <c r="V443" s="337"/>
      <c r="W443" s="337"/>
      <c r="X443" s="366"/>
      <c r="Y443" s="337"/>
      <c r="Z443" s="337"/>
      <c r="AA443" s="339"/>
    </row>
    <row r="444" spans="1:35">
      <c r="A444" s="248">
        <v>43795</v>
      </c>
      <c r="B444" s="268" t="s">
        <v>76</v>
      </c>
      <c r="C444" s="235" t="s">
        <v>77</v>
      </c>
      <c r="D444" s="409">
        <v>2022.84</v>
      </c>
      <c r="E444" s="409">
        <v>2014.73</v>
      </c>
      <c r="F444" s="409">
        <v>2023.01</v>
      </c>
      <c r="G444" s="409">
        <v>2022.84</v>
      </c>
      <c r="H444" s="409">
        <v>2014.73</v>
      </c>
      <c r="I444" s="409">
        <v>2023.01</v>
      </c>
      <c r="J444" s="409">
        <v>2022.84</v>
      </c>
      <c r="K444" s="409">
        <v>2014.73</v>
      </c>
      <c r="L444" s="409">
        <v>2023.01</v>
      </c>
      <c r="M444" s="409">
        <v>2022.84</v>
      </c>
      <c r="N444" s="409">
        <v>2014.73</v>
      </c>
      <c r="O444" s="409">
        <v>2023.01</v>
      </c>
      <c r="P444" s="409">
        <v>2022.84</v>
      </c>
      <c r="Q444" s="409">
        <v>2014.73</v>
      </c>
      <c r="R444" s="409">
        <v>2022.84</v>
      </c>
      <c r="S444" s="409">
        <v>2014.73</v>
      </c>
      <c r="T444" s="409">
        <v>2023.01</v>
      </c>
      <c r="U444" s="235">
        <f>IF((T445=""),"",MAX(D446:T446))</f>
        <v>2091.66</v>
      </c>
      <c r="V444" s="235">
        <f>IF(T445="","",MIN(D446:T446))</f>
        <v>2074.3199999999997</v>
      </c>
      <c r="W444" s="235">
        <f>IF((T446=""),"",AVERAGE(D446:T446))</f>
        <v>2083.3800000000006</v>
      </c>
      <c r="X444" s="359">
        <f>STDEV(D446:T446)</f>
        <v>7.3454373593409112</v>
      </c>
      <c r="Y444" s="235">
        <f>IF((T445=""),"",((U444-V444)/(U444+V444))*100)</f>
        <v>0.41622859447237254</v>
      </c>
      <c r="Z444" s="228" t="str">
        <f>IF(T445="","",IF(Y444&lt;15,IF(W444&gt;AF444,IF(W444&lt;AG444,"Pass","Fail"),"Fail"),"Fail"))</f>
        <v>Pass</v>
      </c>
      <c r="AA444" s="373">
        <v>1428</v>
      </c>
      <c r="AB444" s="381" t="s">
        <v>257</v>
      </c>
      <c r="AD444" s="302">
        <v>1600</v>
      </c>
      <c r="AE444" s="302">
        <v>2600</v>
      </c>
      <c r="AF444" s="334">
        <v>1690</v>
      </c>
      <c r="AG444" s="334">
        <v>2210</v>
      </c>
      <c r="AH444" s="335">
        <v>15</v>
      </c>
      <c r="AI444" s="335">
        <v>15</v>
      </c>
    </row>
    <row r="445" spans="1:35">
      <c r="A445" s="371"/>
      <c r="B445" s="276"/>
      <c r="C445" s="235" t="s">
        <v>78</v>
      </c>
      <c r="D445" s="409">
        <v>980.07</v>
      </c>
      <c r="E445" s="409">
        <v>977.57</v>
      </c>
      <c r="F445" s="409">
        <v>977.18</v>
      </c>
      <c r="G445" s="409">
        <v>980.07</v>
      </c>
      <c r="H445" s="409">
        <v>977.57</v>
      </c>
      <c r="I445" s="409">
        <v>977.18</v>
      </c>
      <c r="J445" s="409">
        <v>980.07</v>
      </c>
      <c r="K445" s="409">
        <v>977.57</v>
      </c>
      <c r="L445" s="409">
        <v>977.18</v>
      </c>
      <c r="M445" s="409">
        <v>980.07</v>
      </c>
      <c r="N445" s="409">
        <v>977.57</v>
      </c>
      <c r="O445" s="409">
        <v>977.18</v>
      </c>
      <c r="P445" s="409">
        <v>980.07</v>
      </c>
      <c r="Q445" s="409">
        <v>977.57</v>
      </c>
      <c r="R445" s="409">
        <v>980.07</v>
      </c>
      <c r="S445" s="409">
        <v>977.57</v>
      </c>
      <c r="T445" s="409">
        <v>977.18</v>
      </c>
      <c r="U445" s="337"/>
      <c r="V445" s="337"/>
      <c r="W445" s="337"/>
      <c r="X445" s="359"/>
      <c r="Y445" s="337"/>
      <c r="Z445" s="337"/>
      <c r="AA445" s="339"/>
    </row>
    <row r="446" spans="1:35" ht="32.25" thickBot="1">
      <c r="A446" s="372"/>
      <c r="B446" s="281"/>
      <c r="C446" s="243" t="s">
        <v>221</v>
      </c>
      <c r="D446" s="337">
        <f t="shared" ref="D446:I446" si="202">IF(((D444="")*AND(D445="")),"",(D444-D445)*2)</f>
        <v>2085.54</v>
      </c>
      <c r="E446" s="337">
        <f t="shared" si="202"/>
        <v>2074.3199999999997</v>
      </c>
      <c r="F446" s="337">
        <f t="shared" si="202"/>
        <v>2091.66</v>
      </c>
      <c r="G446" s="337">
        <f t="shared" si="202"/>
        <v>2085.54</v>
      </c>
      <c r="H446" s="337">
        <f t="shared" si="202"/>
        <v>2074.3199999999997</v>
      </c>
      <c r="I446" s="337">
        <f t="shared" si="202"/>
        <v>2091.66</v>
      </c>
      <c r="J446" s="337">
        <f>IF(((J444="")*AND(J445="")),"",(J444-J445)*2)</f>
        <v>2085.54</v>
      </c>
      <c r="K446" s="337">
        <f>IF(((K444="")*AND(K445="")),"",(K444-K445)*2)</f>
        <v>2074.3199999999997</v>
      </c>
      <c r="L446" s="337">
        <f>IF(((L444="")*AND(L445="")),"",(L444-L445)*2)</f>
        <v>2091.66</v>
      </c>
      <c r="M446" s="337">
        <f>IF(((M444="")*AND(M445="")),"",(M444-M445)*2)</f>
        <v>2085.54</v>
      </c>
      <c r="N446" s="337">
        <f t="shared" ref="N446:T446" si="203">IF(((N444="")*AND(N445="")),"",(N444-N445)*2)</f>
        <v>2074.3199999999997</v>
      </c>
      <c r="O446" s="337">
        <f t="shared" si="203"/>
        <v>2091.66</v>
      </c>
      <c r="P446" s="337">
        <f t="shared" si="203"/>
        <v>2085.54</v>
      </c>
      <c r="Q446" s="337">
        <f t="shared" si="203"/>
        <v>2074.3199999999997</v>
      </c>
      <c r="R446" s="337">
        <f t="shared" si="203"/>
        <v>2085.54</v>
      </c>
      <c r="S446" s="337">
        <f t="shared" si="203"/>
        <v>2074.3199999999997</v>
      </c>
      <c r="T446" s="337">
        <f t="shared" si="203"/>
        <v>2091.66</v>
      </c>
      <c r="U446" s="337"/>
      <c r="V446" s="337"/>
      <c r="W446" s="337"/>
      <c r="X446" s="366"/>
      <c r="Y446" s="337"/>
      <c r="Z446" s="337"/>
      <c r="AA446" s="339"/>
    </row>
    <row r="447" spans="1:35">
      <c r="A447" s="248">
        <v>43795</v>
      </c>
      <c r="B447" s="268" t="s">
        <v>76</v>
      </c>
      <c r="C447" s="235" t="s">
        <v>77</v>
      </c>
      <c r="D447">
        <v>2037.49</v>
      </c>
      <c r="E447">
        <v>2030.65</v>
      </c>
      <c r="F447">
        <v>2025.78</v>
      </c>
      <c r="G447">
        <v>2022.9</v>
      </c>
      <c r="H447">
        <v>2021.36</v>
      </c>
      <c r="I447">
        <v>2020.24</v>
      </c>
      <c r="J447">
        <v>2023.41</v>
      </c>
      <c r="K447">
        <v>2026.14</v>
      </c>
      <c r="L447">
        <v>2032.21</v>
      </c>
      <c r="M447">
        <v>2030.2</v>
      </c>
      <c r="N447">
        <v>2025.83</v>
      </c>
      <c r="O447">
        <v>2023.61</v>
      </c>
      <c r="P447">
        <v>2021.22</v>
      </c>
      <c r="Q447">
        <v>2021.34</v>
      </c>
      <c r="R447">
        <v>2024.49</v>
      </c>
      <c r="S447">
        <v>2028.01</v>
      </c>
      <c r="T447">
        <v>2031.55</v>
      </c>
      <c r="U447" s="235">
        <f>IF((T448=""),"",MAX(D449:T449))</f>
        <v>1983.5</v>
      </c>
      <c r="V447" s="235">
        <f>IF(T448="","",MIN(D449:T449))</f>
        <v>1926.5</v>
      </c>
      <c r="W447" s="235">
        <f>IF((T449=""),"",AVERAGE(D449:T449))</f>
        <v>1954.0588235294117</v>
      </c>
      <c r="X447" s="359">
        <f>STDEV(D449:T449)</f>
        <v>16.660573925570858</v>
      </c>
      <c r="Y447" s="235">
        <f>IF((T448=""),"",((U447-V447)/(U447+V447))*100)</f>
        <v>1.4578005115089514</v>
      </c>
      <c r="Z447" s="228" t="str">
        <f>IF(T448="","",IF(Y447&lt;15,IF(W447&gt;AF447,IF(W447&lt;AG447,"Pass","Fail"),"Fail"),"Fail"))</f>
        <v>Pass</v>
      </c>
      <c r="AA447" s="373">
        <v>1428</v>
      </c>
      <c r="AD447" s="302">
        <v>1600</v>
      </c>
      <c r="AE447" s="302">
        <v>2600</v>
      </c>
      <c r="AF447" s="334">
        <v>1690</v>
      </c>
      <c r="AG447" s="334">
        <v>2210</v>
      </c>
      <c r="AH447" s="335">
        <v>15</v>
      </c>
      <c r="AI447" s="335">
        <v>15</v>
      </c>
    </row>
    <row r="448" spans="1:35">
      <c r="A448" s="371"/>
      <c r="B448" s="276"/>
      <c r="C448" s="235" t="s">
        <v>78</v>
      </c>
      <c r="D448">
        <v>1074.24</v>
      </c>
      <c r="E448">
        <v>1059.97</v>
      </c>
      <c r="F448">
        <v>1056.81</v>
      </c>
      <c r="G448">
        <v>1054.1099999999999</v>
      </c>
      <c r="H448">
        <v>1049.8900000000001</v>
      </c>
      <c r="I448">
        <v>1040.99</v>
      </c>
      <c r="J448">
        <v>1035.28</v>
      </c>
      <c r="K448">
        <v>1034.3900000000001</v>
      </c>
      <c r="L448">
        <v>1050.17</v>
      </c>
      <c r="M448">
        <v>1046.8399999999999</v>
      </c>
      <c r="N448">
        <v>1036.73</v>
      </c>
      <c r="O448">
        <v>1039.48</v>
      </c>
      <c r="P448">
        <v>1044.8599999999999</v>
      </c>
      <c r="Q448">
        <v>1049.9100000000001</v>
      </c>
      <c r="R448">
        <v>1047.92</v>
      </c>
      <c r="S448">
        <v>1052.04</v>
      </c>
      <c r="T448">
        <v>1063.3</v>
      </c>
      <c r="U448" s="337"/>
      <c r="V448" s="337"/>
      <c r="W448" s="337"/>
      <c r="X448" s="359"/>
      <c r="Y448" s="337"/>
      <c r="Z448" s="337"/>
      <c r="AA448" s="339"/>
    </row>
    <row r="449" spans="1:35" ht="32.25" thickBot="1">
      <c r="A449" s="372"/>
      <c r="B449" s="281"/>
      <c r="C449" s="243" t="s">
        <v>221</v>
      </c>
      <c r="D449" s="337">
        <f t="shared" ref="D449:I449" si="204">IF(((D447="")*AND(D448="")),"",(D447-D448)*2)</f>
        <v>1926.5</v>
      </c>
      <c r="E449" s="337">
        <f t="shared" si="204"/>
        <v>1941.3600000000001</v>
      </c>
      <c r="F449" s="337">
        <f t="shared" si="204"/>
        <v>1937.94</v>
      </c>
      <c r="G449" s="337">
        <f t="shared" si="204"/>
        <v>1937.5800000000004</v>
      </c>
      <c r="H449" s="337">
        <f t="shared" si="204"/>
        <v>1942.9399999999996</v>
      </c>
      <c r="I449" s="337">
        <f t="shared" si="204"/>
        <v>1958.5</v>
      </c>
      <c r="J449" s="337">
        <f>IF(((J447="")*AND(J448="")),"",(J447-J448)*2)</f>
        <v>1976.2600000000002</v>
      </c>
      <c r="K449" s="337">
        <f>IF(((K447="")*AND(K448="")),"",(K447-K448)*2)</f>
        <v>1983.5</v>
      </c>
      <c r="L449" s="337">
        <f>IF(((L447="")*AND(L448="")),"",(L447-L448)*2)</f>
        <v>1964.08</v>
      </c>
      <c r="M449" s="337">
        <f>IF(((M447="")*AND(M448="")),"",(M447-M448)*2)</f>
        <v>1966.7200000000003</v>
      </c>
      <c r="N449" s="337">
        <f t="shared" ref="N449:T449" si="205">IF(((N447="")*AND(N448="")),"",(N447-N448)*2)</f>
        <v>1978.1999999999998</v>
      </c>
      <c r="O449" s="337">
        <f t="shared" si="205"/>
        <v>1968.2599999999998</v>
      </c>
      <c r="P449" s="337">
        <f t="shared" si="205"/>
        <v>1952.7200000000003</v>
      </c>
      <c r="Q449" s="337">
        <f t="shared" si="205"/>
        <v>1942.8599999999997</v>
      </c>
      <c r="R449" s="337">
        <f t="shared" si="205"/>
        <v>1953.1399999999999</v>
      </c>
      <c r="S449" s="337">
        <f t="shared" si="205"/>
        <v>1951.94</v>
      </c>
      <c r="T449" s="337">
        <f t="shared" si="205"/>
        <v>1936.5</v>
      </c>
      <c r="U449" s="337"/>
      <c r="V449" s="337"/>
      <c r="W449" s="337"/>
      <c r="X449" s="366"/>
      <c r="Y449" s="337"/>
      <c r="Z449" s="337"/>
      <c r="AA449" s="339"/>
    </row>
    <row r="450" spans="1:35">
      <c r="A450" s="248">
        <v>43798</v>
      </c>
      <c r="B450" s="268" t="s">
        <v>76</v>
      </c>
      <c r="C450" s="235" t="s">
        <v>77</v>
      </c>
      <c r="D450">
        <v>2043.76</v>
      </c>
      <c r="E450">
        <v>2012.06</v>
      </c>
      <c r="F450">
        <v>1990.42</v>
      </c>
      <c r="G450">
        <v>1976.83</v>
      </c>
      <c r="H450">
        <v>1973.82</v>
      </c>
      <c r="I450">
        <v>1981.28</v>
      </c>
      <c r="J450">
        <v>1997.07</v>
      </c>
      <c r="K450">
        <v>2020.2</v>
      </c>
      <c r="L450">
        <v>2049.13</v>
      </c>
      <c r="M450">
        <v>2022.21</v>
      </c>
      <c r="N450">
        <v>2006.94</v>
      </c>
      <c r="O450">
        <v>1989.77</v>
      </c>
      <c r="P450">
        <v>1978.86</v>
      </c>
      <c r="Q450">
        <v>1978.77</v>
      </c>
      <c r="R450">
        <v>1988.92</v>
      </c>
      <c r="S450">
        <v>2008.92</v>
      </c>
      <c r="T450">
        <v>2031.48</v>
      </c>
      <c r="U450" s="235">
        <f>IF((T451=""),"",MAX(D452:T452))</f>
        <v>2171.5200000000004</v>
      </c>
      <c r="V450" s="235">
        <f>IF(T451="","",MIN(D452:T452))</f>
        <v>2012.2399999999998</v>
      </c>
      <c r="W450" s="235">
        <f>IF((T452=""),"",AVERAGE(D452:T452))</f>
        <v>2098.5105882352946</v>
      </c>
      <c r="X450" s="359">
        <f>STDEV(D452:T452)</f>
        <v>42.10191332802659</v>
      </c>
      <c r="Y450" s="235">
        <f>IF((T451=""),"",((U450-V450)/(U450+V450))*100)</f>
        <v>3.8071017457980534</v>
      </c>
      <c r="Z450" s="228" t="str">
        <f>IF(T451="","",IF(Y450&lt;15,IF(W450&gt;AF450,IF(W450&lt;AG450,"Pass","Fail"),"Fail"),"Fail"))</f>
        <v>Pass</v>
      </c>
      <c r="AA450" s="373" t="s">
        <v>261</v>
      </c>
      <c r="AB450" s="381" t="s">
        <v>262</v>
      </c>
      <c r="AD450" s="302">
        <v>1600</v>
      </c>
      <c r="AE450" s="302">
        <v>2600</v>
      </c>
      <c r="AF450" s="334">
        <v>1690</v>
      </c>
      <c r="AG450" s="334">
        <v>2210</v>
      </c>
      <c r="AH450" s="335">
        <v>15</v>
      </c>
      <c r="AI450" s="335">
        <v>15</v>
      </c>
    </row>
    <row r="451" spans="1:35">
      <c r="A451" s="371"/>
      <c r="B451" s="276"/>
      <c r="C451" s="235" t="s">
        <v>78</v>
      </c>
      <c r="D451">
        <v>1037.6400000000001</v>
      </c>
      <c r="E451">
        <v>994.2</v>
      </c>
      <c r="F451">
        <v>965.19</v>
      </c>
      <c r="G451">
        <v>943.92</v>
      </c>
      <c r="H451">
        <v>929.14</v>
      </c>
      <c r="I451">
        <v>922.92</v>
      </c>
      <c r="J451">
        <v>923.64</v>
      </c>
      <c r="K451">
        <v>935.46</v>
      </c>
      <c r="L451">
        <v>963.37</v>
      </c>
      <c r="M451">
        <v>973.8</v>
      </c>
      <c r="N451">
        <v>951.43</v>
      </c>
      <c r="O451">
        <v>939.06</v>
      </c>
      <c r="P451">
        <v>931.38</v>
      </c>
      <c r="Q451">
        <v>931.86</v>
      </c>
      <c r="R451">
        <v>937.76</v>
      </c>
      <c r="S451">
        <v>951.75</v>
      </c>
      <c r="T451">
        <v>980.58</v>
      </c>
      <c r="U451" s="337"/>
      <c r="V451" s="337"/>
      <c r="W451" s="337"/>
      <c r="X451" s="359"/>
      <c r="Y451" s="337"/>
      <c r="Z451" s="337"/>
      <c r="AA451" s="339"/>
    </row>
    <row r="452" spans="1:35" ht="32.25" thickBot="1">
      <c r="A452" s="372"/>
      <c r="B452" s="281"/>
      <c r="C452" s="243" t="s">
        <v>221</v>
      </c>
      <c r="D452" s="337">
        <f t="shared" ref="D452:I452" si="206">IF(((D450="")*AND(D451="")),"",(D450-D451)*2)</f>
        <v>2012.2399999999998</v>
      </c>
      <c r="E452" s="337">
        <f t="shared" si="206"/>
        <v>2035.7199999999998</v>
      </c>
      <c r="F452" s="337">
        <f t="shared" si="206"/>
        <v>2050.46</v>
      </c>
      <c r="G452" s="337">
        <f t="shared" si="206"/>
        <v>2065.8199999999997</v>
      </c>
      <c r="H452" s="337">
        <f t="shared" si="206"/>
        <v>2089.3599999999997</v>
      </c>
      <c r="I452" s="337">
        <f t="shared" si="206"/>
        <v>2116.7200000000003</v>
      </c>
      <c r="J452" s="337">
        <f>IF(((J450="")*AND(J451="")),"",(J450-J451)*2)</f>
        <v>2146.8599999999997</v>
      </c>
      <c r="K452" s="337">
        <f>IF(((K450="")*AND(K451="")),"",(K450-K451)*2)</f>
        <v>2169.48</v>
      </c>
      <c r="L452" s="337">
        <f>IF(((L450="")*AND(L451="")),"",(L450-L451)*2)</f>
        <v>2171.5200000000004</v>
      </c>
      <c r="M452" s="337">
        <f>IF(((M450="")*AND(M451="")),"",(M450-M451)*2)</f>
        <v>2096.8200000000002</v>
      </c>
      <c r="N452" s="337">
        <f t="shared" ref="N452:T452" si="207">IF(((N450="")*AND(N451="")),"",(N450-N451)*2)</f>
        <v>2111.0200000000004</v>
      </c>
      <c r="O452" s="337">
        <f t="shared" si="207"/>
        <v>2101.42</v>
      </c>
      <c r="P452" s="337">
        <f t="shared" si="207"/>
        <v>2094.96</v>
      </c>
      <c r="Q452" s="337">
        <f t="shared" si="207"/>
        <v>2093.8199999999997</v>
      </c>
      <c r="R452" s="337">
        <f t="shared" si="207"/>
        <v>2102.3200000000002</v>
      </c>
      <c r="S452" s="337">
        <f t="shared" si="207"/>
        <v>2114.34</v>
      </c>
      <c r="T452" s="337">
        <f t="shared" si="207"/>
        <v>2101.8000000000002</v>
      </c>
      <c r="U452" s="337"/>
      <c r="V452" s="337"/>
      <c r="W452" s="337"/>
      <c r="X452" s="366"/>
      <c r="Y452" s="337"/>
      <c r="Z452" s="337"/>
      <c r="AA452" s="339"/>
    </row>
    <row r="453" spans="1:35">
      <c r="A453" s="248">
        <v>43801</v>
      </c>
      <c r="B453" s="268" t="s">
        <v>76</v>
      </c>
      <c r="C453" s="235" t="s">
        <v>77</v>
      </c>
      <c r="D453">
        <v>2022.53</v>
      </c>
      <c r="E453">
        <v>2012.39</v>
      </c>
      <c r="F453">
        <v>2007.42</v>
      </c>
      <c r="G453">
        <v>2004.16</v>
      </c>
      <c r="H453">
        <v>2001.9</v>
      </c>
      <c r="I453">
        <v>2002.44</v>
      </c>
      <c r="J453">
        <v>2004.2</v>
      </c>
      <c r="K453">
        <v>2008.63</v>
      </c>
      <c r="L453">
        <v>2015.22</v>
      </c>
      <c r="M453">
        <v>2013.49</v>
      </c>
      <c r="N453">
        <v>2006.93</v>
      </c>
      <c r="O453">
        <v>2004.11</v>
      </c>
      <c r="P453">
        <v>2002.94</v>
      </c>
      <c r="Q453">
        <v>2004.9</v>
      </c>
      <c r="R453">
        <v>2006.28</v>
      </c>
      <c r="S453">
        <v>2011.31</v>
      </c>
      <c r="T453">
        <v>2018.34</v>
      </c>
      <c r="U453" s="235">
        <f>IF((T454=""),"",MAX(D455:T455))</f>
        <v>2140.62</v>
      </c>
      <c r="V453" s="235">
        <f>IF(T454="","",MIN(D455:T455))</f>
        <v>2019.3999999999999</v>
      </c>
      <c r="W453" s="235">
        <f>IF((T455=""),"",AVERAGE(D455:T455))</f>
        <v>2086.2541176470586</v>
      </c>
      <c r="X453" s="359">
        <f>STDEV(D455:T455)</f>
        <v>32.622733457477231</v>
      </c>
      <c r="Y453" s="235">
        <f>IF((T454=""),"",((U453-V453)/(U453+V453))*100)</f>
        <v>2.9139282984216432</v>
      </c>
      <c r="Z453" s="228" t="str">
        <f>IF(T454="","",IF(Y453&lt;15,IF(W453&gt;AF453,IF(W453&lt;AG453,"Pass","Fail"),"Fail"),"Fail"))</f>
        <v>Pass</v>
      </c>
      <c r="AA453" s="373">
        <v>1335</v>
      </c>
      <c r="AB453" s="377" t="s">
        <v>263</v>
      </c>
      <c r="AD453" s="302">
        <v>1600</v>
      </c>
      <c r="AE453" s="302">
        <v>2600</v>
      </c>
      <c r="AF453" s="334">
        <v>1690</v>
      </c>
      <c r="AG453" s="334">
        <v>2210</v>
      </c>
      <c r="AH453" s="335">
        <v>15</v>
      </c>
      <c r="AI453" s="335">
        <v>15</v>
      </c>
    </row>
    <row r="454" spans="1:35">
      <c r="A454" s="371"/>
      <c r="B454" s="276"/>
      <c r="C454" s="235" t="s">
        <v>78</v>
      </c>
      <c r="D454">
        <v>1012.83</v>
      </c>
      <c r="E454">
        <v>992.26</v>
      </c>
      <c r="F454">
        <v>983.18</v>
      </c>
      <c r="G454">
        <v>974.76</v>
      </c>
      <c r="H454">
        <v>964.82</v>
      </c>
      <c r="I454">
        <v>954.45</v>
      </c>
      <c r="J454">
        <v>943.65</v>
      </c>
      <c r="K454">
        <v>938.32</v>
      </c>
      <c r="L454">
        <v>946.24</v>
      </c>
      <c r="M454">
        <v>960.65</v>
      </c>
      <c r="N454">
        <v>952.71</v>
      </c>
      <c r="O454">
        <v>954.87</v>
      </c>
      <c r="P454">
        <v>960.84</v>
      </c>
      <c r="Q454">
        <v>965.42</v>
      </c>
      <c r="R454">
        <v>964.56</v>
      </c>
      <c r="S454">
        <v>965.34</v>
      </c>
      <c r="T454">
        <v>979.13</v>
      </c>
      <c r="U454" s="337"/>
      <c r="V454" s="337"/>
      <c r="W454" s="337"/>
      <c r="X454" s="359"/>
      <c r="Y454" s="337"/>
      <c r="Z454" s="337"/>
      <c r="AA454" s="339"/>
    </row>
    <row r="455" spans="1:35" ht="32.25" thickBot="1">
      <c r="A455" s="372"/>
      <c r="B455" s="281"/>
      <c r="C455" s="243" t="s">
        <v>221</v>
      </c>
      <c r="D455" s="337">
        <f t="shared" ref="D455:I455" si="208">IF(((D453="")*AND(D454="")),"",(D453-D454)*2)</f>
        <v>2019.3999999999999</v>
      </c>
      <c r="E455" s="337">
        <f t="shared" si="208"/>
        <v>2040.2600000000002</v>
      </c>
      <c r="F455" s="337">
        <f t="shared" si="208"/>
        <v>2048.4800000000005</v>
      </c>
      <c r="G455" s="337">
        <f t="shared" si="208"/>
        <v>2058.8000000000002</v>
      </c>
      <c r="H455" s="337">
        <f t="shared" si="208"/>
        <v>2074.16</v>
      </c>
      <c r="I455" s="337">
        <f t="shared" si="208"/>
        <v>2095.98</v>
      </c>
      <c r="J455" s="337">
        <f>IF(((J453="")*AND(J454="")),"",(J453-J454)*2)</f>
        <v>2121.1000000000004</v>
      </c>
      <c r="K455" s="337">
        <f>IF(((K453="")*AND(K454="")),"",(K453-K454)*2)</f>
        <v>2140.62</v>
      </c>
      <c r="L455" s="337">
        <f>IF(((L453="")*AND(L454="")),"",(L453-L454)*2)</f>
        <v>2137.96</v>
      </c>
      <c r="M455" s="337">
        <f>IF(((M453="")*AND(M454="")),"",(M453-M454)*2)</f>
        <v>2105.6800000000003</v>
      </c>
      <c r="N455" s="337">
        <f t="shared" ref="N455:T455" si="209">IF(((N453="")*AND(N454="")),"",(N453-N454)*2)</f>
        <v>2108.44</v>
      </c>
      <c r="O455" s="337">
        <f t="shared" si="209"/>
        <v>2098.4799999999996</v>
      </c>
      <c r="P455" s="337">
        <f t="shared" si="209"/>
        <v>2084.1999999999998</v>
      </c>
      <c r="Q455" s="337">
        <f t="shared" si="209"/>
        <v>2078.96</v>
      </c>
      <c r="R455" s="337">
        <f t="shared" si="209"/>
        <v>2083.44</v>
      </c>
      <c r="S455" s="337">
        <f t="shared" si="209"/>
        <v>2091.9399999999996</v>
      </c>
      <c r="T455" s="337">
        <f t="shared" si="209"/>
        <v>2078.42</v>
      </c>
      <c r="U455" s="337"/>
      <c r="V455" s="337"/>
      <c r="W455" s="337"/>
      <c r="X455" s="366"/>
      <c r="Y455" s="337"/>
      <c r="Z455" s="337"/>
      <c r="AA455" s="339"/>
    </row>
    <row r="456" spans="1:35">
      <c r="A456" s="248"/>
      <c r="B456" s="268" t="s">
        <v>76</v>
      </c>
      <c r="C456" s="235" t="s">
        <v>77</v>
      </c>
      <c r="U456" s="235" t="str">
        <f>IF((T457=""),"",MAX(D458:T458))</f>
        <v/>
      </c>
      <c r="V456" s="235" t="str">
        <f>IF(T457="","",MIN(D458:T458))</f>
        <v/>
      </c>
      <c r="W456" s="235" t="str">
        <f>IF((T458=""),"",AVERAGE(D458:T458))</f>
        <v/>
      </c>
      <c r="X456" s="359" t="e">
        <f>STDEV(D458:T458)</f>
        <v>#DIV/0!</v>
      </c>
      <c r="Y456" s="235" t="str">
        <f>IF((T457=""),"",((U456-V456)/(U456+V456))*100)</f>
        <v/>
      </c>
      <c r="Z456" s="228" t="str">
        <f>IF(T457="","",IF(Y456&lt;15,IF(W456&gt;AF456,IF(W456&lt;AG456,"Pass","Fail"),"Fail"),"Fail"))</f>
        <v/>
      </c>
      <c r="AA456" s="373"/>
      <c r="AD456" s="302">
        <v>1600</v>
      </c>
      <c r="AE456" s="302">
        <v>2600</v>
      </c>
      <c r="AF456" s="334">
        <v>1690</v>
      </c>
      <c r="AG456" s="334">
        <v>2210</v>
      </c>
      <c r="AH456" s="335">
        <v>15</v>
      </c>
      <c r="AI456" s="335">
        <v>15</v>
      </c>
    </row>
    <row r="457" spans="1:35">
      <c r="A457" s="371"/>
      <c r="B457" s="276"/>
      <c r="C457" s="235" t="s">
        <v>78</v>
      </c>
      <c r="U457" s="337"/>
      <c r="V457" s="337"/>
      <c r="W457" s="337"/>
      <c r="X457" s="359"/>
      <c r="Y457" s="337"/>
      <c r="Z457" s="337"/>
      <c r="AA457" s="339"/>
    </row>
    <row r="458" spans="1:35" ht="32.25" thickBot="1">
      <c r="A458" s="372"/>
      <c r="B458" s="281"/>
      <c r="C458" s="243" t="s">
        <v>221</v>
      </c>
      <c r="D458" s="337" t="str">
        <f t="shared" ref="D458:I458" si="210">IF(((D456="")*AND(D457="")),"",(D456-D457)*2)</f>
        <v/>
      </c>
      <c r="E458" s="337" t="str">
        <f t="shared" si="210"/>
        <v/>
      </c>
      <c r="F458" s="337" t="str">
        <f t="shared" si="210"/>
        <v/>
      </c>
      <c r="G458" s="337" t="str">
        <f t="shared" si="210"/>
        <v/>
      </c>
      <c r="H458" s="337" t="str">
        <f t="shared" si="210"/>
        <v/>
      </c>
      <c r="I458" s="337" t="str">
        <f t="shared" si="210"/>
        <v/>
      </c>
      <c r="J458" s="337" t="str">
        <f>IF(((J456="")*AND(J457="")),"",(J456-J457)*2)</f>
        <v/>
      </c>
      <c r="K458" s="337" t="str">
        <f>IF(((K456="")*AND(K457="")),"",(K456-K457)*2)</f>
        <v/>
      </c>
      <c r="L458" s="337" t="str">
        <f>IF(((L456="")*AND(L457="")),"",(L456-L457)*2)</f>
        <v/>
      </c>
      <c r="M458" s="337" t="str">
        <f>IF(((M456="")*AND(M457="")),"",(M456-M457)*2)</f>
        <v/>
      </c>
      <c r="N458" s="337" t="str">
        <f t="shared" ref="N458:T458" si="211">IF(((N456="")*AND(N457="")),"",(N456-N457)*2)</f>
        <v/>
      </c>
      <c r="O458" s="337" t="str">
        <f t="shared" si="211"/>
        <v/>
      </c>
      <c r="P458" s="337" t="str">
        <f t="shared" si="211"/>
        <v/>
      </c>
      <c r="Q458" s="337" t="str">
        <f t="shared" si="211"/>
        <v/>
      </c>
      <c r="R458" s="337" t="str">
        <f t="shared" si="211"/>
        <v/>
      </c>
      <c r="S458" s="337" t="str">
        <f t="shared" si="211"/>
        <v/>
      </c>
      <c r="T458" s="337" t="str">
        <f t="shared" si="211"/>
        <v/>
      </c>
      <c r="U458" s="337"/>
      <c r="V458" s="337"/>
      <c r="W458" s="337"/>
      <c r="X458" s="366"/>
      <c r="Y458" s="337"/>
      <c r="Z458" s="337"/>
      <c r="AA458" s="339"/>
    </row>
    <row r="459" spans="1:35">
      <c r="A459" s="248"/>
      <c r="B459" s="268" t="s">
        <v>76</v>
      </c>
      <c r="C459" s="235" t="s">
        <v>77</v>
      </c>
      <c r="U459" s="235" t="str">
        <f>IF((T460=""),"",MAX(D461:T461))</f>
        <v/>
      </c>
      <c r="V459" s="235" t="str">
        <f>IF(T460="","",MIN(D461:T461))</f>
        <v/>
      </c>
      <c r="W459" s="235" t="str">
        <f>IF((T461=""),"",AVERAGE(D461:T461))</f>
        <v/>
      </c>
      <c r="X459" s="359" t="e">
        <f>STDEV(D461:T461)</f>
        <v>#DIV/0!</v>
      </c>
      <c r="Y459" s="235" t="str">
        <f>IF((T460=""),"",((U459-V459)/(U459+V459))*100)</f>
        <v/>
      </c>
      <c r="Z459" s="228" t="str">
        <f>IF(T460="","",IF(Y459&lt;15,IF(W459&gt;AF459,IF(W459&lt;AG459,"Pass","Fail"),"Fail"),"Fail"))</f>
        <v/>
      </c>
      <c r="AA459" s="373"/>
      <c r="AD459" s="302">
        <v>1600</v>
      </c>
      <c r="AE459" s="302">
        <v>2600</v>
      </c>
      <c r="AF459" s="334">
        <v>1690</v>
      </c>
      <c r="AG459" s="334">
        <v>2210</v>
      </c>
      <c r="AH459" s="335">
        <v>15</v>
      </c>
      <c r="AI459" s="335">
        <v>15</v>
      </c>
    </row>
    <row r="460" spans="1:35">
      <c r="A460" s="371"/>
      <c r="B460" s="276"/>
      <c r="C460" s="235" t="s">
        <v>78</v>
      </c>
      <c r="U460" s="337"/>
      <c r="V460" s="337"/>
      <c r="W460" s="337"/>
      <c r="X460" s="359"/>
      <c r="Y460" s="337"/>
      <c r="Z460" s="337"/>
      <c r="AA460" s="339"/>
    </row>
    <row r="461" spans="1:35" ht="32.25" thickBot="1">
      <c r="A461" s="372"/>
      <c r="B461" s="281"/>
      <c r="C461" s="243" t="s">
        <v>221</v>
      </c>
      <c r="D461" s="337" t="str">
        <f t="shared" ref="D461:I461" si="212">IF(((D459="")*AND(D460="")),"",(D459-D460)*2)</f>
        <v/>
      </c>
      <c r="E461" s="337" t="str">
        <f t="shared" si="212"/>
        <v/>
      </c>
      <c r="F461" s="337" t="str">
        <f t="shared" si="212"/>
        <v/>
      </c>
      <c r="G461" s="337" t="str">
        <f t="shared" si="212"/>
        <v/>
      </c>
      <c r="H461" s="337" t="str">
        <f t="shared" si="212"/>
        <v/>
      </c>
      <c r="I461" s="337" t="str">
        <f t="shared" si="212"/>
        <v/>
      </c>
      <c r="J461" s="337" t="str">
        <f>IF(((J459="")*AND(J460="")),"",(J459-J460)*2)</f>
        <v/>
      </c>
      <c r="K461" s="337" t="str">
        <f>IF(((K459="")*AND(K460="")),"",(K459-K460)*2)</f>
        <v/>
      </c>
      <c r="L461" s="337" t="str">
        <f>IF(((L459="")*AND(L460="")),"",(L459-L460)*2)</f>
        <v/>
      </c>
      <c r="M461" s="337" t="str">
        <f>IF(((M459="")*AND(M460="")),"",(M459-M460)*2)</f>
        <v/>
      </c>
      <c r="N461" s="337" t="str">
        <f t="shared" ref="N461:T461" si="213">IF(((N459="")*AND(N460="")),"",(N459-N460)*2)</f>
        <v/>
      </c>
      <c r="O461" s="337" t="str">
        <f t="shared" si="213"/>
        <v/>
      </c>
      <c r="P461" s="337" t="str">
        <f t="shared" si="213"/>
        <v/>
      </c>
      <c r="Q461" s="337" t="str">
        <f t="shared" si="213"/>
        <v/>
      </c>
      <c r="R461" s="337" t="str">
        <f t="shared" si="213"/>
        <v/>
      </c>
      <c r="S461" s="337" t="str">
        <f t="shared" si="213"/>
        <v/>
      </c>
      <c r="T461" s="337" t="str">
        <f t="shared" si="213"/>
        <v/>
      </c>
      <c r="U461" s="337"/>
      <c r="V461" s="337"/>
      <c r="W461" s="337"/>
      <c r="X461" s="366"/>
      <c r="Y461" s="337"/>
      <c r="Z461" s="337"/>
      <c r="AA461" s="339"/>
    </row>
    <row r="462" spans="1:35">
      <c r="A462" s="248"/>
      <c r="B462" s="268" t="s">
        <v>76</v>
      </c>
      <c r="C462" s="235" t="s">
        <v>77</v>
      </c>
      <c r="U462" s="235" t="str">
        <f>IF((T463=""),"",MAX(D464:T464))</f>
        <v/>
      </c>
      <c r="V462" s="235" t="str">
        <f>IF(T463="","",MIN(D464:T464))</f>
        <v/>
      </c>
      <c r="W462" s="235" t="str">
        <f>IF((T464=""),"",AVERAGE(D464:T464))</f>
        <v/>
      </c>
      <c r="X462" s="359" t="e">
        <f>STDEV(D464:T464)</f>
        <v>#DIV/0!</v>
      </c>
      <c r="Y462" s="235" t="str">
        <f>IF((T463=""),"",((U462-V462)/(U462+V462))*100)</f>
        <v/>
      </c>
      <c r="Z462" s="228" t="str">
        <f>IF(T463="","",IF(Y462&lt;15,IF(W462&gt;AF462,IF(W462&lt;AG462,"Pass","Fail"),"Fail"),"Fail"))</f>
        <v/>
      </c>
      <c r="AA462" s="373"/>
      <c r="AD462" s="302">
        <v>1600</v>
      </c>
      <c r="AE462" s="302">
        <v>2600</v>
      </c>
      <c r="AF462" s="334">
        <v>1690</v>
      </c>
      <c r="AG462" s="334">
        <v>2210</v>
      </c>
      <c r="AH462" s="335">
        <v>15</v>
      </c>
      <c r="AI462" s="335">
        <v>15</v>
      </c>
    </row>
    <row r="463" spans="1:35">
      <c r="A463" s="371"/>
      <c r="B463" s="276"/>
      <c r="C463" s="235" t="s">
        <v>78</v>
      </c>
      <c r="U463" s="337"/>
      <c r="V463" s="337"/>
      <c r="W463" s="337"/>
      <c r="X463" s="359"/>
      <c r="Y463" s="337"/>
      <c r="Z463" s="337"/>
      <c r="AA463" s="339"/>
    </row>
    <row r="464" spans="1:35" ht="32.25" thickBot="1">
      <c r="A464" s="372"/>
      <c r="B464" s="281"/>
      <c r="C464" s="243" t="s">
        <v>221</v>
      </c>
      <c r="D464" s="337" t="str">
        <f t="shared" ref="D464:I464" si="214">IF(((D462="")*AND(D463="")),"",(D462-D463)*2)</f>
        <v/>
      </c>
      <c r="E464" s="337" t="str">
        <f t="shared" si="214"/>
        <v/>
      </c>
      <c r="F464" s="337" t="str">
        <f t="shared" si="214"/>
        <v/>
      </c>
      <c r="G464" s="337" t="str">
        <f t="shared" si="214"/>
        <v/>
      </c>
      <c r="H464" s="337" t="str">
        <f t="shared" si="214"/>
        <v/>
      </c>
      <c r="I464" s="337" t="str">
        <f t="shared" si="214"/>
        <v/>
      </c>
      <c r="J464" s="337" t="str">
        <f>IF(((J462="")*AND(J463="")),"",(J462-J463)*2)</f>
        <v/>
      </c>
      <c r="K464" s="337" t="str">
        <f>IF(((K462="")*AND(K463="")),"",(K462-K463)*2)</f>
        <v/>
      </c>
      <c r="L464" s="337" t="str">
        <f>IF(((L462="")*AND(L463="")),"",(L462-L463)*2)</f>
        <v/>
      </c>
      <c r="M464" s="337" t="str">
        <f>IF(((M462="")*AND(M463="")),"",(M462-M463)*2)</f>
        <v/>
      </c>
      <c r="N464" s="337" t="str">
        <f t="shared" ref="N464:T464" si="215">IF(((N462="")*AND(N463="")),"",(N462-N463)*2)</f>
        <v/>
      </c>
      <c r="O464" s="337" t="str">
        <f t="shared" si="215"/>
        <v/>
      </c>
      <c r="P464" s="337" t="str">
        <f t="shared" si="215"/>
        <v/>
      </c>
      <c r="Q464" s="337" t="str">
        <f t="shared" si="215"/>
        <v/>
      </c>
      <c r="R464" s="337" t="str">
        <f t="shared" si="215"/>
        <v/>
      </c>
      <c r="S464" s="337" t="str">
        <f t="shared" si="215"/>
        <v/>
      </c>
      <c r="T464" s="337" t="str">
        <f t="shared" si="215"/>
        <v/>
      </c>
      <c r="U464" s="337"/>
      <c r="V464" s="337"/>
      <c r="W464" s="337"/>
      <c r="X464" s="366"/>
      <c r="Y464" s="337"/>
      <c r="Z464" s="337"/>
      <c r="AA464" s="339"/>
    </row>
    <row r="465" spans="1:35">
      <c r="A465" s="248"/>
      <c r="B465" s="268" t="s">
        <v>76</v>
      </c>
      <c r="C465" s="235" t="s">
        <v>77</v>
      </c>
      <c r="U465" s="235" t="str">
        <f>IF((T466=""),"",MAX(D467:T467))</f>
        <v/>
      </c>
      <c r="V465" s="235" t="str">
        <f>IF(T466="","",MIN(D467:T467))</f>
        <v/>
      </c>
      <c r="W465" s="235" t="str">
        <f>IF((T467=""),"",AVERAGE(D467:T467))</f>
        <v/>
      </c>
      <c r="X465" s="359" t="e">
        <f>STDEV(D467:T467)</f>
        <v>#DIV/0!</v>
      </c>
      <c r="Y465" s="235" t="str">
        <f>IF((T466=""),"",((U465-V465)/(U465+V465))*100)</f>
        <v/>
      </c>
      <c r="Z465" s="228" t="str">
        <f>IF(T466="","",IF(Y465&lt;15,IF(W465&gt;AF465,IF(W465&lt;AG465,"Pass","Fail"),"Fail"),"Fail"))</f>
        <v/>
      </c>
      <c r="AA465" s="373"/>
      <c r="AD465" s="302">
        <v>1600</v>
      </c>
      <c r="AE465" s="302">
        <v>2600</v>
      </c>
      <c r="AF465" s="334">
        <v>1690</v>
      </c>
      <c r="AG465" s="334">
        <v>2210</v>
      </c>
      <c r="AH465" s="335">
        <v>15</v>
      </c>
      <c r="AI465" s="335">
        <v>15</v>
      </c>
    </row>
    <row r="466" spans="1:35">
      <c r="A466" s="371"/>
      <c r="B466" s="276"/>
      <c r="C466" s="235" t="s">
        <v>78</v>
      </c>
      <c r="U466" s="337"/>
      <c r="V466" s="337"/>
      <c r="W466" s="337"/>
      <c r="X466" s="359"/>
      <c r="Y466" s="337"/>
      <c r="Z466" s="337"/>
      <c r="AA466" s="339"/>
    </row>
    <row r="467" spans="1:35" ht="32.25" thickBot="1">
      <c r="A467" s="372"/>
      <c r="B467" s="281"/>
      <c r="C467" s="243" t="s">
        <v>221</v>
      </c>
      <c r="D467" s="337" t="str">
        <f t="shared" ref="D467:I467" si="216">IF(((D465="")*AND(D466="")),"",(D465-D466)*2)</f>
        <v/>
      </c>
      <c r="E467" s="337" t="str">
        <f t="shared" si="216"/>
        <v/>
      </c>
      <c r="F467" s="337" t="str">
        <f t="shared" si="216"/>
        <v/>
      </c>
      <c r="G467" s="337" t="str">
        <f t="shared" si="216"/>
        <v/>
      </c>
      <c r="H467" s="337" t="str">
        <f t="shared" si="216"/>
        <v/>
      </c>
      <c r="I467" s="337" t="str">
        <f t="shared" si="216"/>
        <v/>
      </c>
      <c r="J467" s="337" t="str">
        <f>IF(((J465="")*AND(J466="")),"",(J465-J466)*2)</f>
        <v/>
      </c>
      <c r="K467" s="337" t="str">
        <f>IF(((K465="")*AND(K466="")),"",(K465-K466)*2)</f>
        <v/>
      </c>
      <c r="L467" s="337" t="str">
        <f>IF(((L465="")*AND(L466="")),"",(L465-L466)*2)</f>
        <v/>
      </c>
      <c r="M467" s="337" t="str">
        <f>IF(((M465="")*AND(M466="")),"",(M465-M466)*2)</f>
        <v/>
      </c>
      <c r="N467" s="337" t="str">
        <f t="shared" ref="N467:T467" si="217">IF(((N465="")*AND(N466="")),"",(N465-N466)*2)</f>
        <v/>
      </c>
      <c r="O467" s="337" t="str">
        <f t="shared" si="217"/>
        <v/>
      </c>
      <c r="P467" s="337" t="str">
        <f t="shared" si="217"/>
        <v/>
      </c>
      <c r="Q467" s="337" t="str">
        <f t="shared" si="217"/>
        <v/>
      </c>
      <c r="R467" s="337" t="str">
        <f t="shared" si="217"/>
        <v/>
      </c>
      <c r="S467" s="337" t="str">
        <f t="shared" si="217"/>
        <v/>
      </c>
      <c r="T467" s="337" t="str">
        <f t="shared" si="217"/>
        <v/>
      </c>
      <c r="U467" s="337"/>
      <c r="V467" s="337"/>
      <c r="W467" s="337"/>
      <c r="X467" s="366"/>
      <c r="Y467" s="337"/>
      <c r="Z467" s="337"/>
      <c r="AA467" s="339"/>
    </row>
    <row r="468" spans="1:35">
      <c r="A468" s="248"/>
      <c r="B468" s="268" t="s">
        <v>76</v>
      </c>
      <c r="C468" s="235" t="s">
        <v>77</v>
      </c>
      <c r="U468" s="235" t="str">
        <f>IF((T469=""),"",MAX(D470:T470))</f>
        <v/>
      </c>
      <c r="V468" s="235" t="str">
        <f>IF(T469="","",MIN(D470:T470))</f>
        <v/>
      </c>
      <c r="W468" s="235" t="str">
        <f>IF((T470=""),"",AVERAGE(D470:T470))</f>
        <v/>
      </c>
      <c r="X468" s="359" t="e">
        <f>STDEV(D470:T470)</f>
        <v>#DIV/0!</v>
      </c>
      <c r="Y468" s="235" t="str">
        <f>IF((T469=""),"",((U468-V468)/(U468+V468))*100)</f>
        <v/>
      </c>
      <c r="Z468" s="228" t="str">
        <f>IF(T469="","",IF(Y468&lt;15,IF(W468&gt;AF468,IF(W468&lt;AG468,"Pass","Fail"),"Fail"),"Fail"))</f>
        <v/>
      </c>
      <c r="AA468" s="373"/>
      <c r="AD468" s="302">
        <v>1600</v>
      </c>
      <c r="AE468" s="302">
        <v>2600</v>
      </c>
      <c r="AF468" s="334">
        <v>1690</v>
      </c>
      <c r="AG468" s="334">
        <v>2210</v>
      </c>
      <c r="AH468" s="335">
        <v>15</v>
      </c>
      <c r="AI468" s="335">
        <v>15</v>
      </c>
    </row>
    <row r="469" spans="1:35">
      <c r="A469" s="371"/>
      <c r="B469" s="276"/>
      <c r="C469" s="235" t="s">
        <v>78</v>
      </c>
      <c r="U469" s="337"/>
      <c r="V469" s="337"/>
      <c r="W469" s="337"/>
      <c r="X469" s="359"/>
      <c r="Y469" s="337"/>
      <c r="Z469" s="337"/>
      <c r="AA469" s="339"/>
    </row>
    <row r="470" spans="1:35" ht="32.25" thickBot="1">
      <c r="A470" s="372"/>
      <c r="B470" s="281"/>
      <c r="C470" s="243" t="s">
        <v>221</v>
      </c>
      <c r="D470" s="337" t="str">
        <f t="shared" ref="D470:I470" si="218">IF(((D468="")*AND(D469="")),"",(D468-D469)*2)</f>
        <v/>
      </c>
      <c r="E470" s="337" t="str">
        <f t="shared" si="218"/>
        <v/>
      </c>
      <c r="F470" s="337" t="str">
        <f t="shared" si="218"/>
        <v/>
      </c>
      <c r="G470" s="337" t="str">
        <f t="shared" si="218"/>
        <v/>
      </c>
      <c r="H470" s="337" t="str">
        <f t="shared" si="218"/>
        <v/>
      </c>
      <c r="I470" s="337" t="str">
        <f t="shared" si="218"/>
        <v/>
      </c>
      <c r="J470" s="337" t="str">
        <f>IF(((J468="")*AND(J469="")),"",(J468-J469)*2)</f>
        <v/>
      </c>
      <c r="K470" s="337" t="str">
        <f>IF(((K468="")*AND(K469="")),"",(K468-K469)*2)</f>
        <v/>
      </c>
      <c r="L470" s="337" t="str">
        <f>IF(((L468="")*AND(L469="")),"",(L468-L469)*2)</f>
        <v/>
      </c>
      <c r="M470" s="337" t="str">
        <f>IF(((M468="")*AND(M469="")),"",(M468-M469)*2)</f>
        <v/>
      </c>
      <c r="N470" s="337" t="str">
        <f t="shared" ref="N470:T470" si="219">IF(((N468="")*AND(N469="")),"",(N468-N469)*2)</f>
        <v/>
      </c>
      <c r="O470" s="337" t="str">
        <f t="shared" si="219"/>
        <v/>
      </c>
      <c r="P470" s="337" t="str">
        <f t="shared" si="219"/>
        <v/>
      </c>
      <c r="Q470" s="337" t="str">
        <f t="shared" si="219"/>
        <v/>
      </c>
      <c r="R470" s="337" t="str">
        <f t="shared" si="219"/>
        <v/>
      </c>
      <c r="S470" s="337" t="str">
        <f t="shared" si="219"/>
        <v/>
      </c>
      <c r="T470" s="337" t="str">
        <f t="shared" si="219"/>
        <v/>
      </c>
      <c r="U470" s="337"/>
      <c r="V470" s="337"/>
      <c r="W470" s="337"/>
      <c r="X470" s="366"/>
      <c r="Y470" s="337"/>
      <c r="Z470" s="337"/>
      <c r="AA470" s="339"/>
    </row>
    <row r="471" spans="1:35">
      <c r="A471" s="248"/>
      <c r="B471" s="268" t="s">
        <v>76</v>
      </c>
      <c r="C471" s="235" t="s">
        <v>77</v>
      </c>
      <c r="U471" s="235" t="str">
        <f>IF((T472=""),"",MAX(D473:T473))</f>
        <v/>
      </c>
      <c r="V471" s="235" t="str">
        <f>IF(T472="","",MIN(D473:T473))</f>
        <v/>
      </c>
      <c r="W471" s="235" t="str">
        <f>IF((T473=""),"",AVERAGE(D473:T473))</f>
        <v/>
      </c>
      <c r="X471" s="359" t="e">
        <f>STDEV(D473:T473)</f>
        <v>#DIV/0!</v>
      </c>
      <c r="Y471" s="235" t="str">
        <f>IF((T472=""),"",((U471-V471)/(U471+V471))*100)</f>
        <v/>
      </c>
      <c r="Z471" s="228" t="str">
        <f>IF(T472="","",IF(Y471&lt;15,IF(W471&gt;AF471,IF(W471&lt;AG471,"Pass","Fail"),"Fail"),"Fail"))</f>
        <v/>
      </c>
      <c r="AA471" s="373"/>
      <c r="AD471" s="302">
        <v>1600</v>
      </c>
      <c r="AE471" s="302">
        <v>2600</v>
      </c>
      <c r="AF471" s="334">
        <v>1690</v>
      </c>
      <c r="AG471" s="334">
        <v>2210</v>
      </c>
      <c r="AH471" s="335">
        <v>15</v>
      </c>
      <c r="AI471" s="335">
        <v>15</v>
      </c>
    </row>
    <row r="472" spans="1:35">
      <c r="A472" s="371"/>
      <c r="B472" s="276"/>
      <c r="C472" s="235" t="s">
        <v>78</v>
      </c>
      <c r="U472" s="337"/>
      <c r="V472" s="337"/>
      <c r="W472" s="337"/>
      <c r="X472" s="359"/>
      <c r="Y472" s="337"/>
      <c r="Z472" s="337"/>
      <c r="AA472" s="339"/>
    </row>
    <row r="473" spans="1:35" ht="32.25" thickBot="1">
      <c r="A473" s="372"/>
      <c r="B473" s="281"/>
      <c r="C473" s="243" t="s">
        <v>221</v>
      </c>
      <c r="D473" s="337" t="str">
        <f t="shared" ref="D473:I473" si="220">IF(((D471="")*AND(D472="")),"",(D471-D472)*2)</f>
        <v/>
      </c>
      <c r="E473" s="337" t="str">
        <f t="shared" si="220"/>
        <v/>
      </c>
      <c r="F473" s="337" t="str">
        <f t="shared" si="220"/>
        <v/>
      </c>
      <c r="G473" s="337" t="str">
        <f t="shared" si="220"/>
        <v/>
      </c>
      <c r="H473" s="337" t="str">
        <f t="shared" si="220"/>
        <v/>
      </c>
      <c r="I473" s="337" t="str">
        <f t="shared" si="220"/>
        <v/>
      </c>
      <c r="J473" s="337" t="str">
        <f>IF(((J471="")*AND(J472="")),"",(J471-J472)*2)</f>
        <v/>
      </c>
      <c r="K473" s="337" t="str">
        <f>IF(((K471="")*AND(K472="")),"",(K471-K472)*2)</f>
        <v/>
      </c>
      <c r="L473" s="337" t="str">
        <f>IF(((L471="")*AND(L472="")),"",(L471-L472)*2)</f>
        <v/>
      </c>
      <c r="M473" s="337" t="str">
        <f>IF(((M471="")*AND(M472="")),"",(M471-M472)*2)</f>
        <v/>
      </c>
      <c r="N473" s="337" t="str">
        <f t="shared" ref="N473:T473" si="221">IF(((N471="")*AND(N472="")),"",(N471-N472)*2)</f>
        <v/>
      </c>
      <c r="O473" s="337" t="str">
        <f t="shared" si="221"/>
        <v/>
      </c>
      <c r="P473" s="337" t="str">
        <f t="shared" si="221"/>
        <v/>
      </c>
      <c r="Q473" s="337" t="str">
        <f t="shared" si="221"/>
        <v/>
      </c>
      <c r="R473" s="337" t="str">
        <f t="shared" si="221"/>
        <v/>
      </c>
      <c r="S473" s="337" t="str">
        <f t="shared" si="221"/>
        <v/>
      </c>
      <c r="T473" s="337" t="str">
        <f t="shared" si="221"/>
        <v/>
      </c>
      <c r="U473" s="337"/>
      <c r="V473" s="337"/>
      <c r="W473" s="337"/>
      <c r="X473" s="366"/>
      <c r="Y473" s="337"/>
      <c r="Z473" s="337"/>
      <c r="AA473" s="339"/>
    </row>
    <row r="474" spans="1:35">
      <c r="A474" s="248"/>
      <c r="B474" s="268" t="s">
        <v>76</v>
      </c>
      <c r="C474" s="235" t="s">
        <v>77</v>
      </c>
      <c r="U474" s="235" t="str">
        <f>IF((T475=""),"",MAX(D476:T476))</f>
        <v/>
      </c>
      <c r="V474" s="235" t="str">
        <f>IF(T475="","",MIN(D476:T476))</f>
        <v/>
      </c>
      <c r="W474" s="235" t="str">
        <f>IF((T476=""),"",AVERAGE(D476:T476))</f>
        <v/>
      </c>
      <c r="X474" s="359" t="e">
        <f>STDEV(D476:T476)</f>
        <v>#DIV/0!</v>
      </c>
      <c r="Y474" s="235" t="str">
        <f>IF((T475=""),"",((U474-V474)/(U474+V474))*100)</f>
        <v/>
      </c>
      <c r="Z474" s="228" t="str">
        <f>IF(T475="","",IF(Y474&lt;15,IF(W474&gt;AF474,IF(W474&lt;AG474,"Pass","Fail"),"Fail"),"Fail"))</f>
        <v/>
      </c>
      <c r="AA474" s="373"/>
      <c r="AD474" s="302">
        <v>1600</v>
      </c>
      <c r="AE474" s="302">
        <v>2600</v>
      </c>
      <c r="AF474" s="334">
        <v>1690</v>
      </c>
      <c r="AG474" s="334">
        <v>2210</v>
      </c>
      <c r="AH474" s="335">
        <v>15</v>
      </c>
      <c r="AI474" s="335">
        <v>15</v>
      </c>
    </row>
    <row r="475" spans="1:35">
      <c r="A475" s="371"/>
      <c r="B475" s="276"/>
      <c r="C475" s="235" t="s">
        <v>78</v>
      </c>
      <c r="U475" s="337"/>
      <c r="V475" s="337"/>
      <c r="W475" s="337"/>
      <c r="X475" s="359"/>
      <c r="Y475" s="337"/>
      <c r="Z475" s="337"/>
      <c r="AA475" s="339"/>
    </row>
    <row r="476" spans="1:35" ht="32.25" thickBot="1">
      <c r="A476" s="372"/>
      <c r="B476" s="281"/>
      <c r="C476" s="243" t="s">
        <v>221</v>
      </c>
      <c r="D476" s="337" t="str">
        <f t="shared" ref="D476:I476" si="222">IF(((D474="")*AND(D475="")),"",(D474-D475)*2)</f>
        <v/>
      </c>
      <c r="E476" s="337" t="str">
        <f t="shared" si="222"/>
        <v/>
      </c>
      <c r="F476" s="337" t="str">
        <f t="shared" si="222"/>
        <v/>
      </c>
      <c r="G476" s="337" t="str">
        <f t="shared" si="222"/>
        <v/>
      </c>
      <c r="H476" s="337" t="str">
        <f t="shared" si="222"/>
        <v/>
      </c>
      <c r="I476" s="337" t="str">
        <f t="shared" si="222"/>
        <v/>
      </c>
      <c r="J476" s="337" t="str">
        <f>IF(((J474="")*AND(J475="")),"",(J474-J475)*2)</f>
        <v/>
      </c>
      <c r="K476" s="337" t="str">
        <f>IF(((K474="")*AND(K475="")),"",(K474-K475)*2)</f>
        <v/>
      </c>
      <c r="L476" s="337" t="str">
        <f>IF(((L474="")*AND(L475="")),"",(L474-L475)*2)</f>
        <v/>
      </c>
      <c r="M476" s="337" t="str">
        <f>IF(((M474="")*AND(M475="")),"",(M474-M475)*2)</f>
        <v/>
      </c>
      <c r="N476" s="337" t="str">
        <f t="shared" ref="N476:T476" si="223">IF(((N474="")*AND(N475="")),"",(N474-N475)*2)</f>
        <v/>
      </c>
      <c r="O476" s="337" t="str">
        <f t="shared" si="223"/>
        <v/>
      </c>
      <c r="P476" s="337" t="str">
        <f t="shared" si="223"/>
        <v/>
      </c>
      <c r="Q476" s="337" t="str">
        <f t="shared" si="223"/>
        <v/>
      </c>
      <c r="R476" s="337" t="str">
        <f t="shared" si="223"/>
        <v/>
      </c>
      <c r="S476" s="337" t="str">
        <f t="shared" si="223"/>
        <v/>
      </c>
      <c r="T476" s="337" t="str">
        <f t="shared" si="223"/>
        <v/>
      </c>
      <c r="U476" s="337"/>
      <c r="V476" s="337"/>
      <c r="W476" s="337"/>
      <c r="X476" s="366"/>
      <c r="Y476" s="337"/>
      <c r="Z476" s="337"/>
      <c r="AA476" s="339"/>
    </row>
    <row r="477" spans="1:35">
      <c r="A477" s="248"/>
      <c r="B477" s="268" t="s">
        <v>76</v>
      </c>
      <c r="C477" s="235" t="s">
        <v>77</v>
      </c>
      <c r="U477" s="235" t="str">
        <f>IF((T478=""),"",MAX(D479:T479))</f>
        <v/>
      </c>
      <c r="V477" s="235" t="str">
        <f>IF(T478="","",MIN(D479:T479))</f>
        <v/>
      </c>
      <c r="W477" s="235" t="str">
        <f>IF((T479=""),"",AVERAGE(D479:T479))</f>
        <v/>
      </c>
      <c r="X477" s="359" t="e">
        <f>STDEV(D479:T479)</f>
        <v>#DIV/0!</v>
      </c>
      <c r="Y477" s="235" t="str">
        <f>IF((T478=""),"",((U477-V477)/(U477+V477))*100)</f>
        <v/>
      </c>
      <c r="Z477" s="228" t="str">
        <f>IF(T478="","",IF(Y477&lt;15,IF(W477&gt;AF477,IF(W477&lt;AG477,"Pass","Fail"),"Fail"),"Fail"))</f>
        <v/>
      </c>
      <c r="AA477" s="373"/>
      <c r="AD477" s="302">
        <v>1600</v>
      </c>
      <c r="AE477" s="302">
        <v>2600</v>
      </c>
      <c r="AF477" s="334">
        <v>1690</v>
      </c>
      <c r="AG477" s="334">
        <v>2210</v>
      </c>
      <c r="AH477" s="335">
        <v>15</v>
      </c>
      <c r="AI477" s="335">
        <v>15</v>
      </c>
    </row>
    <row r="478" spans="1:35">
      <c r="A478" s="371"/>
      <c r="B478" s="276"/>
      <c r="C478" s="235" t="s">
        <v>78</v>
      </c>
      <c r="U478" s="337"/>
      <c r="V478" s="337"/>
      <c r="W478" s="337"/>
      <c r="X478" s="359"/>
      <c r="Y478" s="337"/>
      <c r="Z478" s="337"/>
      <c r="AA478" s="339"/>
    </row>
    <row r="479" spans="1:35" ht="32.25" thickBot="1">
      <c r="A479" s="372"/>
      <c r="B479" s="281"/>
      <c r="C479" s="243" t="s">
        <v>221</v>
      </c>
      <c r="D479" s="337" t="str">
        <f t="shared" ref="D479:I479" si="224">IF(((D477="")*AND(D478="")),"",(D477-D478)*2)</f>
        <v/>
      </c>
      <c r="E479" s="337" t="str">
        <f t="shared" si="224"/>
        <v/>
      </c>
      <c r="F479" s="337" t="str">
        <f t="shared" si="224"/>
        <v/>
      </c>
      <c r="G479" s="337" t="str">
        <f t="shared" si="224"/>
        <v/>
      </c>
      <c r="H479" s="337" t="str">
        <f t="shared" si="224"/>
        <v/>
      </c>
      <c r="I479" s="337" t="str">
        <f t="shared" si="224"/>
        <v/>
      </c>
      <c r="J479" s="337" t="str">
        <f>IF(((J477="")*AND(J478="")),"",(J477-J478)*2)</f>
        <v/>
      </c>
      <c r="K479" s="337" t="str">
        <f>IF(((K477="")*AND(K478="")),"",(K477-K478)*2)</f>
        <v/>
      </c>
      <c r="L479" s="337" t="str">
        <f>IF(((L477="")*AND(L478="")),"",(L477-L478)*2)</f>
        <v/>
      </c>
      <c r="M479" s="337" t="str">
        <f>IF(((M477="")*AND(M478="")),"",(M477-M478)*2)</f>
        <v/>
      </c>
      <c r="N479" s="337" t="str">
        <f t="shared" ref="N479:T479" si="225">IF(((N477="")*AND(N478="")),"",(N477-N478)*2)</f>
        <v/>
      </c>
      <c r="O479" s="337" t="str">
        <f t="shared" si="225"/>
        <v/>
      </c>
      <c r="P479" s="337" t="str">
        <f t="shared" si="225"/>
        <v/>
      </c>
      <c r="Q479" s="337" t="str">
        <f t="shared" si="225"/>
        <v/>
      </c>
      <c r="R479" s="337" t="str">
        <f t="shared" si="225"/>
        <v/>
      </c>
      <c r="S479" s="337" t="str">
        <f t="shared" si="225"/>
        <v/>
      </c>
      <c r="T479" s="337" t="str">
        <f t="shared" si="225"/>
        <v/>
      </c>
      <c r="U479" s="337"/>
      <c r="V479" s="337"/>
      <c r="W479" s="337"/>
      <c r="X479" s="366"/>
      <c r="Y479" s="337"/>
      <c r="Z479" s="337"/>
      <c r="AA479" s="339"/>
    </row>
    <row r="480" spans="1:35">
      <c r="A480" s="248"/>
      <c r="B480" s="268" t="s">
        <v>76</v>
      </c>
      <c r="C480" s="235" t="s">
        <v>77</v>
      </c>
      <c r="U480" s="235" t="str">
        <f>IF((T481=""),"",MAX(D482:T482))</f>
        <v/>
      </c>
      <c r="V480" s="235" t="str">
        <f>IF(T481="","",MIN(D482:T482))</f>
        <v/>
      </c>
      <c r="W480" s="235" t="str">
        <f>IF((T482=""),"",AVERAGE(D482:T482))</f>
        <v/>
      </c>
      <c r="X480" s="359" t="e">
        <f>STDEV(D482:T482)</f>
        <v>#DIV/0!</v>
      </c>
      <c r="Y480" s="235" t="str">
        <f>IF((T481=""),"",((U480-V480)/(U480+V480))*100)</f>
        <v/>
      </c>
      <c r="Z480" s="228" t="str">
        <f>IF(T481="","",IF(Y480&lt;15,IF(W480&gt;AF480,IF(W480&lt;AG480,"Pass","Fail"),"Fail"),"Fail"))</f>
        <v/>
      </c>
      <c r="AA480" s="373"/>
      <c r="AD480" s="302">
        <v>1600</v>
      </c>
      <c r="AE480" s="302">
        <v>2600</v>
      </c>
      <c r="AF480" s="334">
        <v>1690</v>
      </c>
      <c r="AG480" s="334">
        <v>2210</v>
      </c>
      <c r="AH480" s="335">
        <v>15</v>
      </c>
      <c r="AI480" s="335">
        <v>15</v>
      </c>
    </row>
    <row r="481" spans="1:35">
      <c r="A481" s="371"/>
      <c r="B481" s="276"/>
      <c r="C481" s="235" t="s">
        <v>78</v>
      </c>
      <c r="U481" s="337"/>
      <c r="V481" s="337"/>
      <c r="W481" s="337"/>
      <c r="X481" s="359"/>
      <c r="Y481" s="337"/>
      <c r="Z481" s="337"/>
      <c r="AA481" s="339"/>
    </row>
    <row r="482" spans="1:35" ht="32.25" thickBot="1">
      <c r="A482" s="372"/>
      <c r="B482" s="281"/>
      <c r="C482" s="243" t="s">
        <v>221</v>
      </c>
      <c r="D482" s="337" t="str">
        <f t="shared" ref="D482:I482" si="226">IF(((D480="")*AND(D481="")),"",(D480-D481)*2)</f>
        <v/>
      </c>
      <c r="E482" s="337" t="str">
        <f t="shared" si="226"/>
        <v/>
      </c>
      <c r="F482" s="337" t="str">
        <f t="shared" si="226"/>
        <v/>
      </c>
      <c r="G482" s="337" t="str">
        <f t="shared" si="226"/>
        <v/>
      </c>
      <c r="H482" s="337" t="str">
        <f t="shared" si="226"/>
        <v/>
      </c>
      <c r="I482" s="337" t="str">
        <f t="shared" si="226"/>
        <v/>
      </c>
      <c r="J482" s="337" t="str">
        <f>IF(((J480="")*AND(J481="")),"",(J480-J481)*2)</f>
        <v/>
      </c>
      <c r="K482" s="337" t="str">
        <f>IF(((K480="")*AND(K481="")),"",(K480-K481)*2)</f>
        <v/>
      </c>
      <c r="L482" s="337" t="str">
        <f>IF(((L480="")*AND(L481="")),"",(L480-L481)*2)</f>
        <v/>
      </c>
      <c r="M482" s="337" t="str">
        <f>IF(((M480="")*AND(M481="")),"",(M480-M481)*2)</f>
        <v/>
      </c>
      <c r="N482" s="337" t="str">
        <f t="shared" ref="N482:T482" si="227">IF(((N480="")*AND(N481="")),"",(N480-N481)*2)</f>
        <v/>
      </c>
      <c r="O482" s="337" t="str">
        <f t="shared" si="227"/>
        <v/>
      </c>
      <c r="P482" s="337" t="str">
        <f t="shared" si="227"/>
        <v/>
      </c>
      <c r="Q482" s="337" t="str">
        <f t="shared" si="227"/>
        <v/>
      </c>
      <c r="R482" s="337" t="str">
        <f t="shared" si="227"/>
        <v/>
      </c>
      <c r="S482" s="337" t="str">
        <f t="shared" si="227"/>
        <v/>
      </c>
      <c r="T482" s="337" t="str">
        <f t="shared" si="227"/>
        <v/>
      </c>
      <c r="U482" s="337"/>
      <c r="V482" s="337"/>
      <c r="W482" s="337"/>
      <c r="X482" s="366"/>
      <c r="Y482" s="337"/>
      <c r="Z482" s="337"/>
      <c r="AA482" s="339"/>
    </row>
    <row r="483" spans="1:35">
      <c r="A483" s="248"/>
      <c r="B483" s="268" t="s">
        <v>76</v>
      </c>
      <c r="C483" s="235" t="s">
        <v>77</v>
      </c>
      <c r="U483" s="235" t="str">
        <f>IF((T484=""),"",MAX(D485:T485))</f>
        <v/>
      </c>
      <c r="V483" s="235" t="str">
        <f>IF(T484="","",MIN(D485:T485))</f>
        <v/>
      </c>
      <c r="W483" s="235" t="str">
        <f>IF((T485=""),"",AVERAGE(D485:T485))</f>
        <v/>
      </c>
      <c r="X483" s="359" t="e">
        <f>STDEV(D485:T485)</f>
        <v>#DIV/0!</v>
      </c>
      <c r="Y483" s="235" t="str">
        <f>IF((T484=""),"",((U483-V483)/(U483+V483))*100)</f>
        <v/>
      </c>
      <c r="Z483" s="228" t="str">
        <f>IF(T484="","",IF(Y483&lt;15,IF(W483&gt;AF483,IF(W483&lt;AG483,"Pass","Fail"),"Fail"),"Fail"))</f>
        <v/>
      </c>
      <c r="AA483" s="373"/>
      <c r="AD483" s="302">
        <v>1600</v>
      </c>
      <c r="AE483" s="302">
        <v>2600</v>
      </c>
      <c r="AF483" s="334">
        <v>1690</v>
      </c>
      <c r="AG483" s="334">
        <v>2210</v>
      </c>
      <c r="AH483" s="335">
        <v>15</v>
      </c>
      <c r="AI483" s="335">
        <v>15</v>
      </c>
    </row>
    <row r="484" spans="1:35">
      <c r="A484" s="371"/>
      <c r="B484" s="276"/>
      <c r="C484" s="235" t="s">
        <v>78</v>
      </c>
      <c r="U484" s="337"/>
      <c r="V484" s="337"/>
      <c r="W484" s="337"/>
      <c r="X484" s="359"/>
      <c r="Y484" s="337"/>
      <c r="Z484" s="337"/>
      <c r="AA484" s="339"/>
    </row>
    <row r="485" spans="1:35" ht="32.25" thickBot="1">
      <c r="A485" s="372"/>
      <c r="B485" s="281"/>
      <c r="C485" s="243" t="s">
        <v>221</v>
      </c>
      <c r="D485" s="337" t="str">
        <f t="shared" ref="D485:I485" si="228">IF(((D483="")*AND(D484="")),"",(D483-D484)*2)</f>
        <v/>
      </c>
      <c r="E485" s="337" t="str">
        <f t="shared" si="228"/>
        <v/>
      </c>
      <c r="F485" s="337" t="str">
        <f t="shared" si="228"/>
        <v/>
      </c>
      <c r="G485" s="337" t="str">
        <f t="shared" si="228"/>
        <v/>
      </c>
      <c r="H485" s="337" t="str">
        <f t="shared" si="228"/>
        <v/>
      </c>
      <c r="I485" s="337" t="str">
        <f t="shared" si="228"/>
        <v/>
      </c>
      <c r="J485" s="337" t="str">
        <f>IF(((J483="")*AND(J484="")),"",(J483-J484)*2)</f>
        <v/>
      </c>
      <c r="K485" s="337" t="str">
        <f>IF(((K483="")*AND(K484="")),"",(K483-K484)*2)</f>
        <v/>
      </c>
      <c r="L485" s="337" t="str">
        <f>IF(((L483="")*AND(L484="")),"",(L483-L484)*2)</f>
        <v/>
      </c>
      <c r="M485" s="337" t="str">
        <f>IF(((M483="")*AND(M484="")),"",(M483-M484)*2)</f>
        <v/>
      </c>
      <c r="N485" s="337" t="str">
        <f t="shared" ref="N485:T485" si="229">IF(((N483="")*AND(N484="")),"",(N483-N484)*2)</f>
        <v/>
      </c>
      <c r="O485" s="337" t="str">
        <f t="shared" si="229"/>
        <v/>
      </c>
      <c r="P485" s="337" t="str">
        <f t="shared" si="229"/>
        <v/>
      </c>
      <c r="Q485" s="337" t="str">
        <f t="shared" si="229"/>
        <v/>
      </c>
      <c r="R485" s="337" t="str">
        <f t="shared" si="229"/>
        <v/>
      </c>
      <c r="S485" s="337" t="str">
        <f t="shared" si="229"/>
        <v/>
      </c>
      <c r="T485" s="337" t="str">
        <f t="shared" si="229"/>
        <v/>
      </c>
      <c r="U485" s="337"/>
      <c r="V485" s="337"/>
      <c r="W485" s="337"/>
      <c r="X485" s="366"/>
      <c r="Y485" s="337"/>
      <c r="Z485" s="337"/>
      <c r="AA485" s="339"/>
    </row>
    <row r="486" spans="1:35">
      <c r="A486" s="248"/>
      <c r="B486" s="268" t="s">
        <v>76</v>
      </c>
      <c r="C486" s="235" t="s">
        <v>77</v>
      </c>
      <c r="U486" s="235" t="str">
        <f>IF((T487=""),"",MAX(D488:T488))</f>
        <v/>
      </c>
      <c r="V486" s="235" t="str">
        <f>IF(T487="","",MIN(D488:T488))</f>
        <v/>
      </c>
      <c r="W486" s="235" t="str">
        <f>IF((T488=""),"",AVERAGE(D488:T488))</f>
        <v/>
      </c>
      <c r="X486" s="359" t="e">
        <f>STDEV(D488:T488)</f>
        <v>#DIV/0!</v>
      </c>
      <c r="Y486" s="235" t="str">
        <f>IF((T487=""),"",((U486-V486)/(U486+V486))*100)</f>
        <v/>
      </c>
      <c r="Z486" s="228" t="str">
        <f>IF(T487="","",IF(Y486&lt;15,IF(W486&gt;AF486,IF(W486&lt;AG486,"Pass","Fail"),"Fail"),"Fail"))</f>
        <v/>
      </c>
      <c r="AA486" s="373"/>
      <c r="AD486" s="302">
        <v>1600</v>
      </c>
      <c r="AE486" s="302">
        <v>2600</v>
      </c>
      <c r="AF486" s="334">
        <v>1690</v>
      </c>
      <c r="AG486" s="334">
        <v>2210</v>
      </c>
      <c r="AH486" s="335">
        <v>15</v>
      </c>
      <c r="AI486" s="335">
        <v>15</v>
      </c>
    </row>
    <row r="487" spans="1:35">
      <c r="A487" s="371"/>
      <c r="B487" s="276"/>
      <c r="C487" s="235" t="s">
        <v>78</v>
      </c>
      <c r="U487" s="337"/>
      <c r="V487" s="337"/>
      <c r="W487" s="337"/>
      <c r="X487" s="359"/>
      <c r="Y487" s="337"/>
      <c r="Z487" s="337"/>
      <c r="AA487" s="339"/>
    </row>
    <row r="488" spans="1:35" ht="32.25" thickBot="1">
      <c r="A488" s="372"/>
      <c r="B488" s="281"/>
      <c r="C488" s="243" t="s">
        <v>221</v>
      </c>
      <c r="D488" s="337" t="str">
        <f t="shared" ref="D488:I488" si="230">IF(((D486="")*AND(D487="")),"",(D486-D487)*2)</f>
        <v/>
      </c>
      <c r="E488" s="337" t="str">
        <f t="shared" si="230"/>
        <v/>
      </c>
      <c r="F488" s="337" t="str">
        <f t="shared" si="230"/>
        <v/>
      </c>
      <c r="G488" s="337" t="str">
        <f t="shared" si="230"/>
        <v/>
      </c>
      <c r="H488" s="337" t="str">
        <f t="shared" si="230"/>
        <v/>
      </c>
      <c r="I488" s="337" t="str">
        <f t="shared" si="230"/>
        <v/>
      </c>
      <c r="J488" s="337" t="str">
        <f>IF(((J486="")*AND(J487="")),"",(J486-J487)*2)</f>
        <v/>
      </c>
      <c r="K488" s="337" t="str">
        <f>IF(((K486="")*AND(K487="")),"",(K486-K487)*2)</f>
        <v/>
      </c>
      <c r="L488" s="337" t="str">
        <f>IF(((L486="")*AND(L487="")),"",(L486-L487)*2)</f>
        <v/>
      </c>
      <c r="M488" s="337" t="str">
        <f>IF(((M486="")*AND(M487="")),"",(M486-M487)*2)</f>
        <v/>
      </c>
      <c r="N488" s="337" t="str">
        <f t="shared" ref="N488:T488" si="231">IF(((N486="")*AND(N487="")),"",(N486-N487)*2)</f>
        <v/>
      </c>
      <c r="O488" s="337" t="str">
        <f t="shared" si="231"/>
        <v/>
      </c>
      <c r="P488" s="337" t="str">
        <f t="shared" si="231"/>
        <v/>
      </c>
      <c r="Q488" s="337" t="str">
        <f t="shared" si="231"/>
        <v/>
      </c>
      <c r="R488" s="337" t="str">
        <f t="shared" si="231"/>
        <v/>
      </c>
      <c r="S488" s="337" t="str">
        <f t="shared" si="231"/>
        <v/>
      </c>
      <c r="T488" s="337" t="str">
        <f t="shared" si="231"/>
        <v/>
      </c>
      <c r="U488" s="337"/>
      <c r="V488" s="337"/>
      <c r="W488" s="337"/>
      <c r="X488" s="366"/>
      <c r="Y488" s="337"/>
      <c r="Z488" s="337"/>
      <c r="AA488" s="339"/>
    </row>
    <row r="489" spans="1:35">
      <c r="A489" s="248"/>
      <c r="B489" s="268" t="s">
        <v>76</v>
      </c>
      <c r="C489" s="235" t="s">
        <v>77</v>
      </c>
      <c r="U489" s="235" t="str">
        <f>IF((T490=""),"",MAX(D491:T491))</f>
        <v/>
      </c>
      <c r="V489" s="235" t="str">
        <f>IF(T490="","",MIN(D491:T491))</f>
        <v/>
      </c>
      <c r="W489" s="235" t="str">
        <f>IF((T491=""),"",AVERAGE(D491:T491))</f>
        <v/>
      </c>
      <c r="X489" s="359" t="e">
        <f>STDEV(D491:T491)</f>
        <v>#DIV/0!</v>
      </c>
      <c r="Y489" s="235" t="str">
        <f>IF((T490=""),"",((U489-V489)/(U489+V489))*100)</f>
        <v/>
      </c>
      <c r="Z489" s="228" t="str">
        <f>IF(T490="","",IF(Y489&lt;15,IF(W489&gt;AF489,IF(W489&lt;AG489,"Pass","Fail"),"Fail"),"Fail"))</f>
        <v/>
      </c>
      <c r="AA489" s="373"/>
      <c r="AD489" s="302">
        <v>1600</v>
      </c>
      <c r="AE489" s="302">
        <v>2600</v>
      </c>
      <c r="AF489" s="334">
        <v>1690</v>
      </c>
      <c r="AG489" s="334">
        <v>2210</v>
      </c>
      <c r="AH489" s="335">
        <v>15</v>
      </c>
      <c r="AI489" s="335">
        <v>15</v>
      </c>
    </row>
    <row r="490" spans="1:35">
      <c r="A490" s="371"/>
      <c r="B490" s="276"/>
      <c r="C490" s="235" t="s">
        <v>78</v>
      </c>
      <c r="U490" s="337"/>
      <c r="V490" s="337"/>
      <c r="W490" s="337"/>
      <c r="X490" s="359"/>
      <c r="Y490" s="337"/>
      <c r="Z490" s="337"/>
      <c r="AA490" s="339"/>
    </row>
    <row r="491" spans="1:35" ht="32.25" thickBot="1">
      <c r="A491" s="372"/>
      <c r="B491" s="281"/>
      <c r="C491" s="243" t="s">
        <v>221</v>
      </c>
      <c r="D491" s="337" t="str">
        <f t="shared" ref="D491:I491" si="232">IF(((D489="")*AND(D490="")),"",(D489-D490)*2)</f>
        <v/>
      </c>
      <c r="E491" s="337" t="str">
        <f t="shared" si="232"/>
        <v/>
      </c>
      <c r="F491" s="337" t="str">
        <f t="shared" si="232"/>
        <v/>
      </c>
      <c r="G491" s="337" t="str">
        <f t="shared" si="232"/>
        <v/>
      </c>
      <c r="H491" s="337" t="str">
        <f t="shared" si="232"/>
        <v/>
      </c>
      <c r="I491" s="337" t="str">
        <f t="shared" si="232"/>
        <v/>
      </c>
      <c r="J491" s="337" t="str">
        <f>IF(((J489="")*AND(J490="")),"",(J489-J490)*2)</f>
        <v/>
      </c>
      <c r="K491" s="337" t="str">
        <f>IF(((K489="")*AND(K490="")),"",(K489-K490)*2)</f>
        <v/>
      </c>
      <c r="L491" s="337" t="str">
        <f>IF(((L489="")*AND(L490="")),"",(L489-L490)*2)</f>
        <v/>
      </c>
      <c r="M491" s="337" t="str">
        <f>IF(((M489="")*AND(M490="")),"",(M489-M490)*2)</f>
        <v/>
      </c>
      <c r="N491" s="337" t="str">
        <f t="shared" ref="N491:T491" si="233">IF(((N489="")*AND(N490="")),"",(N489-N490)*2)</f>
        <v/>
      </c>
      <c r="O491" s="337" t="str">
        <f t="shared" si="233"/>
        <v/>
      </c>
      <c r="P491" s="337" t="str">
        <f t="shared" si="233"/>
        <v/>
      </c>
      <c r="Q491" s="337" t="str">
        <f t="shared" si="233"/>
        <v/>
      </c>
      <c r="R491" s="337" t="str">
        <f t="shared" si="233"/>
        <v/>
      </c>
      <c r="S491" s="337" t="str">
        <f t="shared" si="233"/>
        <v/>
      </c>
      <c r="T491" s="337" t="str">
        <f t="shared" si="233"/>
        <v/>
      </c>
      <c r="U491" s="337"/>
      <c r="V491" s="337"/>
      <c r="W491" s="337"/>
      <c r="X491" s="366"/>
      <c r="Y491" s="337"/>
      <c r="Z491" s="337"/>
      <c r="AA491" s="339"/>
    </row>
    <row r="492" spans="1:35">
      <c r="A492" s="248"/>
      <c r="B492" s="268" t="s">
        <v>76</v>
      </c>
      <c r="C492" s="235" t="s">
        <v>77</v>
      </c>
      <c r="U492" s="235" t="str">
        <f>IF((T493=""),"",MAX(D494:T494))</f>
        <v/>
      </c>
      <c r="V492" s="235" t="str">
        <f>IF(T493="","",MIN(D494:T494))</f>
        <v/>
      </c>
      <c r="W492" s="235" t="str">
        <f>IF((T494=""),"",AVERAGE(D494:T494))</f>
        <v/>
      </c>
      <c r="X492" s="359" t="e">
        <f>STDEV(D494:T494)</f>
        <v>#DIV/0!</v>
      </c>
      <c r="Y492" s="235" t="str">
        <f>IF((T493=""),"",((U492-V492)/(U492+V492))*100)</f>
        <v/>
      </c>
      <c r="Z492" s="228" t="str">
        <f>IF(T493="","",IF(Y492&lt;15,IF(W492&gt;AF492,IF(W492&lt;AG492,"Pass","Fail"),"Fail"),"Fail"))</f>
        <v/>
      </c>
      <c r="AA492" s="373"/>
      <c r="AD492" s="302">
        <v>1600</v>
      </c>
      <c r="AE492" s="302">
        <v>2600</v>
      </c>
      <c r="AF492" s="334">
        <v>1690</v>
      </c>
      <c r="AG492" s="334">
        <v>2210</v>
      </c>
      <c r="AH492" s="335">
        <v>15</v>
      </c>
      <c r="AI492" s="335">
        <v>15</v>
      </c>
    </row>
    <row r="493" spans="1:35">
      <c r="A493" s="371"/>
      <c r="B493" s="276"/>
      <c r="C493" s="235" t="s">
        <v>78</v>
      </c>
      <c r="U493" s="337"/>
      <c r="V493" s="337"/>
      <c r="W493" s="337"/>
      <c r="X493" s="359"/>
      <c r="Y493" s="337"/>
      <c r="Z493" s="337"/>
      <c r="AA493" s="339"/>
    </row>
    <row r="494" spans="1:35" ht="32.25" thickBot="1">
      <c r="A494" s="372"/>
      <c r="B494" s="281"/>
      <c r="C494" s="243" t="s">
        <v>221</v>
      </c>
      <c r="D494" s="337" t="str">
        <f t="shared" ref="D494:I494" si="234">IF(((D492="")*AND(D493="")),"",(D492-D493)*2)</f>
        <v/>
      </c>
      <c r="E494" s="337" t="str">
        <f t="shared" si="234"/>
        <v/>
      </c>
      <c r="F494" s="337" t="str">
        <f t="shared" si="234"/>
        <v/>
      </c>
      <c r="G494" s="337" t="str">
        <f t="shared" si="234"/>
        <v/>
      </c>
      <c r="H494" s="337" t="str">
        <f t="shared" si="234"/>
        <v/>
      </c>
      <c r="I494" s="337" t="str">
        <f t="shared" si="234"/>
        <v/>
      </c>
      <c r="J494" s="337" t="str">
        <f>IF(((J492="")*AND(J493="")),"",(J492-J493)*2)</f>
        <v/>
      </c>
      <c r="K494" s="337" t="str">
        <f>IF(((K492="")*AND(K493="")),"",(K492-K493)*2)</f>
        <v/>
      </c>
      <c r="L494" s="337" t="str">
        <f>IF(((L492="")*AND(L493="")),"",(L492-L493)*2)</f>
        <v/>
      </c>
      <c r="M494" s="337" t="str">
        <f>IF(((M492="")*AND(M493="")),"",(M492-M493)*2)</f>
        <v/>
      </c>
      <c r="N494" s="337" t="str">
        <f t="shared" ref="N494:T494" si="235">IF(((N492="")*AND(N493="")),"",(N492-N493)*2)</f>
        <v/>
      </c>
      <c r="O494" s="337" t="str">
        <f t="shared" si="235"/>
        <v/>
      </c>
      <c r="P494" s="337" t="str">
        <f t="shared" si="235"/>
        <v/>
      </c>
      <c r="Q494" s="337" t="str">
        <f t="shared" si="235"/>
        <v/>
      </c>
      <c r="R494" s="337" t="str">
        <f t="shared" si="235"/>
        <v/>
      </c>
      <c r="S494" s="337" t="str">
        <f t="shared" si="235"/>
        <v/>
      </c>
      <c r="T494" s="337" t="str">
        <f t="shared" si="235"/>
        <v/>
      </c>
      <c r="U494" s="337"/>
      <c r="V494" s="337"/>
      <c r="W494" s="337"/>
      <c r="X494" s="366"/>
      <c r="Y494" s="337"/>
      <c r="Z494" s="337"/>
      <c r="AA494" s="339"/>
    </row>
    <row r="495" spans="1:35">
      <c r="A495" s="248"/>
      <c r="B495" s="268" t="s">
        <v>76</v>
      </c>
      <c r="C495" s="235" t="s">
        <v>77</v>
      </c>
      <c r="U495" s="235" t="str">
        <f>IF((T496=""),"",MAX(D497:T497))</f>
        <v/>
      </c>
      <c r="V495" s="235" t="str">
        <f>IF(T496="","",MIN(D497:T497))</f>
        <v/>
      </c>
      <c r="W495" s="235" t="str">
        <f>IF((T497=""),"",AVERAGE(D497:T497))</f>
        <v/>
      </c>
      <c r="X495" s="359" t="e">
        <f>STDEV(D497:T497)</f>
        <v>#DIV/0!</v>
      </c>
      <c r="Y495" s="235" t="str">
        <f>IF((T496=""),"",((U495-V495)/(U495+V495))*100)</f>
        <v/>
      </c>
      <c r="Z495" s="228" t="str">
        <f>IF(T496="","",IF(Y495&lt;15,IF(W495&gt;AF495,IF(W495&lt;AG495,"Pass","Fail"),"Fail"),"Fail"))</f>
        <v/>
      </c>
      <c r="AA495" s="373"/>
      <c r="AD495" s="302">
        <v>1600</v>
      </c>
      <c r="AE495" s="302">
        <v>2600</v>
      </c>
      <c r="AF495" s="334">
        <v>1690</v>
      </c>
      <c r="AG495" s="334">
        <v>2210</v>
      </c>
      <c r="AH495" s="335">
        <v>15</v>
      </c>
      <c r="AI495" s="335">
        <v>15</v>
      </c>
    </row>
    <row r="496" spans="1:35">
      <c r="A496" s="371"/>
      <c r="B496" s="276"/>
      <c r="C496" s="235" t="s">
        <v>78</v>
      </c>
      <c r="U496" s="337"/>
      <c r="V496" s="337"/>
      <c r="W496" s="337"/>
      <c r="X496" s="359"/>
      <c r="Y496" s="337"/>
      <c r="Z496" s="337"/>
      <c r="AA496" s="339"/>
    </row>
    <row r="497" spans="1:35" ht="32.25" thickBot="1">
      <c r="A497" s="372"/>
      <c r="B497" s="281"/>
      <c r="C497" s="243" t="s">
        <v>221</v>
      </c>
      <c r="D497" s="337" t="str">
        <f t="shared" ref="D497:I497" si="236">IF(((D495="")*AND(D496="")),"",(D495-D496)*2)</f>
        <v/>
      </c>
      <c r="E497" s="337" t="str">
        <f t="shared" si="236"/>
        <v/>
      </c>
      <c r="F497" s="337" t="str">
        <f t="shared" si="236"/>
        <v/>
      </c>
      <c r="G497" s="337" t="str">
        <f t="shared" si="236"/>
        <v/>
      </c>
      <c r="H497" s="337" t="str">
        <f t="shared" si="236"/>
        <v/>
      </c>
      <c r="I497" s="337" t="str">
        <f t="shared" si="236"/>
        <v/>
      </c>
      <c r="J497" s="337" t="str">
        <f>IF(((J495="")*AND(J496="")),"",(J495-J496)*2)</f>
        <v/>
      </c>
      <c r="K497" s="337" t="str">
        <f>IF(((K495="")*AND(K496="")),"",(K495-K496)*2)</f>
        <v/>
      </c>
      <c r="L497" s="337" t="str">
        <f>IF(((L495="")*AND(L496="")),"",(L495-L496)*2)</f>
        <v/>
      </c>
      <c r="M497" s="337" t="str">
        <f>IF(((M495="")*AND(M496="")),"",(M495-M496)*2)</f>
        <v/>
      </c>
      <c r="N497" s="337" t="str">
        <f t="shared" ref="N497:T497" si="237">IF(((N495="")*AND(N496="")),"",(N495-N496)*2)</f>
        <v/>
      </c>
      <c r="O497" s="337" t="str">
        <f t="shared" si="237"/>
        <v/>
      </c>
      <c r="P497" s="337" t="str">
        <f t="shared" si="237"/>
        <v/>
      </c>
      <c r="Q497" s="337" t="str">
        <f t="shared" si="237"/>
        <v/>
      </c>
      <c r="R497" s="337" t="str">
        <f t="shared" si="237"/>
        <v/>
      </c>
      <c r="S497" s="337" t="str">
        <f t="shared" si="237"/>
        <v/>
      </c>
      <c r="T497" s="337" t="str">
        <f t="shared" si="237"/>
        <v/>
      </c>
      <c r="U497" s="337"/>
      <c r="V497" s="337"/>
      <c r="W497" s="337"/>
      <c r="X497" s="366"/>
      <c r="Y497" s="337"/>
      <c r="Z497" s="337"/>
      <c r="AA497" s="339"/>
    </row>
    <row r="498" spans="1:35">
      <c r="A498" s="248"/>
      <c r="B498" s="268" t="s">
        <v>76</v>
      </c>
      <c r="C498" s="235" t="s">
        <v>77</v>
      </c>
      <c r="U498" s="235" t="str">
        <f>IF((T499=""),"",MAX(D500:T500))</f>
        <v/>
      </c>
      <c r="V498" s="235" t="str">
        <f>IF(T499="","",MIN(D500:T500))</f>
        <v/>
      </c>
      <c r="W498" s="235" t="str">
        <f>IF((T500=""),"",AVERAGE(D500:T500))</f>
        <v/>
      </c>
      <c r="X498" s="359" t="e">
        <f>STDEV(D500:T500)</f>
        <v>#DIV/0!</v>
      </c>
      <c r="Y498" s="235" t="str">
        <f>IF((T499=""),"",((U498-V498)/(U498+V498))*100)</f>
        <v/>
      </c>
      <c r="Z498" s="228" t="str">
        <f>IF(T499="","",IF(Y498&lt;15,IF(W498&gt;AF498,IF(W498&lt;AG498,"Pass","Fail"),"Fail"),"Fail"))</f>
        <v/>
      </c>
      <c r="AA498" s="373"/>
      <c r="AD498" s="302">
        <v>1600</v>
      </c>
      <c r="AE498" s="302">
        <v>2600</v>
      </c>
      <c r="AF498" s="334">
        <v>1690</v>
      </c>
      <c r="AG498" s="334">
        <v>2210</v>
      </c>
      <c r="AH498" s="335">
        <v>15</v>
      </c>
      <c r="AI498" s="335">
        <v>15</v>
      </c>
    </row>
    <row r="499" spans="1:35">
      <c r="A499" s="371"/>
      <c r="B499" s="276"/>
      <c r="C499" s="235" t="s">
        <v>78</v>
      </c>
      <c r="U499" s="337"/>
      <c r="V499" s="337"/>
      <c r="W499" s="337"/>
      <c r="X499" s="359"/>
      <c r="Y499" s="337"/>
      <c r="Z499" s="337"/>
      <c r="AA499" s="339"/>
    </row>
    <row r="500" spans="1:35" ht="32.25" thickBot="1">
      <c r="A500" s="372"/>
      <c r="B500" s="281"/>
      <c r="C500" s="243" t="s">
        <v>221</v>
      </c>
      <c r="D500" s="337" t="str">
        <f t="shared" ref="D500:I500" si="238">IF(((D498="")*AND(D499="")),"",(D498-D499)*2)</f>
        <v/>
      </c>
      <c r="E500" s="337" t="str">
        <f t="shared" si="238"/>
        <v/>
      </c>
      <c r="F500" s="337" t="str">
        <f t="shared" si="238"/>
        <v/>
      </c>
      <c r="G500" s="337" t="str">
        <f t="shared" si="238"/>
        <v/>
      </c>
      <c r="H500" s="337" t="str">
        <f t="shared" si="238"/>
        <v/>
      </c>
      <c r="I500" s="337" t="str">
        <f t="shared" si="238"/>
        <v/>
      </c>
      <c r="J500" s="337" t="str">
        <f>IF(((J498="")*AND(J499="")),"",(J498-J499)*2)</f>
        <v/>
      </c>
      <c r="K500" s="337" t="str">
        <f>IF(((K498="")*AND(K499="")),"",(K498-K499)*2)</f>
        <v/>
      </c>
      <c r="L500" s="337" t="str">
        <f>IF(((L498="")*AND(L499="")),"",(L498-L499)*2)</f>
        <v/>
      </c>
      <c r="M500" s="337" t="str">
        <f>IF(((M498="")*AND(M499="")),"",(M498-M499)*2)</f>
        <v/>
      </c>
      <c r="N500" s="337" t="str">
        <f t="shared" ref="N500:T500" si="239">IF(((N498="")*AND(N499="")),"",(N498-N499)*2)</f>
        <v/>
      </c>
      <c r="O500" s="337" t="str">
        <f t="shared" si="239"/>
        <v/>
      </c>
      <c r="P500" s="337" t="str">
        <f t="shared" si="239"/>
        <v/>
      </c>
      <c r="Q500" s="337" t="str">
        <f t="shared" si="239"/>
        <v/>
      </c>
      <c r="R500" s="337" t="str">
        <f t="shared" si="239"/>
        <v/>
      </c>
      <c r="S500" s="337" t="str">
        <f t="shared" si="239"/>
        <v/>
      </c>
      <c r="T500" s="337" t="str">
        <f t="shared" si="239"/>
        <v/>
      </c>
      <c r="U500" s="337"/>
      <c r="V500" s="337"/>
      <c r="W500" s="337"/>
      <c r="X500" s="366"/>
      <c r="Y500" s="337"/>
      <c r="Z500" s="337"/>
      <c r="AA500" s="339"/>
    </row>
    <row r="501" spans="1:35">
      <c r="A501" s="248"/>
      <c r="B501" s="268" t="s">
        <v>76</v>
      </c>
      <c r="C501" s="235" t="s">
        <v>77</v>
      </c>
      <c r="U501" s="235" t="str">
        <f>IF((T502=""),"",MAX(D503:T503))</f>
        <v/>
      </c>
      <c r="V501" s="235" t="str">
        <f>IF(T502="","",MIN(D503:T503))</f>
        <v/>
      </c>
      <c r="W501" s="235" t="str">
        <f>IF((T503=""),"",AVERAGE(D503:T503))</f>
        <v/>
      </c>
      <c r="X501" s="359" t="e">
        <f>STDEV(D503:T503)</f>
        <v>#DIV/0!</v>
      </c>
      <c r="Y501" s="235" t="str">
        <f>IF((T502=""),"",((U501-V501)/(U501+V501))*100)</f>
        <v/>
      </c>
      <c r="Z501" s="228" t="str">
        <f>IF(T502="","",IF(Y501&lt;15,IF(W501&gt;AF501,IF(W501&lt;AG501,"Pass","Fail"),"Fail"),"Fail"))</f>
        <v/>
      </c>
      <c r="AA501" s="373"/>
      <c r="AD501" s="302">
        <v>1600</v>
      </c>
      <c r="AE501" s="302">
        <v>2600</v>
      </c>
      <c r="AF501" s="334">
        <v>1690</v>
      </c>
      <c r="AG501" s="334">
        <v>2210</v>
      </c>
      <c r="AH501" s="335">
        <v>15</v>
      </c>
      <c r="AI501" s="335">
        <v>15</v>
      </c>
    </row>
    <row r="502" spans="1:35">
      <c r="A502" s="371"/>
      <c r="B502" s="276"/>
      <c r="C502" s="235" t="s">
        <v>78</v>
      </c>
      <c r="U502" s="337"/>
      <c r="V502" s="337"/>
      <c r="W502" s="337"/>
      <c r="X502" s="359"/>
      <c r="Y502" s="337"/>
      <c r="Z502" s="337"/>
      <c r="AA502" s="339"/>
    </row>
    <row r="503" spans="1:35" ht="32.25" thickBot="1">
      <c r="A503" s="372"/>
      <c r="B503" s="281"/>
      <c r="C503" s="243" t="s">
        <v>221</v>
      </c>
      <c r="D503" s="337" t="str">
        <f t="shared" ref="D503:I503" si="240">IF(((D501="")*AND(D502="")),"",(D501-D502)*2)</f>
        <v/>
      </c>
      <c r="E503" s="337" t="str">
        <f t="shared" si="240"/>
        <v/>
      </c>
      <c r="F503" s="337" t="str">
        <f t="shared" si="240"/>
        <v/>
      </c>
      <c r="G503" s="337" t="str">
        <f t="shared" si="240"/>
        <v/>
      </c>
      <c r="H503" s="337" t="str">
        <f t="shared" si="240"/>
        <v/>
      </c>
      <c r="I503" s="337" t="str">
        <f t="shared" si="240"/>
        <v/>
      </c>
      <c r="J503" s="337" t="str">
        <f>IF(((J501="")*AND(J502="")),"",(J501-J502)*2)</f>
        <v/>
      </c>
      <c r="K503" s="337" t="str">
        <f>IF(((K501="")*AND(K502="")),"",(K501-K502)*2)</f>
        <v/>
      </c>
      <c r="L503" s="337" t="str">
        <f>IF(((L501="")*AND(L502="")),"",(L501-L502)*2)</f>
        <v/>
      </c>
      <c r="M503" s="337" t="str">
        <f>IF(((M501="")*AND(M502="")),"",(M501-M502)*2)</f>
        <v/>
      </c>
      <c r="N503" s="337" t="str">
        <f t="shared" ref="N503:T503" si="241">IF(((N501="")*AND(N502="")),"",(N501-N502)*2)</f>
        <v/>
      </c>
      <c r="O503" s="337" t="str">
        <f t="shared" si="241"/>
        <v/>
      </c>
      <c r="P503" s="337" t="str">
        <f t="shared" si="241"/>
        <v/>
      </c>
      <c r="Q503" s="337" t="str">
        <f t="shared" si="241"/>
        <v/>
      </c>
      <c r="R503" s="337" t="str">
        <f t="shared" si="241"/>
        <v/>
      </c>
      <c r="S503" s="337" t="str">
        <f t="shared" si="241"/>
        <v/>
      </c>
      <c r="T503" s="337" t="str">
        <f t="shared" si="241"/>
        <v/>
      </c>
      <c r="U503" s="337"/>
      <c r="V503" s="337"/>
      <c r="W503" s="337"/>
      <c r="X503" s="366"/>
      <c r="Y503" s="337"/>
      <c r="Z503" s="337"/>
      <c r="AA503" s="339"/>
    </row>
    <row r="504" spans="1:35">
      <c r="A504" s="248"/>
      <c r="B504" s="268" t="s">
        <v>76</v>
      </c>
      <c r="C504" s="235" t="s">
        <v>77</v>
      </c>
      <c r="U504" s="235" t="str">
        <f>IF((T505=""),"",MAX(D506:T506))</f>
        <v/>
      </c>
      <c r="V504" s="235" t="str">
        <f>IF(T505="","",MIN(D506:T506))</f>
        <v/>
      </c>
      <c r="W504" s="235" t="str">
        <f>IF((T506=""),"",AVERAGE(D506:T506))</f>
        <v/>
      </c>
      <c r="X504" s="359" t="e">
        <f>STDEV(D506:T506)</f>
        <v>#DIV/0!</v>
      </c>
      <c r="Y504" s="235" t="str">
        <f>IF((T505=""),"",((U504-V504)/(U504+V504))*100)</f>
        <v/>
      </c>
      <c r="Z504" s="228" t="str">
        <f>IF(T505="","",IF(Y504&lt;15,IF(W504&gt;AF504,IF(W504&lt;AG504,"Pass","Fail"),"Fail"),"Fail"))</f>
        <v/>
      </c>
      <c r="AA504" s="373"/>
      <c r="AD504" s="302">
        <v>1600</v>
      </c>
      <c r="AE504" s="302">
        <v>2600</v>
      </c>
      <c r="AF504" s="334">
        <v>1690</v>
      </c>
      <c r="AG504" s="334">
        <v>2210</v>
      </c>
      <c r="AH504" s="335">
        <v>15</v>
      </c>
      <c r="AI504" s="335">
        <v>15</v>
      </c>
    </row>
    <row r="505" spans="1:35">
      <c r="A505" s="371"/>
      <c r="B505" s="276"/>
      <c r="C505" s="235" t="s">
        <v>78</v>
      </c>
      <c r="U505" s="337"/>
      <c r="V505" s="337"/>
      <c r="W505" s="337"/>
      <c r="X505" s="359"/>
      <c r="Y505" s="337"/>
      <c r="Z505" s="337"/>
      <c r="AA505" s="339"/>
    </row>
    <row r="506" spans="1:35" ht="32.25" thickBot="1">
      <c r="A506" s="372"/>
      <c r="B506" s="281"/>
      <c r="C506" s="243" t="s">
        <v>221</v>
      </c>
      <c r="D506" s="337" t="str">
        <f t="shared" ref="D506:I506" si="242">IF(((D504="")*AND(D505="")),"",(D504-D505)*2)</f>
        <v/>
      </c>
      <c r="E506" s="337" t="str">
        <f t="shared" si="242"/>
        <v/>
      </c>
      <c r="F506" s="337" t="str">
        <f t="shared" si="242"/>
        <v/>
      </c>
      <c r="G506" s="337" t="str">
        <f t="shared" si="242"/>
        <v/>
      </c>
      <c r="H506" s="337" t="str">
        <f t="shared" si="242"/>
        <v/>
      </c>
      <c r="I506" s="337" t="str">
        <f t="shared" si="242"/>
        <v/>
      </c>
      <c r="J506" s="337" t="str">
        <f>IF(((J504="")*AND(J505="")),"",(J504-J505)*2)</f>
        <v/>
      </c>
      <c r="K506" s="337" t="str">
        <f>IF(((K504="")*AND(K505="")),"",(K504-K505)*2)</f>
        <v/>
      </c>
      <c r="L506" s="337" t="str">
        <f>IF(((L504="")*AND(L505="")),"",(L504-L505)*2)</f>
        <v/>
      </c>
      <c r="M506" s="337" t="str">
        <f>IF(((M504="")*AND(M505="")),"",(M504-M505)*2)</f>
        <v/>
      </c>
      <c r="N506" s="337" t="str">
        <f t="shared" ref="N506:T506" si="243">IF(((N504="")*AND(N505="")),"",(N504-N505)*2)</f>
        <v/>
      </c>
      <c r="O506" s="337" t="str">
        <f t="shared" si="243"/>
        <v/>
      </c>
      <c r="P506" s="337" t="str">
        <f t="shared" si="243"/>
        <v/>
      </c>
      <c r="Q506" s="337" t="str">
        <f t="shared" si="243"/>
        <v/>
      </c>
      <c r="R506" s="337" t="str">
        <f t="shared" si="243"/>
        <v/>
      </c>
      <c r="S506" s="337" t="str">
        <f t="shared" si="243"/>
        <v/>
      </c>
      <c r="T506" s="337" t="str">
        <f t="shared" si="243"/>
        <v/>
      </c>
      <c r="U506" s="337"/>
      <c r="V506" s="337"/>
      <c r="W506" s="337"/>
      <c r="X506" s="366"/>
      <c r="Y506" s="337"/>
      <c r="Z506" s="337"/>
      <c r="AA506" s="339"/>
    </row>
    <row r="507" spans="1:35">
      <c r="A507" s="248"/>
      <c r="B507" s="268" t="s">
        <v>76</v>
      </c>
      <c r="C507" s="235" t="s">
        <v>77</v>
      </c>
      <c r="U507" s="235" t="str">
        <f>IF((T508=""),"",MAX(D509:T509))</f>
        <v/>
      </c>
      <c r="V507" s="235" t="str">
        <f>IF(T508="","",MIN(D509:T509))</f>
        <v/>
      </c>
      <c r="W507" s="235" t="str">
        <f>IF((T509=""),"",AVERAGE(D509:T509))</f>
        <v/>
      </c>
      <c r="X507" s="359" t="e">
        <f>STDEV(D509:T509)</f>
        <v>#DIV/0!</v>
      </c>
      <c r="Y507" s="235" t="str">
        <f>IF((T508=""),"",((U507-V507)/(U507+V507))*100)</f>
        <v/>
      </c>
      <c r="Z507" s="228" t="str">
        <f>IF(T508="","",IF(Y507&lt;15,IF(W507&gt;AF507,IF(W507&lt;AG507,"Pass","Fail"),"Fail"),"Fail"))</f>
        <v/>
      </c>
      <c r="AA507" s="373"/>
      <c r="AD507" s="302">
        <v>1600</v>
      </c>
      <c r="AE507" s="302">
        <v>2600</v>
      </c>
      <c r="AF507" s="334">
        <v>1690</v>
      </c>
      <c r="AG507" s="334">
        <v>2210</v>
      </c>
      <c r="AH507" s="335">
        <v>15</v>
      </c>
      <c r="AI507" s="335">
        <v>15</v>
      </c>
    </row>
    <row r="508" spans="1:35">
      <c r="A508" s="371"/>
      <c r="B508" s="276"/>
      <c r="C508" s="235" t="s">
        <v>78</v>
      </c>
      <c r="U508" s="337"/>
      <c r="V508" s="337"/>
      <c r="W508" s="337"/>
      <c r="X508" s="359"/>
      <c r="Y508" s="337"/>
      <c r="Z508" s="337"/>
      <c r="AA508" s="339"/>
    </row>
    <row r="509" spans="1:35" ht="32.25" thickBot="1">
      <c r="A509" s="372"/>
      <c r="B509" s="281"/>
      <c r="C509" s="243" t="s">
        <v>221</v>
      </c>
      <c r="D509" s="337" t="str">
        <f t="shared" ref="D509:I509" si="244">IF(((D507="")*AND(D508="")),"",(D507-D508)*2)</f>
        <v/>
      </c>
      <c r="E509" s="337" t="str">
        <f t="shared" si="244"/>
        <v/>
      </c>
      <c r="F509" s="337" t="str">
        <f t="shared" si="244"/>
        <v/>
      </c>
      <c r="G509" s="337" t="str">
        <f t="shared" si="244"/>
        <v/>
      </c>
      <c r="H509" s="337" t="str">
        <f t="shared" si="244"/>
        <v/>
      </c>
      <c r="I509" s="337" t="str">
        <f t="shared" si="244"/>
        <v/>
      </c>
      <c r="J509" s="337" t="str">
        <f>IF(((J507="")*AND(J508="")),"",(J507-J508)*2)</f>
        <v/>
      </c>
      <c r="K509" s="337" t="str">
        <f>IF(((K507="")*AND(K508="")),"",(K507-K508)*2)</f>
        <v/>
      </c>
      <c r="L509" s="337" t="str">
        <f>IF(((L507="")*AND(L508="")),"",(L507-L508)*2)</f>
        <v/>
      </c>
      <c r="M509" s="337" t="str">
        <f>IF(((M507="")*AND(M508="")),"",(M507-M508)*2)</f>
        <v/>
      </c>
      <c r="N509" s="337" t="str">
        <f t="shared" ref="N509:T509" si="245">IF(((N507="")*AND(N508="")),"",(N507-N508)*2)</f>
        <v/>
      </c>
      <c r="O509" s="337" t="str">
        <f t="shared" si="245"/>
        <v/>
      </c>
      <c r="P509" s="337" t="str">
        <f t="shared" si="245"/>
        <v/>
      </c>
      <c r="Q509" s="337" t="str">
        <f t="shared" si="245"/>
        <v/>
      </c>
      <c r="R509" s="337" t="str">
        <f t="shared" si="245"/>
        <v/>
      </c>
      <c r="S509" s="337" t="str">
        <f t="shared" si="245"/>
        <v/>
      </c>
      <c r="T509" s="337" t="str">
        <f t="shared" si="245"/>
        <v/>
      </c>
      <c r="U509" s="337"/>
      <c r="V509" s="337"/>
      <c r="W509" s="337"/>
      <c r="X509" s="366"/>
      <c r="Y509" s="337"/>
      <c r="Z509" s="337"/>
      <c r="AA509" s="339"/>
    </row>
    <row r="510" spans="1:35">
      <c r="B510" s="268" t="s">
        <v>76</v>
      </c>
    </row>
    <row r="511" spans="1:35">
      <c r="B511" s="276"/>
    </row>
    <row r="512" spans="1:35" ht="16.5" thickBot="1">
      <c r="B512" s="281"/>
    </row>
    <row r="513" spans="2:2">
      <c r="B513" s="268" t="s">
        <v>76</v>
      </c>
    </row>
    <row r="514" spans="2:2">
      <c r="B514" s="276"/>
    </row>
    <row r="515" spans="2:2" ht="16.5" thickBot="1">
      <c r="B515" s="281"/>
    </row>
    <row r="516" spans="2:2">
      <c r="B516" s="268" t="s">
        <v>76</v>
      </c>
    </row>
    <row r="517" spans="2:2">
      <c r="B517" s="276"/>
    </row>
    <row r="518" spans="2:2" ht="16.5" thickBot="1">
      <c r="B518" s="281"/>
    </row>
    <row r="519" spans="2:2">
      <c r="B519" s="268" t="s">
        <v>76</v>
      </c>
    </row>
    <row r="520" spans="2:2">
      <c r="B520" s="276"/>
    </row>
    <row r="521" spans="2:2" ht="16.5" thickBot="1">
      <c r="B521" s="281"/>
    </row>
    <row r="522" spans="2:2">
      <c r="B522" s="268" t="s">
        <v>76</v>
      </c>
    </row>
    <row r="523" spans="2:2">
      <c r="B523" s="276"/>
    </row>
    <row r="524" spans="2:2" ht="16.5" thickBot="1">
      <c r="B524" s="281"/>
    </row>
    <row r="525" spans="2:2">
      <c r="B525" s="268" t="s">
        <v>76</v>
      </c>
    </row>
    <row r="526" spans="2:2">
      <c r="B526" s="276"/>
    </row>
    <row r="527" spans="2:2" ht="16.5" thickBot="1">
      <c r="B527" s="281"/>
    </row>
    <row r="528" spans="2:2">
      <c r="B528" s="268" t="s">
        <v>76</v>
      </c>
    </row>
    <row r="529" spans="2:2">
      <c r="B529" s="276"/>
    </row>
    <row r="530" spans="2:2" ht="16.5" thickBot="1">
      <c r="B530" s="281"/>
    </row>
    <row r="531" spans="2:2">
      <c r="B531" s="268" t="s">
        <v>76</v>
      </c>
    </row>
    <row r="532" spans="2:2">
      <c r="B532" s="276"/>
    </row>
    <row r="533" spans="2:2" ht="16.5" thickBot="1">
      <c r="B533" s="281"/>
    </row>
    <row r="534" spans="2:2">
      <c r="B534" s="268" t="s">
        <v>76</v>
      </c>
    </row>
    <row r="535" spans="2:2">
      <c r="B535" s="276"/>
    </row>
    <row r="536" spans="2:2" ht="16.5" thickBot="1">
      <c r="B536" s="281"/>
    </row>
    <row r="537" spans="2:2">
      <c r="B537" s="268" t="s">
        <v>76</v>
      </c>
    </row>
    <row r="538" spans="2:2">
      <c r="B538" s="276"/>
    </row>
    <row r="539" spans="2:2" ht="16.5" thickBot="1">
      <c r="B539" s="281"/>
    </row>
    <row r="540" spans="2:2">
      <c r="B540" s="268" t="s">
        <v>76</v>
      </c>
    </row>
    <row r="541" spans="2:2">
      <c r="B541" s="276"/>
    </row>
    <row r="542" spans="2:2" ht="16.5" thickBot="1">
      <c r="B542" s="281"/>
    </row>
    <row r="543" spans="2:2">
      <c r="B543" s="268" t="s">
        <v>76</v>
      </c>
    </row>
    <row r="544" spans="2:2">
      <c r="B544" s="276"/>
    </row>
    <row r="545" spans="2:2" ht="16.5" thickBot="1">
      <c r="B545" s="281"/>
    </row>
    <row r="546" spans="2:2">
      <c r="B546" s="268" t="s">
        <v>76</v>
      </c>
    </row>
    <row r="547" spans="2:2">
      <c r="B547" s="276"/>
    </row>
    <row r="548" spans="2:2" ht="16.5" thickBot="1">
      <c r="B548" s="281"/>
    </row>
    <row r="549" spans="2:2">
      <c r="B549" s="268" t="s">
        <v>76</v>
      </c>
    </row>
    <row r="550" spans="2:2">
      <c r="B550" s="276"/>
    </row>
    <row r="551" spans="2:2" ht="16.5" thickBot="1">
      <c r="B551" s="281"/>
    </row>
    <row r="552" spans="2:2">
      <c r="B552" s="268" t="s">
        <v>76</v>
      </c>
    </row>
    <row r="553" spans="2:2">
      <c r="B553" s="276"/>
    </row>
    <row r="554" spans="2:2" ht="16.5" thickBot="1">
      <c r="B554" s="281"/>
    </row>
    <row r="555" spans="2:2">
      <c r="B555" s="268" t="s">
        <v>76</v>
      </c>
    </row>
    <row r="556" spans="2:2">
      <c r="B556" s="276"/>
    </row>
    <row r="557" spans="2:2" ht="16.5" thickBot="1">
      <c r="B557" s="281"/>
    </row>
    <row r="558" spans="2:2">
      <c r="B558" s="268" t="s">
        <v>76</v>
      </c>
    </row>
    <row r="559" spans="2:2">
      <c r="B559" s="276"/>
    </row>
    <row r="560" spans="2:2" ht="16.5" thickBot="1">
      <c r="B560" s="281"/>
    </row>
    <row r="561" spans="2:2">
      <c r="B561" s="268" t="s">
        <v>76</v>
      </c>
    </row>
    <row r="562" spans="2:2">
      <c r="B562" s="276"/>
    </row>
    <row r="563" spans="2:2" ht="16.5" thickBot="1">
      <c r="B563" s="281"/>
    </row>
    <row r="564" spans="2:2">
      <c r="B564" s="268" t="s">
        <v>76</v>
      </c>
    </row>
    <row r="565" spans="2:2">
      <c r="B565" s="276"/>
    </row>
    <row r="566" spans="2:2" ht="16.5" thickBot="1">
      <c r="B566" s="281"/>
    </row>
    <row r="567" spans="2:2">
      <c r="B567" s="268" t="s">
        <v>76</v>
      </c>
    </row>
    <row r="568" spans="2:2">
      <c r="B568" s="276"/>
    </row>
    <row r="569" spans="2:2" ht="16.5" thickBot="1">
      <c r="B569" s="281"/>
    </row>
    <row r="570" spans="2:2">
      <c r="B570" s="268" t="s">
        <v>76</v>
      </c>
    </row>
    <row r="571" spans="2:2">
      <c r="B571" s="276"/>
    </row>
    <row r="572" spans="2:2" ht="16.5" thickBot="1">
      <c r="B572" s="281"/>
    </row>
    <row r="573" spans="2:2">
      <c r="B573" s="268" t="s">
        <v>76</v>
      </c>
    </row>
    <row r="574" spans="2:2">
      <c r="B574" s="276"/>
    </row>
    <row r="575" spans="2:2" ht="16.5" thickBot="1">
      <c r="B575" s="281"/>
    </row>
    <row r="576" spans="2:2">
      <c r="B576" s="268" t="s">
        <v>76</v>
      </c>
    </row>
    <row r="577" spans="2:2">
      <c r="B577" s="276"/>
    </row>
    <row r="578" spans="2:2" ht="16.5" thickBot="1">
      <c r="B578" s="281"/>
    </row>
    <row r="579" spans="2:2">
      <c r="B579" s="268" t="s">
        <v>76</v>
      </c>
    </row>
    <row r="580" spans="2:2">
      <c r="B580" s="276"/>
    </row>
    <row r="581" spans="2:2" ht="16.5" thickBot="1">
      <c r="B581" s="281"/>
    </row>
    <row r="582" spans="2:2">
      <c r="B582" s="268" t="s">
        <v>76</v>
      </c>
    </row>
    <row r="583" spans="2:2">
      <c r="B583" s="276"/>
    </row>
    <row r="584" spans="2:2" ht="16.5" thickBot="1">
      <c r="B584" s="281"/>
    </row>
    <row r="585" spans="2:2">
      <c r="B585" s="268" t="s">
        <v>76</v>
      </c>
    </row>
    <row r="586" spans="2:2">
      <c r="B586" s="276"/>
    </row>
    <row r="587" spans="2:2" ht="16.5" thickBot="1">
      <c r="B587" s="281"/>
    </row>
    <row r="588" spans="2:2">
      <c r="B588" s="268" t="s">
        <v>76</v>
      </c>
    </row>
    <row r="589" spans="2:2">
      <c r="B589" s="276"/>
    </row>
    <row r="590" spans="2:2" ht="16.5" thickBot="1">
      <c r="B590" s="281"/>
    </row>
    <row r="591" spans="2:2">
      <c r="B591" s="268" t="s">
        <v>76</v>
      </c>
    </row>
    <row r="592" spans="2:2">
      <c r="B592" s="276"/>
    </row>
    <row r="593" spans="2:2" ht="16.5" thickBot="1">
      <c r="B593" s="281"/>
    </row>
    <row r="594" spans="2:2">
      <c r="B594" s="268" t="s">
        <v>76</v>
      </c>
    </row>
    <row r="595" spans="2:2">
      <c r="B595" s="276"/>
    </row>
    <row r="596" spans="2:2" ht="16.5" thickBot="1">
      <c r="B596" s="281"/>
    </row>
    <row r="597" spans="2:2">
      <c r="B597" s="268" t="s">
        <v>76</v>
      </c>
    </row>
    <row r="598" spans="2:2">
      <c r="B598" s="276"/>
    </row>
    <row r="599" spans="2:2" ht="16.5" thickBot="1">
      <c r="B599" s="281"/>
    </row>
    <row r="600" spans="2:2">
      <c r="B600" s="268" t="s">
        <v>76</v>
      </c>
    </row>
    <row r="601" spans="2:2">
      <c r="B601" s="276"/>
    </row>
    <row r="602" spans="2:2" ht="16.5" thickBot="1">
      <c r="B602" s="281"/>
    </row>
    <row r="603" spans="2:2">
      <c r="B603" s="268" t="s">
        <v>76</v>
      </c>
    </row>
    <row r="604" spans="2:2">
      <c r="B604" s="276"/>
    </row>
    <row r="605" spans="2:2" ht="16.5" thickBot="1">
      <c r="B605" s="281"/>
    </row>
    <row r="606" spans="2:2">
      <c r="B606" s="268" t="s">
        <v>76</v>
      </c>
    </row>
    <row r="607" spans="2:2">
      <c r="B607" s="276"/>
    </row>
    <row r="608" spans="2:2" ht="16.5" thickBot="1">
      <c r="B608" s="281"/>
    </row>
    <row r="609" spans="2:2">
      <c r="B609" s="268" t="s">
        <v>76</v>
      </c>
    </row>
    <row r="610" spans="2:2">
      <c r="B610" s="276"/>
    </row>
    <row r="611" spans="2:2" ht="16.5" thickBot="1">
      <c r="B611" s="281"/>
    </row>
    <row r="612" spans="2:2">
      <c r="B612" s="268" t="s">
        <v>76</v>
      </c>
    </row>
    <row r="613" spans="2:2">
      <c r="B613" s="276"/>
    </row>
    <row r="614" spans="2:2" ht="16.5" thickBot="1">
      <c r="B614" s="281"/>
    </row>
    <row r="615" spans="2:2">
      <c r="B615" s="268" t="s">
        <v>76</v>
      </c>
    </row>
    <row r="616" spans="2:2">
      <c r="B616" s="276"/>
    </row>
    <row r="617" spans="2:2" ht="16.5" thickBot="1">
      <c r="B617" s="281"/>
    </row>
    <row r="618" spans="2:2">
      <c r="B618" s="268" t="s">
        <v>76</v>
      </c>
    </row>
    <row r="619" spans="2:2">
      <c r="B619" s="276"/>
    </row>
    <row r="620" spans="2:2" ht="16.5" thickBot="1">
      <c r="B620" s="281"/>
    </row>
    <row r="621" spans="2:2">
      <c r="B621" s="268" t="s">
        <v>76</v>
      </c>
    </row>
    <row r="622" spans="2:2">
      <c r="B622" s="276"/>
    </row>
    <row r="623" spans="2:2" ht="16.5" thickBot="1">
      <c r="B623" s="281"/>
    </row>
    <row r="624" spans="2:2">
      <c r="B624" s="268" t="s">
        <v>76</v>
      </c>
    </row>
    <row r="625" spans="2:2">
      <c r="B625" s="276"/>
    </row>
    <row r="626" spans="2:2" ht="16.5" thickBot="1">
      <c r="B626" s="281"/>
    </row>
    <row r="627" spans="2:2">
      <c r="B627" s="268" t="s">
        <v>76</v>
      </c>
    </row>
    <row r="628" spans="2:2">
      <c r="B628" s="276"/>
    </row>
    <row r="629" spans="2:2" ht="16.5" thickBot="1">
      <c r="B629" s="281"/>
    </row>
    <row r="630" spans="2:2">
      <c r="B630" s="268" t="s">
        <v>76</v>
      </c>
    </row>
    <row r="631" spans="2:2">
      <c r="B631" s="276"/>
    </row>
    <row r="632" spans="2:2" ht="16.5" thickBot="1">
      <c r="B632" s="281"/>
    </row>
    <row r="633" spans="2:2">
      <c r="B633" s="268" t="s">
        <v>76</v>
      </c>
    </row>
    <row r="634" spans="2:2">
      <c r="B634" s="276"/>
    </row>
    <row r="635" spans="2:2" ht="16.5" thickBot="1">
      <c r="B635" s="281"/>
    </row>
    <row r="636" spans="2:2">
      <c r="B636" s="268" t="s">
        <v>76</v>
      </c>
    </row>
    <row r="637" spans="2:2">
      <c r="B637" s="276"/>
    </row>
    <row r="638" spans="2:2" ht="16.5" thickBot="1">
      <c r="B638" s="281"/>
    </row>
    <row r="639" spans="2:2">
      <c r="B639" s="268" t="s">
        <v>76</v>
      </c>
    </row>
    <row r="640" spans="2:2">
      <c r="B640" s="276"/>
    </row>
    <row r="641" spans="2:2" ht="16.5" thickBot="1">
      <c r="B641" s="281"/>
    </row>
    <row r="642" spans="2:2">
      <c r="B642" s="268" t="s">
        <v>76</v>
      </c>
    </row>
    <row r="643" spans="2:2">
      <c r="B643" s="276"/>
    </row>
    <row r="644" spans="2:2" ht="16.5" thickBot="1">
      <c r="B644" s="281"/>
    </row>
    <row r="645" spans="2:2">
      <c r="B645" s="268" t="s">
        <v>76</v>
      </c>
    </row>
    <row r="646" spans="2:2">
      <c r="B646" s="276"/>
    </row>
    <row r="647" spans="2:2" ht="16.5" thickBot="1">
      <c r="B647" s="281"/>
    </row>
    <row r="648" spans="2:2">
      <c r="B648" s="268" t="s">
        <v>76</v>
      </c>
    </row>
    <row r="649" spans="2:2">
      <c r="B649" s="276"/>
    </row>
    <row r="650" spans="2:2" ht="16.5" thickBot="1">
      <c r="B650" s="281"/>
    </row>
    <row r="651" spans="2:2">
      <c r="B651" s="268" t="s">
        <v>76</v>
      </c>
    </row>
    <row r="652" spans="2:2">
      <c r="B652" s="276"/>
    </row>
    <row r="653" spans="2:2" ht="16.5" thickBot="1">
      <c r="B653" s="281"/>
    </row>
    <row r="654" spans="2:2">
      <c r="B654" s="268" t="s">
        <v>76</v>
      </c>
    </row>
    <row r="655" spans="2:2">
      <c r="B655" s="276"/>
    </row>
    <row r="656" spans="2:2" ht="16.5" thickBot="1">
      <c r="B656" s="281"/>
    </row>
    <row r="657" spans="2:2">
      <c r="B657" s="268" t="s">
        <v>76</v>
      </c>
    </row>
    <row r="658" spans="2:2">
      <c r="B658" s="276"/>
    </row>
    <row r="659" spans="2:2" ht="16.5" thickBot="1">
      <c r="B659" s="281"/>
    </row>
    <row r="660" spans="2:2">
      <c r="B660" s="268" t="s">
        <v>76</v>
      </c>
    </row>
    <row r="661" spans="2:2">
      <c r="B661" s="276"/>
    </row>
    <row r="662" spans="2:2" ht="16.5" thickBot="1">
      <c r="B662" s="281"/>
    </row>
    <row r="663" spans="2:2">
      <c r="B663" s="268" t="s">
        <v>76</v>
      </c>
    </row>
    <row r="664" spans="2:2">
      <c r="B664" s="276"/>
    </row>
    <row r="665" spans="2:2" ht="16.5" thickBot="1">
      <c r="B665" s="281"/>
    </row>
  </sheetData>
  <autoFilter ref="A11:AI510"/>
  <mergeCells count="1">
    <mergeCell ref="D8:T8"/>
  </mergeCells>
  <conditionalFormatting sqref="Z12 Z15 Z18 Z21 Z24 Z27 Z30 Z33 Z35:Z36 Z39 Z42 Z45 Z48 Z51 Z54 Z57 Z59:Z60 Z63 Z66 Z68:Z69 Z72 Z74:Z75 Z78 Z80:Z81 Z83:Z84 Z87 Z90 Z93 Z96 Z99 Z102 Z105 Z107:Z108 Z110:Z111 Z114 Z117 Z120 Z123 Z126 Z129 Z132 Z135 Z138 Z141 Z144 Z147 Z150 Z153 Z156 Z159 Z162 Z165 Z168 Z171 Z174 Z177 Z180 Z183 Z186 Z189 Z192 Z195 Z198 Z201 Z204 Z207 Z210 Z213 Z216 Z219 Z222 Z225 Z228 Z231 Z234 Z237 Z240 Z243 Z246 Z249 Z252 Z255 Z258 Z261 Z264 Z267 Z270 Z273 Z276 Z279 Z282 Z285 Z288 Z291 Z294 Z297 Z300 Z303 Z306 Z309 Z312 Z315 Z318 Z321 Z324 Z327 Z330 Z333 Z336 Z339 Z342 Z345 Z348 Z351 Z354 Z357 Z360 Z363 Z366 Z369 Z372 Z375 Z378 Z381 Z384 Z387 Z390 Z393 Y396:Z396 Y399:Z399 Y402:Z402 Y405:Z405 Z408 Z411 Z414 Z429 Z432 Z435 Z438 Z441 Z444 Z447 Z450 Z453 Z456 Z459 Z462 Z465 Z468 Z471 Z474 Z477 Z480 Z483 Z486 Z489 Z492 Z495 Z498 Z501 Z504 Z507 Z417 Z420 Z423 Z426">
    <cfRule type="cellIs" dxfId="1147" priority="7" stopIfTrue="1" operator="equal">
      <formula>"Fail"</formula>
    </cfRule>
    <cfRule type="cellIs" dxfId="1146" priority="8" stopIfTrue="1" operator="equal">
      <formula>"Pass"</formula>
    </cfRule>
  </conditionalFormatting>
  <conditionalFormatting sqref="Z417 Z420 Z423 Z426">
    <cfRule type="cellIs" dxfId="1145" priority="5" stopIfTrue="1" operator="equal">
      <formula>"Fail"</formula>
    </cfRule>
    <cfRule type="cellIs" dxfId="1144" priority="6" stopIfTrue="1" operator="equal">
      <formula>"Pass"</formula>
    </cfRule>
  </conditionalFormatting>
  <conditionalFormatting sqref="Z429">
    <cfRule type="cellIs" dxfId="1143" priority="3" stopIfTrue="1" operator="equal">
      <formula>"Fail"</formula>
    </cfRule>
    <cfRule type="cellIs" dxfId="1142" priority="4" stopIfTrue="1" operator="equal">
      <formula>"Pass"</formula>
    </cfRule>
  </conditionalFormatting>
  <conditionalFormatting sqref="Z450 Z453">
    <cfRule type="cellIs" dxfId="1141" priority="1" stopIfTrue="1" operator="equal">
      <formula>"Fail"</formula>
    </cfRule>
    <cfRule type="cellIs" dxfId="1140" priority="2" stopIfTrue="1" operator="equal">
      <formula>"Pass"</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3"/>
  <dimension ref="A2:FP279"/>
  <sheetViews>
    <sheetView tabSelected="1" zoomScale="85" zoomScaleNormal="85" workbookViewId="0">
      <selection activeCell="E25" sqref="E25"/>
    </sheetView>
  </sheetViews>
  <sheetFormatPr defaultRowHeight="15.75"/>
  <cols>
    <col min="1" max="1" width="18" bestFit="1" customWidth="1"/>
    <col min="10" max="10" width="13.125" customWidth="1"/>
    <col min="13" max="13" width="12.75" bestFit="1" customWidth="1"/>
    <col min="21" max="21" width="10.125" bestFit="1" customWidth="1"/>
  </cols>
  <sheetData>
    <row r="2" spans="1:172" ht="19.5" thickBot="1">
      <c r="G2" s="446" t="s">
        <v>252</v>
      </c>
      <c r="H2" s="447"/>
      <c r="I2" s="447"/>
      <c r="J2" s="447"/>
      <c r="K2" s="447"/>
      <c r="L2" s="447"/>
      <c r="M2" s="447"/>
      <c r="N2" s="447"/>
      <c r="O2" s="447"/>
      <c r="P2" s="447"/>
      <c r="Q2" s="447"/>
    </row>
    <row r="3" spans="1:172" ht="24" thickBot="1">
      <c r="J3" s="397" t="s">
        <v>240</v>
      </c>
      <c r="K3" s="432" t="s">
        <v>241</v>
      </c>
      <c r="L3" s="433"/>
      <c r="R3" s="437" t="s">
        <v>254</v>
      </c>
      <c r="S3" s="438"/>
      <c r="T3" s="439"/>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c r="BY3" s="33"/>
      <c r="BZ3" s="33"/>
      <c r="CA3" s="33"/>
      <c r="CB3" s="33"/>
      <c r="CC3" s="33"/>
      <c r="CD3" s="33"/>
      <c r="CE3" s="33"/>
      <c r="CF3" s="33"/>
      <c r="CG3" s="33"/>
      <c r="CH3" s="33"/>
      <c r="CI3" s="33"/>
      <c r="CJ3" s="33"/>
      <c r="CK3" s="33"/>
      <c r="CL3" s="33"/>
      <c r="CM3" s="33"/>
      <c r="CN3" s="33"/>
      <c r="CO3" s="33"/>
      <c r="CP3" s="33"/>
      <c r="CQ3" s="33"/>
      <c r="CR3" s="33"/>
      <c r="CS3" s="33"/>
      <c r="CT3" s="33"/>
      <c r="CU3" s="33"/>
      <c r="CV3" s="33"/>
      <c r="CW3" s="33"/>
      <c r="CX3" s="33"/>
      <c r="CY3" s="33"/>
      <c r="CZ3" s="33"/>
      <c r="DA3" s="33"/>
      <c r="DB3" s="33"/>
      <c r="DC3" s="33"/>
      <c r="DD3" s="33"/>
      <c r="DE3" s="33"/>
      <c r="DF3" s="33"/>
      <c r="DG3" s="33"/>
      <c r="DH3" s="33"/>
      <c r="DI3" s="33"/>
      <c r="DJ3" s="33"/>
      <c r="DK3" s="33"/>
      <c r="DL3" s="33"/>
      <c r="DM3" s="33"/>
      <c r="DN3" s="33"/>
      <c r="DO3" s="33"/>
      <c r="DP3" s="33"/>
      <c r="DQ3" s="33"/>
      <c r="DR3" s="33"/>
      <c r="DS3" s="33"/>
      <c r="DT3" s="33"/>
      <c r="DU3" s="33"/>
      <c r="DV3" s="33"/>
      <c r="DW3" s="33"/>
      <c r="DX3" s="33"/>
      <c r="DY3" s="33"/>
      <c r="DZ3" s="33"/>
      <c r="EA3" s="33"/>
      <c r="EB3" s="33"/>
      <c r="EC3" s="33"/>
      <c r="ED3" s="33"/>
      <c r="EE3" s="33"/>
      <c r="EF3" s="33"/>
      <c r="EG3" s="33"/>
      <c r="EH3" s="33"/>
      <c r="EI3" s="33"/>
      <c r="EJ3" s="33"/>
      <c r="EK3" s="33"/>
      <c r="EL3" s="33"/>
      <c r="EM3" s="33"/>
      <c r="EN3" s="33"/>
      <c r="EO3" s="33"/>
      <c r="EP3" s="33"/>
      <c r="EQ3" s="33"/>
      <c r="ER3" s="33"/>
      <c r="ES3" s="33"/>
      <c r="ET3" s="33"/>
      <c r="EU3" s="33"/>
      <c r="EV3" s="33"/>
      <c r="EW3" s="33"/>
      <c r="EX3" s="33"/>
      <c r="EY3" s="33"/>
      <c r="EZ3" s="33"/>
      <c r="FA3" s="33"/>
      <c r="FB3" s="33"/>
      <c r="FC3" s="33"/>
      <c r="FD3" s="33"/>
      <c r="FE3" s="33"/>
      <c r="FF3" s="33"/>
    </row>
    <row r="4" spans="1:172" ht="16.5" thickBot="1">
      <c r="J4" s="394" t="s">
        <v>222</v>
      </c>
      <c r="K4" s="395" t="s">
        <v>71</v>
      </c>
      <c r="L4" s="396" t="s">
        <v>72</v>
      </c>
      <c r="R4" s="440"/>
      <c r="S4" s="441"/>
      <c r="T4" s="442"/>
    </row>
    <row r="5" spans="1:172" ht="16.5" thickBot="1">
      <c r="J5" s="391">
        <v>43782</v>
      </c>
      <c r="K5" s="389">
        <v>1868.1004530115333</v>
      </c>
      <c r="L5" s="390">
        <v>2393.9719572448766</v>
      </c>
      <c r="M5" t="s">
        <v>249</v>
      </c>
      <c r="N5">
        <f>30*13</f>
        <v>390</v>
      </c>
      <c r="R5" s="440"/>
      <c r="S5" s="441"/>
      <c r="T5" s="442"/>
      <c r="U5" s="33"/>
      <c r="V5" s="33"/>
      <c r="W5" s="33"/>
      <c r="X5" s="33"/>
      <c r="Y5" s="33"/>
      <c r="Z5" s="33"/>
      <c r="AA5" s="33">
        <v>43101</v>
      </c>
      <c r="AB5" s="33">
        <v>43104</v>
      </c>
      <c r="AC5" s="33">
        <v>43112</v>
      </c>
      <c r="AD5" s="33">
        <v>43116</v>
      </c>
      <c r="AE5" s="33">
        <v>43119</v>
      </c>
      <c r="AF5" s="33">
        <v>43125</v>
      </c>
      <c r="AG5" s="33">
        <v>43129</v>
      </c>
      <c r="AH5" s="33">
        <v>43102</v>
      </c>
      <c r="AI5" s="33">
        <v>43137</v>
      </c>
      <c r="AJ5" s="33">
        <v>43146</v>
      </c>
      <c r="AK5" s="33">
        <v>43151</v>
      </c>
      <c r="AL5" s="33">
        <v>43156</v>
      </c>
      <c r="AM5" s="33">
        <v>43178</v>
      </c>
      <c r="AN5" s="33">
        <v>43182</v>
      </c>
      <c r="AO5" s="33">
        <v>43199</v>
      </c>
      <c r="AP5" s="33">
        <v>43203</v>
      </c>
      <c r="AQ5" s="33">
        <v>43206</v>
      </c>
      <c r="AR5" s="33">
        <v>43214</v>
      </c>
      <c r="AS5" s="33">
        <v>43221</v>
      </c>
      <c r="AT5" s="33">
        <v>43234</v>
      </c>
      <c r="AU5" s="33">
        <v>43238</v>
      </c>
      <c r="AV5" s="33">
        <v>43242</v>
      </c>
      <c r="AW5" s="33">
        <v>43243</v>
      </c>
      <c r="AX5" s="33">
        <v>43248</v>
      </c>
      <c r="AY5" s="33">
        <v>43251</v>
      </c>
      <c r="AZ5" s="33">
        <v>43255</v>
      </c>
      <c r="BA5" s="33">
        <v>43258</v>
      </c>
      <c r="BB5" s="33">
        <v>43262</v>
      </c>
      <c r="BC5" s="33">
        <v>43272</v>
      </c>
      <c r="BD5" s="33">
        <v>43283</v>
      </c>
      <c r="BE5" s="33">
        <v>43287</v>
      </c>
      <c r="BF5" s="33">
        <v>43294</v>
      </c>
      <c r="BG5" s="33">
        <v>43305</v>
      </c>
      <c r="BH5" s="33">
        <v>43308</v>
      </c>
      <c r="BI5" s="33">
        <v>43314</v>
      </c>
      <c r="BJ5" s="33">
        <v>43318</v>
      </c>
      <c r="BK5" s="33">
        <v>43321</v>
      </c>
      <c r="BL5" s="33">
        <v>43325</v>
      </c>
      <c r="BM5" s="33">
        <v>43336</v>
      </c>
      <c r="BN5" s="33">
        <v>43340</v>
      </c>
      <c r="BO5" s="33">
        <v>43344</v>
      </c>
      <c r="BP5" s="33">
        <v>43348</v>
      </c>
      <c r="BQ5" s="33">
        <v>43352</v>
      </c>
      <c r="BR5" s="33">
        <v>43357</v>
      </c>
      <c r="BS5" s="33">
        <v>43362</v>
      </c>
      <c r="BT5" s="33">
        <v>43367</v>
      </c>
      <c r="BU5" s="33">
        <v>43370</v>
      </c>
      <c r="BV5" s="33">
        <v>43370</v>
      </c>
      <c r="BW5" s="33">
        <v>43378</v>
      </c>
      <c r="BX5" s="33">
        <v>43382</v>
      </c>
      <c r="BY5" s="33">
        <v>43385</v>
      </c>
      <c r="BZ5" s="33">
        <v>43388</v>
      </c>
      <c r="CA5" s="33">
        <v>43391</v>
      </c>
      <c r="CB5" s="33">
        <v>43395</v>
      </c>
      <c r="CC5" s="33">
        <v>43398</v>
      </c>
      <c r="CD5" s="33">
        <v>43401</v>
      </c>
      <c r="CE5" s="33">
        <v>43402</v>
      </c>
      <c r="CF5" s="33">
        <v>43404</v>
      </c>
      <c r="CG5" s="33">
        <v>43409</v>
      </c>
      <c r="CH5" s="33">
        <v>43413</v>
      </c>
      <c r="CI5" s="33">
        <v>43424</v>
      </c>
      <c r="CJ5" s="33">
        <v>43430</v>
      </c>
      <c r="CK5" s="33">
        <v>43438</v>
      </c>
      <c r="CL5" s="33">
        <v>43452</v>
      </c>
      <c r="CM5" s="33">
        <v>43452</v>
      </c>
      <c r="CN5" s="33">
        <v>43458</v>
      </c>
      <c r="CO5" s="33">
        <v>43462</v>
      </c>
      <c r="CP5" s="33">
        <v>43466</v>
      </c>
      <c r="CQ5" s="33">
        <v>43480</v>
      </c>
      <c r="CR5" s="33">
        <v>43487</v>
      </c>
      <c r="CS5" s="33">
        <v>43493</v>
      </c>
      <c r="CT5" s="33">
        <v>43497</v>
      </c>
      <c r="CU5" s="33">
        <v>43502</v>
      </c>
      <c r="CV5" s="33">
        <v>43507</v>
      </c>
      <c r="CW5" s="33">
        <v>43510</v>
      </c>
      <c r="CX5" s="33">
        <v>43514</v>
      </c>
      <c r="CY5" s="33">
        <v>43522</v>
      </c>
      <c r="CZ5" s="33">
        <v>43528</v>
      </c>
      <c r="DA5" s="33">
        <v>43544</v>
      </c>
      <c r="DB5" s="33">
        <v>43546</v>
      </c>
      <c r="DC5" s="33">
        <v>43549</v>
      </c>
      <c r="DD5" s="33">
        <v>43552</v>
      </c>
      <c r="DE5" s="33">
        <v>43558</v>
      </c>
      <c r="DF5" s="33">
        <v>43564</v>
      </c>
      <c r="DG5" s="33">
        <v>43569</v>
      </c>
      <c r="DH5" s="33">
        <v>43577</v>
      </c>
      <c r="DI5" s="33">
        <v>43580</v>
      </c>
      <c r="DJ5" s="33">
        <v>43585</v>
      </c>
      <c r="DK5" s="33">
        <v>43588</v>
      </c>
      <c r="DL5" s="33">
        <v>43591</v>
      </c>
      <c r="DM5" s="33">
        <v>43598</v>
      </c>
      <c r="DN5" s="33">
        <v>43601</v>
      </c>
      <c r="DO5" s="33">
        <v>43603</v>
      </c>
      <c r="DP5" s="33">
        <v>43605</v>
      </c>
      <c r="DQ5" s="33">
        <v>43608</v>
      </c>
      <c r="DR5" s="33">
        <v>43612</v>
      </c>
      <c r="DS5" s="33">
        <v>43616</v>
      </c>
      <c r="DT5" s="33">
        <v>43619</v>
      </c>
      <c r="DU5" s="33">
        <v>43623</v>
      </c>
      <c r="DV5" s="33">
        <v>43627</v>
      </c>
      <c r="DW5" s="33">
        <v>43633</v>
      </c>
      <c r="DX5" s="33">
        <v>43637</v>
      </c>
      <c r="DY5" s="33">
        <v>43640</v>
      </c>
      <c r="DZ5" s="33">
        <v>43656</v>
      </c>
      <c r="EA5" s="33">
        <v>43661</v>
      </c>
      <c r="EB5" s="33">
        <v>43667</v>
      </c>
      <c r="EC5" s="33">
        <v>43671</v>
      </c>
      <c r="ED5" s="33">
        <v>43674</v>
      </c>
      <c r="EE5" s="33">
        <v>43678</v>
      </c>
      <c r="EF5" s="33">
        <v>43681</v>
      </c>
      <c r="EG5" s="33">
        <v>43685</v>
      </c>
      <c r="EH5" s="33">
        <v>43690</v>
      </c>
      <c r="EI5" s="33">
        <v>43694</v>
      </c>
      <c r="EJ5" s="33">
        <v>43697</v>
      </c>
      <c r="EK5" s="33">
        <v>43700</v>
      </c>
      <c r="EL5" s="33">
        <v>43704</v>
      </c>
      <c r="EM5" s="33">
        <v>43710</v>
      </c>
      <c r="EN5" s="33">
        <v>43712</v>
      </c>
      <c r="EO5" s="33">
        <v>43715</v>
      </c>
      <c r="EP5" s="33">
        <v>43719</v>
      </c>
      <c r="EQ5" s="33">
        <v>43724</v>
      </c>
      <c r="ER5" s="33">
        <v>43727</v>
      </c>
      <c r="ES5" s="33">
        <v>43732</v>
      </c>
      <c r="ET5" s="33">
        <v>43734</v>
      </c>
      <c r="EU5" s="33">
        <v>43738</v>
      </c>
      <c r="EV5" s="33">
        <v>43756</v>
      </c>
      <c r="EW5" s="33">
        <v>43760</v>
      </c>
      <c r="EX5" s="33">
        <v>43766</v>
      </c>
      <c r="EY5" s="33">
        <v>43773</v>
      </c>
      <c r="EZ5" s="33">
        <v>43782</v>
      </c>
      <c r="FA5" s="33">
        <v>43786</v>
      </c>
      <c r="FB5" s="33">
        <v>43787</v>
      </c>
      <c r="FC5" s="33">
        <v>43787</v>
      </c>
      <c r="FD5" s="33">
        <v>43789</v>
      </c>
      <c r="FE5" s="33">
        <v>43792</v>
      </c>
      <c r="FF5" s="33">
        <v>43795</v>
      </c>
      <c r="FG5" s="33"/>
      <c r="FH5" s="33"/>
      <c r="FI5" s="33"/>
      <c r="FJ5" s="33"/>
      <c r="FK5" s="33"/>
      <c r="FL5" s="33"/>
      <c r="FM5" s="33"/>
      <c r="FN5" s="33"/>
      <c r="FO5" s="33"/>
    </row>
    <row r="6" spans="1:172">
      <c r="J6" s="411"/>
      <c r="K6" s="393"/>
      <c r="L6" s="392"/>
      <c r="M6" t="s">
        <v>250</v>
      </c>
      <c r="N6">
        <f>30</f>
        <v>30</v>
      </c>
      <c r="R6" s="440"/>
      <c r="S6" s="441"/>
      <c r="T6" s="442"/>
    </row>
    <row r="7" spans="1:172">
      <c r="R7" s="440"/>
      <c r="S7" s="441"/>
      <c r="T7" s="442"/>
    </row>
    <row r="8" spans="1:172">
      <c r="R8" s="440"/>
      <c r="S8" s="441"/>
      <c r="T8" s="442"/>
      <c r="U8" s="33"/>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c r="BP8" s="33"/>
      <c r="BQ8" s="33"/>
      <c r="BR8" s="33"/>
      <c r="BS8" s="33"/>
      <c r="BT8" s="33"/>
      <c r="BU8" s="33"/>
      <c r="BV8" s="33"/>
      <c r="BW8" s="33"/>
      <c r="BX8" s="33"/>
      <c r="BY8" s="33"/>
      <c r="BZ8" s="33"/>
      <c r="CA8" s="33"/>
      <c r="CB8" s="33"/>
      <c r="CC8" s="33"/>
      <c r="CD8" s="33"/>
      <c r="CE8" s="33"/>
      <c r="CF8" s="33"/>
      <c r="CG8" s="33"/>
      <c r="CH8" s="33"/>
      <c r="CI8" s="33"/>
      <c r="CJ8" s="33"/>
      <c r="CK8" s="33"/>
      <c r="CL8" s="33"/>
      <c r="CM8" s="33"/>
      <c r="CN8" s="33"/>
      <c r="CO8" s="33"/>
      <c r="CP8" s="33"/>
      <c r="CQ8" s="33"/>
      <c r="CR8" s="33"/>
      <c r="CS8" s="33"/>
      <c r="CT8" s="33"/>
      <c r="CU8" s="33"/>
      <c r="CV8" s="33"/>
      <c r="CW8" s="33"/>
      <c r="CX8" s="33"/>
      <c r="CY8" s="33"/>
      <c r="CZ8" s="33"/>
      <c r="DA8" s="33"/>
      <c r="DB8" s="33"/>
      <c r="DC8" s="33"/>
      <c r="DD8" s="33"/>
      <c r="DE8" s="33"/>
      <c r="DF8" s="33"/>
      <c r="DG8" s="33"/>
      <c r="DH8" s="33"/>
      <c r="DI8" s="33"/>
      <c r="DJ8" s="33"/>
      <c r="DK8" s="33"/>
      <c r="DL8" s="33"/>
      <c r="DM8" s="33"/>
      <c r="DN8" s="33"/>
      <c r="DO8" s="33"/>
      <c r="DP8" s="33"/>
      <c r="DQ8" s="33"/>
      <c r="DR8" s="33"/>
      <c r="DS8" s="33"/>
      <c r="DT8" s="33"/>
      <c r="DU8" s="33"/>
      <c r="DV8" s="33"/>
      <c r="DW8" s="33"/>
      <c r="DX8" s="33"/>
      <c r="DY8" s="33"/>
      <c r="DZ8" s="33"/>
      <c r="EA8" s="33"/>
      <c r="EB8" s="33"/>
      <c r="EC8" s="33"/>
      <c r="ED8" s="33"/>
      <c r="EE8" s="33"/>
      <c r="EF8" s="33"/>
      <c r="EG8" s="33"/>
      <c r="EH8" s="33"/>
      <c r="EI8" s="33"/>
      <c r="EJ8" s="33"/>
      <c r="EK8" s="33"/>
      <c r="EL8" s="33"/>
      <c r="EM8" s="33"/>
      <c r="EN8" s="33"/>
      <c r="EO8" s="33"/>
      <c r="EP8" s="33"/>
      <c r="EQ8" s="33"/>
      <c r="ER8" s="33"/>
      <c r="ES8" s="33"/>
      <c r="ET8" s="33"/>
      <c r="EU8" s="33"/>
      <c r="EV8" s="33"/>
      <c r="EW8" s="33"/>
      <c r="EX8" s="33"/>
      <c r="EY8" s="33"/>
      <c r="EZ8" s="33"/>
      <c r="FA8" s="33"/>
      <c r="FB8" s="33"/>
      <c r="FC8" s="33"/>
      <c r="FD8" s="33"/>
      <c r="FE8" s="33"/>
      <c r="FF8" s="33"/>
      <c r="FG8" s="33"/>
      <c r="FH8" s="33"/>
      <c r="FI8" s="33"/>
      <c r="FJ8" s="33"/>
    </row>
    <row r="9" spans="1:172">
      <c r="R9" s="440"/>
      <c r="S9" s="441"/>
      <c r="T9" s="442"/>
    </row>
    <row r="10" spans="1:172">
      <c r="R10" s="440"/>
      <c r="S10" s="441"/>
      <c r="T10" s="442"/>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c r="BW10" s="33"/>
      <c r="BX10" s="33"/>
      <c r="BY10" s="33"/>
      <c r="BZ10" s="33"/>
      <c r="CA10" s="33"/>
      <c r="CB10" s="33"/>
      <c r="CC10" s="33"/>
      <c r="CD10" s="33"/>
      <c r="CE10" s="33"/>
      <c r="CF10" s="33"/>
      <c r="CG10" s="33"/>
      <c r="CH10" s="33"/>
      <c r="CI10" s="33"/>
      <c r="CJ10" s="33"/>
      <c r="CK10" s="33"/>
      <c r="CL10" s="33"/>
      <c r="CM10" s="33"/>
      <c r="CN10" s="33"/>
      <c r="CO10" s="33"/>
      <c r="CP10" s="33"/>
      <c r="CQ10" s="33"/>
      <c r="CR10" s="33"/>
      <c r="CS10" s="33"/>
      <c r="CT10" s="33"/>
      <c r="CU10" s="33"/>
      <c r="CV10" s="33"/>
      <c r="CW10" s="33"/>
      <c r="CX10" s="33"/>
      <c r="CY10" s="33"/>
      <c r="CZ10" s="33"/>
      <c r="DA10" s="33"/>
      <c r="DB10" s="33"/>
      <c r="DC10" s="33"/>
      <c r="DD10" s="33"/>
      <c r="DE10" s="33"/>
      <c r="DF10" s="33"/>
      <c r="DG10" s="33"/>
      <c r="DH10" s="33"/>
      <c r="DI10" s="33"/>
      <c r="DJ10" s="33"/>
      <c r="DK10" s="33"/>
      <c r="DL10" s="33"/>
      <c r="DM10" s="33"/>
      <c r="DN10" s="33"/>
      <c r="DO10" s="33"/>
      <c r="DP10" s="33"/>
      <c r="DQ10" s="33"/>
      <c r="DR10" s="33"/>
      <c r="DS10" s="33"/>
      <c r="DT10" s="33"/>
      <c r="DU10" s="33"/>
      <c r="DV10" s="33"/>
      <c r="DW10" s="33"/>
      <c r="DX10" s="33"/>
      <c r="DY10" s="33"/>
      <c r="DZ10" s="33"/>
      <c r="EA10" s="33"/>
      <c r="EB10" s="33"/>
      <c r="EC10" s="33"/>
      <c r="ED10" s="33"/>
      <c r="EE10" s="33"/>
      <c r="EF10" s="33"/>
      <c r="EG10" s="33"/>
      <c r="EH10" s="33"/>
      <c r="EI10" s="33"/>
      <c r="EJ10" s="33"/>
      <c r="EK10" s="33"/>
      <c r="EL10" s="33"/>
      <c r="EM10" s="33"/>
      <c r="EN10" s="33"/>
      <c r="EO10" s="33"/>
      <c r="EP10" s="33"/>
      <c r="EQ10" s="33"/>
      <c r="ER10" s="33"/>
      <c r="ES10" s="33"/>
      <c r="ET10" s="33"/>
      <c r="EU10" s="33"/>
      <c r="EV10" s="33"/>
      <c r="EW10" s="33"/>
      <c r="EX10" s="33"/>
      <c r="EY10" s="33"/>
      <c r="EZ10" s="33"/>
      <c r="FA10" s="33"/>
      <c r="FB10" s="33"/>
      <c r="FC10" s="33"/>
    </row>
    <row r="11" spans="1:172" ht="16.5" thickBot="1">
      <c r="R11" s="440"/>
      <c r="S11" s="441"/>
      <c r="T11" s="442"/>
    </row>
    <row r="12" spans="1:172" ht="19.5" thickBot="1">
      <c r="D12" s="388"/>
      <c r="G12" s="434" t="s">
        <v>251</v>
      </c>
      <c r="H12" s="435"/>
      <c r="I12" s="435"/>
      <c r="J12" s="435"/>
      <c r="K12" s="435"/>
      <c r="L12" s="435"/>
      <c r="M12" s="435"/>
      <c r="N12" s="435"/>
      <c r="O12" s="435"/>
      <c r="P12" s="436"/>
      <c r="R12" s="440"/>
      <c r="S12" s="441"/>
      <c r="T12" s="442"/>
    </row>
    <row r="13" spans="1:172" ht="24" thickBot="1">
      <c r="A13" s="33"/>
      <c r="J13" s="397" t="s">
        <v>240</v>
      </c>
      <c r="K13" s="432" t="s">
        <v>241</v>
      </c>
      <c r="L13" s="433"/>
      <c r="R13" s="440"/>
      <c r="S13" s="441"/>
      <c r="T13" s="442"/>
    </row>
    <row r="14" spans="1:172" ht="16.5" thickBot="1">
      <c r="A14" s="33"/>
      <c r="J14" s="394" t="s">
        <v>222</v>
      </c>
      <c r="K14" s="395" t="s">
        <v>71</v>
      </c>
      <c r="L14" s="396" t="s">
        <v>72</v>
      </c>
      <c r="R14" s="440"/>
      <c r="S14" s="441"/>
      <c r="T14" s="442"/>
    </row>
    <row r="15" spans="1:172" ht="16.5" thickBot="1">
      <c r="A15" s="33"/>
      <c r="J15" s="391">
        <v>43795</v>
      </c>
      <c r="K15" s="389">
        <v>1904.5858180700041</v>
      </c>
      <c r="L15" s="390">
        <v>2147.81614271431</v>
      </c>
      <c r="M15" t="s">
        <v>249</v>
      </c>
      <c r="N15">
        <f>30*17</f>
        <v>510</v>
      </c>
      <c r="R15" s="440"/>
      <c r="S15" s="441"/>
      <c r="T15" s="442"/>
      <c r="AA15" s="33">
        <v>43101</v>
      </c>
      <c r="AB15" s="33">
        <v>43104</v>
      </c>
      <c r="AC15" s="33">
        <v>43112</v>
      </c>
      <c r="AD15" s="33">
        <v>43116</v>
      </c>
      <c r="AE15" s="33">
        <v>43118</v>
      </c>
      <c r="AF15" s="33">
        <v>43122</v>
      </c>
      <c r="AG15" s="33">
        <v>43125</v>
      </c>
      <c r="AH15" s="33">
        <v>43129</v>
      </c>
      <c r="AI15" s="33">
        <v>43132</v>
      </c>
      <c r="AJ15" s="33">
        <v>43132</v>
      </c>
      <c r="AK15" s="33">
        <v>43137</v>
      </c>
      <c r="AL15" s="33">
        <v>43141</v>
      </c>
      <c r="AM15" s="33">
        <v>43146</v>
      </c>
      <c r="AN15" s="33">
        <v>43151</v>
      </c>
      <c r="AO15" s="33">
        <v>43156</v>
      </c>
      <c r="AP15" s="33">
        <v>43178</v>
      </c>
      <c r="AQ15" s="33">
        <v>43182</v>
      </c>
      <c r="AR15" s="33">
        <v>43199</v>
      </c>
      <c r="AS15" s="33">
        <v>43203</v>
      </c>
      <c r="AT15" s="33">
        <v>43206</v>
      </c>
      <c r="AU15" s="33">
        <v>43214</v>
      </c>
      <c r="AV15" s="33">
        <v>43221</v>
      </c>
      <c r="AW15" s="33">
        <v>43234</v>
      </c>
      <c r="AX15" s="33">
        <v>43234</v>
      </c>
      <c r="AY15" s="33">
        <v>43238</v>
      </c>
      <c r="AZ15" s="33">
        <v>43242</v>
      </c>
      <c r="BA15" s="33">
        <v>43243</v>
      </c>
      <c r="BB15" s="33">
        <v>43248</v>
      </c>
      <c r="BC15" s="33">
        <v>43251</v>
      </c>
      <c r="BD15" s="33">
        <v>43255</v>
      </c>
      <c r="BE15" s="33">
        <v>43258</v>
      </c>
      <c r="BF15" s="33">
        <v>43262</v>
      </c>
      <c r="BG15" s="33">
        <v>43272</v>
      </c>
      <c r="BH15" s="33">
        <v>43283</v>
      </c>
      <c r="BI15" s="33">
        <v>43283</v>
      </c>
      <c r="BJ15" s="33">
        <v>43294</v>
      </c>
      <c r="BK15" s="33">
        <v>43300</v>
      </c>
      <c r="BL15" s="33">
        <v>43305</v>
      </c>
      <c r="BM15" s="33">
        <v>43308</v>
      </c>
      <c r="BN15" s="33">
        <v>43314</v>
      </c>
      <c r="BO15" s="33">
        <v>43318</v>
      </c>
      <c r="BP15" s="33">
        <v>43321</v>
      </c>
      <c r="BQ15" s="33">
        <v>43325</v>
      </c>
      <c r="BR15" s="33">
        <v>43336</v>
      </c>
      <c r="BS15" s="33">
        <v>43340</v>
      </c>
      <c r="BT15" s="33">
        <v>43344</v>
      </c>
      <c r="BU15" s="33">
        <v>43348</v>
      </c>
      <c r="BV15" s="33">
        <v>43352</v>
      </c>
      <c r="BW15" s="33">
        <v>43357</v>
      </c>
      <c r="BX15" s="33">
        <v>43362</v>
      </c>
      <c r="BY15" s="33">
        <v>43367</v>
      </c>
      <c r="BZ15" s="33">
        <v>43367</v>
      </c>
      <c r="CA15" s="33">
        <v>43367</v>
      </c>
      <c r="CB15" s="33">
        <v>43368</v>
      </c>
      <c r="CC15" s="33">
        <v>43370</v>
      </c>
      <c r="CD15" s="33">
        <v>43375</v>
      </c>
      <c r="CE15" s="33">
        <v>43378</v>
      </c>
      <c r="CF15" s="33">
        <v>43382</v>
      </c>
      <c r="CG15" s="33">
        <v>43385</v>
      </c>
      <c r="CH15" s="33">
        <v>43388</v>
      </c>
      <c r="CI15" s="33">
        <v>43391</v>
      </c>
      <c r="CJ15" s="33">
        <v>43395</v>
      </c>
      <c r="CK15" s="33">
        <v>43398</v>
      </c>
      <c r="CL15" s="33">
        <v>43401</v>
      </c>
      <c r="CM15" s="33">
        <v>43402</v>
      </c>
      <c r="CN15" s="33">
        <v>43404</v>
      </c>
      <c r="CO15" s="33">
        <v>43409</v>
      </c>
      <c r="CP15" s="33">
        <v>43413</v>
      </c>
      <c r="CQ15" s="33">
        <v>43420</v>
      </c>
      <c r="CR15" s="33">
        <v>43424</v>
      </c>
      <c r="CS15" s="33">
        <v>43430</v>
      </c>
      <c r="CT15" s="33">
        <v>43438</v>
      </c>
      <c r="CU15" s="33">
        <v>43452</v>
      </c>
      <c r="CV15" s="33">
        <v>43452</v>
      </c>
      <c r="CW15" s="33">
        <v>43452</v>
      </c>
      <c r="CX15" s="33">
        <v>43458</v>
      </c>
      <c r="CY15" s="33">
        <v>43460</v>
      </c>
      <c r="CZ15" s="33">
        <v>43466</v>
      </c>
      <c r="DA15" s="33">
        <v>43476</v>
      </c>
      <c r="DB15" s="33">
        <v>43480</v>
      </c>
      <c r="DC15" s="33">
        <v>43487</v>
      </c>
      <c r="DD15" s="33">
        <v>43493</v>
      </c>
      <c r="DE15" s="33">
        <v>43497</v>
      </c>
      <c r="DF15" s="33">
        <v>43502</v>
      </c>
      <c r="DG15" s="33">
        <v>43507</v>
      </c>
      <c r="DH15" s="33">
        <v>43510</v>
      </c>
      <c r="DI15" s="33">
        <v>43522</v>
      </c>
      <c r="DJ15" s="33">
        <v>43528</v>
      </c>
      <c r="DK15" s="33">
        <v>43544</v>
      </c>
      <c r="DL15" s="33">
        <v>43546</v>
      </c>
      <c r="DM15" s="33">
        <v>43549</v>
      </c>
      <c r="DN15" s="33">
        <v>43552</v>
      </c>
      <c r="DO15" s="33">
        <v>43558</v>
      </c>
      <c r="DP15" s="33">
        <v>43564</v>
      </c>
      <c r="DQ15" s="33">
        <v>43569</v>
      </c>
      <c r="DR15" s="33">
        <v>43577</v>
      </c>
      <c r="DS15" s="33">
        <v>43580</v>
      </c>
      <c r="DT15" s="33">
        <v>43585</v>
      </c>
      <c r="DU15" s="33">
        <v>43588</v>
      </c>
      <c r="DV15" s="33">
        <v>43591</v>
      </c>
      <c r="DW15" s="33">
        <v>43598</v>
      </c>
      <c r="DX15" s="33">
        <v>43603</v>
      </c>
      <c r="DY15" s="33">
        <v>43605</v>
      </c>
      <c r="DZ15" s="33">
        <v>43608</v>
      </c>
      <c r="EA15" s="33">
        <v>43612</v>
      </c>
      <c r="EB15" s="33">
        <v>43616</v>
      </c>
      <c r="EC15" s="33">
        <v>43619</v>
      </c>
      <c r="ED15" s="33">
        <v>43623</v>
      </c>
      <c r="EE15" s="33">
        <v>43627</v>
      </c>
      <c r="EF15" s="33">
        <v>43633</v>
      </c>
      <c r="EG15" s="33">
        <v>43637</v>
      </c>
      <c r="EH15" s="33">
        <v>43640</v>
      </c>
      <c r="EI15" s="33">
        <v>43656</v>
      </c>
      <c r="EJ15" s="33">
        <v>43661</v>
      </c>
      <c r="EK15" s="33">
        <v>43667</v>
      </c>
      <c r="EL15" s="33">
        <v>43671</v>
      </c>
      <c r="EM15" s="33">
        <v>43674</v>
      </c>
      <c r="EN15" s="33">
        <v>43678</v>
      </c>
      <c r="EO15" s="33">
        <v>43681</v>
      </c>
      <c r="EP15" s="33">
        <v>43685</v>
      </c>
      <c r="EQ15" s="33">
        <v>43690</v>
      </c>
      <c r="ER15" s="33">
        <v>43694</v>
      </c>
      <c r="ES15" s="33">
        <v>43697</v>
      </c>
      <c r="ET15" s="33">
        <v>43700</v>
      </c>
      <c r="EU15" s="33">
        <v>43704</v>
      </c>
      <c r="EV15" s="33">
        <v>43710</v>
      </c>
      <c r="EW15" s="33">
        <v>43712</v>
      </c>
      <c r="EX15" s="33">
        <v>43715</v>
      </c>
      <c r="EY15" s="33">
        <v>43719</v>
      </c>
      <c r="EZ15" s="33">
        <v>43724</v>
      </c>
      <c r="FA15" s="33">
        <v>43727</v>
      </c>
      <c r="FB15" s="33">
        <v>43732</v>
      </c>
      <c r="FC15" s="33">
        <v>43734</v>
      </c>
      <c r="FD15" s="33">
        <v>43738</v>
      </c>
      <c r="FE15" s="33">
        <v>43752</v>
      </c>
      <c r="FF15" s="33">
        <v>43756</v>
      </c>
      <c r="FG15" s="33">
        <v>43760</v>
      </c>
      <c r="FH15" s="33">
        <v>43766</v>
      </c>
      <c r="FI15" s="33">
        <v>43769</v>
      </c>
      <c r="FJ15" s="33">
        <v>43773</v>
      </c>
      <c r="FK15" s="33">
        <v>43780</v>
      </c>
      <c r="FL15" s="33">
        <v>43786</v>
      </c>
      <c r="FM15" s="33">
        <v>43789</v>
      </c>
      <c r="FN15" s="33">
        <v>43792</v>
      </c>
      <c r="FO15" s="33">
        <v>43795</v>
      </c>
      <c r="FP15" s="33">
        <v>43795</v>
      </c>
    </row>
    <row r="16" spans="1:172" ht="16.5" thickBot="1">
      <c r="A16" s="33"/>
      <c r="J16" s="411">
        <v>1</v>
      </c>
      <c r="K16" s="393"/>
      <c r="L16" s="392"/>
      <c r="M16" t="s">
        <v>250</v>
      </c>
      <c r="N16">
        <f>30</f>
        <v>30</v>
      </c>
      <c r="R16" s="443"/>
      <c r="S16" s="444"/>
      <c r="T16" s="445"/>
    </row>
    <row r="17" spans="1:22">
      <c r="A17" s="33"/>
    </row>
    <row r="18" spans="1:22">
      <c r="A18" s="33"/>
    </row>
    <row r="19" spans="1:22">
      <c r="A19" s="33"/>
    </row>
    <row r="20" spans="1:22">
      <c r="A20" s="33"/>
      <c r="R20" s="33"/>
      <c r="S20" s="387"/>
      <c r="U20" s="33"/>
      <c r="V20" s="387"/>
    </row>
    <row r="21" spans="1:22">
      <c r="A21" s="33"/>
      <c r="U21" s="33"/>
      <c r="V21" s="387"/>
    </row>
    <row r="22" spans="1:22">
      <c r="U22" s="33"/>
      <c r="V22" s="387"/>
    </row>
    <row r="23" spans="1:22">
      <c r="A23" s="33"/>
      <c r="U23" s="33"/>
      <c r="V23" s="387"/>
    </row>
    <row r="24" spans="1:22">
      <c r="A24" s="33"/>
      <c r="U24" s="33"/>
      <c r="V24" s="387"/>
    </row>
    <row r="25" spans="1:22">
      <c r="U25" s="33"/>
      <c r="V25" s="387"/>
    </row>
    <row r="26" spans="1:22">
      <c r="A26" s="33"/>
      <c r="U26" s="33"/>
      <c r="V26" s="387"/>
    </row>
    <row r="27" spans="1:22">
      <c r="A27" s="33"/>
      <c r="U27" s="33"/>
      <c r="V27" s="387"/>
    </row>
    <row r="28" spans="1:22">
      <c r="U28" s="33"/>
      <c r="V28" s="387"/>
    </row>
    <row r="29" spans="1:22">
      <c r="A29" s="33"/>
    </row>
    <row r="30" spans="1:22">
      <c r="A30" s="33"/>
    </row>
    <row r="32" spans="1:22">
      <c r="A32" s="33"/>
    </row>
    <row r="33" spans="1:1">
      <c r="A33" s="33"/>
    </row>
    <row r="35" spans="1:1">
      <c r="A35" s="33"/>
    </row>
    <row r="36" spans="1:1">
      <c r="A36" s="33"/>
    </row>
    <row r="38" spans="1:1">
      <c r="A38" s="33"/>
    </row>
    <row r="39" spans="1:1">
      <c r="A39" s="33"/>
    </row>
    <row r="41" spans="1:1">
      <c r="A41" s="33"/>
    </row>
    <row r="42" spans="1:1">
      <c r="A42" s="33"/>
    </row>
    <row r="44" spans="1:1">
      <c r="A44" s="33"/>
    </row>
    <row r="45" spans="1:1">
      <c r="A45" s="33"/>
    </row>
    <row r="47" spans="1:1">
      <c r="A47" s="33"/>
    </row>
    <row r="48" spans="1:1">
      <c r="A48" s="33"/>
    </row>
    <row r="50" spans="1:1">
      <c r="A50" s="33"/>
    </row>
    <row r="51" spans="1:1">
      <c r="A51" s="33"/>
    </row>
    <row r="53" spans="1:1">
      <c r="A53" s="33"/>
    </row>
    <row r="54" spans="1:1">
      <c r="A54" s="33"/>
    </row>
    <row r="56" spans="1:1">
      <c r="A56" s="33"/>
    </row>
    <row r="57" spans="1:1">
      <c r="A57" s="33"/>
    </row>
    <row r="59" spans="1:1">
      <c r="A59" s="33"/>
    </row>
    <row r="60" spans="1:1">
      <c r="A60" s="33"/>
    </row>
    <row r="62" spans="1:1">
      <c r="A62" s="33"/>
    </row>
    <row r="63" spans="1:1">
      <c r="A63" s="33"/>
    </row>
    <row r="65" spans="1:1">
      <c r="A65" s="33"/>
    </row>
    <row r="66" spans="1:1">
      <c r="A66" s="33"/>
    </row>
    <row r="68" spans="1:1">
      <c r="A68" s="33"/>
    </row>
    <row r="69" spans="1:1">
      <c r="A69" s="33"/>
    </row>
    <row r="71" spans="1:1">
      <c r="A71" s="33"/>
    </row>
    <row r="72" spans="1:1">
      <c r="A72" s="33"/>
    </row>
    <row r="74" spans="1:1">
      <c r="A74" s="33"/>
    </row>
    <row r="75" spans="1:1">
      <c r="A75" s="33"/>
    </row>
    <row r="77" spans="1:1">
      <c r="A77" s="33"/>
    </row>
    <row r="78" spans="1:1">
      <c r="A78" s="33"/>
    </row>
    <row r="80" spans="1:1">
      <c r="A80" s="33"/>
    </row>
    <row r="81" spans="1:1">
      <c r="A81" s="33"/>
    </row>
    <row r="83" spans="1:1">
      <c r="A83" s="33"/>
    </row>
    <row r="84" spans="1:1">
      <c r="A84" s="33"/>
    </row>
    <row r="86" spans="1:1">
      <c r="A86" s="33"/>
    </row>
    <row r="87" spans="1:1">
      <c r="A87" s="33"/>
    </row>
    <row r="89" spans="1:1">
      <c r="A89" s="33"/>
    </row>
    <row r="90" spans="1:1">
      <c r="A90" s="33"/>
    </row>
    <row r="92" spans="1:1">
      <c r="A92" s="33"/>
    </row>
    <row r="93" spans="1:1">
      <c r="A93" s="33"/>
    </row>
    <row r="95" spans="1:1">
      <c r="A95" s="33"/>
    </row>
    <row r="96" spans="1:1">
      <c r="A96" s="33"/>
    </row>
    <row r="98" spans="1:1">
      <c r="A98" s="33"/>
    </row>
    <row r="99" spans="1:1">
      <c r="A99" s="33"/>
    </row>
    <row r="101" spans="1:1">
      <c r="A101" s="33"/>
    </row>
    <row r="102" spans="1:1">
      <c r="A102" s="33"/>
    </row>
    <row r="104" spans="1:1">
      <c r="A104" s="33"/>
    </row>
    <row r="105" spans="1:1">
      <c r="A105" s="33"/>
    </row>
    <row r="107" spans="1:1">
      <c r="A107" s="33"/>
    </row>
    <row r="108" spans="1:1">
      <c r="A108" s="33"/>
    </row>
    <row r="110" spans="1:1">
      <c r="A110" s="33"/>
    </row>
    <row r="111" spans="1:1">
      <c r="A111" s="33"/>
    </row>
    <row r="113" spans="1:1">
      <c r="A113" s="33"/>
    </row>
    <row r="114" spans="1:1">
      <c r="A114" s="33"/>
    </row>
    <row r="116" spans="1:1">
      <c r="A116" s="33"/>
    </row>
    <row r="117" spans="1:1">
      <c r="A117" s="33"/>
    </row>
    <row r="119" spans="1:1">
      <c r="A119" s="33"/>
    </row>
    <row r="120" spans="1:1">
      <c r="A120" s="33"/>
    </row>
    <row r="122" spans="1:1">
      <c r="A122" s="33"/>
    </row>
    <row r="123" spans="1:1">
      <c r="A123" s="33"/>
    </row>
    <row r="125" spans="1:1">
      <c r="A125" s="33"/>
    </row>
    <row r="126" spans="1:1">
      <c r="A126" s="33"/>
    </row>
    <row r="128" spans="1:1">
      <c r="A128" s="33"/>
    </row>
    <row r="129" spans="1:1">
      <c r="A129" s="33"/>
    </row>
    <row r="131" spans="1:1">
      <c r="A131" s="33"/>
    </row>
    <row r="132" spans="1:1">
      <c r="A132" s="33"/>
    </row>
    <row r="134" spans="1:1">
      <c r="A134" s="33"/>
    </row>
    <row r="135" spans="1:1">
      <c r="A135" s="33"/>
    </row>
    <row r="137" spans="1:1">
      <c r="A137" s="33"/>
    </row>
    <row r="138" spans="1:1">
      <c r="A138" s="33"/>
    </row>
    <row r="140" spans="1:1">
      <c r="A140" s="33"/>
    </row>
    <row r="141" spans="1:1">
      <c r="A141" s="33"/>
    </row>
    <row r="143" spans="1:1">
      <c r="A143" s="33"/>
    </row>
    <row r="144" spans="1:1">
      <c r="A144" s="33"/>
    </row>
    <row r="146" spans="1:1">
      <c r="A146" s="33"/>
    </row>
    <row r="147" spans="1:1">
      <c r="A147" s="33"/>
    </row>
    <row r="149" spans="1:1">
      <c r="A149" s="33"/>
    </row>
    <row r="150" spans="1:1">
      <c r="A150" s="33"/>
    </row>
    <row r="152" spans="1:1">
      <c r="A152" s="33"/>
    </row>
    <row r="153" spans="1:1">
      <c r="A153" s="33"/>
    </row>
    <row r="155" spans="1:1">
      <c r="A155" s="33"/>
    </row>
    <row r="156" spans="1:1">
      <c r="A156" s="33"/>
    </row>
    <row r="158" spans="1:1">
      <c r="A158" s="33"/>
    </row>
    <row r="159" spans="1:1">
      <c r="A159" s="33"/>
    </row>
    <row r="161" spans="1:1">
      <c r="A161" s="33"/>
    </row>
    <row r="162" spans="1:1">
      <c r="A162" s="33"/>
    </row>
    <row r="164" spans="1:1">
      <c r="A164" s="33"/>
    </row>
    <row r="165" spans="1:1">
      <c r="A165" s="33"/>
    </row>
    <row r="167" spans="1:1">
      <c r="A167" s="33"/>
    </row>
    <row r="168" spans="1:1">
      <c r="A168" s="33"/>
    </row>
    <row r="170" spans="1:1">
      <c r="A170" s="33"/>
    </row>
    <row r="171" spans="1:1">
      <c r="A171" s="33"/>
    </row>
    <row r="173" spans="1:1">
      <c r="A173" s="33"/>
    </row>
    <row r="174" spans="1:1">
      <c r="A174" s="33"/>
    </row>
    <row r="176" spans="1:1">
      <c r="A176" s="33"/>
    </row>
    <row r="177" spans="1:1">
      <c r="A177" s="33"/>
    </row>
    <row r="179" spans="1:1">
      <c r="A179" s="33"/>
    </row>
    <row r="180" spans="1:1">
      <c r="A180" s="33"/>
    </row>
    <row r="183" spans="1:1">
      <c r="A183" s="33"/>
    </row>
    <row r="186" spans="1:1">
      <c r="A186" s="33"/>
    </row>
    <row r="189" spans="1:1">
      <c r="A189" s="33"/>
    </row>
    <row r="192" spans="1:1">
      <c r="A192" s="33"/>
    </row>
    <row r="195" spans="1:1">
      <c r="A195" s="33"/>
    </row>
    <row r="198" spans="1:1">
      <c r="A198" s="33"/>
    </row>
    <row r="201" spans="1:1">
      <c r="A201" s="33"/>
    </row>
    <row r="204" spans="1:1">
      <c r="A204" s="33"/>
    </row>
    <row r="207" spans="1:1">
      <c r="A207" s="33"/>
    </row>
    <row r="210" spans="1:1">
      <c r="A210" s="33"/>
    </row>
    <row r="213" spans="1:1">
      <c r="A213" s="33"/>
    </row>
    <row r="216" spans="1:1">
      <c r="A216" s="33"/>
    </row>
    <row r="219" spans="1:1">
      <c r="A219" s="33"/>
    </row>
    <row r="222" spans="1:1">
      <c r="A222" s="33"/>
    </row>
    <row r="225" spans="1:1">
      <c r="A225" s="33"/>
    </row>
    <row r="228" spans="1:1">
      <c r="A228" s="33"/>
    </row>
    <row r="231" spans="1:1">
      <c r="A231" s="33"/>
    </row>
    <row r="234" spans="1:1">
      <c r="A234" s="33"/>
    </row>
    <row r="237" spans="1:1">
      <c r="A237" s="33"/>
    </row>
    <row r="240" spans="1:1">
      <c r="A240" s="33"/>
    </row>
    <row r="243" spans="1:1">
      <c r="A243" s="33"/>
    </row>
    <row r="246" spans="1:1">
      <c r="A246" s="33"/>
    </row>
    <row r="249" spans="1:1">
      <c r="A249" s="33"/>
    </row>
    <row r="252" spans="1:1">
      <c r="A252" s="33"/>
    </row>
    <row r="255" spans="1:1">
      <c r="A255" s="33"/>
    </row>
    <row r="258" spans="1:1">
      <c r="A258" s="33"/>
    </row>
    <row r="261" spans="1:1">
      <c r="A261" s="33"/>
    </row>
    <row r="264" spans="1:1">
      <c r="A264" s="33"/>
    </row>
    <row r="267" spans="1:1">
      <c r="A267" s="33"/>
    </row>
    <row r="270" spans="1:1">
      <c r="A270" s="33"/>
    </row>
    <row r="273" spans="1:1">
      <c r="A273" s="33"/>
    </row>
    <row r="276" spans="1:1">
      <c r="A276" s="33"/>
    </row>
    <row r="279" spans="1:1">
      <c r="A279" s="33"/>
    </row>
  </sheetData>
  <mergeCells count="5">
    <mergeCell ref="K3:L3"/>
    <mergeCell ref="K13:L13"/>
    <mergeCell ref="G12:P12"/>
    <mergeCell ref="R3:T16"/>
    <mergeCell ref="G2:Q2"/>
  </mergeCells>
  <dataValidations count="2">
    <dataValidation type="list" allowBlank="1" showInputMessage="1" showErrorMessage="1" promptTitle="Enter Date" prompt="Please select the date from fetched dates" sqref="J15">
      <formula1>$AA$15:$EKS$15</formula1>
    </dataValidation>
    <dataValidation type="list" allowBlank="1" showInputMessage="1" showErrorMessage="1" promptTitle="Enter Date" prompt="Please select the date from fetched dates" sqref="J5">
      <formula1>$AA$5:$EKP$5</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sheetPr codeName="Sheet10"/>
  <dimension ref="A1:J257"/>
  <sheetViews>
    <sheetView workbookViewId="0">
      <selection activeCell="H27" sqref="H27"/>
    </sheetView>
  </sheetViews>
  <sheetFormatPr defaultRowHeight="12.75"/>
  <cols>
    <col min="1" max="1" width="10" style="125" customWidth="1"/>
    <col min="2" max="5" width="9" style="125"/>
    <col min="6" max="6" width="9" style="169"/>
    <col min="7" max="7" width="9" style="168"/>
    <col min="8" max="8" width="9" style="170"/>
    <col min="9" max="256" width="9" style="125"/>
    <col min="257" max="257" width="10" style="125" customWidth="1"/>
    <col min="258" max="512" width="9" style="125"/>
    <col min="513" max="513" width="10" style="125" customWidth="1"/>
    <col min="514" max="768" width="9" style="125"/>
    <col min="769" max="769" width="10" style="125" customWidth="1"/>
    <col min="770" max="1024" width="9" style="125"/>
    <col min="1025" max="1025" width="10" style="125" customWidth="1"/>
    <col min="1026" max="1280" width="9" style="125"/>
    <col min="1281" max="1281" width="10" style="125" customWidth="1"/>
    <col min="1282" max="1536" width="9" style="125"/>
    <col min="1537" max="1537" width="10" style="125" customWidth="1"/>
    <col min="1538" max="1792" width="9" style="125"/>
    <col min="1793" max="1793" width="10" style="125" customWidth="1"/>
    <col min="1794" max="2048" width="9" style="125"/>
    <col min="2049" max="2049" width="10" style="125" customWidth="1"/>
    <col min="2050" max="2304" width="9" style="125"/>
    <col min="2305" max="2305" width="10" style="125" customWidth="1"/>
    <col min="2306" max="2560" width="9" style="125"/>
    <col min="2561" max="2561" width="10" style="125" customWidth="1"/>
    <col min="2562" max="2816" width="9" style="125"/>
    <col min="2817" max="2817" width="10" style="125" customWidth="1"/>
    <col min="2818" max="3072" width="9" style="125"/>
    <col min="3073" max="3073" width="10" style="125" customWidth="1"/>
    <col min="3074" max="3328" width="9" style="125"/>
    <col min="3329" max="3329" width="10" style="125" customWidth="1"/>
    <col min="3330" max="3584" width="9" style="125"/>
    <col min="3585" max="3585" width="10" style="125" customWidth="1"/>
    <col min="3586" max="3840" width="9" style="125"/>
    <col min="3841" max="3841" width="10" style="125" customWidth="1"/>
    <col min="3842" max="4096" width="9" style="125"/>
    <col min="4097" max="4097" width="10" style="125" customWidth="1"/>
    <col min="4098" max="4352" width="9" style="125"/>
    <col min="4353" max="4353" width="10" style="125" customWidth="1"/>
    <col min="4354" max="4608" width="9" style="125"/>
    <col min="4609" max="4609" width="10" style="125" customWidth="1"/>
    <col min="4610" max="4864" width="9" style="125"/>
    <col min="4865" max="4865" width="10" style="125" customWidth="1"/>
    <col min="4866" max="5120" width="9" style="125"/>
    <col min="5121" max="5121" width="10" style="125" customWidth="1"/>
    <col min="5122" max="5376" width="9" style="125"/>
    <col min="5377" max="5377" width="10" style="125" customWidth="1"/>
    <col min="5378" max="5632" width="9" style="125"/>
    <col min="5633" max="5633" width="10" style="125" customWidth="1"/>
    <col min="5634" max="5888" width="9" style="125"/>
    <col min="5889" max="5889" width="10" style="125" customWidth="1"/>
    <col min="5890" max="6144" width="9" style="125"/>
    <col min="6145" max="6145" width="10" style="125" customWidth="1"/>
    <col min="6146" max="6400" width="9" style="125"/>
    <col min="6401" max="6401" width="10" style="125" customWidth="1"/>
    <col min="6402" max="6656" width="9" style="125"/>
    <col min="6657" max="6657" width="10" style="125" customWidth="1"/>
    <col min="6658" max="6912" width="9" style="125"/>
    <col min="6913" max="6913" width="10" style="125" customWidth="1"/>
    <col min="6914" max="7168" width="9" style="125"/>
    <col min="7169" max="7169" width="10" style="125" customWidth="1"/>
    <col min="7170" max="7424" width="9" style="125"/>
    <col min="7425" max="7425" width="10" style="125" customWidth="1"/>
    <col min="7426" max="7680" width="9" style="125"/>
    <col min="7681" max="7681" width="10" style="125" customWidth="1"/>
    <col min="7682" max="7936" width="9" style="125"/>
    <col min="7937" max="7937" width="10" style="125" customWidth="1"/>
    <col min="7938" max="8192" width="9" style="125"/>
    <col min="8193" max="8193" width="10" style="125" customWidth="1"/>
    <col min="8194" max="8448" width="9" style="125"/>
    <col min="8449" max="8449" width="10" style="125" customWidth="1"/>
    <col min="8450" max="8704" width="9" style="125"/>
    <col min="8705" max="8705" width="10" style="125" customWidth="1"/>
    <col min="8706" max="8960" width="9" style="125"/>
    <col min="8961" max="8961" width="10" style="125" customWidth="1"/>
    <col min="8962" max="9216" width="9" style="125"/>
    <col min="9217" max="9217" width="10" style="125" customWidth="1"/>
    <col min="9218" max="9472" width="9" style="125"/>
    <col min="9473" max="9473" width="10" style="125" customWidth="1"/>
    <col min="9474" max="9728" width="9" style="125"/>
    <col min="9729" max="9729" width="10" style="125" customWidth="1"/>
    <col min="9730" max="9984" width="9" style="125"/>
    <col min="9985" max="9985" width="10" style="125" customWidth="1"/>
    <col min="9986" max="10240" width="9" style="125"/>
    <col min="10241" max="10241" width="10" style="125" customWidth="1"/>
    <col min="10242" max="10496" width="9" style="125"/>
    <col min="10497" max="10497" width="10" style="125" customWidth="1"/>
    <col min="10498" max="10752" width="9" style="125"/>
    <col min="10753" max="10753" width="10" style="125" customWidth="1"/>
    <col min="10754" max="11008" width="9" style="125"/>
    <col min="11009" max="11009" width="10" style="125" customWidth="1"/>
    <col min="11010" max="11264" width="9" style="125"/>
    <col min="11265" max="11265" width="10" style="125" customWidth="1"/>
    <col min="11266" max="11520" width="9" style="125"/>
    <col min="11521" max="11521" width="10" style="125" customWidth="1"/>
    <col min="11522" max="11776" width="9" style="125"/>
    <col min="11777" max="11777" width="10" style="125" customWidth="1"/>
    <col min="11778" max="12032" width="9" style="125"/>
    <col min="12033" max="12033" width="10" style="125" customWidth="1"/>
    <col min="12034" max="12288" width="9" style="125"/>
    <col min="12289" max="12289" width="10" style="125" customWidth="1"/>
    <col min="12290" max="12544" width="9" style="125"/>
    <col min="12545" max="12545" width="10" style="125" customWidth="1"/>
    <col min="12546" max="12800" width="9" style="125"/>
    <col min="12801" max="12801" width="10" style="125" customWidth="1"/>
    <col min="12802" max="13056" width="9" style="125"/>
    <col min="13057" max="13057" width="10" style="125" customWidth="1"/>
    <col min="13058" max="13312" width="9" style="125"/>
    <col min="13313" max="13313" width="10" style="125" customWidth="1"/>
    <col min="13314" max="13568" width="9" style="125"/>
    <col min="13569" max="13569" width="10" style="125" customWidth="1"/>
    <col min="13570" max="13824" width="9" style="125"/>
    <col min="13825" max="13825" width="10" style="125" customWidth="1"/>
    <col min="13826" max="14080" width="9" style="125"/>
    <col min="14081" max="14081" width="10" style="125" customWidth="1"/>
    <col min="14082" max="14336" width="9" style="125"/>
    <col min="14337" max="14337" width="10" style="125" customWidth="1"/>
    <col min="14338" max="14592" width="9" style="125"/>
    <col min="14593" max="14593" width="10" style="125" customWidth="1"/>
    <col min="14594" max="14848" width="9" style="125"/>
    <col min="14849" max="14849" width="10" style="125" customWidth="1"/>
    <col min="14850" max="15104" width="9" style="125"/>
    <col min="15105" max="15105" width="10" style="125" customWidth="1"/>
    <col min="15106" max="15360" width="9" style="125"/>
    <col min="15361" max="15361" width="10" style="125" customWidth="1"/>
    <col min="15362" max="15616" width="9" style="125"/>
    <col min="15617" max="15617" width="10" style="125" customWidth="1"/>
    <col min="15618" max="15872" width="9" style="125"/>
    <col min="15873" max="15873" width="10" style="125" customWidth="1"/>
    <col min="15874" max="16128" width="9" style="125"/>
    <col min="16129" max="16129" width="10" style="125" customWidth="1"/>
    <col min="16130" max="16384" width="9" style="125"/>
  </cols>
  <sheetData>
    <row r="1" spans="1:10" ht="36">
      <c r="A1" s="130" t="s">
        <v>119</v>
      </c>
      <c r="B1" s="448" t="s">
        <v>40</v>
      </c>
      <c r="C1" s="449"/>
      <c r="D1" s="131" t="s">
        <v>120</v>
      </c>
      <c r="E1" s="131" t="s">
        <v>29</v>
      </c>
      <c r="F1" s="132" t="s">
        <v>41</v>
      </c>
      <c r="G1" s="133"/>
      <c r="H1" s="134"/>
    </row>
    <row r="2" spans="1:10">
      <c r="A2" s="130"/>
      <c r="B2" s="135" t="s">
        <v>44</v>
      </c>
      <c r="C2" s="135" t="s">
        <v>45</v>
      </c>
      <c r="D2" s="136"/>
      <c r="E2" s="136"/>
      <c r="F2" s="132"/>
      <c r="G2" s="133"/>
      <c r="H2" s="134"/>
    </row>
    <row r="3" spans="1:10">
      <c r="A3" s="137">
        <v>43304</v>
      </c>
      <c r="B3" s="138">
        <v>9</v>
      </c>
      <c r="C3" s="138">
        <v>15</v>
      </c>
      <c r="D3" s="139">
        <f>IF(((C3="")*AND(B3="")),"",(C3-B3))</f>
        <v>6</v>
      </c>
      <c r="E3" s="140" t="str">
        <f>IF(D3="","",IF(D3&lt;60,"Pass","Fail"))</f>
        <v>Pass</v>
      </c>
      <c r="F3" s="141">
        <v>1340</v>
      </c>
      <c r="G3" s="142"/>
      <c r="H3" s="134"/>
    </row>
    <row r="4" spans="1:10">
      <c r="A4" s="137">
        <v>43305</v>
      </c>
      <c r="B4" s="138">
        <v>13</v>
      </c>
      <c r="C4" s="138">
        <v>63</v>
      </c>
      <c r="D4" s="139">
        <f t="shared" ref="D4:D49" si="0">IF(((C4="")*AND(B4="")),"",(C4-B4))</f>
        <v>50</v>
      </c>
      <c r="E4" s="140" t="str">
        <f t="shared" ref="E4:E49" si="1">IF(D4="","",IF(D4&lt;60,"Pass","Fail"))</f>
        <v>Pass</v>
      </c>
      <c r="F4" s="141">
        <v>1340</v>
      </c>
      <c r="G4" s="142"/>
      <c r="H4" s="134"/>
      <c r="I4" s="143"/>
      <c r="J4" s="143"/>
    </row>
    <row r="5" spans="1:10">
      <c r="A5" s="137">
        <v>43306</v>
      </c>
      <c r="B5" s="138">
        <v>21</v>
      </c>
      <c r="C5" s="138">
        <v>23</v>
      </c>
      <c r="D5" s="139">
        <f t="shared" si="0"/>
        <v>2</v>
      </c>
      <c r="E5" s="140" t="str">
        <f t="shared" si="1"/>
        <v>Pass</v>
      </c>
      <c r="F5" s="141">
        <v>121</v>
      </c>
      <c r="G5" s="142"/>
      <c r="H5" s="134"/>
      <c r="I5" s="143"/>
      <c r="J5" s="143"/>
    </row>
    <row r="6" spans="1:10">
      <c r="A6" s="137">
        <v>43308</v>
      </c>
      <c r="B6" s="144">
        <v>14</v>
      </c>
      <c r="C6" s="144">
        <v>39</v>
      </c>
      <c r="D6" s="144">
        <f>IF(((C6="")*AND(B6="")),"",(C6-B6))</f>
        <v>25</v>
      </c>
      <c r="E6" s="145" t="str">
        <f>IF(D6="","",IF(D6&lt;60,"Pass","Fail"))</f>
        <v>Pass</v>
      </c>
      <c r="F6" s="146">
        <v>1340</v>
      </c>
      <c r="G6" s="142"/>
      <c r="H6" s="134"/>
    </row>
    <row r="7" spans="1:10">
      <c r="A7" s="137">
        <v>43311</v>
      </c>
      <c r="B7" s="138">
        <v>29</v>
      </c>
      <c r="C7" s="138">
        <v>38</v>
      </c>
      <c r="D7" s="139">
        <f t="shared" si="0"/>
        <v>9</v>
      </c>
      <c r="E7" s="140" t="str">
        <f t="shared" si="1"/>
        <v>Pass</v>
      </c>
      <c r="F7" s="141">
        <v>1340</v>
      </c>
      <c r="G7" s="142"/>
      <c r="H7" s="134"/>
    </row>
    <row r="8" spans="1:10">
      <c r="A8" s="137">
        <v>43313</v>
      </c>
      <c r="B8" s="144">
        <v>8</v>
      </c>
      <c r="C8" s="144">
        <v>24</v>
      </c>
      <c r="D8" s="144">
        <f>IF(((C8="")*AND(B8="")),"",(C8-B8))</f>
        <v>16</v>
      </c>
      <c r="E8" s="145" t="str">
        <f>IF(D8="","",IF(D8&lt;60,"Pass","Fail"))</f>
        <v>Pass</v>
      </c>
      <c r="F8" s="146">
        <v>74</v>
      </c>
      <c r="G8" s="142"/>
      <c r="H8" s="134"/>
    </row>
    <row r="9" spans="1:10">
      <c r="A9" s="137">
        <v>43318</v>
      </c>
      <c r="B9" s="138">
        <v>6</v>
      </c>
      <c r="C9" s="138">
        <v>9</v>
      </c>
      <c r="D9" s="139">
        <f>IF(((C9="")*AND(B9="")),"",(C9-B9))</f>
        <v>3</v>
      </c>
      <c r="E9" s="140" t="str">
        <f>IF(D9="","",IF(D9&lt;60,"Pass","Fail"))</f>
        <v>Pass</v>
      </c>
      <c r="F9" s="141">
        <v>1340</v>
      </c>
      <c r="G9" s="142"/>
      <c r="H9" s="134"/>
    </row>
    <row r="10" spans="1:10">
      <c r="A10" s="137">
        <v>43320</v>
      </c>
      <c r="B10" s="147">
        <v>6</v>
      </c>
      <c r="C10" s="147">
        <v>8</v>
      </c>
      <c r="D10" s="147">
        <f>IF(((C10="")*AND(B10="")),"",(C10-B10))</f>
        <v>2</v>
      </c>
      <c r="E10" s="140" t="str">
        <f>IF(D10="","",IF(D10&lt;60,"Pass","Fail"))</f>
        <v>Pass</v>
      </c>
      <c r="F10" s="148">
        <v>1519</v>
      </c>
      <c r="G10" s="142"/>
      <c r="H10" s="134"/>
    </row>
    <row r="11" spans="1:10">
      <c r="A11" s="137">
        <v>43321</v>
      </c>
      <c r="B11" s="144">
        <v>8</v>
      </c>
      <c r="C11" s="144">
        <v>19</v>
      </c>
      <c r="D11" s="144">
        <f>IF(((C11="")*AND(B11="")),"",(C11-B11))</f>
        <v>11</v>
      </c>
      <c r="E11" s="145" t="str">
        <f>IF(D11="","",IF(D11&lt;60,"Pass","Fail"))</f>
        <v>Pass</v>
      </c>
      <c r="F11" s="146">
        <v>1428</v>
      </c>
      <c r="G11" s="142"/>
      <c r="H11" s="134"/>
    </row>
    <row r="12" spans="1:10">
      <c r="A12" s="137"/>
      <c r="B12" s="138"/>
      <c r="C12" s="138"/>
      <c r="D12" s="139" t="str">
        <f t="shared" si="0"/>
        <v/>
      </c>
      <c r="E12" s="140" t="str">
        <f t="shared" si="1"/>
        <v/>
      </c>
      <c r="F12" s="141"/>
      <c r="G12" s="142"/>
      <c r="H12" s="134"/>
    </row>
    <row r="13" spans="1:10">
      <c r="A13" s="137"/>
      <c r="B13" s="138"/>
      <c r="C13" s="138"/>
      <c r="D13" s="139" t="str">
        <f t="shared" si="0"/>
        <v/>
      </c>
      <c r="E13" s="140" t="str">
        <f t="shared" si="1"/>
        <v/>
      </c>
      <c r="F13" s="141"/>
      <c r="G13" s="142"/>
      <c r="H13" s="134"/>
    </row>
    <row r="14" spans="1:10">
      <c r="A14" s="137"/>
      <c r="B14" s="138"/>
      <c r="C14" s="138"/>
      <c r="D14" s="139" t="str">
        <f t="shared" si="0"/>
        <v/>
      </c>
      <c r="E14" s="140" t="str">
        <f t="shared" si="1"/>
        <v/>
      </c>
      <c r="F14" s="141"/>
      <c r="G14" s="142"/>
      <c r="H14" s="134"/>
    </row>
    <row r="15" spans="1:10">
      <c r="A15" s="137"/>
      <c r="B15" s="138"/>
      <c r="C15" s="138"/>
      <c r="D15" s="139" t="str">
        <f t="shared" si="0"/>
        <v/>
      </c>
      <c r="E15" s="140" t="str">
        <f t="shared" si="1"/>
        <v/>
      </c>
      <c r="F15" s="141"/>
      <c r="G15" s="142"/>
      <c r="H15" s="134"/>
    </row>
    <row r="16" spans="1:10">
      <c r="A16" s="137"/>
      <c r="B16" s="138"/>
      <c r="C16" s="138"/>
      <c r="D16" s="139" t="str">
        <f t="shared" si="0"/>
        <v/>
      </c>
      <c r="E16" s="140" t="str">
        <f t="shared" si="1"/>
        <v/>
      </c>
      <c r="F16" s="141"/>
      <c r="G16" s="142"/>
      <c r="H16" s="134"/>
    </row>
    <row r="17" spans="1:8">
      <c r="A17" s="137"/>
      <c r="B17" s="138"/>
      <c r="C17" s="138"/>
      <c r="D17" s="139" t="str">
        <f t="shared" si="0"/>
        <v/>
      </c>
      <c r="E17" s="140" t="str">
        <f t="shared" si="1"/>
        <v/>
      </c>
      <c r="F17" s="141"/>
      <c r="G17" s="142"/>
      <c r="H17" s="134"/>
    </row>
    <row r="18" spans="1:8">
      <c r="A18" s="137"/>
      <c r="B18" s="138"/>
      <c r="C18" s="138"/>
      <c r="D18" s="139" t="str">
        <f t="shared" si="0"/>
        <v/>
      </c>
      <c r="E18" s="140" t="str">
        <f t="shared" si="1"/>
        <v/>
      </c>
      <c r="F18" s="141"/>
      <c r="G18" s="142"/>
      <c r="H18" s="134"/>
    </row>
    <row r="19" spans="1:8">
      <c r="A19" s="137"/>
      <c r="B19" s="138"/>
      <c r="C19" s="138"/>
      <c r="D19" s="139" t="str">
        <f t="shared" si="0"/>
        <v/>
      </c>
      <c r="E19" s="140" t="str">
        <f t="shared" si="1"/>
        <v/>
      </c>
      <c r="F19" s="141"/>
      <c r="G19" s="142"/>
      <c r="H19" s="134"/>
    </row>
    <row r="20" spans="1:8">
      <c r="A20" s="137"/>
      <c r="B20" s="138"/>
      <c r="C20" s="138"/>
      <c r="D20" s="139" t="str">
        <f t="shared" si="0"/>
        <v/>
      </c>
      <c r="E20" s="140" t="str">
        <f t="shared" si="1"/>
        <v/>
      </c>
      <c r="F20" s="141"/>
      <c r="G20" s="142"/>
      <c r="H20" s="134"/>
    </row>
    <row r="21" spans="1:8">
      <c r="A21" s="137"/>
      <c r="B21" s="138"/>
      <c r="C21" s="138"/>
      <c r="D21" s="139" t="str">
        <f t="shared" si="0"/>
        <v/>
      </c>
      <c r="E21" s="140" t="str">
        <f t="shared" si="1"/>
        <v/>
      </c>
      <c r="F21" s="141"/>
      <c r="G21" s="142"/>
      <c r="H21" s="134"/>
    </row>
    <row r="22" spans="1:8">
      <c r="A22" s="137"/>
      <c r="B22" s="138"/>
      <c r="C22" s="138"/>
      <c r="D22" s="139" t="str">
        <f t="shared" si="0"/>
        <v/>
      </c>
      <c r="E22" s="140" t="str">
        <f t="shared" si="1"/>
        <v/>
      </c>
      <c r="F22" s="141"/>
      <c r="G22" s="142"/>
      <c r="H22" s="134"/>
    </row>
    <row r="23" spans="1:8">
      <c r="A23" s="137"/>
      <c r="B23" s="138"/>
      <c r="C23" s="138"/>
      <c r="D23" s="139" t="str">
        <f t="shared" si="0"/>
        <v/>
      </c>
      <c r="E23" s="140" t="str">
        <f t="shared" si="1"/>
        <v/>
      </c>
      <c r="F23" s="141"/>
      <c r="G23" s="142"/>
      <c r="H23" s="134"/>
    </row>
    <row r="24" spans="1:8">
      <c r="A24" s="137"/>
      <c r="B24" s="138"/>
      <c r="C24" s="138"/>
      <c r="D24" s="139" t="str">
        <f t="shared" si="0"/>
        <v/>
      </c>
      <c r="E24" s="140" t="str">
        <f t="shared" si="1"/>
        <v/>
      </c>
      <c r="F24" s="141"/>
      <c r="G24" s="142"/>
      <c r="H24" s="134"/>
    </row>
    <row r="25" spans="1:8">
      <c r="A25" s="137"/>
      <c r="B25" s="138"/>
      <c r="C25" s="138"/>
      <c r="D25" s="139" t="str">
        <f>IF(((C25="")*AND(B25="")),"",(C25-B25))</f>
        <v/>
      </c>
      <c r="E25" s="140" t="str">
        <f>IF(D25="","",IF(D25&lt;60,"Pass","Fail"))</f>
        <v/>
      </c>
      <c r="F25" s="141"/>
      <c r="G25" s="142"/>
      <c r="H25" s="134"/>
    </row>
    <row r="26" spans="1:8">
      <c r="A26" s="137"/>
      <c r="B26" s="138"/>
      <c r="C26" s="138"/>
      <c r="D26" s="139" t="str">
        <f t="shared" si="0"/>
        <v/>
      </c>
      <c r="E26" s="140" t="str">
        <f t="shared" si="1"/>
        <v/>
      </c>
      <c r="F26" s="141"/>
      <c r="G26" s="142"/>
      <c r="H26" s="134"/>
    </row>
    <row r="27" spans="1:8">
      <c r="A27" s="137"/>
      <c r="B27" s="138"/>
      <c r="C27" s="138"/>
      <c r="D27" s="139" t="str">
        <f>IF(((C27="")*AND(B27="")),"",(C27-B27))</f>
        <v/>
      </c>
      <c r="E27" s="140" t="str">
        <f>IF(D27="","",IF(D27&lt;60,"Pass","Fail"))</f>
        <v/>
      </c>
      <c r="F27" s="141"/>
      <c r="G27" s="142"/>
      <c r="H27" s="134"/>
    </row>
    <row r="28" spans="1:8">
      <c r="A28" s="137"/>
      <c r="B28" s="138"/>
      <c r="C28" s="138"/>
      <c r="D28" s="139" t="str">
        <f t="shared" si="0"/>
        <v/>
      </c>
      <c r="E28" s="140" t="str">
        <f t="shared" si="1"/>
        <v/>
      </c>
      <c r="F28" s="141"/>
      <c r="G28" s="142"/>
      <c r="H28" s="134"/>
    </row>
    <row r="29" spans="1:8">
      <c r="A29" s="137"/>
      <c r="B29" s="138"/>
      <c r="C29" s="138"/>
      <c r="D29" s="139" t="str">
        <f t="shared" si="0"/>
        <v/>
      </c>
      <c r="E29" s="140" t="str">
        <f t="shared" si="1"/>
        <v/>
      </c>
      <c r="F29" s="141"/>
      <c r="G29" s="142"/>
      <c r="H29" s="134"/>
    </row>
    <row r="30" spans="1:8">
      <c r="A30" s="137"/>
      <c r="B30" s="138"/>
      <c r="C30" s="138"/>
      <c r="D30" s="139" t="str">
        <f>IF(((C30="")*AND(B30="")),"",(C30-B30))</f>
        <v/>
      </c>
      <c r="E30" s="140" t="str">
        <f>IF(D30="","",IF(D30&lt;60,"Pass","Fail"))</f>
        <v/>
      </c>
      <c r="F30" s="141"/>
      <c r="G30" s="142"/>
      <c r="H30" s="134"/>
    </row>
    <row r="31" spans="1:8">
      <c r="A31" s="137"/>
      <c r="B31" s="138"/>
      <c r="C31" s="138"/>
      <c r="D31" s="139" t="str">
        <f>IF(((C31="")*AND(B31="")),"",(C31-B31))</f>
        <v/>
      </c>
      <c r="E31" s="140" t="str">
        <f>IF(D31="","",IF(D31&lt;60,"Pass","Fail"))</f>
        <v/>
      </c>
      <c r="F31" s="141"/>
      <c r="G31" s="142"/>
      <c r="H31" s="134"/>
    </row>
    <row r="32" spans="1:8">
      <c r="A32" s="137"/>
      <c r="B32" s="138"/>
      <c r="C32" s="138"/>
      <c r="D32" s="139" t="str">
        <f t="shared" si="0"/>
        <v/>
      </c>
      <c r="E32" s="140" t="str">
        <f t="shared" si="1"/>
        <v/>
      </c>
      <c r="F32" s="141"/>
      <c r="G32" s="142"/>
      <c r="H32" s="134"/>
    </row>
    <row r="33" spans="1:8">
      <c r="A33" s="137"/>
      <c r="B33" s="138"/>
      <c r="C33" s="138"/>
      <c r="D33" s="139" t="str">
        <f t="shared" si="0"/>
        <v/>
      </c>
      <c r="E33" s="140" t="str">
        <f t="shared" si="1"/>
        <v/>
      </c>
      <c r="F33" s="141"/>
      <c r="G33" s="142"/>
      <c r="H33" s="134"/>
    </row>
    <row r="34" spans="1:8">
      <c r="A34" s="137"/>
      <c r="B34" s="138"/>
      <c r="C34" s="138"/>
      <c r="D34" s="139" t="str">
        <f t="shared" si="0"/>
        <v/>
      </c>
      <c r="E34" s="140" t="str">
        <f t="shared" si="1"/>
        <v/>
      </c>
      <c r="F34" s="141"/>
      <c r="G34" s="142"/>
      <c r="H34" s="134"/>
    </row>
    <row r="35" spans="1:8">
      <c r="A35" s="137"/>
      <c r="B35" s="138"/>
      <c r="C35" s="138"/>
      <c r="D35" s="139" t="str">
        <f t="shared" si="0"/>
        <v/>
      </c>
      <c r="E35" s="140" t="str">
        <f t="shared" si="1"/>
        <v/>
      </c>
      <c r="F35" s="141"/>
      <c r="G35" s="142"/>
      <c r="H35" s="134"/>
    </row>
    <row r="36" spans="1:8">
      <c r="A36" s="137"/>
      <c r="B36" s="138"/>
      <c r="C36" s="138"/>
      <c r="D36" s="139" t="str">
        <f t="shared" si="0"/>
        <v/>
      </c>
      <c r="E36" s="140" t="str">
        <f t="shared" si="1"/>
        <v/>
      </c>
      <c r="F36" s="141"/>
      <c r="G36" s="142"/>
      <c r="H36" s="134"/>
    </row>
    <row r="37" spans="1:8">
      <c r="A37" s="137"/>
      <c r="B37" s="138"/>
      <c r="C37" s="138"/>
      <c r="D37" s="139" t="str">
        <f t="shared" si="0"/>
        <v/>
      </c>
      <c r="E37" s="140" t="str">
        <f t="shared" si="1"/>
        <v/>
      </c>
      <c r="F37" s="141"/>
      <c r="G37" s="142"/>
      <c r="H37" s="134"/>
    </row>
    <row r="38" spans="1:8">
      <c r="A38" s="137"/>
      <c r="B38" s="138"/>
      <c r="C38" s="138"/>
      <c r="D38" s="139" t="str">
        <f t="shared" si="0"/>
        <v/>
      </c>
      <c r="E38" s="140" t="str">
        <f t="shared" si="1"/>
        <v/>
      </c>
      <c r="F38" s="141"/>
      <c r="G38" s="142"/>
      <c r="H38" s="134"/>
    </row>
    <row r="39" spans="1:8">
      <c r="A39" s="137"/>
      <c r="B39" s="138"/>
      <c r="C39" s="138"/>
      <c r="D39" s="139" t="str">
        <f t="shared" si="0"/>
        <v/>
      </c>
      <c r="E39" s="140" t="str">
        <f t="shared" si="1"/>
        <v/>
      </c>
      <c r="F39" s="141"/>
      <c r="G39" s="142"/>
      <c r="H39" s="134"/>
    </row>
    <row r="40" spans="1:8">
      <c r="A40" s="149"/>
      <c r="B40" s="150"/>
      <c r="C40" s="150"/>
      <c r="D40" s="139" t="str">
        <f t="shared" si="0"/>
        <v/>
      </c>
      <c r="E40" s="140" t="str">
        <f t="shared" si="1"/>
        <v/>
      </c>
      <c r="F40" s="151"/>
      <c r="G40" s="142"/>
      <c r="H40" s="134"/>
    </row>
    <row r="41" spans="1:8">
      <c r="A41" s="137"/>
      <c r="B41" s="138"/>
      <c r="C41" s="138"/>
      <c r="D41" s="139" t="str">
        <f t="shared" si="0"/>
        <v/>
      </c>
      <c r="E41" s="140" t="str">
        <f t="shared" si="1"/>
        <v/>
      </c>
      <c r="F41" s="141"/>
      <c r="G41" s="142"/>
      <c r="H41" s="134"/>
    </row>
    <row r="42" spans="1:8">
      <c r="A42" s="137"/>
      <c r="B42" s="138"/>
      <c r="C42" s="138"/>
      <c r="D42" s="139" t="str">
        <f t="shared" si="0"/>
        <v/>
      </c>
      <c r="E42" s="140" t="str">
        <f t="shared" si="1"/>
        <v/>
      </c>
      <c r="F42" s="141"/>
      <c r="G42" s="142"/>
      <c r="H42" s="134"/>
    </row>
    <row r="43" spans="1:8">
      <c r="A43" s="149"/>
      <c r="B43" s="150"/>
      <c r="C43" s="150"/>
      <c r="D43" s="139" t="str">
        <f t="shared" si="0"/>
        <v/>
      </c>
      <c r="E43" s="140" t="str">
        <f t="shared" si="1"/>
        <v/>
      </c>
      <c r="F43" s="151"/>
      <c r="G43" s="142"/>
      <c r="H43" s="134"/>
    </row>
    <row r="44" spans="1:8">
      <c r="A44" s="149"/>
      <c r="B44" s="150"/>
      <c r="C44" s="150"/>
      <c r="D44" s="139" t="str">
        <f t="shared" si="0"/>
        <v/>
      </c>
      <c r="E44" s="140" t="str">
        <f t="shared" si="1"/>
        <v/>
      </c>
      <c r="F44" s="151"/>
      <c r="G44" s="142"/>
      <c r="H44" s="134"/>
    </row>
    <row r="45" spans="1:8">
      <c r="A45" s="149"/>
      <c r="B45" s="150"/>
      <c r="C45" s="150"/>
      <c r="D45" s="139" t="str">
        <f t="shared" si="0"/>
        <v/>
      </c>
      <c r="E45" s="140" t="str">
        <f t="shared" si="1"/>
        <v/>
      </c>
      <c r="F45" s="152"/>
      <c r="G45" s="142"/>
      <c r="H45" s="134"/>
    </row>
    <row r="46" spans="1:8">
      <c r="A46" s="137"/>
      <c r="B46" s="138"/>
      <c r="C46" s="138"/>
      <c r="D46" s="139" t="str">
        <f t="shared" si="0"/>
        <v/>
      </c>
      <c r="E46" s="140" t="str">
        <f t="shared" si="1"/>
        <v/>
      </c>
      <c r="F46" s="141"/>
      <c r="G46" s="142"/>
      <c r="H46" s="134"/>
    </row>
    <row r="47" spans="1:8">
      <c r="A47" s="137"/>
      <c r="B47" s="138"/>
      <c r="C47" s="138"/>
      <c r="D47" s="139" t="str">
        <f t="shared" si="0"/>
        <v/>
      </c>
      <c r="E47" s="140" t="str">
        <f t="shared" si="1"/>
        <v/>
      </c>
      <c r="F47" s="141"/>
      <c r="G47" s="142"/>
      <c r="H47" s="134"/>
    </row>
    <row r="48" spans="1:8">
      <c r="A48" s="149"/>
      <c r="B48" s="150"/>
      <c r="C48" s="150"/>
      <c r="D48" s="139" t="str">
        <f>IF(((C48="")*AND(B48="")),"",(C48-B48))</f>
        <v/>
      </c>
      <c r="E48" s="140" t="str">
        <f>IF(D48="","",IF(D48&lt;60,"Pass","Fail"))</f>
        <v/>
      </c>
      <c r="F48" s="152"/>
      <c r="G48" s="142"/>
      <c r="H48" s="134"/>
    </row>
    <row r="49" spans="1:8">
      <c r="A49" s="149"/>
      <c r="B49" s="150"/>
      <c r="C49" s="150"/>
      <c r="D49" s="139" t="str">
        <f t="shared" si="0"/>
        <v/>
      </c>
      <c r="E49" s="140" t="str">
        <f t="shared" si="1"/>
        <v/>
      </c>
      <c r="F49" s="152"/>
      <c r="G49" s="142"/>
      <c r="H49" s="134"/>
    </row>
    <row r="50" spans="1:8">
      <c r="A50" s="137"/>
      <c r="B50" s="138"/>
      <c r="C50" s="138"/>
      <c r="D50" s="139" t="str">
        <f>IF(((C50="")*AND(B50="")),"",(C50-B50))</f>
        <v/>
      </c>
      <c r="E50" s="140" t="str">
        <f>IF(D50="","",IF(D50&lt;60,"Pass","Fail"))</f>
        <v/>
      </c>
      <c r="F50" s="141"/>
      <c r="G50" s="142"/>
      <c r="H50" s="134"/>
    </row>
    <row r="51" spans="1:8">
      <c r="A51" s="137"/>
      <c r="B51" s="138"/>
      <c r="C51" s="138"/>
      <c r="D51" s="139" t="str">
        <f>IF(((C51="")*AND(B51="")),"",(C51-B51))</f>
        <v/>
      </c>
      <c r="E51" s="140" t="str">
        <f>IF(D51="","",IF(D51&lt;60,"Pass","Fail"))</f>
        <v/>
      </c>
      <c r="F51" s="141"/>
      <c r="G51" s="142"/>
      <c r="H51" s="134"/>
    </row>
    <row r="52" spans="1:8">
      <c r="A52" s="137"/>
      <c r="B52" s="138"/>
      <c r="C52" s="138"/>
      <c r="D52" s="139" t="str">
        <f t="shared" ref="D52:D84" si="2">IF(((C52="")*AND(B52="")),"",(C52-B52))</f>
        <v/>
      </c>
      <c r="E52" s="140" t="str">
        <f t="shared" ref="E52:E84" si="3">IF(D52="","",IF(D52&lt;60,"Pass","Fail"))</f>
        <v/>
      </c>
      <c r="F52" s="141"/>
      <c r="G52" s="142"/>
      <c r="H52" s="134"/>
    </row>
    <row r="53" spans="1:8">
      <c r="A53" s="137"/>
      <c r="B53" s="138"/>
      <c r="C53" s="138"/>
      <c r="D53" s="139" t="str">
        <f t="shared" si="2"/>
        <v/>
      </c>
      <c r="E53" s="140" t="str">
        <f t="shared" si="3"/>
        <v/>
      </c>
      <c r="F53" s="141"/>
      <c r="G53" s="142"/>
      <c r="H53" s="134"/>
    </row>
    <row r="54" spans="1:8">
      <c r="A54" s="137"/>
      <c r="B54" s="138"/>
      <c r="C54" s="138"/>
      <c r="D54" s="139" t="str">
        <f t="shared" si="2"/>
        <v/>
      </c>
      <c r="E54" s="140" t="str">
        <f t="shared" si="3"/>
        <v/>
      </c>
      <c r="F54" s="141"/>
      <c r="G54" s="142"/>
      <c r="H54" s="134"/>
    </row>
    <row r="55" spans="1:8">
      <c r="A55" s="137"/>
      <c r="B55" s="138"/>
      <c r="C55" s="138"/>
      <c r="D55" s="139" t="str">
        <f t="shared" si="2"/>
        <v/>
      </c>
      <c r="E55" s="140" t="str">
        <f t="shared" si="3"/>
        <v/>
      </c>
      <c r="F55" s="141"/>
      <c r="G55" s="142"/>
      <c r="H55" s="134"/>
    </row>
    <row r="56" spans="1:8">
      <c r="A56" s="137"/>
      <c r="B56" s="138"/>
      <c r="C56" s="138"/>
      <c r="D56" s="139" t="str">
        <f t="shared" si="2"/>
        <v/>
      </c>
      <c r="E56" s="140" t="str">
        <f t="shared" si="3"/>
        <v/>
      </c>
      <c r="F56" s="141"/>
      <c r="G56" s="142"/>
      <c r="H56" s="134"/>
    </row>
    <row r="57" spans="1:8">
      <c r="A57" s="137"/>
      <c r="B57" s="138"/>
      <c r="C57" s="138"/>
      <c r="D57" s="139" t="str">
        <f t="shared" si="2"/>
        <v/>
      </c>
      <c r="E57" s="140" t="str">
        <f t="shared" si="3"/>
        <v/>
      </c>
      <c r="F57" s="141"/>
      <c r="G57" s="142"/>
      <c r="H57" s="134"/>
    </row>
    <row r="58" spans="1:8">
      <c r="A58" s="137"/>
      <c r="B58" s="138"/>
      <c r="C58" s="138"/>
      <c r="D58" s="139" t="str">
        <f t="shared" si="2"/>
        <v/>
      </c>
      <c r="E58" s="140" t="str">
        <f t="shared" si="3"/>
        <v/>
      </c>
      <c r="F58" s="141"/>
      <c r="G58" s="142"/>
      <c r="H58" s="134"/>
    </row>
    <row r="59" spans="1:8">
      <c r="A59" s="137"/>
      <c r="B59" s="138"/>
      <c r="C59" s="138"/>
      <c r="D59" s="139" t="str">
        <f t="shared" si="2"/>
        <v/>
      </c>
      <c r="E59" s="140" t="str">
        <f t="shared" si="3"/>
        <v/>
      </c>
      <c r="F59" s="141"/>
      <c r="G59" s="142"/>
      <c r="H59" s="134"/>
    </row>
    <row r="60" spans="1:8">
      <c r="A60" s="153"/>
      <c r="B60" s="150"/>
      <c r="C60" s="150"/>
      <c r="D60" s="139" t="str">
        <f t="shared" si="2"/>
        <v/>
      </c>
      <c r="E60" s="140" t="str">
        <f t="shared" si="3"/>
        <v/>
      </c>
      <c r="F60" s="152"/>
      <c r="G60" s="154"/>
      <c r="H60" s="134"/>
    </row>
    <row r="61" spans="1:8">
      <c r="A61" s="153"/>
      <c r="B61" s="150"/>
      <c r="C61" s="150"/>
      <c r="D61" s="139" t="str">
        <f t="shared" si="2"/>
        <v/>
      </c>
      <c r="E61" s="140" t="str">
        <f t="shared" si="3"/>
        <v/>
      </c>
      <c r="F61" s="152"/>
      <c r="G61" s="154"/>
      <c r="H61" s="134"/>
    </row>
    <row r="62" spans="1:8">
      <c r="A62" s="155"/>
      <c r="B62" s="138"/>
      <c r="C62" s="138"/>
      <c r="D62" s="139" t="str">
        <f t="shared" si="2"/>
        <v/>
      </c>
      <c r="E62" s="140" t="str">
        <f t="shared" si="3"/>
        <v/>
      </c>
      <c r="F62" s="141"/>
      <c r="G62" s="142"/>
      <c r="H62" s="134"/>
    </row>
    <row r="63" spans="1:8">
      <c r="A63" s="155"/>
      <c r="B63" s="138"/>
      <c r="C63" s="138"/>
      <c r="D63" s="139" t="str">
        <f t="shared" si="2"/>
        <v/>
      </c>
      <c r="E63" s="140" t="str">
        <f t="shared" si="3"/>
        <v/>
      </c>
      <c r="F63" s="141"/>
      <c r="G63" s="142"/>
      <c r="H63" s="134"/>
    </row>
    <row r="64" spans="1:8">
      <c r="A64" s="155"/>
      <c r="B64" s="138"/>
      <c r="C64" s="138"/>
      <c r="D64" s="156" t="str">
        <f t="shared" si="2"/>
        <v/>
      </c>
      <c r="E64" s="157" t="str">
        <f t="shared" si="3"/>
        <v/>
      </c>
      <c r="F64" s="141"/>
      <c r="G64" s="142"/>
      <c r="H64" s="134"/>
    </row>
    <row r="65" spans="1:8">
      <c r="A65" s="155"/>
      <c r="B65" s="138"/>
      <c r="C65" s="138"/>
      <c r="D65" s="139" t="str">
        <f t="shared" si="2"/>
        <v/>
      </c>
      <c r="E65" s="140" t="str">
        <f t="shared" si="3"/>
        <v/>
      </c>
      <c r="F65" s="141"/>
      <c r="G65" s="142"/>
      <c r="H65" s="134"/>
    </row>
    <row r="66" spans="1:8">
      <c r="A66" s="155"/>
      <c r="B66" s="138"/>
      <c r="C66" s="138"/>
      <c r="D66" s="139" t="str">
        <f t="shared" si="2"/>
        <v/>
      </c>
      <c r="E66" s="140" t="str">
        <f t="shared" si="3"/>
        <v/>
      </c>
      <c r="F66" s="141"/>
      <c r="G66" s="142"/>
      <c r="H66" s="134"/>
    </row>
    <row r="67" spans="1:8">
      <c r="A67" s="155"/>
      <c r="B67" s="138"/>
      <c r="C67" s="138"/>
      <c r="D67" s="139" t="str">
        <f t="shared" si="2"/>
        <v/>
      </c>
      <c r="E67" s="140" t="str">
        <f t="shared" si="3"/>
        <v/>
      </c>
      <c r="F67" s="141"/>
      <c r="G67" s="142"/>
      <c r="H67" s="134"/>
    </row>
    <row r="68" spans="1:8">
      <c r="A68" s="155"/>
      <c r="B68" s="138"/>
      <c r="C68" s="138"/>
      <c r="D68" s="139" t="str">
        <f t="shared" si="2"/>
        <v/>
      </c>
      <c r="E68" s="140" t="str">
        <f t="shared" si="3"/>
        <v/>
      </c>
      <c r="F68" s="141"/>
      <c r="G68" s="142"/>
      <c r="H68" s="134"/>
    </row>
    <row r="69" spans="1:8">
      <c r="A69" s="155"/>
      <c r="B69" s="138"/>
      <c r="C69" s="138"/>
      <c r="D69" s="139" t="str">
        <f t="shared" si="2"/>
        <v/>
      </c>
      <c r="E69" s="140" t="str">
        <f t="shared" si="3"/>
        <v/>
      </c>
      <c r="F69" s="141"/>
      <c r="G69" s="142"/>
      <c r="H69" s="134"/>
    </row>
    <row r="70" spans="1:8">
      <c r="A70" s="155"/>
      <c r="B70" s="138"/>
      <c r="C70" s="138"/>
      <c r="D70" s="139" t="str">
        <f t="shared" si="2"/>
        <v/>
      </c>
      <c r="E70" s="140" t="str">
        <f t="shared" si="3"/>
        <v/>
      </c>
      <c r="F70" s="141"/>
      <c r="G70" s="142"/>
      <c r="H70" s="134"/>
    </row>
    <row r="71" spans="1:8">
      <c r="A71" s="155"/>
      <c r="B71" s="138"/>
      <c r="C71" s="138"/>
      <c r="D71" s="139" t="str">
        <f t="shared" si="2"/>
        <v/>
      </c>
      <c r="E71" s="140" t="str">
        <f t="shared" si="3"/>
        <v/>
      </c>
      <c r="F71" s="141"/>
      <c r="G71" s="142"/>
      <c r="H71" s="134"/>
    </row>
    <row r="72" spans="1:8">
      <c r="A72" s="137"/>
      <c r="B72" s="138"/>
      <c r="C72" s="138"/>
      <c r="D72" s="139" t="str">
        <f t="shared" si="2"/>
        <v/>
      </c>
      <c r="E72" s="140" t="str">
        <f t="shared" si="3"/>
        <v/>
      </c>
      <c r="F72" s="141"/>
      <c r="G72" s="142"/>
      <c r="H72" s="134"/>
    </row>
    <row r="73" spans="1:8">
      <c r="A73" s="137"/>
      <c r="B73" s="138"/>
      <c r="C73" s="138"/>
      <c r="D73" s="139" t="str">
        <f t="shared" si="2"/>
        <v/>
      </c>
      <c r="E73" s="140" t="str">
        <f t="shared" si="3"/>
        <v/>
      </c>
      <c r="F73" s="141"/>
      <c r="G73" s="142"/>
      <c r="H73" s="134"/>
    </row>
    <row r="74" spans="1:8">
      <c r="A74" s="137"/>
      <c r="B74" s="144"/>
      <c r="C74" s="144"/>
      <c r="D74" s="139" t="str">
        <f t="shared" si="2"/>
        <v/>
      </c>
      <c r="E74" s="140" t="str">
        <f t="shared" si="3"/>
        <v/>
      </c>
      <c r="F74" s="158"/>
      <c r="G74" s="159"/>
      <c r="H74" s="134"/>
    </row>
    <row r="75" spans="1:8">
      <c r="A75" s="137"/>
      <c r="B75" s="138"/>
      <c r="C75" s="147"/>
      <c r="D75" s="139" t="str">
        <f t="shared" si="2"/>
        <v/>
      </c>
      <c r="E75" s="140" t="str">
        <f t="shared" si="3"/>
        <v/>
      </c>
      <c r="F75" s="141"/>
      <c r="G75" s="159"/>
      <c r="H75" s="134"/>
    </row>
    <row r="76" spans="1:8">
      <c r="A76" s="137"/>
      <c r="B76" s="144"/>
      <c r="C76" s="144"/>
      <c r="D76" s="139" t="str">
        <f t="shared" si="2"/>
        <v/>
      </c>
      <c r="E76" s="140" t="str">
        <f t="shared" si="3"/>
        <v/>
      </c>
      <c r="F76" s="158"/>
      <c r="G76" s="160"/>
      <c r="H76" s="134"/>
    </row>
    <row r="77" spans="1:8">
      <c r="A77" s="137"/>
      <c r="B77" s="144"/>
      <c r="C77" s="144"/>
      <c r="D77" s="139" t="str">
        <f t="shared" si="2"/>
        <v/>
      </c>
      <c r="E77" s="140" t="str">
        <f t="shared" si="3"/>
        <v/>
      </c>
      <c r="F77" s="158"/>
      <c r="G77" s="160"/>
      <c r="H77" s="134"/>
    </row>
    <row r="78" spans="1:8">
      <c r="A78" s="137"/>
      <c r="B78" s="144"/>
      <c r="C78" s="144"/>
      <c r="D78" s="139" t="str">
        <f t="shared" si="2"/>
        <v/>
      </c>
      <c r="E78" s="140" t="str">
        <f t="shared" si="3"/>
        <v/>
      </c>
      <c r="F78" s="158"/>
      <c r="G78" s="160"/>
      <c r="H78" s="134"/>
    </row>
    <row r="79" spans="1:8">
      <c r="A79" s="137"/>
      <c r="B79" s="144"/>
      <c r="C79" s="144"/>
      <c r="D79" s="139" t="str">
        <f t="shared" si="2"/>
        <v/>
      </c>
      <c r="E79" s="140" t="str">
        <f t="shared" si="3"/>
        <v/>
      </c>
      <c r="F79" s="158"/>
      <c r="G79" s="160"/>
      <c r="H79" s="134"/>
    </row>
    <row r="80" spans="1:8">
      <c r="A80" s="137"/>
      <c r="B80" s="144"/>
      <c r="C80" s="144"/>
      <c r="D80" s="139" t="str">
        <f t="shared" si="2"/>
        <v/>
      </c>
      <c r="E80" s="140" t="str">
        <f t="shared" si="3"/>
        <v/>
      </c>
      <c r="F80" s="158"/>
      <c r="G80" s="160"/>
      <c r="H80" s="134"/>
    </row>
    <row r="81" spans="1:8">
      <c r="A81" s="137"/>
      <c r="B81" s="144"/>
      <c r="C81" s="144"/>
      <c r="D81" s="139" t="str">
        <f t="shared" si="2"/>
        <v/>
      </c>
      <c r="E81" s="140" t="str">
        <f t="shared" si="3"/>
        <v/>
      </c>
      <c r="F81" s="158"/>
      <c r="G81" s="160"/>
      <c r="H81" s="134"/>
    </row>
    <row r="82" spans="1:8">
      <c r="A82" s="137"/>
      <c r="B82" s="144"/>
      <c r="C82" s="144"/>
      <c r="D82" s="139" t="str">
        <f t="shared" si="2"/>
        <v/>
      </c>
      <c r="E82" s="140" t="str">
        <f t="shared" si="3"/>
        <v/>
      </c>
      <c r="F82" s="158"/>
      <c r="G82" s="160"/>
      <c r="H82" s="134"/>
    </row>
    <row r="83" spans="1:8">
      <c r="A83" s="137"/>
      <c r="B83" s="144"/>
      <c r="C83" s="144"/>
      <c r="D83" s="139" t="str">
        <f t="shared" si="2"/>
        <v/>
      </c>
      <c r="E83" s="140" t="str">
        <f t="shared" si="3"/>
        <v/>
      </c>
      <c r="F83" s="158"/>
      <c r="G83" s="160"/>
      <c r="H83" s="134"/>
    </row>
    <row r="84" spans="1:8">
      <c r="A84" s="137"/>
      <c r="B84" s="144"/>
      <c r="C84" s="144"/>
      <c r="D84" s="139" t="str">
        <f t="shared" si="2"/>
        <v/>
      </c>
      <c r="E84" s="140" t="str">
        <f t="shared" si="3"/>
        <v/>
      </c>
      <c r="F84" s="158"/>
      <c r="G84" s="160"/>
      <c r="H84" s="134"/>
    </row>
    <row r="85" spans="1:8">
      <c r="A85" s="137"/>
      <c r="B85" s="144"/>
      <c r="C85" s="144"/>
      <c r="D85" s="144"/>
      <c r="E85" s="145"/>
      <c r="F85" s="158"/>
      <c r="G85" s="160"/>
      <c r="H85" s="134"/>
    </row>
    <row r="86" spans="1:8">
      <c r="A86" s="137"/>
      <c r="B86" s="144"/>
      <c r="C86" s="144"/>
      <c r="D86" s="144"/>
      <c r="E86" s="145"/>
      <c r="F86" s="158"/>
      <c r="G86" s="160"/>
      <c r="H86" s="134"/>
    </row>
    <row r="87" spans="1:8">
      <c r="A87" s="137"/>
      <c r="B87" s="144"/>
      <c r="C87" s="144"/>
      <c r="D87" s="144"/>
      <c r="E87" s="145"/>
      <c r="F87" s="158"/>
      <c r="G87" s="160"/>
      <c r="H87" s="134"/>
    </row>
    <row r="88" spans="1:8">
      <c r="A88" s="137"/>
      <c r="B88" s="144"/>
      <c r="C88" s="144"/>
      <c r="D88" s="144"/>
      <c r="E88" s="145"/>
      <c r="F88" s="158"/>
      <c r="G88" s="160"/>
      <c r="H88" s="134"/>
    </row>
    <row r="89" spans="1:8">
      <c r="A89" s="137"/>
      <c r="B89" s="144"/>
      <c r="C89" s="144"/>
      <c r="D89" s="144"/>
      <c r="E89" s="145"/>
      <c r="F89" s="158"/>
      <c r="G89" s="160"/>
      <c r="H89" s="134"/>
    </row>
    <row r="90" spans="1:8">
      <c r="A90" s="137"/>
      <c r="B90" s="144"/>
      <c r="C90" s="144"/>
      <c r="D90" s="144"/>
      <c r="E90" s="145"/>
      <c r="F90" s="158"/>
      <c r="G90" s="160"/>
      <c r="H90" s="134"/>
    </row>
    <row r="91" spans="1:8">
      <c r="A91" s="137"/>
      <c r="B91" s="144"/>
      <c r="C91" s="144"/>
      <c r="D91" s="144"/>
      <c r="E91" s="145"/>
      <c r="F91" s="158"/>
      <c r="G91" s="160"/>
      <c r="H91" s="134"/>
    </row>
    <row r="92" spans="1:8">
      <c r="A92" s="137"/>
      <c r="B92" s="144"/>
      <c r="C92" s="144"/>
      <c r="D92" s="144"/>
      <c r="E92" s="145"/>
      <c r="F92" s="158"/>
      <c r="G92" s="160"/>
      <c r="H92" s="134"/>
    </row>
    <row r="93" spans="1:8">
      <c r="A93" s="137"/>
      <c r="B93" s="144"/>
      <c r="C93" s="144"/>
      <c r="D93" s="144"/>
      <c r="E93" s="145"/>
      <c r="F93" s="158"/>
      <c r="G93" s="160"/>
      <c r="H93" s="134"/>
    </row>
    <row r="94" spans="1:8">
      <c r="A94" s="137"/>
      <c r="B94" s="144"/>
      <c r="C94" s="144"/>
      <c r="D94" s="144"/>
      <c r="E94" s="145"/>
      <c r="F94" s="158"/>
      <c r="G94" s="160"/>
      <c r="H94" s="134"/>
    </row>
    <row r="95" spans="1:8">
      <c r="A95" s="137"/>
      <c r="B95" s="144"/>
      <c r="C95" s="144"/>
      <c r="D95" s="144"/>
      <c r="E95" s="145"/>
      <c r="F95" s="158"/>
      <c r="G95" s="160"/>
      <c r="H95" s="134"/>
    </row>
    <row r="96" spans="1:8">
      <c r="A96" s="137"/>
      <c r="B96" s="144"/>
      <c r="C96" s="144"/>
      <c r="D96" s="144"/>
      <c r="E96" s="145"/>
      <c r="F96" s="158"/>
      <c r="G96" s="160"/>
      <c r="H96" s="134"/>
    </row>
    <row r="97" spans="1:8">
      <c r="A97" s="137"/>
      <c r="B97" s="144"/>
      <c r="C97" s="144"/>
      <c r="D97" s="144"/>
      <c r="E97" s="145"/>
      <c r="F97" s="158"/>
      <c r="G97" s="160"/>
      <c r="H97" s="134"/>
    </row>
    <row r="98" spans="1:8">
      <c r="A98" s="137"/>
      <c r="B98" s="144"/>
      <c r="C98" s="144"/>
      <c r="D98" s="144"/>
      <c r="E98" s="145"/>
      <c r="F98" s="158"/>
      <c r="G98" s="160"/>
      <c r="H98" s="134"/>
    </row>
    <row r="99" spans="1:8">
      <c r="A99" s="137"/>
      <c r="B99" s="144"/>
      <c r="C99" s="144"/>
      <c r="D99" s="144"/>
      <c r="E99" s="145"/>
      <c r="F99" s="158"/>
      <c r="G99" s="160"/>
      <c r="H99" s="134"/>
    </row>
    <row r="100" spans="1:8">
      <c r="A100" s="137"/>
      <c r="B100" s="144"/>
      <c r="C100" s="144"/>
      <c r="D100" s="144"/>
      <c r="E100" s="145"/>
      <c r="F100" s="158"/>
      <c r="G100" s="160"/>
      <c r="H100" s="134"/>
    </row>
    <row r="101" spans="1:8">
      <c r="A101" s="137"/>
      <c r="B101" s="144"/>
      <c r="C101" s="144"/>
      <c r="D101" s="144"/>
      <c r="E101" s="145"/>
      <c r="F101" s="158"/>
      <c r="G101" s="160"/>
      <c r="H101" s="134"/>
    </row>
    <row r="102" spans="1:8">
      <c r="A102" s="137"/>
      <c r="B102" s="144"/>
      <c r="C102" s="144"/>
      <c r="D102" s="144"/>
      <c r="E102" s="145"/>
      <c r="F102" s="158"/>
      <c r="G102" s="160"/>
      <c r="H102" s="134"/>
    </row>
    <row r="103" spans="1:8">
      <c r="A103" s="137"/>
      <c r="B103" s="144"/>
      <c r="C103" s="144"/>
      <c r="D103" s="144"/>
      <c r="E103" s="145"/>
      <c r="F103" s="158"/>
      <c r="G103" s="160"/>
      <c r="H103" s="134"/>
    </row>
    <row r="104" spans="1:8">
      <c r="A104" s="137"/>
      <c r="B104" s="144"/>
      <c r="C104" s="144"/>
      <c r="D104" s="144"/>
      <c r="E104" s="145"/>
      <c r="F104" s="158"/>
      <c r="G104" s="160"/>
      <c r="H104" s="134"/>
    </row>
    <row r="105" spans="1:8">
      <c r="A105" s="137"/>
      <c r="B105" s="144"/>
      <c r="C105" s="144"/>
      <c r="D105" s="144"/>
      <c r="E105" s="145"/>
      <c r="F105" s="158"/>
      <c r="G105" s="160"/>
      <c r="H105" s="134"/>
    </row>
    <row r="106" spans="1:8">
      <c r="A106" s="137"/>
      <c r="B106" s="144"/>
      <c r="C106" s="144"/>
      <c r="D106" s="144"/>
      <c r="E106" s="145"/>
      <c r="F106" s="158"/>
      <c r="G106" s="160"/>
      <c r="H106" s="134"/>
    </row>
    <row r="107" spans="1:8">
      <c r="A107" s="137"/>
      <c r="B107" s="144"/>
      <c r="C107" s="144"/>
      <c r="D107" s="144"/>
      <c r="E107" s="145"/>
      <c r="F107" s="158"/>
      <c r="G107" s="160"/>
      <c r="H107" s="134"/>
    </row>
    <row r="108" spans="1:8">
      <c r="A108" s="137"/>
      <c r="B108" s="144"/>
      <c r="C108" s="144"/>
      <c r="D108" s="144"/>
      <c r="E108" s="145"/>
      <c r="F108" s="158"/>
      <c r="G108" s="160"/>
      <c r="H108" s="134"/>
    </row>
    <row r="109" spans="1:8">
      <c r="A109" s="137"/>
      <c r="B109" s="144"/>
      <c r="C109" s="144"/>
      <c r="D109" s="144"/>
      <c r="E109" s="145"/>
      <c r="F109" s="158"/>
      <c r="G109" s="160"/>
      <c r="H109" s="134"/>
    </row>
    <row r="110" spans="1:8">
      <c r="A110" s="137"/>
      <c r="B110" s="144"/>
      <c r="C110" s="144"/>
      <c r="D110" s="144"/>
      <c r="E110" s="145"/>
      <c r="F110" s="158"/>
      <c r="G110" s="160"/>
      <c r="H110" s="134"/>
    </row>
    <row r="111" spans="1:8">
      <c r="A111" s="137"/>
      <c r="B111" s="144"/>
      <c r="C111" s="144"/>
      <c r="D111" s="144"/>
      <c r="E111" s="145"/>
      <c r="F111" s="158"/>
      <c r="G111" s="160"/>
      <c r="H111" s="134"/>
    </row>
    <row r="112" spans="1:8">
      <c r="A112" s="137"/>
      <c r="B112" s="138"/>
      <c r="C112" s="138"/>
      <c r="D112" s="138"/>
      <c r="E112" s="140"/>
      <c r="F112" s="158"/>
      <c r="G112" s="160"/>
      <c r="H112" s="134"/>
    </row>
    <row r="113" spans="1:8">
      <c r="A113" s="137"/>
      <c r="B113" s="138"/>
      <c r="C113" s="138"/>
      <c r="D113" s="138"/>
      <c r="E113" s="140"/>
      <c r="F113" s="158"/>
      <c r="G113" s="160"/>
      <c r="H113" s="134"/>
    </row>
    <row r="114" spans="1:8">
      <c r="A114" s="137"/>
      <c r="B114" s="138"/>
      <c r="C114" s="138"/>
      <c r="D114" s="138"/>
      <c r="E114" s="140"/>
      <c r="F114" s="158"/>
      <c r="G114" s="160"/>
      <c r="H114" s="134"/>
    </row>
    <row r="115" spans="1:8">
      <c r="A115" s="137"/>
      <c r="B115" s="138"/>
      <c r="C115" s="138"/>
      <c r="D115" s="138"/>
      <c r="E115" s="140"/>
      <c r="F115" s="158"/>
      <c r="G115" s="160"/>
      <c r="H115" s="134"/>
    </row>
    <row r="116" spans="1:8">
      <c r="A116" s="137"/>
      <c r="B116" s="138"/>
      <c r="C116" s="138"/>
      <c r="D116" s="138"/>
      <c r="E116" s="140"/>
      <c r="F116" s="158"/>
      <c r="G116" s="160"/>
      <c r="H116" s="134"/>
    </row>
    <row r="117" spans="1:8">
      <c r="A117" s="137"/>
      <c r="B117" s="138"/>
      <c r="C117" s="138"/>
      <c r="D117" s="138"/>
      <c r="E117" s="140"/>
      <c r="F117" s="158"/>
      <c r="G117" s="160"/>
      <c r="H117" s="134"/>
    </row>
    <row r="118" spans="1:8">
      <c r="A118" s="137"/>
      <c r="B118" s="138"/>
      <c r="C118" s="138"/>
      <c r="D118" s="138"/>
      <c r="E118" s="140"/>
      <c r="F118" s="161"/>
      <c r="G118" s="160"/>
      <c r="H118" s="134"/>
    </row>
    <row r="119" spans="1:8">
      <c r="A119" s="137"/>
      <c r="B119" s="138"/>
      <c r="C119" s="138"/>
      <c r="D119" s="138"/>
      <c r="E119" s="140"/>
      <c r="F119" s="161"/>
      <c r="G119" s="160"/>
      <c r="H119" s="134"/>
    </row>
    <row r="120" spans="1:8">
      <c r="A120" s="137"/>
      <c r="B120" s="138"/>
      <c r="C120" s="138"/>
      <c r="D120" s="138"/>
      <c r="E120" s="140"/>
      <c r="F120" s="161"/>
      <c r="G120" s="160"/>
      <c r="H120" s="134"/>
    </row>
    <row r="121" spans="1:8">
      <c r="A121" s="137"/>
      <c r="B121" s="138"/>
      <c r="C121" s="138"/>
      <c r="D121" s="138"/>
      <c r="E121" s="140"/>
      <c r="F121" s="161"/>
      <c r="G121" s="160"/>
      <c r="H121" s="134"/>
    </row>
    <row r="122" spans="1:8">
      <c r="A122" s="137"/>
      <c r="B122" s="138"/>
      <c r="C122" s="138"/>
      <c r="D122" s="138"/>
      <c r="E122" s="140"/>
      <c r="F122" s="161"/>
      <c r="G122" s="160"/>
      <c r="H122" s="134"/>
    </row>
    <row r="123" spans="1:8">
      <c r="A123" s="137"/>
      <c r="B123" s="138"/>
      <c r="C123" s="138"/>
      <c r="D123" s="138"/>
      <c r="E123" s="140"/>
      <c r="F123" s="161"/>
      <c r="G123" s="160"/>
      <c r="H123" s="134"/>
    </row>
    <row r="124" spans="1:8">
      <c r="A124" s="137"/>
      <c r="B124" s="147"/>
      <c r="C124" s="147"/>
      <c r="D124" s="147"/>
      <c r="E124" s="140"/>
      <c r="F124" s="162"/>
      <c r="G124" s="160"/>
      <c r="H124" s="134"/>
    </row>
    <row r="125" spans="1:8">
      <c r="A125" s="137"/>
      <c r="B125" s="147"/>
      <c r="C125" s="147"/>
      <c r="D125" s="147"/>
      <c r="E125" s="140"/>
      <c r="F125" s="162"/>
      <c r="G125" s="160"/>
      <c r="H125" s="134"/>
    </row>
    <row r="126" spans="1:8">
      <c r="A126" s="137"/>
      <c r="B126" s="147"/>
      <c r="C126" s="147"/>
      <c r="D126" s="147"/>
      <c r="E126" s="140"/>
      <c r="F126" s="162"/>
      <c r="G126" s="160"/>
      <c r="H126" s="134"/>
    </row>
    <row r="127" spans="1:8">
      <c r="A127" s="137"/>
      <c r="B127" s="147"/>
      <c r="C127" s="147"/>
      <c r="D127" s="147"/>
      <c r="E127" s="140"/>
      <c r="F127" s="162"/>
      <c r="G127" s="160"/>
      <c r="H127" s="134"/>
    </row>
    <row r="128" spans="1:8">
      <c r="A128" s="137"/>
      <c r="B128" s="147"/>
      <c r="C128" s="147"/>
      <c r="D128" s="147"/>
      <c r="E128" s="140"/>
      <c r="F128" s="162"/>
      <c r="G128" s="160"/>
      <c r="H128" s="134"/>
    </row>
    <row r="129" spans="1:8">
      <c r="A129" s="137"/>
      <c r="B129" s="147"/>
      <c r="C129" s="147"/>
      <c r="D129" s="147"/>
      <c r="E129" s="140"/>
      <c r="F129" s="162"/>
      <c r="G129" s="160"/>
      <c r="H129" s="134"/>
    </row>
    <row r="130" spans="1:8">
      <c r="A130" s="137"/>
      <c r="B130" s="147"/>
      <c r="C130" s="147"/>
      <c r="D130" s="147"/>
      <c r="E130" s="140"/>
      <c r="F130" s="162"/>
      <c r="G130" s="160"/>
      <c r="H130" s="134"/>
    </row>
    <row r="131" spans="1:8">
      <c r="A131" s="137"/>
      <c r="B131" s="147"/>
      <c r="C131" s="147"/>
      <c r="D131" s="147"/>
      <c r="E131" s="140"/>
      <c r="F131" s="162"/>
      <c r="G131" s="160"/>
      <c r="H131" s="134"/>
    </row>
    <row r="132" spans="1:8">
      <c r="A132" s="137"/>
      <c r="B132" s="147"/>
      <c r="C132" s="147"/>
      <c r="D132" s="147"/>
      <c r="E132" s="140"/>
      <c r="F132" s="162"/>
      <c r="G132" s="160"/>
      <c r="H132" s="134"/>
    </row>
    <row r="133" spans="1:8">
      <c r="A133" s="137"/>
      <c r="B133" s="147"/>
      <c r="C133" s="147"/>
      <c r="D133" s="147"/>
      <c r="E133" s="140"/>
      <c r="F133" s="162"/>
      <c r="G133" s="160"/>
      <c r="H133" s="134"/>
    </row>
    <row r="134" spans="1:8">
      <c r="A134" s="137"/>
      <c r="B134" s="147"/>
      <c r="C134" s="147"/>
      <c r="D134" s="147"/>
      <c r="E134" s="140"/>
      <c r="F134" s="162"/>
      <c r="G134" s="160"/>
      <c r="H134" s="134"/>
    </row>
    <row r="135" spans="1:8">
      <c r="A135" s="137"/>
      <c r="B135" s="147"/>
      <c r="C135" s="147"/>
      <c r="D135" s="147"/>
      <c r="E135" s="140"/>
      <c r="F135" s="162"/>
      <c r="G135" s="160"/>
      <c r="H135" s="134"/>
    </row>
    <row r="136" spans="1:8">
      <c r="A136" s="137"/>
      <c r="B136" s="147"/>
      <c r="C136" s="147"/>
      <c r="D136" s="147"/>
      <c r="E136" s="140"/>
      <c r="F136" s="162"/>
      <c r="G136" s="160"/>
      <c r="H136" s="134"/>
    </row>
    <row r="137" spans="1:8">
      <c r="A137" s="137"/>
      <c r="B137" s="147"/>
      <c r="C137" s="147"/>
      <c r="D137" s="147"/>
      <c r="E137" s="140"/>
      <c r="F137" s="162"/>
      <c r="G137" s="160"/>
      <c r="H137" s="134"/>
    </row>
    <row r="138" spans="1:8">
      <c r="A138" s="137"/>
      <c r="B138" s="147"/>
      <c r="C138" s="147"/>
      <c r="D138" s="147"/>
      <c r="E138" s="140"/>
      <c r="F138" s="162"/>
      <c r="G138" s="160"/>
      <c r="H138" s="134"/>
    </row>
    <row r="139" spans="1:8">
      <c r="A139" s="137"/>
      <c r="B139" s="147"/>
      <c r="C139" s="147"/>
      <c r="D139" s="147"/>
      <c r="E139" s="140"/>
      <c r="F139" s="162"/>
      <c r="G139" s="160"/>
      <c r="H139" s="134"/>
    </row>
    <row r="140" spans="1:8">
      <c r="A140" s="137"/>
      <c r="B140" s="147"/>
      <c r="C140" s="147"/>
      <c r="D140" s="147"/>
      <c r="E140" s="140"/>
      <c r="F140" s="162"/>
      <c r="G140" s="160"/>
      <c r="H140" s="134"/>
    </row>
    <row r="141" spans="1:8">
      <c r="A141" s="137"/>
      <c r="B141" s="147"/>
      <c r="C141" s="147"/>
      <c r="D141" s="147"/>
      <c r="E141" s="140"/>
      <c r="F141" s="162"/>
      <c r="G141" s="160"/>
      <c r="H141" s="134"/>
    </row>
    <row r="142" spans="1:8">
      <c r="A142" s="137"/>
      <c r="B142" s="147"/>
      <c r="C142" s="147"/>
      <c r="D142" s="147"/>
      <c r="E142" s="140"/>
      <c r="F142" s="162"/>
      <c r="G142" s="160"/>
      <c r="H142" s="134"/>
    </row>
    <row r="143" spans="1:8">
      <c r="A143" s="137"/>
      <c r="B143" s="147"/>
      <c r="C143" s="147"/>
      <c r="D143" s="147"/>
      <c r="E143" s="140"/>
      <c r="F143" s="162"/>
      <c r="G143" s="160"/>
      <c r="H143" s="134"/>
    </row>
    <row r="144" spans="1:8">
      <c r="A144" s="137"/>
      <c r="B144" s="147"/>
      <c r="C144" s="147"/>
      <c r="D144" s="147"/>
      <c r="E144" s="140"/>
      <c r="F144" s="162"/>
      <c r="G144" s="160"/>
      <c r="H144" s="134"/>
    </row>
    <row r="145" spans="1:8">
      <c r="A145" s="137"/>
      <c r="B145" s="147"/>
      <c r="C145" s="147"/>
      <c r="D145" s="147"/>
      <c r="E145" s="140"/>
      <c r="F145" s="162"/>
      <c r="G145" s="160"/>
      <c r="H145" s="134"/>
    </row>
    <row r="146" spans="1:8">
      <c r="A146" s="137"/>
      <c r="B146" s="147"/>
      <c r="C146" s="147"/>
      <c r="D146" s="147"/>
      <c r="E146" s="140"/>
      <c r="F146" s="162"/>
      <c r="G146" s="160"/>
      <c r="H146" s="134"/>
    </row>
    <row r="147" spans="1:8">
      <c r="A147" s="137"/>
      <c r="B147" s="147"/>
      <c r="C147" s="147"/>
      <c r="D147" s="147"/>
      <c r="E147" s="140"/>
      <c r="F147" s="162"/>
      <c r="G147" s="160"/>
      <c r="H147" s="134"/>
    </row>
    <row r="148" spans="1:8">
      <c r="A148" s="137"/>
      <c r="B148" s="147"/>
      <c r="C148" s="147"/>
      <c r="D148" s="147"/>
      <c r="E148" s="140"/>
      <c r="F148" s="162"/>
      <c r="G148" s="160"/>
      <c r="H148" s="134"/>
    </row>
    <row r="149" spans="1:8">
      <c r="A149" s="137"/>
      <c r="B149" s="147"/>
      <c r="C149" s="147"/>
      <c r="D149" s="147"/>
      <c r="E149" s="140"/>
      <c r="F149" s="162"/>
      <c r="G149" s="160"/>
      <c r="H149" s="134"/>
    </row>
    <row r="150" spans="1:8">
      <c r="A150" s="137"/>
      <c r="B150" s="147"/>
      <c r="C150" s="147"/>
      <c r="D150" s="156"/>
      <c r="E150" s="140"/>
      <c r="F150" s="162"/>
      <c r="G150" s="160"/>
      <c r="H150" s="134"/>
    </row>
    <row r="151" spans="1:8">
      <c r="A151" s="137"/>
      <c r="B151" s="147"/>
      <c r="C151" s="147"/>
      <c r="D151" s="156"/>
      <c r="E151" s="140"/>
      <c r="F151" s="162"/>
      <c r="G151" s="160"/>
      <c r="H151" s="134"/>
    </row>
    <row r="152" spans="1:8">
      <c r="A152" s="163"/>
      <c r="B152" s="164"/>
      <c r="C152" s="164"/>
      <c r="D152" s="156"/>
      <c r="E152" s="165"/>
      <c r="F152" s="166"/>
      <c r="G152" s="160"/>
      <c r="H152" s="134"/>
    </row>
    <row r="153" spans="1:8">
      <c r="A153" s="137"/>
      <c r="B153" s="147"/>
      <c r="C153" s="147"/>
      <c r="D153" s="139"/>
      <c r="E153" s="140"/>
      <c r="F153" s="162"/>
      <c r="G153" s="160"/>
      <c r="H153" s="134"/>
    </row>
    <row r="154" spans="1:8">
      <c r="A154" s="137"/>
      <c r="B154" s="147"/>
      <c r="C154" s="147"/>
      <c r="D154" s="139"/>
      <c r="E154" s="140"/>
      <c r="F154" s="162"/>
      <c r="G154" s="160"/>
      <c r="H154" s="134"/>
    </row>
    <row r="155" spans="1:8">
      <c r="A155" s="137"/>
      <c r="B155" s="147"/>
      <c r="C155" s="147"/>
      <c r="D155" s="139"/>
      <c r="E155" s="140"/>
      <c r="F155" s="162"/>
      <c r="G155" s="160"/>
      <c r="H155" s="134"/>
    </row>
    <row r="156" spans="1:8">
      <c r="A156" s="137"/>
      <c r="B156" s="147"/>
      <c r="C156" s="147"/>
      <c r="D156" s="139"/>
      <c r="E156" s="140"/>
      <c r="F156" s="162"/>
      <c r="G156" s="160"/>
      <c r="H156" s="134"/>
    </row>
    <row r="157" spans="1:8">
      <c r="A157" s="137"/>
      <c r="B157" s="147"/>
      <c r="C157" s="147"/>
      <c r="D157" s="139"/>
      <c r="E157" s="140"/>
      <c r="F157" s="162"/>
      <c r="G157" s="160"/>
      <c r="H157" s="134"/>
    </row>
    <row r="158" spans="1:8">
      <c r="A158" s="137"/>
      <c r="B158" s="147"/>
      <c r="C158" s="147"/>
      <c r="D158" s="139"/>
      <c r="E158" s="140"/>
      <c r="F158" s="162"/>
      <c r="G158" s="160"/>
      <c r="H158" s="134"/>
    </row>
    <row r="159" spans="1:8">
      <c r="A159" s="137"/>
      <c r="B159" s="147"/>
      <c r="C159" s="147"/>
      <c r="D159" s="147"/>
      <c r="E159" s="140"/>
      <c r="F159" s="162"/>
      <c r="G159" s="160"/>
      <c r="H159" s="134"/>
    </row>
    <row r="160" spans="1:8">
      <c r="A160" s="137"/>
      <c r="B160" s="147"/>
      <c r="C160" s="147"/>
      <c r="D160" s="147"/>
      <c r="E160" s="140"/>
      <c r="F160" s="162"/>
      <c r="G160" s="160"/>
      <c r="H160" s="134"/>
    </row>
    <row r="161" spans="1:8">
      <c r="A161" s="137"/>
      <c r="B161" s="147"/>
      <c r="C161" s="147"/>
      <c r="D161" s="147"/>
      <c r="E161" s="140"/>
      <c r="F161" s="162"/>
      <c r="G161" s="160"/>
      <c r="H161" s="134"/>
    </row>
    <row r="162" spans="1:8">
      <c r="A162" s="167"/>
      <c r="B162" s="139"/>
      <c r="C162" s="139"/>
      <c r="D162" s="139"/>
      <c r="E162" s="157"/>
      <c r="F162" s="151"/>
      <c r="G162" s="160"/>
      <c r="H162" s="134"/>
    </row>
    <row r="163" spans="1:8">
      <c r="A163" s="149"/>
      <c r="B163" s="139"/>
      <c r="C163" s="139"/>
      <c r="D163" s="139"/>
      <c r="E163" s="157"/>
      <c r="F163" s="151"/>
      <c r="G163" s="160"/>
      <c r="H163" s="134"/>
    </row>
    <row r="164" spans="1:8">
      <c r="A164" s="149"/>
      <c r="B164" s="139"/>
      <c r="C164" s="139"/>
      <c r="D164" s="139"/>
      <c r="E164" s="140"/>
      <c r="F164" s="141"/>
      <c r="G164" s="160"/>
      <c r="H164" s="134"/>
    </row>
    <row r="165" spans="1:8">
      <c r="A165" s="149"/>
      <c r="B165" s="139"/>
      <c r="C165" s="139"/>
      <c r="D165" s="139"/>
      <c r="E165" s="140"/>
      <c r="F165" s="141"/>
      <c r="G165" s="160"/>
      <c r="H165" s="134"/>
    </row>
    <row r="166" spans="1:8">
      <c r="A166" s="149"/>
      <c r="B166" s="139"/>
      <c r="C166" s="139"/>
      <c r="D166" s="139"/>
      <c r="E166" s="140"/>
      <c r="F166" s="141"/>
      <c r="G166" s="160"/>
      <c r="H166" s="134"/>
    </row>
    <row r="167" spans="1:8">
      <c r="A167" s="149"/>
      <c r="B167" s="139"/>
      <c r="C167" s="139"/>
      <c r="D167" s="139"/>
      <c r="E167" s="140"/>
      <c r="F167" s="141"/>
      <c r="G167" s="160"/>
      <c r="H167" s="134"/>
    </row>
    <row r="168" spans="1:8">
      <c r="A168" s="149"/>
      <c r="B168" s="139"/>
      <c r="C168" s="139"/>
      <c r="D168" s="139"/>
      <c r="E168" s="140"/>
      <c r="F168" s="141"/>
      <c r="G168" s="160"/>
      <c r="H168" s="134"/>
    </row>
    <row r="169" spans="1:8">
      <c r="A169" s="149"/>
      <c r="B169" s="139"/>
      <c r="C169" s="139"/>
      <c r="D169" s="139"/>
      <c r="E169" s="140"/>
      <c r="F169" s="141"/>
      <c r="G169" s="160"/>
      <c r="H169" s="134"/>
    </row>
    <row r="170" spans="1:8">
      <c r="A170" s="155"/>
      <c r="B170" s="139"/>
      <c r="C170" s="139"/>
      <c r="D170" s="139"/>
      <c r="E170" s="140"/>
      <c r="F170" s="141"/>
      <c r="G170" s="160"/>
      <c r="H170" s="134"/>
    </row>
    <row r="171" spans="1:8">
      <c r="A171" s="155"/>
      <c r="B171" s="139"/>
      <c r="C171" s="139"/>
      <c r="D171" s="139"/>
      <c r="E171" s="140"/>
      <c r="F171" s="141"/>
      <c r="G171" s="160"/>
      <c r="H171" s="134"/>
    </row>
    <row r="172" spans="1:8">
      <c r="A172" s="155"/>
      <c r="B172" s="139"/>
      <c r="C172" s="139"/>
      <c r="D172" s="139"/>
      <c r="E172" s="140"/>
      <c r="F172" s="141"/>
      <c r="G172" s="160"/>
      <c r="H172" s="134"/>
    </row>
    <row r="173" spans="1:8">
      <c r="A173" s="149"/>
      <c r="B173" s="139"/>
      <c r="C173" s="139"/>
      <c r="D173" s="139"/>
      <c r="E173" s="140"/>
      <c r="F173" s="141"/>
      <c r="G173" s="160"/>
      <c r="H173" s="134"/>
    </row>
    <row r="174" spans="1:8">
      <c r="A174" s="155"/>
      <c r="B174" s="139"/>
      <c r="C174" s="139"/>
      <c r="D174" s="139"/>
      <c r="E174" s="140"/>
      <c r="F174" s="141"/>
      <c r="G174" s="160"/>
      <c r="H174" s="134"/>
    </row>
    <row r="175" spans="1:8">
      <c r="A175" s="137"/>
      <c r="B175" s="139"/>
      <c r="C175" s="139"/>
      <c r="D175" s="139"/>
      <c r="E175" s="140"/>
      <c r="F175" s="141"/>
      <c r="G175" s="160"/>
      <c r="H175" s="134"/>
    </row>
    <row r="176" spans="1:8">
      <c r="A176" s="137"/>
      <c r="B176" s="139"/>
      <c r="C176" s="139"/>
      <c r="D176" s="139"/>
      <c r="E176" s="140"/>
      <c r="F176" s="141"/>
      <c r="G176" s="160"/>
      <c r="H176" s="134"/>
    </row>
    <row r="177" spans="1:8">
      <c r="A177" s="137"/>
      <c r="B177" s="139"/>
      <c r="C177" s="139"/>
      <c r="D177" s="139"/>
      <c r="E177" s="140"/>
      <c r="F177" s="141"/>
      <c r="G177" s="160"/>
      <c r="H177" s="134"/>
    </row>
    <row r="178" spans="1:8">
      <c r="A178" s="137"/>
      <c r="B178" s="139"/>
      <c r="C178" s="139"/>
      <c r="D178" s="139"/>
      <c r="E178" s="140"/>
      <c r="F178" s="141"/>
      <c r="G178" s="160"/>
      <c r="H178" s="134"/>
    </row>
    <row r="179" spans="1:8">
      <c r="A179" s="137"/>
      <c r="B179" s="139"/>
      <c r="C179" s="139"/>
      <c r="D179" s="139"/>
      <c r="E179" s="140"/>
      <c r="F179" s="141"/>
      <c r="G179" s="160"/>
      <c r="H179" s="134"/>
    </row>
    <row r="180" spans="1:8">
      <c r="A180" s="137"/>
      <c r="B180" s="139"/>
      <c r="C180" s="139"/>
      <c r="D180" s="139"/>
      <c r="E180" s="140"/>
      <c r="F180" s="141"/>
      <c r="G180" s="160"/>
      <c r="H180" s="134"/>
    </row>
    <row r="181" spans="1:8">
      <c r="A181" s="137"/>
      <c r="B181" s="139"/>
      <c r="C181" s="139"/>
      <c r="D181" s="139"/>
      <c r="E181" s="140"/>
      <c r="F181" s="141"/>
      <c r="G181" s="160"/>
      <c r="H181" s="134"/>
    </row>
    <row r="182" spans="1:8">
      <c r="A182" s="137"/>
      <c r="B182" s="139"/>
      <c r="C182" s="139"/>
      <c r="D182" s="139"/>
      <c r="E182" s="140"/>
      <c r="F182" s="141"/>
      <c r="G182" s="160"/>
      <c r="H182" s="134"/>
    </row>
    <row r="183" spans="1:8">
      <c r="A183" s="137"/>
      <c r="B183" s="139"/>
      <c r="C183" s="139"/>
      <c r="D183" s="139"/>
      <c r="E183" s="140"/>
      <c r="F183" s="141"/>
      <c r="G183" s="160"/>
      <c r="H183" s="134"/>
    </row>
    <row r="184" spans="1:8">
      <c r="A184" s="137"/>
      <c r="B184" s="139"/>
      <c r="C184" s="139"/>
      <c r="D184" s="139"/>
      <c r="E184" s="140"/>
      <c r="F184" s="141"/>
      <c r="G184" s="160"/>
      <c r="H184" s="134"/>
    </row>
    <row r="185" spans="1:8">
      <c r="A185" s="137"/>
      <c r="B185" s="139"/>
      <c r="C185" s="139"/>
      <c r="D185" s="139"/>
      <c r="E185" s="140"/>
      <c r="F185" s="141"/>
      <c r="G185" s="160"/>
      <c r="H185" s="134"/>
    </row>
    <row r="186" spans="1:8">
      <c r="A186" s="137"/>
      <c r="B186" s="139"/>
      <c r="C186" s="139"/>
      <c r="D186" s="139"/>
      <c r="E186" s="140"/>
      <c r="F186" s="141"/>
      <c r="G186" s="160"/>
      <c r="H186" s="134"/>
    </row>
    <row r="187" spans="1:8">
      <c r="A187" s="137"/>
      <c r="B187" s="139"/>
      <c r="C187" s="139"/>
      <c r="D187" s="139"/>
      <c r="E187" s="140"/>
      <c r="F187" s="141"/>
      <c r="G187" s="160"/>
      <c r="H187" s="134"/>
    </row>
    <row r="188" spans="1:8">
      <c r="A188" s="137"/>
      <c r="B188" s="139"/>
      <c r="C188" s="139"/>
      <c r="D188" s="139"/>
      <c r="E188" s="140"/>
      <c r="F188" s="141"/>
      <c r="G188" s="160"/>
      <c r="H188" s="134"/>
    </row>
    <row r="189" spans="1:8">
      <c r="A189" s="137"/>
      <c r="B189" s="139"/>
      <c r="C189" s="139"/>
      <c r="D189" s="139"/>
      <c r="E189" s="140"/>
      <c r="F189" s="161"/>
      <c r="G189" s="160"/>
      <c r="H189" s="134"/>
    </row>
    <row r="190" spans="1:8">
      <c r="A190" s="137"/>
      <c r="B190" s="139"/>
      <c r="C190" s="139"/>
      <c r="D190" s="139"/>
      <c r="E190" s="140"/>
      <c r="F190" s="161"/>
      <c r="G190" s="160"/>
      <c r="H190" s="134"/>
    </row>
    <row r="191" spans="1:8">
      <c r="A191" s="137"/>
      <c r="B191" s="139"/>
      <c r="C191" s="139"/>
      <c r="D191" s="139"/>
      <c r="E191" s="140"/>
      <c r="F191" s="141"/>
      <c r="G191" s="160"/>
      <c r="H191" s="134"/>
    </row>
    <row r="192" spans="1:8">
      <c r="A192" s="137"/>
      <c r="B192" s="139"/>
      <c r="C192" s="139"/>
      <c r="D192" s="139"/>
      <c r="E192" s="140"/>
      <c r="F192" s="141"/>
      <c r="G192" s="160"/>
      <c r="H192" s="134"/>
    </row>
    <row r="193" spans="1:8">
      <c r="A193" s="137"/>
      <c r="B193" s="139"/>
      <c r="C193" s="139"/>
      <c r="D193" s="139"/>
      <c r="E193" s="140"/>
      <c r="F193" s="141"/>
      <c r="G193" s="160"/>
      <c r="H193" s="134"/>
    </row>
    <row r="194" spans="1:8">
      <c r="A194" s="137"/>
      <c r="B194" s="139"/>
      <c r="C194" s="139"/>
      <c r="D194" s="139"/>
      <c r="E194" s="140"/>
      <c r="F194" s="141"/>
      <c r="G194" s="160"/>
      <c r="H194" s="134"/>
    </row>
    <row r="195" spans="1:8">
      <c r="A195" s="137"/>
      <c r="B195" s="139"/>
      <c r="C195" s="139"/>
      <c r="D195" s="139"/>
      <c r="E195" s="140"/>
      <c r="F195" s="141"/>
      <c r="G195" s="160"/>
      <c r="H195" s="134"/>
    </row>
    <row r="196" spans="1:8">
      <c r="A196" s="137"/>
      <c r="B196" s="139"/>
      <c r="C196" s="139"/>
      <c r="D196" s="139"/>
      <c r="E196" s="140"/>
      <c r="F196" s="141"/>
      <c r="G196" s="160"/>
      <c r="H196" s="134"/>
    </row>
    <row r="197" spans="1:8">
      <c r="A197" s="137"/>
      <c r="B197" s="139"/>
      <c r="C197" s="139"/>
      <c r="D197" s="139"/>
      <c r="E197" s="140"/>
      <c r="F197" s="141"/>
      <c r="G197" s="160"/>
      <c r="H197" s="134"/>
    </row>
    <row r="198" spans="1:8">
      <c r="A198" s="137"/>
      <c r="B198" s="139"/>
      <c r="C198" s="139"/>
      <c r="D198" s="139"/>
      <c r="E198" s="140"/>
      <c r="F198" s="141"/>
      <c r="G198" s="160"/>
      <c r="H198" s="134"/>
    </row>
    <row r="199" spans="1:8">
      <c r="A199" s="137"/>
      <c r="B199" s="139"/>
      <c r="C199" s="139"/>
      <c r="D199" s="139"/>
      <c r="E199" s="140"/>
      <c r="F199" s="141"/>
      <c r="G199" s="160"/>
      <c r="H199" s="134"/>
    </row>
    <row r="200" spans="1:8">
      <c r="A200" s="137"/>
      <c r="B200" s="139"/>
      <c r="C200" s="139"/>
      <c r="D200" s="139"/>
      <c r="E200" s="140"/>
      <c r="F200" s="141"/>
      <c r="G200" s="160"/>
      <c r="H200" s="134"/>
    </row>
    <row r="201" spans="1:8">
      <c r="A201" s="137"/>
      <c r="B201" s="139"/>
      <c r="C201" s="139"/>
      <c r="D201" s="139"/>
      <c r="E201" s="140"/>
      <c r="F201" s="141"/>
      <c r="G201" s="160"/>
      <c r="H201" s="134"/>
    </row>
    <row r="202" spans="1:8">
      <c r="A202" s="137"/>
      <c r="B202" s="139"/>
      <c r="C202" s="139"/>
      <c r="D202" s="139"/>
      <c r="E202" s="140"/>
      <c r="F202" s="141"/>
      <c r="G202" s="160"/>
      <c r="H202" s="134"/>
    </row>
    <row r="203" spans="1:8">
      <c r="A203" s="137"/>
      <c r="B203" s="139"/>
      <c r="C203" s="139"/>
      <c r="D203" s="139"/>
      <c r="E203" s="140"/>
      <c r="F203" s="141"/>
      <c r="G203" s="160"/>
      <c r="H203" s="134"/>
    </row>
    <row r="204" spans="1:8">
      <c r="A204" s="137"/>
      <c r="B204" s="139"/>
      <c r="C204" s="139"/>
      <c r="D204" s="139"/>
      <c r="E204" s="140"/>
      <c r="F204" s="141"/>
      <c r="G204" s="160"/>
      <c r="H204" s="134"/>
    </row>
    <row r="205" spans="1:8">
      <c r="A205" s="137"/>
      <c r="B205" s="139"/>
      <c r="C205" s="139"/>
      <c r="D205" s="139"/>
      <c r="E205" s="140"/>
      <c r="F205" s="141"/>
      <c r="G205" s="160"/>
      <c r="H205" s="134"/>
    </row>
    <row r="206" spans="1:8">
      <c r="A206" s="137"/>
      <c r="B206" s="139"/>
      <c r="C206" s="139"/>
      <c r="D206" s="139"/>
      <c r="E206" s="140"/>
      <c r="F206" s="141"/>
      <c r="G206" s="160"/>
      <c r="H206" s="134"/>
    </row>
    <row r="207" spans="1:8">
      <c r="A207" s="137"/>
      <c r="B207" s="139"/>
      <c r="C207" s="139"/>
      <c r="D207" s="139"/>
      <c r="E207" s="140"/>
      <c r="F207" s="141"/>
      <c r="G207" s="160"/>
      <c r="H207" s="134"/>
    </row>
    <row r="208" spans="1:8">
      <c r="A208" s="137"/>
      <c r="B208" s="139"/>
      <c r="C208" s="139"/>
      <c r="D208" s="139"/>
      <c r="E208" s="140"/>
      <c r="F208" s="141"/>
      <c r="G208" s="160"/>
      <c r="H208" s="134"/>
    </row>
    <row r="209" spans="1:8">
      <c r="A209" s="137"/>
      <c r="B209" s="139"/>
      <c r="C209" s="139"/>
      <c r="D209" s="139"/>
      <c r="E209" s="140"/>
      <c r="F209" s="141"/>
      <c r="G209" s="160"/>
      <c r="H209" s="134"/>
    </row>
    <row r="210" spans="1:8">
      <c r="A210" s="137"/>
      <c r="B210" s="139"/>
      <c r="C210" s="139"/>
      <c r="D210" s="139"/>
      <c r="E210" s="140"/>
      <c r="F210" s="141"/>
      <c r="G210" s="160"/>
      <c r="H210" s="134"/>
    </row>
    <row r="211" spans="1:8">
      <c r="A211" s="137"/>
      <c r="B211" s="139"/>
      <c r="C211" s="139"/>
      <c r="D211" s="139"/>
      <c r="E211" s="140"/>
      <c r="F211" s="141"/>
      <c r="G211" s="160"/>
      <c r="H211" s="134"/>
    </row>
    <row r="212" spans="1:8">
      <c r="A212" s="137"/>
      <c r="B212" s="139"/>
      <c r="C212" s="139"/>
      <c r="D212" s="139"/>
      <c r="E212" s="140"/>
      <c r="F212" s="141"/>
      <c r="G212" s="160"/>
      <c r="H212" s="134"/>
    </row>
    <row r="213" spans="1:8">
      <c r="A213" s="137"/>
      <c r="B213" s="139"/>
      <c r="C213" s="139"/>
      <c r="D213" s="139"/>
      <c r="E213" s="140"/>
      <c r="F213" s="141"/>
      <c r="G213" s="160"/>
      <c r="H213" s="134"/>
    </row>
    <row r="214" spans="1:8">
      <c r="A214" s="137"/>
      <c r="B214" s="139"/>
      <c r="C214" s="139"/>
      <c r="D214" s="139"/>
      <c r="E214" s="140"/>
      <c r="F214" s="161"/>
      <c r="G214" s="160"/>
      <c r="H214" s="134"/>
    </row>
    <row r="215" spans="1:8">
      <c r="A215" s="137"/>
      <c r="B215" s="139"/>
      <c r="C215" s="139"/>
      <c r="D215" s="139"/>
      <c r="E215" s="140"/>
      <c r="F215" s="141"/>
      <c r="G215" s="160"/>
      <c r="H215" s="134"/>
    </row>
    <row r="216" spans="1:8">
      <c r="A216" s="137"/>
      <c r="B216" s="139"/>
      <c r="C216" s="139"/>
      <c r="D216" s="139"/>
      <c r="E216" s="140"/>
      <c r="F216" s="141"/>
      <c r="G216" s="160"/>
      <c r="H216" s="134"/>
    </row>
    <row r="217" spans="1:8">
      <c r="A217" s="137"/>
      <c r="B217" s="139"/>
      <c r="C217" s="139"/>
      <c r="D217" s="139"/>
      <c r="E217" s="140"/>
      <c r="F217" s="141"/>
      <c r="G217" s="160"/>
      <c r="H217" s="134"/>
    </row>
    <row r="218" spans="1:8">
      <c r="A218" s="137"/>
      <c r="B218" s="139"/>
      <c r="C218" s="139"/>
      <c r="D218" s="139"/>
      <c r="E218" s="140"/>
      <c r="F218" s="141"/>
      <c r="G218" s="160"/>
      <c r="H218" s="134"/>
    </row>
    <row r="219" spans="1:8">
      <c r="A219" s="137"/>
      <c r="B219" s="139"/>
      <c r="C219" s="139"/>
      <c r="D219" s="139"/>
      <c r="E219" s="140"/>
      <c r="F219" s="141"/>
      <c r="G219" s="160"/>
      <c r="H219" s="134"/>
    </row>
    <row r="220" spans="1:8">
      <c r="A220" s="137"/>
      <c r="B220" s="139"/>
      <c r="C220" s="139"/>
      <c r="D220" s="139"/>
      <c r="E220" s="140"/>
      <c r="F220" s="141"/>
      <c r="G220" s="160"/>
      <c r="H220" s="134"/>
    </row>
    <row r="221" spans="1:8">
      <c r="A221" s="137"/>
      <c r="B221" s="139"/>
      <c r="C221" s="139"/>
      <c r="D221" s="139"/>
      <c r="E221" s="140"/>
      <c r="F221" s="141"/>
      <c r="G221" s="160"/>
      <c r="H221" s="134"/>
    </row>
    <row r="222" spans="1:8">
      <c r="A222" s="137"/>
      <c r="B222" s="139"/>
      <c r="C222" s="139"/>
      <c r="D222" s="139"/>
      <c r="E222" s="140"/>
      <c r="F222" s="141"/>
      <c r="G222" s="160"/>
      <c r="H222" s="134"/>
    </row>
    <row r="223" spans="1:8">
      <c r="A223" s="137"/>
      <c r="B223" s="139"/>
      <c r="C223" s="139"/>
      <c r="D223" s="139"/>
      <c r="E223" s="140"/>
      <c r="F223" s="141"/>
      <c r="G223" s="160"/>
      <c r="H223" s="134"/>
    </row>
    <row r="224" spans="1:8">
      <c r="A224" s="137"/>
      <c r="B224" s="139"/>
      <c r="C224" s="139"/>
      <c r="D224" s="139"/>
      <c r="E224" s="140"/>
      <c r="F224" s="141"/>
      <c r="G224" s="160"/>
      <c r="H224" s="134"/>
    </row>
    <row r="225" spans="1:8">
      <c r="A225" s="137"/>
      <c r="B225" s="139"/>
      <c r="C225" s="139"/>
      <c r="D225" s="139"/>
      <c r="E225" s="140"/>
      <c r="F225" s="141"/>
      <c r="G225" s="160"/>
      <c r="H225" s="134"/>
    </row>
    <row r="226" spans="1:8">
      <c r="A226" s="137"/>
      <c r="B226" s="139"/>
      <c r="C226" s="139"/>
      <c r="D226" s="139"/>
      <c r="E226" s="140"/>
      <c r="F226" s="141"/>
      <c r="G226" s="160"/>
      <c r="H226" s="134"/>
    </row>
    <row r="227" spans="1:8">
      <c r="A227" s="137"/>
      <c r="B227" s="139"/>
      <c r="C227" s="139"/>
      <c r="D227" s="139"/>
      <c r="E227" s="140"/>
      <c r="F227" s="141"/>
      <c r="G227" s="160"/>
      <c r="H227" s="134"/>
    </row>
    <row r="228" spans="1:8">
      <c r="A228" s="137"/>
      <c r="B228" s="139"/>
      <c r="C228" s="139"/>
      <c r="D228" s="139"/>
      <c r="E228" s="140"/>
      <c r="F228" s="141"/>
      <c r="G228" s="160"/>
      <c r="H228" s="134"/>
    </row>
    <row r="229" spans="1:8">
      <c r="A229" s="137"/>
      <c r="B229" s="139"/>
      <c r="C229" s="139"/>
      <c r="D229" s="139"/>
      <c r="E229" s="140"/>
      <c r="F229" s="141"/>
      <c r="G229" s="160"/>
      <c r="H229" s="134"/>
    </row>
    <row r="230" spans="1:8">
      <c r="A230" s="137"/>
      <c r="B230" s="139"/>
      <c r="C230" s="139"/>
      <c r="D230" s="139"/>
      <c r="E230" s="140"/>
      <c r="F230" s="141"/>
      <c r="G230" s="160"/>
      <c r="H230" s="134"/>
    </row>
    <row r="231" spans="1:8">
      <c r="A231" s="137"/>
      <c r="B231" s="139"/>
      <c r="C231" s="139"/>
      <c r="D231" s="139"/>
      <c r="E231" s="140"/>
      <c r="F231" s="141"/>
      <c r="H231" s="134"/>
    </row>
    <row r="232" spans="1:8">
      <c r="A232" s="137"/>
      <c r="B232" s="139"/>
      <c r="C232" s="139"/>
      <c r="D232" s="139"/>
      <c r="E232" s="140"/>
      <c r="F232" s="141"/>
      <c r="H232" s="134"/>
    </row>
    <row r="233" spans="1:8">
      <c r="A233" s="137"/>
      <c r="B233" s="156"/>
      <c r="C233" s="156"/>
      <c r="D233" s="156"/>
      <c r="E233" s="157"/>
      <c r="F233" s="151"/>
      <c r="H233" s="134"/>
    </row>
    <row r="234" spans="1:8">
      <c r="A234" s="137"/>
      <c r="B234" s="139"/>
      <c r="C234" s="139"/>
      <c r="D234" s="139"/>
      <c r="E234" s="140"/>
      <c r="F234" s="141"/>
      <c r="G234" s="160"/>
      <c r="H234" s="134"/>
    </row>
    <row r="235" spans="1:8">
      <c r="A235" s="137"/>
      <c r="B235" s="139"/>
      <c r="C235" s="139"/>
      <c r="D235" s="139"/>
      <c r="E235" s="140"/>
      <c r="F235" s="141"/>
      <c r="G235" s="160"/>
      <c r="H235" s="134"/>
    </row>
    <row r="236" spans="1:8">
      <c r="A236" s="137"/>
      <c r="B236" s="139"/>
      <c r="C236" s="139"/>
      <c r="D236" s="139"/>
      <c r="E236" s="140"/>
      <c r="F236" s="141"/>
      <c r="G236" s="160"/>
      <c r="H236" s="134"/>
    </row>
    <row r="237" spans="1:8">
      <c r="A237" s="137"/>
      <c r="B237" s="139"/>
      <c r="C237" s="139"/>
      <c r="D237" s="139"/>
      <c r="E237" s="140"/>
      <c r="F237" s="141"/>
      <c r="G237" s="160"/>
      <c r="H237" s="134"/>
    </row>
    <row r="238" spans="1:8">
      <c r="A238" s="137"/>
      <c r="B238" s="139"/>
      <c r="C238" s="139"/>
      <c r="D238" s="139"/>
      <c r="E238" s="140"/>
      <c r="F238" s="141"/>
      <c r="G238" s="160"/>
      <c r="H238" s="134"/>
    </row>
    <row r="239" spans="1:8">
      <c r="A239" s="137"/>
      <c r="B239" s="139"/>
      <c r="C239" s="139"/>
      <c r="D239" s="139"/>
      <c r="E239" s="140"/>
      <c r="F239" s="141"/>
      <c r="G239" s="160"/>
      <c r="H239" s="134"/>
    </row>
    <row r="240" spans="1:8">
      <c r="A240" s="137"/>
      <c r="B240" s="139"/>
      <c r="C240" s="139"/>
      <c r="D240" s="139"/>
      <c r="E240" s="140"/>
      <c r="F240" s="141"/>
      <c r="G240" s="160"/>
      <c r="H240" s="134"/>
    </row>
    <row r="241" spans="1:8">
      <c r="A241" s="137"/>
      <c r="B241" s="139"/>
      <c r="C241" s="139"/>
      <c r="D241" s="139"/>
      <c r="E241" s="140"/>
      <c r="F241" s="162"/>
      <c r="H241" s="134"/>
    </row>
    <row r="242" spans="1:8">
      <c r="A242" s="137"/>
      <c r="B242" s="139"/>
      <c r="C242" s="139"/>
      <c r="D242" s="139"/>
      <c r="E242" s="140"/>
      <c r="F242" s="162"/>
      <c r="H242" s="134"/>
    </row>
    <row r="243" spans="1:8">
      <c r="A243" s="137"/>
      <c r="B243" s="139"/>
      <c r="C243" s="139"/>
      <c r="D243" s="139"/>
      <c r="E243" s="140"/>
      <c r="F243" s="162"/>
      <c r="H243" s="134"/>
    </row>
    <row r="244" spans="1:8">
      <c r="A244" s="137"/>
      <c r="B244" s="139"/>
      <c r="C244" s="139"/>
      <c r="D244" s="139"/>
      <c r="E244" s="140"/>
      <c r="F244" s="162"/>
      <c r="H244" s="134"/>
    </row>
    <row r="245" spans="1:8">
      <c r="A245" s="137"/>
      <c r="B245" s="139"/>
      <c r="C245" s="139"/>
      <c r="D245" s="139"/>
      <c r="E245" s="140"/>
      <c r="F245" s="162"/>
      <c r="H245" s="134"/>
    </row>
    <row r="246" spans="1:8">
      <c r="A246" s="137"/>
      <c r="B246" s="139"/>
      <c r="C246" s="139"/>
      <c r="D246" s="139"/>
      <c r="E246" s="140"/>
      <c r="F246" s="162"/>
      <c r="H246" s="134"/>
    </row>
    <row r="247" spans="1:8">
      <c r="A247" s="137"/>
      <c r="B247" s="139"/>
      <c r="C247" s="139"/>
      <c r="D247" s="139"/>
      <c r="E247" s="140"/>
      <c r="F247" s="162"/>
      <c r="H247" s="134"/>
    </row>
    <row r="248" spans="1:8">
      <c r="A248" s="137">
        <v>43299</v>
      </c>
      <c r="B248" s="139">
        <v>8</v>
      </c>
      <c r="C248" s="139">
        <v>54</v>
      </c>
      <c r="D248" s="139">
        <f t="shared" ref="D248:D257" si="4">IF(((C248="")*AND(B248="")),"",(C248-B248))</f>
        <v>46</v>
      </c>
      <c r="E248" s="140" t="str">
        <f t="shared" ref="E248:E257" si="5">IF(D248="","",IF(D248&lt;60,"Pass","Fail"))</f>
        <v>Pass</v>
      </c>
      <c r="F248" s="162">
        <v>1159</v>
      </c>
      <c r="H248" s="134"/>
    </row>
    <row r="249" spans="1:8">
      <c r="A249" s="137">
        <v>43300</v>
      </c>
      <c r="B249" s="139">
        <v>10</v>
      </c>
      <c r="C249" s="139">
        <v>68</v>
      </c>
      <c r="D249" s="139">
        <f t="shared" si="4"/>
        <v>58</v>
      </c>
      <c r="E249" s="140" t="str">
        <f t="shared" si="5"/>
        <v>Pass</v>
      </c>
      <c r="F249" s="162">
        <v>1335</v>
      </c>
      <c r="H249" s="134"/>
    </row>
    <row r="250" spans="1:8">
      <c r="A250" s="137"/>
      <c r="B250" s="139"/>
      <c r="C250" s="139"/>
      <c r="D250" s="139" t="str">
        <f t="shared" si="4"/>
        <v/>
      </c>
      <c r="E250" s="140" t="str">
        <f t="shared" si="5"/>
        <v/>
      </c>
      <c r="F250" s="162"/>
      <c r="H250" s="134"/>
    </row>
    <row r="251" spans="1:8">
      <c r="A251" s="137"/>
      <c r="B251" s="139"/>
      <c r="C251" s="139"/>
      <c r="D251" s="139" t="str">
        <f t="shared" si="4"/>
        <v/>
      </c>
      <c r="E251" s="140" t="str">
        <f t="shared" si="5"/>
        <v/>
      </c>
      <c r="F251" s="162"/>
      <c r="H251" s="134"/>
    </row>
    <row r="252" spans="1:8">
      <c r="A252" s="137"/>
      <c r="B252" s="139"/>
      <c r="C252" s="139"/>
      <c r="D252" s="139" t="str">
        <f t="shared" si="4"/>
        <v/>
      </c>
      <c r="E252" s="140" t="str">
        <f t="shared" si="5"/>
        <v/>
      </c>
      <c r="F252" s="162"/>
      <c r="H252" s="134"/>
    </row>
    <row r="253" spans="1:8">
      <c r="A253" s="137"/>
      <c r="B253" s="139"/>
      <c r="C253" s="139"/>
      <c r="D253" s="139" t="str">
        <f t="shared" si="4"/>
        <v/>
      </c>
      <c r="E253" s="140" t="str">
        <f t="shared" si="5"/>
        <v/>
      </c>
      <c r="F253" s="162"/>
      <c r="H253" s="134"/>
    </row>
    <row r="254" spans="1:8">
      <c r="A254" s="137"/>
      <c r="B254" s="139"/>
      <c r="C254" s="139"/>
      <c r="D254" s="139" t="str">
        <f t="shared" si="4"/>
        <v/>
      </c>
      <c r="E254" s="140" t="str">
        <f t="shared" si="5"/>
        <v/>
      </c>
      <c r="F254" s="162"/>
      <c r="H254" s="134"/>
    </row>
    <row r="255" spans="1:8">
      <c r="A255" s="137"/>
      <c r="B255" s="139"/>
      <c r="C255" s="139"/>
      <c r="D255" s="139" t="str">
        <f t="shared" si="4"/>
        <v/>
      </c>
      <c r="E255" s="140" t="str">
        <f t="shared" si="5"/>
        <v/>
      </c>
      <c r="F255" s="162"/>
      <c r="H255" s="134"/>
    </row>
    <row r="256" spans="1:8">
      <c r="A256" s="137"/>
      <c r="B256" s="139"/>
      <c r="C256" s="139"/>
      <c r="D256" s="139" t="str">
        <f t="shared" si="4"/>
        <v/>
      </c>
      <c r="E256" s="140" t="str">
        <f t="shared" si="5"/>
        <v/>
      </c>
      <c r="F256" s="162"/>
      <c r="H256" s="134"/>
    </row>
    <row r="257" spans="1:8">
      <c r="A257" s="137"/>
      <c r="B257" s="139"/>
      <c r="C257" s="139"/>
      <c r="D257" s="139" t="str">
        <f t="shared" si="4"/>
        <v/>
      </c>
      <c r="E257" s="140" t="str">
        <f t="shared" si="5"/>
        <v/>
      </c>
      <c r="F257" s="162"/>
      <c r="H257" s="134"/>
    </row>
  </sheetData>
  <mergeCells count="1">
    <mergeCell ref="B1:C1"/>
  </mergeCells>
  <conditionalFormatting sqref="E3:E257">
    <cfRule type="cellIs" dxfId="1139" priority="3" stopIfTrue="1" operator="equal">
      <formula>"Pass"</formula>
    </cfRule>
    <cfRule type="cellIs" dxfId="1138" priority="4" stopIfTrue="1" operator="equal">
      <formula>"Fail"</formula>
    </cfRule>
  </conditionalFormatting>
  <conditionalFormatting sqref="E11">
    <cfRule type="cellIs" dxfId="1137" priority="1" stopIfTrue="1" operator="equal">
      <formula>"Pass"</formula>
    </cfRule>
    <cfRule type="cellIs" dxfId="1136" priority="2" stopIfTrue="1" operator="equal">
      <formula>"Fail"</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1"/>
  <dimension ref="A1:V44"/>
  <sheetViews>
    <sheetView topLeftCell="M1" workbookViewId="0">
      <selection activeCell="S2" sqref="S2:V42"/>
    </sheetView>
  </sheetViews>
  <sheetFormatPr defaultColWidth="9" defaultRowHeight="12.75"/>
  <cols>
    <col min="1" max="16384" width="9" style="125"/>
  </cols>
  <sheetData>
    <row r="1" spans="2:22">
      <c r="B1" s="124" t="s">
        <v>111</v>
      </c>
      <c r="G1" s="124" t="s">
        <v>112</v>
      </c>
      <c r="K1" s="124" t="s">
        <v>113</v>
      </c>
      <c r="O1" s="124" t="s">
        <v>114</v>
      </c>
    </row>
    <row r="2" spans="2:22" ht="13.5" thickBot="1">
      <c r="B2" s="125" t="s">
        <v>115</v>
      </c>
      <c r="C2" s="125" t="s">
        <v>101</v>
      </c>
      <c r="D2" s="125" t="s">
        <v>116</v>
      </c>
      <c r="S2" s="125" t="s">
        <v>165</v>
      </c>
      <c r="T2" s="125" t="s">
        <v>115</v>
      </c>
      <c r="U2" s="125" t="s">
        <v>166</v>
      </c>
      <c r="V2" s="125" t="s">
        <v>167</v>
      </c>
    </row>
    <row r="3" spans="2:22" ht="13.5" thickBot="1">
      <c r="B3" s="126"/>
      <c r="C3" s="126"/>
      <c r="D3" s="126"/>
      <c r="G3" s="126"/>
      <c r="H3" s="126"/>
      <c r="I3" s="126"/>
      <c r="K3" s="126">
        <v>2964.2999999999997</v>
      </c>
      <c r="L3" s="126">
        <v>47.756565517252781</v>
      </c>
      <c r="M3" s="126">
        <v>2.9705915539189074</v>
      </c>
      <c r="O3" s="126">
        <v>1660.6423529411763</v>
      </c>
      <c r="P3" s="127">
        <v>80.101840766099997</v>
      </c>
      <c r="Q3" s="128">
        <v>8.0280655951701121</v>
      </c>
      <c r="S3" s="125">
        <v>1</v>
      </c>
      <c r="T3" s="126">
        <v>1992.3507692307689</v>
      </c>
      <c r="U3" s="126">
        <v>32.440160927878914</v>
      </c>
      <c r="V3" s="126">
        <v>2.9636924826381774</v>
      </c>
    </row>
    <row r="4" spans="2:22" ht="13.5" thickBot="1">
      <c r="B4" s="126"/>
      <c r="C4" s="126"/>
      <c r="D4" s="126"/>
      <c r="G4" s="126"/>
      <c r="H4" s="126"/>
      <c r="I4" s="126"/>
      <c r="K4" s="126">
        <v>2041.2907692307692</v>
      </c>
      <c r="L4" s="126">
        <v>17.257092484705854</v>
      </c>
      <c r="M4" s="126">
        <v>1.6583043615676436</v>
      </c>
      <c r="O4" s="126">
        <v>2134.0776470588235</v>
      </c>
      <c r="P4" s="127">
        <v>65.273169787582447</v>
      </c>
      <c r="Q4" s="128">
        <v>6.6226682719256953</v>
      </c>
      <c r="S4" s="125">
        <v>2</v>
      </c>
      <c r="T4" s="126">
        <v>1775.621538461538</v>
      </c>
      <c r="U4" s="126">
        <v>14.848608153762923</v>
      </c>
      <c r="V4" s="126">
        <v>1.5489948253484465</v>
      </c>
    </row>
    <row r="5" spans="2:22" ht="13.5" thickBot="1">
      <c r="B5" s="126"/>
      <c r="C5" s="126"/>
      <c r="D5" s="126"/>
      <c r="G5" s="126"/>
      <c r="H5" s="126"/>
      <c r="I5" s="126"/>
      <c r="K5" s="126">
        <v>2019.5430769230768</v>
      </c>
      <c r="L5" s="126">
        <v>24.178225529271469</v>
      </c>
      <c r="M5" s="126">
        <v>2.3475065512389057</v>
      </c>
      <c r="O5" s="126">
        <v>2170.2705882352943</v>
      </c>
      <c r="P5" s="127">
        <v>27.403519954234891</v>
      </c>
      <c r="Q5" s="128">
        <v>2.4457394576240161</v>
      </c>
      <c r="S5" s="125">
        <v>3</v>
      </c>
      <c r="T5" s="126">
        <v>1964.7707692307695</v>
      </c>
      <c r="U5" s="126">
        <v>30.707261481465526</v>
      </c>
      <c r="V5" s="126">
        <v>2.5114590798706788</v>
      </c>
    </row>
    <row r="6" spans="2:22" ht="13.5" thickBot="1">
      <c r="B6" s="126"/>
      <c r="C6" s="126"/>
      <c r="D6" s="126"/>
      <c r="G6" s="126"/>
      <c r="H6" s="126"/>
      <c r="I6" s="126"/>
      <c r="K6" s="126">
        <v>2024.3107692307692</v>
      </c>
      <c r="L6" s="126">
        <v>30.978967720487805</v>
      </c>
      <c r="M6" s="126">
        <v>2.9783802350645252</v>
      </c>
      <c r="O6" s="126">
        <v>2191.3529411764707</v>
      </c>
      <c r="P6" s="127">
        <v>30.108024628981287</v>
      </c>
      <c r="Q6" s="128">
        <v>2.177860103436851</v>
      </c>
      <c r="S6" s="125">
        <v>4</v>
      </c>
      <c r="T6" s="126">
        <v>2039.7584615384617</v>
      </c>
      <c r="U6" s="126">
        <v>35.031053330368906</v>
      </c>
      <c r="V6" s="126">
        <v>3.0312363390692791</v>
      </c>
    </row>
    <row r="7" spans="2:22" ht="13.5" thickBot="1">
      <c r="B7" s="126"/>
      <c r="C7" s="126"/>
      <c r="D7" s="126"/>
      <c r="G7" s="126"/>
      <c r="H7" s="126"/>
      <c r="I7" s="126"/>
      <c r="K7" s="126">
        <v>2032.8630769230767</v>
      </c>
      <c r="L7" s="126">
        <v>26.904871735013192</v>
      </c>
      <c r="M7" s="126">
        <v>2.5936286089887313</v>
      </c>
      <c r="O7" s="126">
        <v>2181.3823529411766</v>
      </c>
      <c r="P7" s="127">
        <v>27.814009853280613</v>
      </c>
      <c r="Q7" s="128">
        <v>2.3561053339350932</v>
      </c>
      <c r="S7" s="125">
        <v>5</v>
      </c>
      <c r="T7" s="126">
        <v>2023.7100000000003</v>
      </c>
      <c r="U7" s="126">
        <v>46.750618177716866</v>
      </c>
      <c r="V7" s="126">
        <v>3.8656751208728641</v>
      </c>
    </row>
    <row r="8" spans="2:22" ht="13.5" thickBot="1">
      <c r="B8" s="126"/>
      <c r="C8" s="126"/>
      <c r="D8" s="126"/>
      <c r="G8" s="126"/>
      <c r="H8" s="126"/>
      <c r="I8" s="126"/>
      <c r="K8" s="126">
        <v>2039.5707692307694</v>
      </c>
      <c r="L8" s="126">
        <v>24.540253483329906</v>
      </c>
      <c r="M8" s="126">
        <v>2.1653863801192901</v>
      </c>
      <c r="O8" s="126">
        <v>2205.2505882352943</v>
      </c>
      <c r="P8" s="127">
        <v>29.023806709005125</v>
      </c>
      <c r="Q8" s="128">
        <v>2.7632684370091884</v>
      </c>
      <c r="S8" s="125">
        <v>6</v>
      </c>
      <c r="T8" s="126">
        <v>2964.2999999999997</v>
      </c>
      <c r="U8" s="126">
        <v>47.756565517252781</v>
      </c>
      <c r="V8" s="126">
        <v>2.9705915539189074</v>
      </c>
    </row>
    <row r="9" spans="2:22" ht="13.5" thickBot="1">
      <c r="B9" s="126"/>
      <c r="C9" s="126"/>
      <c r="D9" s="126"/>
      <c r="G9" s="126"/>
      <c r="H9" s="126"/>
      <c r="I9" s="126"/>
      <c r="K9" s="126">
        <v>1930.4338461538459</v>
      </c>
      <c r="L9" s="126">
        <v>56.321753869848877</v>
      </c>
      <c r="M9" s="126">
        <v>4.44900536785602</v>
      </c>
      <c r="O9" s="126">
        <v>2222.5623529411764</v>
      </c>
      <c r="P9" s="127">
        <v>33.272269897296525</v>
      </c>
      <c r="Q9" s="128">
        <v>2.7337522062686759</v>
      </c>
      <c r="S9" s="125">
        <v>7</v>
      </c>
      <c r="T9" s="126">
        <v>2041.2907692307692</v>
      </c>
      <c r="U9" s="126">
        <v>17.257092484705854</v>
      </c>
      <c r="V9" s="126">
        <v>1.6583043615676436</v>
      </c>
    </row>
    <row r="10" spans="2:22" ht="13.5" thickBot="1">
      <c r="B10" s="126"/>
      <c r="C10" s="126"/>
      <c r="D10" s="126"/>
      <c r="G10" s="126"/>
      <c r="H10" s="126"/>
      <c r="I10" s="126"/>
      <c r="K10" s="126">
        <v>2046.7338461538461</v>
      </c>
      <c r="L10" s="126">
        <v>28.923420019782736</v>
      </c>
      <c r="M10" s="126">
        <v>2.7514619450890048</v>
      </c>
      <c r="O10" s="126">
        <v>2200.5094117647059</v>
      </c>
      <c r="P10" s="127">
        <v>24.950190497898134</v>
      </c>
      <c r="Q10" s="128">
        <v>1.8988603214292423</v>
      </c>
      <c r="S10" s="125">
        <v>8</v>
      </c>
      <c r="T10" s="126">
        <v>2019.5430769230768</v>
      </c>
      <c r="U10" s="126">
        <v>24.178225529271469</v>
      </c>
      <c r="V10" s="126">
        <v>2.3475065512389057</v>
      </c>
    </row>
    <row r="11" spans="2:22" ht="13.5" thickBot="1">
      <c r="B11" s="126"/>
      <c r="C11" s="126"/>
      <c r="D11" s="126"/>
      <c r="G11" s="126"/>
      <c r="H11" s="126"/>
      <c r="I11" s="126"/>
      <c r="K11" s="126">
        <v>2052.7846153846153</v>
      </c>
      <c r="L11" s="126">
        <v>28.659009233683776</v>
      </c>
      <c r="M11" s="126">
        <v>2.6276949932088933</v>
      </c>
      <c r="O11" s="126">
        <v>2184.6152941176474</v>
      </c>
      <c r="P11" s="127">
        <v>85.64341233551275</v>
      </c>
      <c r="Q11" s="128">
        <v>7.6437410154402921</v>
      </c>
      <c r="S11" s="125">
        <v>9</v>
      </c>
      <c r="T11" s="126">
        <v>2024.3107692307692</v>
      </c>
      <c r="U11" s="126">
        <v>30.978967720487805</v>
      </c>
      <c r="V11" s="126">
        <v>2.9783802350645252</v>
      </c>
    </row>
    <row r="12" spans="2:22" ht="13.5" thickBot="1">
      <c r="B12" s="126"/>
      <c r="C12" s="126"/>
      <c r="D12" s="126"/>
      <c r="G12" s="126"/>
      <c r="H12" s="126"/>
      <c r="I12" s="126"/>
      <c r="K12" s="126">
        <v>2045.4646153846154</v>
      </c>
      <c r="L12" s="126">
        <v>26.551817456719217</v>
      </c>
      <c r="M12" s="126">
        <v>2.3887362164660031</v>
      </c>
      <c r="O12" s="126">
        <v>2175.7623529411762</v>
      </c>
      <c r="P12" s="127">
        <v>76.842450143899086</v>
      </c>
      <c r="Q12" s="128">
        <v>6.6146304316786226</v>
      </c>
      <c r="S12" s="125">
        <v>10</v>
      </c>
      <c r="T12" s="126">
        <v>2032.8630769230767</v>
      </c>
      <c r="U12" s="126">
        <v>26.904871735013192</v>
      </c>
      <c r="V12" s="126">
        <v>2.5936286089887313</v>
      </c>
    </row>
    <row r="13" spans="2:22" ht="13.5" thickBot="1">
      <c r="B13" s="126"/>
      <c r="C13" s="126"/>
      <c r="D13" s="126"/>
      <c r="G13" s="126"/>
      <c r="H13" s="126"/>
      <c r="I13" s="126"/>
      <c r="K13" s="126">
        <v>2028.8430769230772</v>
      </c>
      <c r="L13" s="126">
        <v>27.989067920795186</v>
      </c>
      <c r="M13" s="126">
        <v>2.4468961955928052</v>
      </c>
      <c r="O13" s="126">
        <v>2205.4823529411765</v>
      </c>
      <c r="P13" s="127">
        <v>37.584136202922863</v>
      </c>
      <c r="Q13" s="128">
        <v>2.85967857780056</v>
      </c>
      <c r="S13" s="125">
        <v>11</v>
      </c>
      <c r="T13" s="126">
        <v>2039.5707692307694</v>
      </c>
      <c r="U13" s="126">
        <v>24.540253483329906</v>
      </c>
      <c r="V13" s="126">
        <v>2.1653863801192901</v>
      </c>
    </row>
    <row r="14" spans="2:22" ht="13.5" thickBot="1">
      <c r="B14" s="126"/>
      <c r="C14" s="126"/>
      <c r="D14" s="126"/>
      <c r="G14" s="126"/>
      <c r="H14" s="126"/>
      <c r="I14" s="126"/>
      <c r="K14" s="126">
        <v>2023.6523076923077</v>
      </c>
      <c r="L14" s="126">
        <v>23.638668234429637</v>
      </c>
      <c r="M14" s="126">
        <v>2.030489589586117</v>
      </c>
      <c r="O14" s="126">
        <v>2204.3470588235296</v>
      </c>
      <c r="P14" s="127">
        <v>57.725162598803806</v>
      </c>
      <c r="Q14" s="128">
        <v>5.5842745031934742</v>
      </c>
      <c r="S14" s="125">
        <v>12</v>
      </c>
      <c r="T14" s="126">
        <v>1930.4338461538459</v>
      </c>
      <c r="U14" s="126">
        <v>56.321753869848877</v>
      </c>
      <c r="V14" s="126">
        <v>4.44900536785602</v>
      </c>
    </row>
    <row r="15" spans="2:22" ht="13.5" thickBot="1">
      <c r="B15" s="126"/>
      <c r="C15" s="126"/>
      <c r="D15" s="126"/>
      <c r="G15" s="126"/>
      <c r="H15" s="126"/>
      <c r="I15" s="126"/>
      <c r="K15" s="126">
        <v>2029.8184615384614</v>
      </c>
      <c r="L15" s="126">
        <v>15.069734484598788</v>
      </c>
      <c r="M15" s="126">
        <v>1.3837775639563299</v>
      </c>
      <c r="O15" s="126">
        <v>2204.4541176470589</v>
      </c>
      <c r="P15" s="127">
        <v>76.172126714663435</v>
      </c>
      <c r="Q15" s="128">
        <v>7.6710389732943263</v>
      </c>
      <c r="S15" s="125">
        <v>13</v>
      </c>
      <c r="T15" s="126">
        <v>2046.7338461538461</v>
      </c>
      <c r="U15" s="126">
        <v>28.923420019782736</v>
      </c>
      <c r="V15" s="126">
        <v>2.7514619450890048</v>
      </c>
    </row>
    <row r="16" spans="2:22" ht="13.5" thickBot="1">
      <c r="B16" s="126"/>
      <c r="C16" s="126"/>
      <c r="D16" s="126"/>
      <c r="G16" s="126"/>
      <c r="H16" s="126"/>
      <c r="I16" s="126"/>
      <c r="K16" s="126">
        <v>2048.5661538461541</v>
      </c>
      <c r="L16" s="126">
        <v>22.087752842721468</v>
      </c>
      <c r="M16" s="126">
        <v>1.9115825749824862</v>
      </c>
      <c r="O16" s="126">
        <v>2190.2482352941179</v>
      </c>
      <c r="P16" s="127">
        <v>80.264474725380381</v>
      </c>
      <c r="Q16" s="128">
        <v>8.3762144310894815</v>
      </c>
      <c r="S16" s="125">
        <v>14</v>
      </c>
      <c r="T16" s="126">
        <v>2052.7846153846153</v>
      </c>
      <c r="U16" s="126">
        <v>28.659009233683776</v>
      </c>
      <c r="V16" s="126">
        <v>2.6276949932088933</v>
      </c>
    </row>
    <row r="17" spans="2:22" ht="13.5" thickBot="1">
      <c r="B17" s="126"/>
      <c r="C17" s="126"/>
      <c r="D17" s="126"/>
      <c r="G17" s="126"/>
      <c r="H17" s="126"/>
      <c r="I17" s="126"/>
      <c r="K17" s="126">
        <v>2041.3815384615384</v>
      </c>
      <c r="L17" s="126">
        <v>26.514233236171819</v>
      </c>
      <c r="M17" s="126">
        <v>2.4516294156154266</v>
      </c>
      <c r="O17" s="126">
        <v>2181.3576470588241</v>
      </c>
      <c r="P17" s="127">
        <v>104.84620996544119</v>
      </c>
      <c r="Q17" s="128">
        <v>8.9167500577322762</v>
      </c>
      <c r="S17" s="125">
        <v>15</v>
      </c>
      <c r="T17" s="126">
        <v>2045.4646153846154</v>
      </c>
      <c r="U17" s="126">
        <v>26.551817456719217</v>
      </c>
      <c r="V17" s="126">
        <v>2.3887362164660031</v>
      </c>
    </row>
    <row r="18" spans="2:22" ht="13.5" thickBot="1">
      <c r="B18" s="126"/>
      <c r="C18" s="126"/>
      <c r="D18" s="126"/>
      <c r="G18" s="126"/>
      <c r="H18" s="126"/>
      <c r="I18" s="126"/>
      <c r="K18" s="126">
        <v>2061.8923076923074</v>
      </c>
      <c r="L18" s="126">
        <v>20.265460827861492</v>
      </c>
      <c r="M18" s="126">
        <v>1.916357655211361</v>
      </c>
      <c r="O18" s="126">
        <v>2176.1082352941175</v>
      </c>
      <c r="P18" s="127">
        <v>91.103472782006961</v>
      </c>
      <c r="Q18" s="128">
        <v>9.7725370416599624</v>
      </c>
      <c r="S18" s="125">
        <v>16</v>
      </c>
      <c r="T18" s="126">
        <v>2028.8430769230772</v>
      </c>
      <c r="U18" s="126">
        <v>27.989067920795186</v>
      </c>
      <c r="V18" s="126">
        <v>2.4468961955928052</v>
      </c>
    </row>
    <row r="19" spans="2:22" ht="13.5" thickBot="1">
      <c r="B19" s="126"/>
      <c r="C19" s="126"/>
      <c r="D19" s="126"/>
      <c r="G19" s="126"/>
      <c r="H19" s="126"/>
      <c r="I19" s="126"/>
      <c r="K19" s="126">
        <v>2048.1799999999998</v>
      </c>
      <c r="L19" s="126">
        <v>17.023977208594363</v>
      </c>
      <c r="M19" s="126">
        <v>1.678711157741966</v>
      </c>
      <c r="O19" s="126">
        <v>2193.3411764705879</v>
      </c>
      <c r="P19" s="127">
        <v>36.926188857364018</v>
      </c>
      <c r="Q19" s="128">
        <v>3.314770131287986</v>
      </c>
      <c r="S19" s="125">
        <v>17</v>
      </c>
      <c r="T19" s="126">
        <v>2023.6523076923077</v>
      </c>
      <c r="U19" s="126">
        <v>23.638668234429637</v>
      </c>
      <c r="V19" s="126">
        <v>2.030489589586117</v>
      </c>
    </row>
    <row r="20" spans="2:22" ht="13.5" thickBot="1">
      <c r="B20" s="126"/>
      <c r="C20" s="126"/>
      <c r="D20" s="126"/>
      <c r="G20" s="126">
        <v>2093.7815384615387</v>
      </c>
      <c r="H20" s="126">
        <v>70.208008784139807</v>
      </c>
      <c r="I20" s="126">
        <v>5.0075725214554705</v>
      </c>
      <c r="K20" s="126">
        <v>1925.9830769230766</v>
      </c>
      <c r="L20" s="126">
        <v>56.052540142368528</v>
      </c>
      <c r="M20" s="126">
        <v>4.4718851025491491</v>
      </c>
      <c r="O20" s="126">
        <v>2172.0082352941176</v>
      </c>
      <c r="P20" s="127">
        <v>68.462228658875787</v>
      </c>
      <c r="Q20" s="128">
        <v>6.6692865837878186</v>
      </c>
      <c r="S20" s="125">
        <v>18</v>
      </c>
      <c r="T20" s="126">
        <v>2029.8184615384614</v>
      </c>
      <c r="U20" s="126">
        <v>15.069734484598788</v>
      </c>
      <c r="V20" s="126">
        <v>1.3837775639563299</v>
      </c>
    </row>
    <row r="21" spans="2:22" ht="13.5" thickBot="1">
      <c r="B21" s="126"/>
      <c r="C21" s="126"/>
      <c r="D21" s="126"/>
      <c r="G21" s="126">
        <v>2128.5</v>
      </c>
      <c r="H21" s="126">
        <v>71.190675419373335</v>
      </c>
      <c r="I21" s="126">
        <v>5.101407778573126</v>
      </c>
      <c r="K21" s="126">
        <v>2003.2307692307693</v>
      </c>
      <c r="L21" s="126">
        <v>50.606577053040787</v>
      </c>
      <c r="M21" s="126">
        <v>3.7859666834931853</v>
      </c>
      <c r="O21" s="126">
        <v>1857.4341176470589</v>
      </c>
      <c r="P21" s="127">
        <v>59.271445808545167</v>
      </c>
      <c r="Q21" s="128">
        <v>7.4171126557260258</v>
      </c>
      <c r="S21" s="125">
        <v>19</v>
      </c>
      <c r="T21" s="126">
        <v>2048.5661538461541</v>
      </c>
      <c r="U21" s="126">
        <v>22.087752842721468</v>
      </c>
      <c r="V21" s="126">
        <v>1.9115825749824862</v>
      </c>
    </row>
    <row r="22" spans="2:22" ht="13.5" thickBot="1">
      <c r="B22" s="126">
        <v>1832.1107692307692</v>
      </c>
      <c r="C22" s="126">
        <v>28.92695353863019</v>
      </c>
      <c r="D22" s="126">
        <v>2.637997714687526</v>
      </c>
      <c r="G22" s="126">
        <v>2067.0600000000004</v>
      </c>
      <c r="H22" s="126">
        <v>70.824979115168986</v>
      </c>
      <c r="I22" s="126">
        <v>5.2458839194029414</v>
      </c>
      <c r="K22" s="126">
        <v>2022.6046153846155</v>
      </c>
      <c r="L22" s="126">
        <v>19.55468597521962</v>
      </c>
      <c r="M22" s="126">
        <v>1.8077320817755329</v>
      </c>
      <c r="O22" s="126">
        <v>2241.4364705882349</v>
      </c>
      <c r="P22" s="127">
        <v>76.942599460681606</v>
      </c>
      <c r="Q22" s="128">
        <v>8.2261492251243329</v>
      </c>
      <c r="S22" s="125">
        <v>20</v>
      </c>
      <c r="T22" s="126">
        <v>2041.3815384615384</v>
      </c>
      <c r="U22" s="126">
        <v>26.514233236171819</v>
      </c>
      <c r="V22" s="126">
        <v>2.4516294156154266</v>
      </c>
    </row>
    <row r="23" spans="2:22" ht="13.5" thickBot="1">
      <c r="B23" s="126">
        <v>1838.6584615384616</v>
      </c>
      <c r="C23" s="126">
        <v>24.520360874911319</v>
      </c>
      <c r="D23" s="126">
        <v>2.4549560620210822</v>
      </c>
      <c r="G23" s="126">
        <v>2020.4999999999998</v>
      </c>
      <c r="H23" s="126">
        <v>64.620549879027152</v>
      </c>
      <c r="I23" s="126">
        <v>5.0479887900597031</v>
      </c>
      <c r="K23" s="126">
        <v>2024.073846153846</v>
      </c>
      <c r="L23" s="126">
        <v>22.943027095559415</v>
      </c>
      <c r="M23" s="126">
        <v>2.2076835753121902</v>
      </c>
      <c r="O23" s="126">
        <v>2241.4364705882349</v>
      </c>
      <c r="P23" s="127">
        <v>76.942599460681606</v>
      </c>
      <c r="Q23" s="128">
        <v>8.2261492251243329</v>
      </c>
      <c r="S23" s="125">
        <v>21</v>
      </c>
      <c r="T23" s="126">
        <v>2061.8923076923074</v>
      </c>
      <c r="U23" s="126">
        <v>20.265460827861492</v>
      </c>
      <c r="V23" s="126">
        <v>1.916357655211361</v>
      </c>
    </row>
    <row r="24" spans="2:22" ht="13.5" thickBot="1">
      <c r="B24" s="126">
        <v>1860.4461538461537</v>
      </c>
      <c r="C24" s="126">
        <v>26.213469037392525</v>
      </c>
      <c r="D24" s="126">
        <v>2.5123725559131254</v>
      </c>
      <c r="G24" s="126">
        <v>2053.0261538461541</v>
      </c>
      <c r="H24" s="126">
        <v>65.993026593518877</v>
      </c>
      <c r="I24" s="126">
        <v>5.1884595181224444</v>
      </c>
      <c r="K24" s="126">
        <v>2070.1523076923081</v>
      </c>
      <c r="L24" s="126">
        <v>20.297780730000252</v>
      </c>
      <c r="M24" s="126">
        <v>1.9804338000515156</v>
      </c>
      <c r="O24" s="126">
        <v>2212.6894117647062</v>
      </c>
      <c r="P24" s="127">
        <v>73.160291865752072</v>
      </c>
      <c r="Q24" s="128">
        <v>8.4624748669830687</v>
      </c>
      <c r="S24" s="125">
        <v>22</v>
      </c>
      <c r="T24" s="126">
        <v>2048.1799999999998</v>
      </c>
      <c r="U24" s="126">
        <v>17.023977208594363</v>
      </c>
      <c r="V24" s="126">
        <v>1.678711157741966</v>
      </c>
    </row>
    <row r="25" spans="2:22" ht="13.5" thickBot="1">
      <c r="B25" s="126">
        <v>1778.783076923077</v>
      </c>
      <c r="C25" s="126">
        <v>34.429273248355493</v>
      </c>
      <c r="D25" s="126">
        <v>3.4827558903706679</v>
      </c>
      <c r="G25" s="126">
        <v>2072.8046153846158</v>
      </c>
      <c r="H25" s="126">
        <v>68.363427919623149</v>
      </c>
      <c r="I25" s="126">
        <v>5.2837784760408653</v>
      </c>
      <c r="K25" s="126">
        <v>1928.3076923076924</v>
      </c>
      <c r="L25" s="126">
        <v>39.382668386362596</v>
      </c>
      <c r="M25" s="126">
        <v>3.0131628748055093</v>
      </c>
      <c r="O25" s="126">
        <v>2194.0047058823534</v>
      </c>
      <c r="P25" s="127">
        <v>69.370256785362855</v>
      </c>
      <c r="Q25" s="128">
        <v>8.1716177687850564</v>
      </c>
      <c r="S25" s="125">
        <v>23</v>
      </c>
      <c r="T25" s="126">
        <v>1925.9830769230766</v>
      </c>
      <c r="U25" s="126">
        <v>56.052540142368528</v>
      </c>
      <c r="V25" s="126">
        <v>4.4718851025491491</v>
      </c>
    </row>
    <row r="26" spans="2:22" ht="13.5" thickBot="1">
      <c r="B26" s="126">
        <v>1837.4769230769232</v>
      </c>
      <c r="C26" s="126">
        <v>39.828109710076717</v>
      </c>
      <c r="D26" s="126">
        <v>3.9694740309651886</v>
      </c>
      <c r="G26" s="126">
        <v>1826.8092307692305</v>
      </c>
      <c r="H26" s="126">
        <v>50.794717320724743</v>
      </c>
      <c r="I26" s="126">
        <v>5.0370267245672151</v>
      </c>
      <c r="K26" s="126">
        <v>2019.6015384615384</v>
      </c>
      <c r="L26" s="126">
        <v>39.432038971334329</v>
      </c>
      <c r="M26" s="126">
        <v>2.827596542938509</v>
      </c>
      <c r="O26" s="126">
        <v>2077.4599999999996</v>
      </c>
      <c r="P26" s="127">
        <v>56.739270351327306</v>
      </c>
      <c r="Q26" s="128">
        <v>5.3297992029137582</v>
      </c>
      <c r="S26" s="125">
        <v>24</v>
      </c>
      <c r="T26" s="126">
        <v>2003.2307692307693</v>
      </c>
      <c r="U26" s="126">
        <v>50.606577053040787</v>
      </c>
      <c r="V26" s="126">
        <v>3.7859666834931853</v>
      </c>
    </row>
    <row r="27" spans="2:22" ht="13.5" thickBot="1">
      <c r="B27" s="126">
        <v>1833.9692307692308</v>
      </c>
      <c r="C27" s="126">
        <v>35.394710165408412</v>
      </c>
      <c r="D27" s="126">
        <v>3.6290632233716731</v>
      </c>
      <c r="G27" s="126">
        <v>1921.7461538461537</v>
      </c>
      <c r="H27" s="126">
        <v>37.069873108879307</v>
      </c>
      <c r="I27" s="126">
        <v>3.4038354812850722</v>
      </c>
      <c r="K27" s="126">
        <v>2049.9184615384615</v>
      </c>
      <c r="L27" s="126">
        <v>30.255572997947951</v>
      </c>
      <c r="M27" s="126">
        <v>2.5107272959359057</v>
      </c>
      <c r="O27" s="126">
        <v>2118.1799999999998</v>
      </c>
      <c r="P27" s="127">
        <v>45.2726655941592</v>
      </c>
      <c r="Q27" s="128">
        <v>4.9042402176937383</v>
      </c>
      <c r="S27" s="125">
        <v>25</v>
      </c>
      <c r="T27" s="126">
        <v>2022.6046153846155</v>
      </c>
      <c r="U27" s="126">
        <v>19.55468597521962</v>
      </c>
      <c r="V27" s="126">
        <v>1.8077320817755329</v>
      </c>
    </row>
    <row r="28" spans="2:22" ht="13.5" thickBot="1">
      <c r="B28" s="126">
        <v>1859.7015384615381</v>
      </c>
      <c r="C28" s="126">
        <v>34.825270002823494</v>
      </c>
      <c r="D28" s="126">
        <v>3.3058342382642643</v>
      </c>
      <c r="G28" s="126">
        <v>1944.7446153846154</v>
      </c>
      <c r="H28" s="126">
        <v>35.799527141989778</v>
      </c>
      <c r="I28" s="126">
        <v>3.3778428144625332</v>
      </c>
      <c r="K28" s="126">
        <v>2048.1338461538462</v>
      </c>
      <c r="L28" s="126">
        <v>34.546130882829118</v>
      </c>
      <c r="M28" s="126">
        <v>2.578276109218367</v>
      </c>
      <c r="O28" s="126">
        <v>2138.4694117647055</v>
      </c>
      <c r="P28" s="127">
        <v>56.766607313477891</v>
      </c>
      <c r="Q28" s="128">
        <v>5.6642876813995464</v>
      </c>
      <c r="S28" s="125">
        <v>26</v>
      </c>
      <c r="T28" s="126">
        <v>2024.073846153846</v>
      </c>
      <c r="U28" s="126">
        <v>22.943027095559415</v>
      </c>
      <c r="V28" s="126">
        <v>2.2076835753121902</v>
      </c>
    </row>
    <row r="29" spans="2:22" ht="13.5" thickBot="1">
      <c r="B29" s="126">
        <v>1615.0246153846156</v>
      </c>
      <c r="C29" s="126">
        <v>12.728574557068205</v>
      </c>
      <c r="D29" s="126">
        <v>1.1778068594286377</v>
      </c>
      <c r="G29" s="126">
        <v>1998.5461538461541</v>
      </c>
      <c r="H29" s="126">
        <v>28.862082836154876</v>
      </c>
      <c r="I29" s="126">
        <v>2.4894023153771689</v>
      </c>
      <c r="K29" s="126">
        <v>2037.3584615384611</v>
      </c>
      <c r="L29" s="126">
        <v>37.827598797295437</v>
      </c>
      <c r="M29" s="126">
        <v>2.8816889280394444</v>
      </c>
      <c r="O29" s="126">
        <v>2129.8682352941173</v>
      </c>
      <c r="P29" s="127">
        <v>43.978693170003169</v>
      </c>
      <c r="Q29" s="128">
        <v>4.6576231884057702</v>
      </c>
      <c r="S29" s="125">
        <v>27</v>
      </c>
      <c r="T29" s="126">
        <v>403.25384615384615</v>
      </c>
      <c r="U29" s="126">
        <v>24.856315608734299</v>
      </c>
      <c r="V29" s="126">
        <v>9.9820828117713791</v>
      </c>
    </row>
    <row r="30" spans="2:22" ht="13.5" thickBot="1">
      <c r="B30" s="126">
        <v>1827.4276923076925</v>
      </c>
      <c r="C30" s="126">
        <v>44.857801654011787</v>
      </c>
      <c r="D30" s="126">
        <v>4.4299922222773809</v>
      </c>
      <c r="G30" s="126">
        <v>2025.658461538462</v>
      </c>
      <c r="H30" s="126">
        <v>23.268753671720543</v>
      </c>
      <c r="I30" s="126">
        <v>1.9924673214681239</v>
      </c>
      <c r="K30" s="126">
        <v>2003.8646153846153</v>
      </c>
      <c r="L30" s="126">
        <v>50.59877874273721</v>
      </c>
      <c r="M30" s="126">
        <v>3.4333161818860396</v>
      </c>
      <c r="O30" s="126">
        <v>2118.2200000000003</v>
      </c>
      <c r="P30" s="127">
        <v>92.590719297339731</v>
      </c>
      <c r="Q30" s="128">
        <v>10.595164852898133</v>
      </c>
      <c r="S30" s="125">
        <v>28</v>
      </c>
      <c r="T30" s="126">
        <v>2070.1523076923081</v>
      </c>
      <c r="U30" s="126">
        <v>20.297780730000252</v>
      </c>
      <c r="V30" s="126">
        <v>1.9804338000515156</v>
      </c>
    </row>
    <row r="31" spans="2:22" ht="13.5" thickBot="1">
      <c r="B31" s="126">
        <v>1718.6830769230769</v>
      </c>
      <c r="C31" s="126">
        <v>24.237407515575246</v>
      </c>
      <c r="D31" s="126">
        <v>2.5850768182056592</v>
      </c>
      <c r="G31" s="126">
        <v>2033.8399999999997</v>
      </c>
      <c r="H31" s="126">
        <v>23.66656150214812</v>
      </c>
      <c r="I31" s="126">
        <v>2.1490223709705645</v>
      </c>
      <c r="K31" s="126">
        <v>2029.9969230769227</v>
      </c>
      <c r="L31" s="126">
        <v>43.346014692762985</v>
      </c>
      <c r="M31" s="126">
        <v>3.0986727070418221</v>
      </c>
      <c r="O31" s="126">
        <v>2162.2988235294119</v>
      </c>
      <c r="P31" s="127">
        <v>49.279619758352965</v>
      </c>
      <c r="Q31" s="128">
        <v>5.43219811976443</v>
      </c>
      <c r="S31" s="125">
        <v>29</v>
      </c>
      <c r="T31" s="126">
        <v>1928.3076923076924</v>
      </c>
      <c r="U31" s="126">
        <v>39.382668386362596</v>
      </c>
      <c r="V31" s="126">
        <v>3.0131628748055093</v>
      </c>
    </row>
    <row r="32" spans="2:22" ht="13.5" thickBot="1">
      <c r="B32" s="126">
        <v>1854.2046153846156</v>
      </c>
      <c r="C32" s="126">
        <v>41.494186865011038</v>
      </c>
      <c r="D32" s="126">
        <v>4.107098136997628</v>
      </c>
      <c r="G32" s="126">
        <v>2017.0646153846153</v>
      </c>
      <c r="H32" s="126">
        <v>26.242023745425065</v>
      </c>
      <c r="I32" s="126">
        <v>2.3832596301889413</v>
      </c>
      <c r="K32" s="126">
        <v>1986.7061538461539</v>
      </c>
      <c r="L32" s="126">
        <v>52.394764614159072</v>
      </c>
      <c r="M32" s="126">
        <v>3.1645022305645858</v>
      </c>
      <c r="O32" s="126">
        <v>1869.8047058823529</v>
      </c>
      <c r="P32" s="127">
        <v>40.505751153030744</v>
      </c>
      <c r="Q32" s="128">
        <v>4.3428442926212929</v>
      </c>
      <c r="S32" s="125">
        <v>30</v>
      </c>
      <c r="T32" s="126">
        <v>2019.6015384615384</v>
      </c>
      <c r="U32" s="126">
        <v>39.432038971334329</v>
      </c>
      <c r="V32" s="126">
        <v>2.827596542938509</v>
      </c>
    </row>
    <row r="33" spans="1:22" ht="13.5" thickBot="1">
      <c r="B33" s="126">
        <v>1861.3215384615387</v>
      </c>
      <c r="C33" s="126">
        <v>42.533047905138432</v>
      </c>
      <c r="D33" s="126">
        <v>4.1275756722206483</v>
      </c>
      <c r="G33" s="126">
        <v>2068.6800000000003</v>
      </c>
      <c r="H33" s="126">
        <v>21.977497582720289</v>
      </c>
      <c r="I33" s="126">
        <v>1.8690642138113098</v>
      </c>
      <c r="K33" s="126">
        <v>2068.9076923076918</v>
      </c>
      <c r="L33" s="126">
        <v>54.562477056724511</v>
      </c>
      <c r="M33" s="126">
        <v>3.7927481477847214</v>
      </c>
      <c r="O33" s="126">
        <v>2116.9082352941177</v>
      </c>
      <c r="P33" s="127">
        <v>30.572671668350708</v>
      </c>
      <c r="Q33" s="128">
        <v>2.5462876379278114</v>
      </c>
      <c r="S33" s="125">
        <v>31</v>
      </c>
      <c r="T33" s="126">
        <v>2049.9184615384615</v>
      </c>
      <c r="U33" s="126">
        <v>30.255572997947951</v>
      </c>
      <c r="V33" s="126">
        <v>2.5107272959359057</v>
      </c>
    </row>
    <row r="34" spans="1:22" ht="13.5" thickBot="1">
      <c r="B34" s="126">
        <v>1613.9353846153842</v>
      </c>
      <c r="C34" s="126">
        <v>10.713496640126142</v>
      </c>
      <c r="D34" s="126">
        <v>1.0734960518649783</v>
      </c>
      <c r="G34" s="126">
        <v>2080.3030769230772</v>
      </c>
      <c r="H34" s="126">
        <v>23.556211984873855</v>
      </c>
      <c r="I34" s="126">
        <v>1.9530836389538595</v>
      </c>
      <c r="K34" s="126">
        <v>2034.9861538461544</v>
      </c>
      <c r="L34" s="126">
        <v>27.30132522374015</v>
      </c>
      <c r="M34" s="126">
        <v>1.8528400332028934</v>
      </c>
      <c r="O34" s="126">
        <v>2133.9776470588231</v>
      </c>
      <c r="P34" s="127">
        <v>36.270314226894392</v>
      </c>
      <c r="Q34" s="128">
        <v>3.8458422103702672</v>
      </c>
      <c r="S34" s="125">
        <v>32</v>
      </c>
      <c r="T34" s="126">
        <v>2048.1338461538462</v>
      </c>
      <c r="U34" s="126">
        <v>34.546130882829118</v>
      </c>
      <c r="V34" s="126">
        <v>2.578276109218367</v>
      </c>
    </row>
    <row r="35" spans="1:22" ht="13.5" thickBot="1">
      <c r="B35" s="126">
        <v>1812.7446153846156</v>
      </c>
      <c r="C35" s="126">
        <v>53.322760089746815</v>
      </c>
      <c r="D35" s="126">
        <v>4.6932014058337561</v>
      </c>
      <c r="G35" s="126">
        <v>2078.2753846153846</v>
      </c>
      <c r="H35" s="126">
        <v>22.960551900801498</v>
      </c>
      <c r="I35" s="126">
        <v>1.9118295652840951</v>
      </c>
      <c r="K35" s="126">
        <v>2161.2876923076924</v>
      </c>
      <c r="L35" s="126">
        <v>28.561919331430389</v>
      </c>
      <c r="M35" s="126">
        <v>1.9631365546999981</v>
      </c>
      <c r="O35" s="126">
        <v>2117.5494117647058</v>
      </c>
      <c r="P35" s="127">
        <v>46.609848271414705</v>
      </c>
      <c r="Q35" s="128">
        <v>4.2488753250740832</v>
      </c>
      <c r="S35" s="125">
        <v>33</v>
      </c>
      <c r="T35" s="126">
        <v>2037.3584615384611</v>
      </c>
      <c r="U35" s="126">
        <v>37.827598797295437</v>
      </c>
      <c r="V35" s="126">
        <v>2.8816889280394444</v>
      </c>
    </row>
    <row r="36" spans="1:22" ht="13.5" thickBot="1">
      <c r="B36" s="126">
        <v>1755.7753846153848</v>
      </c>
      <c r="C36" s="126">
        <v>53.737053730083503</v>
      </c>
      <c r="D36" s="126">
        <v>4.6192693492714598</v>
      </c>
      <c r="G36" s="126">
        <v>2062.2430769230764</v>
      </c>
      <c r="H36" s="126">
        <v>22.838676036037452</v>
      </c>
      <c r="I36" s="126">
        <v>2.0303586967030958</v>
      </c>
      <c r="K36" s="126">
        <v>2212.6215384615384</v>
      </c>
      <c r="L36" s="126">
        <v>23.721709412182687</v>
      </c>
      <c r="M36" s="126">
        <v>1.6948080121483633</v>
      </c>
      <c r="O36" s="126">
        <v>2117.5976470588239</v>
      </c>
      <c r="P36" s="127">
        <v>52.553046477966816</v>
      </c>
      <c r="Q36" s="128">
        <v>5.1073086788532045</v>
      </c>
      <c r="S36" s="125">
        <v>34</v>
      </c>
      <c r="T36" s="126">
        <v>2003.8646153846153</v>
      </c>
      <c r="U36" s="126">
        <v>50.59877874273721</v>
      </c>
      <c r="V36" s="126">
        <v>3.4333161818860396</v>
      </c>
    </row>
    <row r="37" spans="1:22" ht="13.5" thickBot="1">
      <c r="B37" s="126">
        <v>1852.9107692307696</v>
      </c>
      <c r="C37" s="126">
        <v>57.553774631711285</v>
      </c>
      <c r="D37" s="126">
        <v>5.0690688054772259</v>
      </c>
      <c r="G37" s="126">
        <v>2067.7830769230777</v>
      </c>
      <c r="H37" s="126">
        <v>22.639664081913683</v>
      </c>
      <c r="I37" s="126">
        <v>1.9031642274541687</v>
      </c>
      <c r="K37" s="126"/>
      <c r="L37" s="127"/>
      <c r="M37" s="128"/>
      <c r="O37" s="126">
        <v>2134.5670588235294</v>
      </c>
      <c r="P37" s="127">
        <v>33.162074679679456</v>
      </c>
      <c r="Q37" s="128">
        <v>3.0542145018595153</v>
      </c>
      <c r="S37" s="125">
        <v>35</v>
      </c>
      <c r="T37" s="126">
        <v>2029.9969230769227</v>
      </c>
      <c r="U37" s="126">
        <v>43.346014692762985</v>
      </c>
      <c r="V37" s="126">
        <v>3.0986727070418221</v>
      </c>
    </row>
    <row r="38" spans="1:22" ht="13.5" thickBot="1">
      <c r="B38" s="126">
        <v>1895.6923076923076</v>
      </c>
      <c r="C38" s="126">
        <v>57.375059354194491</v>
      </c>
      <c r="D38" s="126">
        <v>4.5940170940170946</v>
      </c>
      <c r="G38" s="126">
        <v>2146.6261538461536</v>
      </c>
      <c r="H38" s="126">
        <v>30.029549208110705</v>
      </c>
      <c r="I38" s="126">
        <v>2.4648001369590564</v>
      </c>
      <c r="K38" s="126"/>
      <c r="L38" s="127"/>
      <c r="M38" s="128"/>
      <c r="O38" s="126">
        <v>2084.0458823529411</v>
      </c>
      <c r="P38" s="127">
        <v>30.043525729108357</v>
      </c>
      <c r="Q38" s="128">
        <v>2.7826756460037441</v>
      </c>
      <c r="S38" s="125">
        <v>36</v>
      </c>
      <c r="T38" s="126">
        <v>1986.7061538461539</v>
      </c>
      <c r="U38" s="126">
        <v>52.394764614159072</v>
      </c>
      <c r="V38" s="126">
        <v>3.1645022305645858</v>
      </c>
    </row>
    <row r="39" spans="1:22" ht="13.5" thickBot="1">
      <c r="B39" s="126">
        <v>2028.0369230769227</v>
      </c>
      <c r="C39" s="126">
        <v>69.199323622010098</v>
      </c>
      <c r="D39" s="126">
        <v>5.2848401016373199</v>
      </c>
      <c r="G39" s="126">
        <v>2232.3076923076924</v>
      </c>
      <c r="H39" s="126">
        <v>24.205318339103503</v>
      </c>
      <c r="I39" s="126">
        <v>1.9660411081322611</v>
      </c>
      <c r="K39" s="126"/>
      <c r="L39" s="127"/>
      <c r="M39" s="128"/>
      <c r="O39" s="126">
        <v>2093.3588235294114</v>
      </c>
      <c r="P39" s="127">
        <v>27.415725843596331</v>
      </c>
      <c r="Q39" s="128">
        <v>2.8597646346539545</v>
      </c>
      <c r="S39" s="125">
        <v>37</v>
      </c>
      <c r="T39" s="126">
        <v>2068.9076923076918</v>
      </c>
      <c r="U39" s="126">
        <v>54.562477056724511</v>
      </c>
      <c r="V39" s="126">
        <v>3.7927481477847214</v>
      </c>
    </row>
    <row r="40" spans="1:22" ht="13.5" thickBot="1">
      <c r="D40" s="125">
        <f>STDEV(D3:D39)</f>
        <v>1.2442798011288194</v>
      </c>
      <c r="E40" s="125" t="s">
        <v>101</v>
      </c>
      <c r="I40" s="125">
        <f>STDEV(I3:I39)</f>
        <v>1.449091937565661</v>
      </c>
      <c r="M40" s="125">
        <f>STDEV(M3:M39)</f>
        <v>0.76653462867524436</v>
      </c>
      <c r="Q40" s="125">
        <f>STDEV(Q3:Q39)</f>
        <v>2.4957821901502992</v>
      </c>
      <c r="S40" s="125">
        <v>38</v>
      </c>
      <c r="T40" s="126">
        <v>2034.9861538461544</v>
      </c>
      <c r="U40" s="126">
        <v>27.30132522374015</v>
      </c>
      <c r="V40" s="126">
        <v>1.8528400332028934</v>
      </c>
    </row>
    <row r="41" spans="1:22" ht="13.5" thickBot="1">
      <c r="A41" s="125" t="s">
        <v>117</v>
      </c>
      <c r="B41" s="125">
        <f>AVERAGE(B3:B39)</f>
        <v>1815.3835042735043</v>
      </c>
      <c r="C41" s="125">
        <f t="shared" ref="C41:Q41" si="0">AVERAGE(C3:C39)</f>
        <v>38.43836850790418</v>
      </c>
      <c r="D41" s="125">
        <f t="shared" si="0"/>
        <v>3.5418831240458513</v>
      </c>
      <c r="G41" s="125">
        <f t="shared" si="0"/>
        <v>2047.0150000000006</v>
      </c>
      <c r="H41" s="125">
        <f t="shared" si="0"/>
        <v>40.255583808572737</v>
      </c>
      <c r="I41" s="125">
        <f t="shared" si="0"/>
        <v>3.2903144624636007</v>
      </c>
      <c r="K41" s="125">
        <f t="shared" si="0"/>
        <v>2061.9813122171945</v>
      </c>
      <c r="L41" s="125">
        <f t="shared" si="0"/>
        <v>32.236661232675395</v>
      </c>
      <c r="M41" s="125">
        <f t="shared" si="0"/>
        <v>2.5828034478721222</v>
      </c>
      <c r="O41" s="125">
        <f t="shared" si="0"/>
        <v>2135.4886486486489</v>
      </c>
      <c r="P41" s="125">
        <f t="shared" si="0"/>
        <v>54.890930324188503</v>
      </c>
      <c r="Q41" s="125">
        <f t="shared" si="0"/>
        <v>5.4682127407012366</v>
      </c>
      <c r="S41" s="125">
        <v>39</v>
      </c>
      <c r="T41" s="126">
        <v>2161.2876923076924</v>
      </c>
      <c r="U41" s="126">
        <v>28.561919331430389</v>
      </c>
      <c r="V41" s="126">
        <v>1.9631365546999981</v>
      </c>
    </row>
    <row r="42" spans="1:22">
      <c r="C42" s="125">
        <f>3*C41</f>
        <v>115.31510552371253</v>
      </c>
      <c r="D42" s="125">
        <f>3*D40</f>
        <v>3.7328394033864583</v>
      </c>
      <c r="E42" s="125" t="s">
        <v>118</v>
      </c>
      <c r="H42" s="125">
        <f>3*H41</f>
        <v>120.76675142571821</v>
      </c>
      <c r="I42" s="125">
        <f>3*I40</f>
        <v>4.3472758126969833</v>
      </c>
      <c r="L42" s="125">
        <f>3*L41</f>
        <v>96.709983698026178</v>
      </c>
      <c r="M42" s="125">
        <f>3*M40</f>
        <v>2.2996038860257331</v>
      </c>
      <c r="P42" s="125">
        <f>3*P41</f>
        <v>164.67279097256551</v>
      </c>
      <c r="Q42" s="125">
        <f>3*Q40</f>
        <v>7.4873465704508977</v>
      </c>
      <c r="S42" s="125">
        <v>40</v>
      </c>
      <c r="T42" s="126">
        <v>2212.6215384615384</v>
      </c>
      <c r="U42" s="126">
        <v>23.721709412182687</v>
      </c>
      <c r="V42" s="126">
        <v>1.6948080121483633</v>
      </c>
    </row>
    <row r="43" spans="1:22">
      <c r="A43" s="129" t="s">
        <v>71</v>
      </c>
      <c r="B43" s="129">
        <f>B41-C42</f>
        <v>1700.0683987497919</v>
      </c>
      <c r="C43" s="129"/>
      <c r="D43" s="129">
        <f>D41-D42</f>
        <v>-0.19095627934060699</v>
      </c>
      <c r="F43" s="129" t="s">
        <v>71</v>
      </c>
      <c r="G43" s="129">
        <f>G41-H42</f>
        <v>1926.2482485742823</v>
      </c>
      <c r="H43" s="129"/>
      <c r="I43" s="129">
        <f>I41-I42</f>
        <v>-1.0569613502333826</v>
      </c>
      <c r="K43" s="129">
        <f>K41-L42</f>
        <v>1965.2713285191683</v>
      </c>
      <c r="L43" s="129"/>
      <c r="M43" s="129">
        <f>M41-M42</f>
        <v>0.28319956184638917</v>
      </c>
      <c r="O43" s="129">
        <f>O41-P42</f>
        <v>1970.8158576760834</v>
      </c>
      <c r="P43" s="129"/>
      <c r="Q43" s="129">
        <f>Q41-Q42</f>
        <v>-2.019133829749661</v>
      </c>
    </row>
    <row r="44" spans="1:22">
      <c r="A44" s="129" t="s">
        <v>72</v>
      </c>
      <c r="B44" s="129">
        <f>B41+C42</f>
        <v>1930.6986097972167</v>
      </c>
      <c r="C44" s="129"/>
      <c r="D44" s="129">
        <f>D41+D42</f>
        <v>7.27472252743231</v>
      </c>
      <c r="F44" s="129" t="s">
        <v>72</v>
      </c>
      <c r="G44" s="129">
        <f>G41+H42</f>
        <v>2167.7817514257185</v>
      </c>
      <c r="H44" s="129"/>
      <c r="I44" s="129">
        <f>I41+I42</f>
        <v>7.6375902751605835</v>
      </c>
      <c r="K44" s="129">
        <f>K41+L42</f>
        <v>2158.6912959152205</v>
      </c>
      <c r="L44" s="129"/>
      <c r="M44" s="129">
        <f>M41+M42</f>
        <v>4.8824073338978558</v>
      </c>
      <c r="O44" s="129">
        <f>O41+P42</f>
        <v>2300.1614396212144</v>
      </c>
      <c r="P44" s="129"/>
      <c r="Q44" s="129">
        <f>Q41+Q42</f>
        <v>12.955559311152134</v>
      </c>
    </row>
  </sheetData>
  <conditionalFormatting sqref="I3:I29">
    <cfRule type="cellIs" dxfId="1135" priority="1135" stopIfTrue="1" operator="equal">
      <formula>"Fail"</formula>
    </cfRule>
    <cfRule type="cellIs" dxfId="1134" priority="1136" stopIfTrue="1" operator="equal">
      <formula>"Pass"</formula>
    </cfRule>
  </conditionalFormatting>
  <conditionalFormatting sqref="I3:I38">
    <cfRule type="cellIs" dxfId="1133" priority="1133" stopIfTrue="1" operator="equal">
      <formula>"Fail"</formula>
    </cfRule>
    <cfRule type="cellIs" dxfId="1132" priority="1134" stopIfTrue="1" operator="equal">
      <formula>"Pass"</formula>
    </cfRule>
  </conditionalFormatting>
  <conditionalFormatting sqref="D3:D39">
    <cfRule type="cellIs" dxfId="1131" priority="1131" stopIfTrue="1" operator="equal">
      <formula>"Fail"</formula>
    </cfRule>
    <cfRule type="cellIs" dxfId="1130" priority="1132" stopIfTrue="1" operator="equal">
      <formula>"Pass"</formula>
    </cfRule>
  </conditionalFormatting>
  <conditionalFormatting sqref="I3:I39">
    <cfRule type="cellIs" dxfId="1129" priority="1129" stopIfTrue="1" operator="equal">
      <formula>"Fail"</formula>
    </cfRule>
    <cfRule type="cellIs" dxfId="1128" priority="1130" stopIfTrue="1" operator="equal">
      <formula>"Pass"</formula>
    </cfRule>
  </conditionalFormatting>
  <conditionalFormatting sqref="V3">
    <cfRule type="cellIs" dxfId="1127" priority="1127" stopIfTrue="1" operator="equal">
      <formula>"Fail"</formula>
    </cfRule>
    <cfRule type="cellIs" dxfId="1126" priority="1128" stopIfTrue="1" operator="equal">
      <formula>"Pass"</formula>
    </cfRule>
  </conditionalFormatting>
  <conditionalFormatting sqref="V4">
    <cfRule type="cellIs" dxfId="1125" priority="1125" stopIfTrue="1" operator="equal">
      <formula>"Fail"</formula>
    </cfRule>
    <cfRule type="cellIs" dxfId="1124" priority="1126" stopIfTrue="1" operator="equal">
      <formula>"Pass"</formula>
    </cfRule>
  </conditionalFormatting>
  <conditionalFormatting sqref="V5">
    <cfRule type="cellIs" dxfId="1123" priority="1123" stopIfTrue="1" operator="equal">
      <formula>"Fail"</formula>
    </cfRule>
    <cfRule type="cellIs" dxfId="1122" priority="1124" stopIfTrue="1" operator="equal">
      <formula>"Pass"</formula>
    </cfRule>
  </conditionalFormatting>
  <conditionalFormatting sqref="V6">
    <cfRule type="cellIs" dxfId="1121" priority="1121" stopIfTrue="1" operator="equal">
      <formula>"Fail"</formula>
    </cfRule>
    <cfRule type="cellIs" dxfId="1120" priority="1122" stopIfTrue="1" operator="equal">
      <formula>"Pass"</formula>
    </cfRule>
  </conditionalFormatting>
  <conditionalFormatting sqref="V7">
    <cfRule type="cellIs" dxfId="1119" priority="1119" stopIfTrue="1" operator="equal">
      <formula>"Fail"</formula>
    </cfRule>
    <cfRule type="cellIs" dxfId="1118" priority="1120" stopIfTrue="1" operator="equal">
      <formula>"Pass"</formula>
    </cfRule>
  </conditionalFormatting>
  <conditionalFormatting sqref="V7">
    <cfRule type="cellIs" dxfId="1117" priority="1117" stopIfTrue="1" operator="equal">
      <formula>"Fail"</formula>
    </cfRule>
    <cfRule type="cellIs" dxfId="1116" priority="1118" stopIfTrue="1" operator="equal">
      <formula>"Pass"</formula>
    </cfRule>
  </conditionalFormatting>
  <conditionalFormatting sqref="V8">
    <cfRule type="cellIs" dxfId="1115" priority="1115" stopIfTrue="1" operator="equal">
      <formula>"Fail"</formula>
    </cfRule>
    <cfRule type="cellIs" dxfId="1114" priority="1116" stopIfTrue="1" operator="equal">
      <formula>"Pass"</formula>
    </cfRule>
  </conditionalFormatting>
  <conditionalFormatting sqref="V9">
    <cfRule type="cellIs" dxfId="1113" priority="1113" stopIfTrue="1" operator="equal">
      <formula>"Fail"</formula>
    </cfRule>
    <cfRule type="cellIs" dxfId="1112" priority="1114" stopIfTrue="1" operator="equal">
      <formula>"Pass"</formula>
    </cfRule>
  </conditionalFormatting>
  <conditionalFormatting sqref="V10">
    <cfRule type="cellIs" dxfId="1111" priority="1111" stopIfTrue="1" operator="equal">
      <formula>"Fail"</formula>
    </cfRule>
    <cfRule type="cellIs" dxfId="1110" priority="1112" stopIfTrue="1" operator="equal">
      <formula>"Pass"</formula>
    </cfRule>
  </conditionalFormatting>
  <conditionalFormatting sqref="V11">
    <cfRule type="cellIs" dxfId="1109" priority="1109" stopIfTrue="1" operator="equal">
      <formula>"Fail"</formula>
    </cfRule>
    <cfRule type="cellIs" dxfId="1108" priority="1110" stopIfTrue="1" operator="equal">
      <formula>"Pass"</formula>
    </cfRule>
  </conditionalFormatting>
  <conditionalFormatting sqref="V11">
    <cfRule type="cellIs" dxfId="1107" priority="1107" stopIfTrue="1" operator="equal">
      <formula>"Fail"</formula>
    </cfRule>
    <cfRule type="cellIs" dxfId="1106" priority="1108" stopIfTrue="1" operator="equal">
      <formula>"Pass"</formula>
    </cfRule>
  </conditionalFormatting>
  <conditionalFormatting sqref="V11">
    <cfRule type="cellIs" dxfId="1105" priority="1105" stopIfTrue="1" operator="equal">
      <formula>"Fail"</formula>
    </cfRule>
    <cfRule type="cellIs" dxfId="1104" priority="1106" stopIfTrue="1" operator="equal">
      <formula>"Pass"</formula>
    </cfRule>
  </conditionalFormatting>
  <conditionalFormatting sqref="V12">
    <cfRule type="cellIs" dxfId="1103" priority="1103" stopIfTrue="1" operator="equal">
      <formula>"Fail"</formula>
    </cfRule>
    <cfRule type="cellIs" dxfId="1102" priority="1104" stopIfTrue="1" operator="equal">
      <formula>"Pass"</formula>
    </cfRule>
  </conditionalFormatting>
  <conditionalFormatting sqref="V13">
    <cfRule type="cellIs" dxfId="1101" priority="1101" stopIfTrue="1" operator="equal">
      <formula>"Fail"</formula>
    </cfRule>
    <cfRule type="cellIs" dxfId="1100" priority="1102" stopIfTrue="1" operator="equal">
      <formula>"Pass"</formula>
    </cfRule>
  </conditionalFormatting>
  <conditionalFormatting sqref="V13">
    <cfRule type="cellIs" dxfId="1099" priority="1099" stopIfTrue="1" operator="equal">
      <formula>"Fail"</formula>
    </cfRule>
    <cfRule type="cellIs" dxfId="1098" priority="1100" stopIfTrue="1" operator="equal">
      <formula>"Pass"</formula>
    </cfRule>
  </conditionalFormatting>
  <conditionalFormatting sqref="V13">
    <cfRule type="cellIs" dxfId="1097" priority="1097" stopIfTrue="1" operator="equal">
      <formula>"Fail"</formula>
    </cfRule>
    <cfRule type="cellIs" dxfId="1096" priority="1098" stopIfTrue="1" operator="equal">
      <formula>"Pass"</formula>
    </cfRule>
  </conditionalFormatting>
  <conditionalFormatting sqref="V13">
    <cfRule type="cellIs" dxfId="1095" priority="1095" stopIfTrue="1" operator="equal">
      <formula>"Fail"</formula>
    </cfRule>
    <cfRule type="cellIs" dxfId="1094" priority="1096" stopIfTrue="1" operator="equal">
      <formula>"Pass"</formula>
    </cfRule>
  </conditionalFormatting>
  <conditionalFormatting sqref="V14">
    <cfRule type="cellIs" dxfId="1093" priority="1093" stopIfTrue="1" operator="equal">
      <formula>"Fail"</formula>
    </cfRule>
    <cfRule type="cellIs" dxfId="1092" priority="1094" stopIfTrue="1" operator="equal">
      <formula>"Pass"</formula>
    </cfRule>
  </conditionalFormatting>
  <conditionalFormatting sqref="V14">
    <cfRule type="cellIs" dxfId="1091" priority="1091" stopIfTrue="1" operator="equal">
      <formula>"Fail"</formula>
    </cfRule>
    <cfRule type="cellIs" dxfId="1090" priority="1092" stopIfTrue="1" operator="equal">
      <formula>"Pass"</formula>
    </cfRule>
  </conditionalFormatting>
  <conditionalFormatting sqref="V14">
    <cfRule type="cellIs" dxfId="1089" priority="1089" stopIfTrue="1" operator="equal">
      <formula>"Fail"</formula>
    </cfRule>
    <cfRule type="cellIs" dxfId="1088" priority="1090" stopIfTrue="1" operator="equal">
      <formula>"Pass"</formula>
    </cfRule>
  </conditionalFormatting>
  <conditionalFormatting sqref="V14">
    <cfRule type="cellIs" dxfId="1087" priority="1087" stopIfTrue="1" operator="equal">
      <formula>"Fail"</formula>
    </cfRule>
    <cfRule type="cellIs" dxfId="1086" priority="1088" stopIfTrue="1" operator="equal">
      <formula>"Pass"</formula>
    </cfRule>
  </conditionalFormatting>
  <conditionalFormatting sqref="V15">
    <cfRule type="cellIs" dxfId="1085" priority="1085" stopIfTrue="1" operator="equal">
      <formula>"Fail"</formula>
    </cfRule>
    <cfRule type="cellIs" dxfId="1084" priority="1086" stopIfTrue="1" operator="equal">
      <formula>"Pass"</formula>
    </cfRule>
  </conditionalFormatting>
  <conditionalFormatting sqref="V15">
    <cfRule type="cellIs" dxfId="1083" priority="1083" stopIfTrue="1" operator="equal">
      <formula>"Fail"</formula>
    </cfRule>
    <cfRule type="cellIs" dxfId="1082" priority="1084" stopIfTrue="1" operator="equal">
      <formula>"Pass"</formula>
    </cfRule>
  </conditionalFormatting>
  <conditionalFormatting sqref="V15">
    <cfRule type="cellIs" dxfId="1081" priority="1081" stopIfTrue="1" operator="equal">
      <formula>"Fail"</formula>
    </cfRule>
    <cfRule type="cellIs" dxfId="1080" priority="1082" stopIfTrue="1" operator="equal">
      <formula>"Pass"</formula>
    </cfRule>
  </conditionalFormatting>
  <conditionalFormatting sqref="V15">
    <cfRule type="cellIs" dxfId="1079" priority="1079" stopIfTrue="1" operator="equal">
      <formula>"Fail"</formula>
    </cfRule>
    <cfRule type="cellIs" dxfId="1078" priority="1080" stopIfTrue="1" operator="equal">
      <formula>"Pass"</formula>
    </cfRule>
  </conditionalFormatting>
  <conditionalFormatting sqref="V16">
    <cfRule type="cellIs" dxfId="1077" priority="1077" stopIfTrue="1" operator="equal">
      <formula>"Fail"</formula>
    </cfRule>
    <cfRule type="cellIs" dxfId="1076" priority="1078" stopIfTrue="1" operator="equal">
      <formula>"Pass"</formula>
    </cfRule>
  </conditionalFormatting>
  <conditionalFormatting sqref="V16">
    <cfRule type="cellIs" dxfId="1075" priority="1075" stopIfTrue="1" operator="equal">
      <formula>"Fail"</formula>
    </cfRule>
    <cfRule type="cellIs" dxfId="1074" priority="1076" stopIfTrue="1" operator="equal">
      <formula>"Pass"</formula>
    </cfRule>
  </conditionalFormatting>
  <conditionalFormatting sqref="V16">
    <cfRule type="cellIs" dxfId="1073" priority="1073" stopIfTrue="1" operator="equal">
      <formula>"Fail"</formula>
    </cfRule>
    <cfRule type="cellIs" dxfId="1072" priority="1074" stopIfTrue="1" operator="equal">
      <formula>"Pass"</formula>
    </cfRule>
  </conditionalFormatting>
  <conditionalFormatting sqref="V16">
    <cfRule type="cellIs" dxfId="1071" priority="1071" stopIfTrue="1" operator="equal">
      <formula>"Fail"</formula>
    </cfRule>
    <cfRule type="cellIs" dxfId="1070" priority="1072" stopIfTrue="1" operator="equal">
      <formula>"Pass"</formula>
    </cfRule>
  </conditionalFormatting>
  <conditionalFormatting sqref="V17">
    <cfRule type="cellIs" dxfId="1069" priority="1069" stopIfTrue="1" operator="equal">
      <formula>"Fail"</formula>
    </cfRule>
    <cfRule type="cellIs" dxfId="1068" priority="1070" stopIfTrue="1" operator="equal">
      <formula>"Pass"</formula>
    </cfRule>
  </conditionalFormatting>
  <conditionalFormatting sqref="V17">
    <cfRule type="cellIs" dxfId="1067" priority="1067" stopIfTrue="1" operator="equal">
      <formula>"Fail"</formula>
    </cfRule>
    <cfRule type="cellIs" dxfId="1066" priority="1068" stopIfTrue="1" operator="equal">
      <formula>"Pass"</formula>
    </cfRule>
  </conditionalFormatting>
  <conditionalFormatting sqref="V17">
    <cfRule type="cellIs" dxfId="1065" priority="1065" stopIfTrue="1" operator="equal">
      <formula>"Fail"</formula>
    </cfRule>
    <cfRule type="cellIs" dxfId="1064" priority="1066" stopIfTrue="1" operator="equal">
      <formula>"Pass"</formula>
    </cfRule>
  </conditionalFormatting>
  <conditionalFormatting sqref="V17">
    <cfRule type="cellIs" dxfId="1063" priority="1063" stopIfTrue="1" operator="equal">
      <formula>"Fail"</formula>
    </cfRule>
    <cfRule type="cellIs" dxfId="1062" priority="1064" stopIfTrue="1" operator="equal">
      <formula>"Pass"</formula>
    </cfRule>
  </conditionalFormatting>
  <conditionalFormatting sqref="V18">
    <cfRule type="cellIs" dxfId="1061" priority="1061" stopIfTrue="1" operator="equal">
      <formula>"Fail"</formula>
    </cfRule>
    <cfRule type="cellIs" dxfId="1060" priority="1062" stopIfTrue="1" operator="equal">
      <formula>"Pass"</formula>
    </cfRule>
  </conditionalFormatting>
  <conditionalFormatting sqref="V18">
    <cfRule type="cellIs" dxfId="1059" priority="1059" stopIfTrue="1" operator="equal">
      <formula>"Fail"</formula>
    </cfRule>
    <cfRule type="cellIs" dxfId="1058" priority="1060" stopIfTrue="1" operator="equal">
      <formula>"Pass"</formula>
    </cfRule>
  </conditionalFormatting>
  <conditionalFormatting sqref="V18">
    <cfRule type="cellIs" dxfId="1057" priority="1057" stopIfTrue="1" operator="equal">
      <formula>"Fail"</formula>
    </cfRule>
    <cfRule type="cellIs" dxfId="1056" priority="1058" stopIfTrue="1" operator="equal">
      <formula>"Pass"</formula>
    </cfRule>
  </conditionalFormatting>
  <conditionalFormatting sqref="V19">
    <cfRule type="cellIs" dxfId="1055" priority="1055" stopIfTrue="1" operator="equal">
      <formula>"Fail"</formula>
    </cfRule>
    <cfRule type="cellIs" dxfId="1054" priority="1056" stopIfTrue="1" operator="equal">
      <formula>"Pass"</formula>
    </cfRule>
  </conditionalFormatting>
  <conditionalFormatting sqref="V19">
    <cfRule type="cellIs" dxfId="1053" priority="1053" stopIfTrue="1" operator="equal">
      <formula>"Fail"</formula>
    </cfRule>
    <cfRule type="cellIs" dxfId="1052" priority="1054" stopIfTrue="1" operator="equal">
      <formula>"Pass"</formula>
    </cfRule>
  </conditionalFormatting>
  <conditionalFormatting sqref="V19">
    <cfRule type="cellIs" dxfId="1051" priority="1051" stopIfTrue="1" operator="equal">
      <formula>"Fail"</formula>
    </cfRule>
    <cfRule type="cellIs" dxfId="1050" priority="1052" stopIfTrue="1" operator="equal">
      <formula>"Pass"</formula>
    </cfRule>
  </conditionalFormatting>
  <conditionalFormatting sqref="V20">
    <cfRule type="cellIs" dxfId="1049" priority="1049" stopIfTrue="1" operator="equal">
      <formula>"Fail"</formula>
    </cfRule>
    <cfRule type="cellIs" dxfId="1048" priority="1050" stopIfTrue="1" operator="equal">
      <formula>"Pass"</formula>
    </cfRule>
  </conditionalFormatting>
  <conditionalFormatting sqref="V20">
    <cfRule type="cellIs" dxfId="1047" priority="1047" stopIfTrue="1" operator="equal">
      <formula>"Fail"</formula>
    </cfRule>
    <cfRule type="cellIs" dxfId="1046" priority="1048" stopIfTrue="1" operator="equal">
      <formula>"Pass"</formula>
    </cfRule>
  </conditionalFormatting>
  <conditionalFormatting sqref="V20">
    <cfRule type="cellIs" dxfId="1045" priority="1045" stopIfTrue="1" operator="equal">
      <formula>"Fail"</formula>
    </cfRule>
    <cfRule type="cellIs" dxfId="1044" priority="1046" stopIfTrue="1" operator="equal">
      <formula>"Pass"</formula>
    </cfRule>
  </conditionalFormatting>
  <conditionalFormatting sqref="V21">
    <cfRule type="cellIs" dxfId="1043" priority="1043" stopIfTrue="1" operator="equal">
      <formula>"Fail"</formula>
    </cfRule>
    <cfRule type="cellIs" dxfId="1042" priority="1044" stopIfTrue="1" operator="equal">
      <formula>"Pass"</formula>
    </cfRule>
  </conditionalFormatting>
  <conditionalFormatting sqref="V21">
    <cfRule type="cellIs" dxfId="1041" priority="1041" stopIfTrue="1" operator="equal">
      <formula>"Fail"</formula>
    </cfRule>
    <cfRule type="cellIs" dxfId="1040" priority="1042" stopIfTrue="1" operator="equal">
      <formula>"Pass"</formula>
    </cfRule>
  </conditionalFormatting>
  <conditionalFormatting sqref="V21">
    <cfRule type="cellIs" dxfId="1039" priority="1039" stopIfTrue="1" operator="equal">
      <formula>"Fail"</formula>
    </cfRule>
    <cfRule type="cellIs" dxfId="1038" priority="1040" stopIfTrue="1" operator="equal">
      <formula>"Pass"</formula>
    </cfRule>
  </conditionalFormatting>
  <conditionalFormatting sqref="V21">
    <cfRule type="cellIs" dxfId="1037" priority="1037" stopIfTrue="1" operator="equal">
      <formula>"Fail"</formula>
    </cfRule>
    <cfRule type="cellIs" dxfId="1036" priority="1038" stopIfTrue="1" operator="equal">
      <formula>"Pass"</formula>
    </cfRule>
  </conditionalFormatting>
  <conditionalFormatting sqref="V21">
    <cfRule type="cellIs" dxfId="1035" priority="1035" stopIfTrue="1" operator="equal">
      <formula>"Fail"</formula>
    </cfRule>
    <cfRule type="cellIs" dxfId="1034" priority="1036" stopIfTrue="1" operator="equal">
      <formula>"Pass"</formula>
    </cfRule>
  </conditionalFormatting>
  <conditionalFormatting sqref="V21">
    <cfRule type="cellIs" dxfId="1033" priority="1033" stopIfTrue="1" operator="equal">
      <formula>"Fail"</formula>
    </cfRule>
    <cfRule type="cellIs" dxfId="1032" priority="1034" stopIfTrue="1" operator="equal">
      <formula>"Pass"</formula>
    </cfRule>
  </conditionalFormatting>
  <conditionalFormatting sqref="V22">
    <cfRule type="cellIs" dxfId="1031" priority="1031" stopIfTrue="1" operator="equal">
      <formula>"Fail"</formula>
    </cfRule>
    <cfRule type="cellIs" dxfId="1030" priority="1032" stopIfTrue="1" operator="equal">
      <formula>"Pass"</formula>
    </cfRule>
  </conditionalFormatting>
  <conditionalFormatting sqref="V22">
    <cfRule type="cellIs" dxfId="1029" priority="1029" stopIfTrue="1" operator="equal">
      <formula>"Fail"</formula>
    </cfRule>
    <cfRule type="cellIs" dxfId="1028" priority="1030" stopIfTrue="1" operator="equal">
      <formula>"Pass"</formula>
    </cfRule>
  </conditionalFormatting>
  <conditionalFormatting sqref="V22">
    <cfRule type="cellIs" dxfId="1027" priority="1027" stopIfTrue="1" operator="equal">
      <formula>"Fail"</formula>
    </cfRule>
    <cfRule type="cellIs" dxfId="1026" priority="1028" stopIfTrue="1" operator="equal">
      <formula>"Pass"</formula>
    </cfRule>
  </conditionalFormatting>
  <conditionalFormatting sqref="V22">
    <cfRule type="cellIs" dxfId="1025" priority="1025" stopIfTrue="1" operator="equal">
      <formula>"Fail"</formula>
    </cfRule>
    <cfRule type="cellIs" dxfId="1024" priority="1026" stopIfTrue="1" operator="equal">
      <formula>"Pass"</formula>
    </cfRule>
  </conditionalFormatting>
  <conditionalFormatting sqref="V22">
    <cfRule type="cellIs" dxfId="1023" priority="1023" stopIfTrue="1" operator="equal">
      <formula>"Fail"</formula>
    </cfRule>
    <cfRule type="cellIs" dxfId="1022" priority="1024" stopIfTrue="1" operator="equal">
      <formula>"Pass"</formula>
    </cfRule>
  </conditionalFormatting>
  <conditionalFormatting sqref="V22">
    <cfRule type="cellIs" dxfId="1021" priority="1021" stopIfTrue="1" operator="equal">
      <formula>"Fail"</formula>
    </cfRule>
    <cfRule type="cellIs" dxfId="1020" priority="1022" stopIfTrue="1" operator="equal">
      <formula>"Pass"</formula>
    </cfRule>
  </conditionalFormatting>
  <conditionalFormatting sqref="V23">
    <cfRule type="cellIs" dxfId="1019" priority="1019" stopIfTrue="1" operator="equal">
      <formula>"Fail"</formula>
    </cfRule>
    <cfRule type="cellIs" dxfId="1018" priority="1020" stopIfTrue="1" operator="equal">
      <formula>"Pass"</formula>
    </cfRule>
  </conditionalFormatting>
  <conditionalFormatting sqref="V23">
    <cfRule type="cellIs" dxfId="1017" priority="1017" stopIfTrue="1" operator="equal">
      <formula>"Fail"</formula>
    </cfRule>
    <cfRule type="cellIs" dxfId="1016" priority="1018" stopIfTrue="1" operator="equal">
      <formula>"Pass"</formula>
    </cfRule>
  </conditionalFormatting>
  <conditionalFormatting sqref="V23">
    <cfRule type="cellIs" dxfId="1015" priority="1015" stopIfTrue="1" operator="equal">
      <formula>"Fail"</formula>
    </cfRule>
    <cfRule type="cellIs" dxfId="1014" priority="1016" stopIfTrue="1" operator="equal">
      <formula>"Pass"</formula>
    </cfRule>
  </conditionalFormatting>
  <conditionalFormatting sqref="V24">
    <cfRule type="cellIs" dxfId="1013" priority="1013" stopIfTrue="1" operator="equal">
      <formula>"Fail"</formula>
    </cfRule>
    <cfRule type="cellIs" dxfId="1012" priority="1014" stopIfTrue="1" operator="equal">
      <formula>"Pass"</formula>
    </cfRule>
  </conditionalFormatting>
  <conditionalFormatting sqref="V24">
    <cfRule type="cellIs" dxfId="1011" priority="1011" stopIfTrue="1" operator="equal">
      <formula>"Fail"</formula>
    </cfRule>
    <cfRule type="cellIs" dxfId="1010" priority="1012" stopIfTrue="1" operator="equal">
      <formula>"Pass"</formula>
    </cfRule>
  </conditionalFormatting>
  <conditionalFormatting sqref="V24">
    <cfRule type="cellIs" dxfId="1009" priority="1009" stopIfTrue="1" operator="equal">
      <formula>"Fail"</formula>
    </cfRule>
    <cfRule type="cellIs" dxfId="1008" priority="1010" stopIfTrue="1" operator="equal">
      <formula>"Pass"</formula>
    </cfRule>
  </conditionalFormatting>
  <conditionalFormatting sqref="V25">
    <cfRule type="cellIs" dxfId="1007" priority="1007" stopIfTrue="1" operator="equal">
      <formula>"Fail"</formula>
    </cfRule>
    <cfRule type="cellIs" dxfId="1006" priority="1008" stopIfTrue="1" operator="equal">
      <formula>"Pass"</formula>
    </cfRule>
  </conditionalFormatting>
  <conditionalFormatting sqref="V25">
    <cfRule type="cellIs" dxfId="1005" priority="1005" stopIfTrue="1" operator="equal">
      <formula>"Fail"</formula>
    </cfRule>
    <cfRule type="cellIs" dxfId="1004" priority="1006" stopIfTrue="1" operator="equal">
      <formula>"Pass"</formula>
    </cfRule>
  </conditionalFormatting>
  <conditionalFormatting sqref="V25">
    <cfRule type="cellIs" dxfId="1003" priority="1003" stopIfTrue="1" operator="equal">
      <formula>"Fail"</formula>
    </cfRule>
    <cfRule type="cellIs" dxfId="1002" priority="1004" stopIfTrue="1" operator="equal">
      <formula>"Pass"</formula>
    </cfRule>
  </conditionalFormatting>
  <conditionalFormatting sqref="V26">
    <cfRule type="cellIs" dxfId="1001" priority="1001" stopIfTrue="1" operator="equal">
      <formula>"Fail"</formula>
    </cfRule>
    <cfRule type="cellIs" dxfId="1000" priority="1002" stopIfTrue="1" operator="equal">
      <formula>"Pass"</formula>
    </cfRule>
  </conditionalFormatting>
  <conditionalFormatting sqref="V26">
    <cfRule type="cellIs" dxfId="999" priority="999" stopIfTrue="1" operator="equal">
      <formula>"Fail"</formula>
    </cfRule>
    <cfRule type="cellIs" dxfId="998" priority="1000" stopIfTrue="1" operator="equal">
      <formula>"Pass"</formula>
    </cfRule>
  </conditionalFormatting>
  <conditionalFormatting sqref="V26">
    <cfRule type="cellIs" dxfId="997" priority="997" stopIfTrue="1" operator="equal">
      <formula>"Fail"</formula>
    </cfRule>
    <cfRule type="cellIs" dxfId="996" priority="998" stopIfTrue="1" operator="equal">
      <formula>"Pass"</formula>
    </cfRule>
  </conditionalFormatting>
  <conditionalFormatting sqref="V27">
    <cfRule type="cellIs" dxfId="995" priority="995" stopIfTrue="1" operator="equal">
      <formula>"Fail"</formula>
    </cfRule>
    <cfRule type="cellIs" dxfId="994" priority="996" stopIfTrue="1" operator="equal">
      <formula>"Pass"</formula>
    </cfRule>
  </conditionalFormatting>
  <conditionalFormatting sqref="V27">
    <cfRule type="cellIs" dxfId="993" priority="993" stopIfTrue="1" operator="equal">
      <formula>"Fail"</formula>
    </cfRule>
    <cfRule type="cellIs" dxfId="992" priority="994" stopIfTrue="1" operator="equal">
      <formula>"Pass"</formula>
    </cfRule>
  </conditionalFormatting>
  <conditionalFormatting sqref="V27">
    <cfRule type="cellIs" dxfId="991" priority="991" stopIfTrue="1" operator="equal">
      <formula>"Fail"</formula>
    </cfRule>
    <cfRule type="cellIs" dxfId="990" priority="992" stopIfTrue="1" operator="equal">
      <formula>"Pass"</formula>
    </cfRule>
  </conditionalFormatting>
  <conditionalFormatting sqref="V28">
    <cfRule type="cellIs" dxfId="989" priority="989" stopIfTrue="1" operator="equal">
      <formula>"Fail"</formula>
    </cfRule>
    <cfRule type="cellIs" dxfId="988" priority="990" stopIfTrue="1" operator="equal">
      <formula>"Pass"</formula>
    </cfRule>
  </conditionalFormatting>
  <conditionalFormatting sqref="V28">
    <cfRule type="cellIs" dxfId="987" priority="987" stopIfTrue="1" operator="equal">
      <formula>"Fail"</formula>
    </cfRule>
    <cfRule type="cellIs" dxfId="986" priority="988" stopIfTrue="1" operator="equal">
      <formula>"Pass"</formula>
    </cfRule>
  </conditionalFormatting>
  <conditionalFormatting sqref="V28">
    <cfRule type="cellIs" dxfId="985" priority="985" stopIfTrue="1" operator="equal">
      <formula>"Fail"</formula>
    </cfRule>
    <cfRule type="cellIs" dxfId="984" priority="986" stopIfTrue="1" operator="equal">
      <formula>"Pass"</formula>
    </cfRule>
  </conditionalFormatting>
  <conditionalFormatting sqref="V29">
    <cfRule type="cellIs" dxfId="983" priority="983" stopIfTrue="1" operator="equal">
      <formula>"Fail"</formula>
    </cfRule>
    <cfRule type="cellIs" dxfId="982" priority="984" stopIfTrue="1" operator="equal">
      <formula>"Pass"</formula>
    </cfRule>
  </conditionalFormatting>
  <conditionalFormatting sqref="V29">
    <cfRule type="cellIs" dxfId="981" priority="981" stopIfTrue="1" operator="equal">
      <formula>"Fail"</formula>
    </cfRule>
    <cfRule type="cellIs" dxfId="980" priority="982" stopIfTrue="1" operator="equal">
      <formula>"Pass"</formula>
    </cfRule>
  </conditionalFormatting>
  <conditionalFormatting sqref="V29">
    <cfRule type="cellIs" dxfId="979" priority="979" stopIfTrue="1" operator="equal">
      <formula>"Fail"</formula>
    </cfRule>
    <cfRule type="cellIs" dxfId="978" priority="980" stopIfTrue="1" operator="equal">
      <formula>"Pass"</formula>
    </cfRule>
  </conditionalFormatting>
  <conditionalFormatting sqref="V30">
    <cfRule type="cellIs" dxfId="977" priority="977" stopIfTrue="1" operator="equal">
      <formula>"Fail"</formula>
    </cfRule>
    <cfRule type="cellIs" dxfId="976" priority="978" stopIfTrue="1" operator="equal">
      <formula>"Pass"</formula>
    </cfRule>
  </conditionalFormatting>
  <conditionalFormatting sqref="V30">
    <cfRule type="cellIs" dxfId="975" priority="975" stopIfTrue="1" operator="equal">
      <formula>"Fail"</formula>
    </cfRule>
    <cfRule type="cellIs" dxfId="974" priority="976" stopIfTrue="1" operator="equal">
      <formula>"Pass"</formula>
    </cfRule>
  </conditionalFormatting>
  <conditionalFormatting sqref="V30">
    <cfRule type="cellIs" dxfId="973" priority="973" stopIfTrue="1" operator="equal">
      <formula>"Fail"</formula>
    </cfRule>
    <cfRule type="cellIs" dxfId="972" priority="974" stopIfTrue="1" operator="equal">
      <formula>"Pass"</formula>
    </cfRule>
  </conditionalFormatting>
  <conditionalFormatting sqref="V31">
    <cfRule type="cellIs" dxfId="971" priority="971" stopIfTrue="1" operator="equal">
      <formula>"Fail"</formula>
    </cfRule>
    <cfRule type="cellIs" dxfId="970" priority="972" stopIfTrue="1" operator="equal">
      <formula>"Pass"</formula>
    </cfRule>
  </conditionalFormatting>
  <conditionalFormatting sqref="V31">
    <cfRule type="cellIs" dxfId="969" priority="969" stopIfTrue="1" operator="equal">
      <formula>"Fail"</formula>
    </cfRule>
    <cfRule type="cellIs" dxfId="968" priority="970" stopIfTrue="1" operator="equal">
      <formula>"Pass"</formula>
    </cfRule>
  </conditionalFormatting>
  <conditionalFormatting sqref="V31">
    <cfRule type="cellIs" dxfId="967" priority="967" stopIfTrue="1" operator="equal">
      <formula>"Fail"</formula>
    </cfRule>
    <cfRule type="cellIs" dxfId="966" priority="968" stopIfTrue="1" operator="equal">
      <formula>"Pass"</formula>
    </cfRule>
  </conditionalFormatting>
  <conditionalFormatting sqref="V32">
    <cfRule type="cellIs" dxfId="965" priority="965" stopIfTrue="1" operator="equal">
      <formula>"Fail"</formula>
    </cfRule>
    <cfRule type="cellIs" dxfId="964" priority="966" stopIfTrue="1" operator="equal">
      <formula>"Pass"</formula>
    </cfRule>
  </conditionalFormatting>
  <conditionalFormatting sqref="V32">
    <cfRule type="cellIs" dxfId="963" priority="963" stopIfTrue="1" operator="equal">
      <formula>"Fail"</formula>
    </cfRule>
    <cfRule type="cellIs" dxfId="962" priority="964" stopIfTrue="1" operator="equal">
      <formula>"Pass"</formula>
    </cfRule>
  </conditionalFormatting>
  <conditionalFormatting sqref="V32">
    <cfRule type="cellIs" dxfId="961" priority="961" stopIfTrue="1" operator="equal">
      <formula>"Fail"</formula>
    </cfRule>
    <cfRule type="cellIs" dxfId="960" priority="962" stopIfTrue="1" operator="equal">
      <formula>"Pass"</formula>
    </cfRule>
  </conditionalFormatting>
  <conditionalFormatting sqref="V33">
    <cfRule type="cellIs" dxfId="959" priority="959" stopIfTrue="1" operator="equal">
      <formula>"Fail"</formula>
    </cfRule>
    <cfRule type="cellIs" dxfId="958" priority="960" stopIfTrue="1" operator="equal">
      <formula>"Pass"</formula>
    </cfRule>
  </conditionalFormatting>
  <conditionalFormatting sqref="V33">
    <cfRule type="cellIs" dxfId="957" priority="957" stopIfTrue="1" operator="equal">
      <formula>"Fail"</formula>
    </cfRule>
    <cfRule type="cellIs" dxfId="956" priority="958" stopIfTrue="1" operator="equal">
      <formula>"Pass"</formula>
    </cfRule>
  </conditionalFormatting>
  <conditionalFormatting sqref="V33">
    <cfRule type="cellIs" dxfId="955" priority="955" stopIfTrue="1" operator="equal">
      <formula>"Fail"</formula>
    </cfRule>
    <cfRule type="cellIs" dxfId="954" priority="956" stopIfTrue="1" operator="equal">
      <formula>"Pass"</formula>
    </cfRule>
  </conditionalFormatting>
  <conditionalFormatting sqref="V33">
    <cfRule type="cellIs" dxfId="953" priority="953" stopIfTrue="1" operator="equal">
      <formula>"Fail"</formula>
    </cfRule>
    <cfRule type="cellIs" dxfId="952" priority="954" stopIfTrue="1" operator="equal">
      <formula>"Pass"</formula>
    </cfRule>
  </conditionalFormatting>
  <conditionalFormatting sqref="V33">
    <cfRule type="cellIs" dxfId="951" priority="951" stopIfTrue="1" operator="equal">
      <formula>"Fail"</formula>
    </cfRule>
    <cfRule type="cellIs" dxfId="950" priority="952" stopIfTrue="1" operator="equal">
      <formula>"Pass"</formula>
    </cfRule>
  </conditionalFormatting>
  <conditionalFormatting sqref="V33">
    <cfRule type="cellIs" dxfId="949" priority="949" stopIfTrue="1" operator="equal">
      <formula>"Fail"</formula>
    </cfRule>
    <cfRule type="cellIs" dxfId="948" priority="950" stopIfTrue="1" operator="equal">
      <formula>"Pass"</formula>
    </cfRule>
  </conditionalFormatting>
  <conditionalFormatting sqref="V34">
    <cfRule type="cellIs" dxfId="947" priority="947" stopIfTrue="1" operator="equal">
      <formula>"Fail"</formula>
    </cfRule>
    <cfRule type="cellIs" dxfId="946" priority="948" stopIfTrue="1" operator="equal">
      <formula>"Pass"</formula>
    </cfRule>
  </conditionalFormatting>
  <conditionalFormatting sqref="V34">
    <cfRule type="cellIs" dxfId="945" priority="945" stopIfTrue="1" operator="equal">
      <formula>"Fail"</formula>
    </cfRule>
    <cfRule type="cellIs" dxfId="944" priority="946" stopIfTrue="1" operator="equal">
      <formula>"Pass"</formula>
    </cfRule>
  </conditionalFormatting>
  <conditionalFormatting sqref="V34">
    <cfRule type="cellIs" dxfId="943" priority="943" stopIfTrue="1" operator="equal">
      <formula>"Fail"</formula>
    </cfRule>
    <cfRule type="cellIs" dxfId="942" priority="944" stopIfTrue="1" operator="equal">
      <formula>"Pass"</formula>
    </cfRule>
  </conditionalFormatting>
  <conditionalFormatting sqref="V34">
    <cfRule type="cellIs" dxfId="941" priority="941" stopIfTrue="1" operator="equal">
      <formula>"Fail"</formula>
    </cfRule>
    <cfRule type="cellIs" dxfId="940" priority="942" stopIfTrue="1" operator="equal">
      <formula>"Pass"</formula>
    </cfRule>
  </conditionalFormatting>
  <conditionalFormatting sqref="V34">
    <cfRule type="cellIs" dxfId="939" priority="939" stopIfTrue="1" operator="equal">
      <formula>"Fail"</formula>
    </cfRule>
    <cfRule type="cellIs" dxfId="938" priority="940" stopIfTrue="1" operator="equal">
      <formula>"Pass"</formula>
    </cfRule>
  </conditionalFormatting>
  <conditionalFormatting sqref="V34">
    <cfRule type="cellIs" dxfId="937" priority="937" stopIfTrue="1" operator="equal">
      <formula>"Fail"</formula>
    </cfRule>
    <cfRule type="cellIs" dxfId="936" priority="938" stopIfTrue="1" operator="equal">
      <formula>"Pass"</formula>
    </cfRule>
  </conditionalFormatting>
  <conditionalFormatting sqref="V35">
    <cfRule type="cellIs" dxfId="935" priority="935" stopIfTrue="1" operator="equal">
      <formula>"Fail"</formula>
    </cfRule>
    <cfRule type="cellIs" dxfId="934" priority="936" stopIfTrue="1" operator="equal">
      <formula>"Pass"</formula>
    </cfRule>
  </conditionalFormatting>
  <conditionalFormatting sqref="V35">
    <cfRule type="cellIs" dxfId="933" priority="933" stopIfTrue="1" operator="equal">
      <formula>"Fail"</formula>
    </cfRule>
    <cfRule type="cellIs" dxfId="932" priority="934" stopIfTrue="1" operator="equal">
      <formula>"Pass"</formula>
    </cfRule>
  </conditionalFormatting>
  <conditionalFormatting sqref="V35">
    <cfRule type="cellIs" dxfId="931" priority="931" stopIfTrue="1" operator="equal">
      <formula>"Fail"</formula>
    </cfRule>
    <cfRule type="cellIs" dxfId="930" priority="932" stopIfTrue="1" operator="equal">
      <formula>"Pass"</formula>
    </cfRule>
  </conditionalFormatting>
  <conditionalFormatting sqref="V35">
    <cfRule type="cellIs" dxfId="929" priority="929" stopIfTrue="1" operator="equal">
      <formula>"Fail"</formula>
    </cfRule>
    <cfRule type="cellIs" dxfId="928" priority="930" stopIfTrue="1" operator="equal">
      <formula>"Pass"</formula>
    </cfRule>
  </conditionalFormatting>
  <conditionalFormatting sqref="V35">
    <cfRule type="cellIs" dxfId="927" priority="927" stopIfTrue="1" operator="equal">
      <formula>"Fail"</formula>
    </cfRule>
    <cfRule type="cellIs" dxfId="926" priority="928" stopIfTrue="1" operator="equal">
      <formula>"Pass"</formula>
    </cfRule>
  </conditionalFormatting>
  <conditionalFormatting sqref="V35">
    <cfRule type="cellIs" dxfId="925" priority="925" stopIfTrue="1" operator="equal">
      <formula>"Fail"</formula>
    </cfRule>
    <cfRule type="cellIs" dxfId="924" priority="926" stopIfTrue="1" operator="equal">
      <formula>"Pass"</formula>
    </cfRule>
  </conditionalFormatting>
  <conditionalFormatting sqref="V36">
    <cfRule type="cellIs" dxfId="923" priority="923" stopIfTrue="1" operator="equal">
      <formula>"Fail"</formula>
    </cfRule>
    <cfRule type="cellIs" dxfId="922" priority="924" stopIfTrue="1" operator="equal">
      <formula>"Pass"</formula>
    </cfRule>
  </conditionalFormatting>
  <conditionalFormatting sqref="V36">
    <cfRule type="cellIs" dxfId="921" priority="921" stopIfTrue="1" operator="equal">
      <formula>"Fail"</formula>
    </cfRule>
    <cfRule type="cellIs" dxfId="920" priority="922" stopIfTrue="1" operator="equal">
      <formula>"Pass"</formula>
    </cfRule>
  </conditionalFormatting>
  <conditionalFormatting sqref="V36">
    <cfRule type="cellIs" dxfId="919" priority="919" stopIfTrue="1" operator="equal">
      <formula>"Fail"</formula>
    </cfRule>
    <cfRule type="cellIs" dxfId="918" priority="920" stopIfTrue="1" operator="equal">
      <formula>"Pass"</formula>
    </cfRule>
  </conditionalFormatting>
  <conditionalFormatting sqref="V36">
    <cfRule type="cellIs" dxfId="917" priority="917" stopIfTrue="1" operator="equal">
      <formula>"Fail"</formula>
    </cfRule>
    <cfRule type="cellIs" dxfId="916" priority="918" stopIfTrue="1" operator="equal">
      <formula>"Pass"</formula>
    </cfRule>
  </conditionalFormatting>
  <conditionalFormatting sqref="V36">
    <cfRule type="cellIs" dxfId="915" priority="915" stopIfTrue="1" operator="equal">
      <formula>"Fail"</formula>
    </cfRule>
    <cfRule type="cellIs" dxfId="914" priority="916" stopIfTrue="1" operator="equal">
      <formula>"Pass"</formula>
    </cfRule>
  </conditionalFormatting>
  <conditionalFormatting sqref="V36">
    <cfRule type="cellIs" dxfId="913" priority="913" stopIfTrue="1" operator="equal">
      <formula>"Fail"</formula>
    </cfRule>
    <cfRule type="cellIs" dxfId="912" priority="914" stopIfTrue="1" operator="equal">
      <formula>"Pass"</formula>
    </cfRule>
  </conditionalFormatting>
  <conditionalFormatting sqref="V37">
    <cfRule type="cellIs" dxfId="911" priority="911" stopIfTrue="1" operator="equal">
      <formula>"Fail"</formula>
    </cfRule>
    <cfRule type="cellIs" dxfId="910" priority="912" stopIfTrue="1" operator="equal">
      <formula>"Pass"</formula>
    </cfRule>
  </conditionalFormatting>
  <conditionalFormatting sqref="V37">
    <cfRule type="cellIs" dxfId="909" priority="909" stopIfTrue="1" operator="equal">
      <formula>"Fail"</formula>
    </cfRule>
    <cfRule type="cellIs" dxfId="908" priority="910" stopIfTrue="1" operator="equal">
      <formula>"Pass"</formula>
    </cfRule>
  </conditionalFormatting>
  <conditionalFormatting sqref="V37">
    <cfRule type="cellIs" dxfId="907" priority="907" stopIfTrue="1" operator="equal">
      <formula>"Fail"</formula>
    </cfRule>
    <cfRule type="cellIs" dxfId="906" priority="908" stopIfTrue="1" operator="equal">
      <formula>"Pass"</formula>
    </cfRule>
  </conditionalFormatting>
  <conditionalFormatting sqref="V37">
    <cfRule type="cellIs" dxfId="905" priority="905" stopIfTrue="1" operator="equal">
      <formula>"Fail"</formula>
    </cfRule>
    <cfRule type="cellIs" dxfId="904" priority="906" stopIfTrue="1" operator="equal">
      <formula>"Pass"</formula>
    </cfRule>
  </conditionalFormatting>
  <conditionalFormatting sqref="V37">
    <cfRule type="cellIs" dxfId="903" priority="903" stopIfTrue="1" operator="equal">
      <formula>"Fail"</formula>
    </cfRule>
    <cfRule type="cellIs" dxfId="902" priority="904" stopIfTrue="1" operator="equal">
      <formula>"Pass"</formula>
    </cfRule>
  </conditionalFormatting>
  <conditionalFormatting sqref="V37">
    <cfRule type="cellIs" dxfId="901" priority="901" stopIfTrue="1" operator="equal">
      <formula>"Fail"</formula>
    </cfRule>
    <cfRule type="cellIs" dxfId="900" priority="902" stopIfTrue="1" operator="equal">
      <formula>"Pass"</formula>
    </cfRule>
  </conditionalFormatting>
  <conditionalFormatting sqref="V37">
    <cfRule type="cellIs" dxfId="899" priority="899" stopIfTrue="1" operator="equal">
      <formula>"Fail"</formula>
    </cfRule>
    <cfRule type="cellIs" dxfId="898" priority="900" stopIfTrue="1" operator="equal">
      <formula>"Pass"</formula>
    </cfRule>
  </conditionalFormatting>
  <conditionalFormatting sqref="V37">
    <cfRule type="cellIs" dxfId="897" priority="897" stopIfTrue="1" operator="equal">
      <formula>"Fail"</formula>
    </cfRule>
    <cfRule type="cellIs" dxfId="896" priority="898" stopIfTrue="1" operator="equal">
      <formula>"Pass"</formula>
    </cfRule>
  </conditionalFormatting>
  <conditionalFormatting sqref="V37">
    <cfRule type="cellIs" dxfId="895" priority="895" stopIfTrue="1" operator="equal">
      <formula>"Fail"</formula>
    </cfRule>
    <cfRule type="cellIs" dxfId="894" priority="896" stopIfTrue="1" operator="equal">
      <formula>"Pass"</formula>
    </cfRule>
  </conditionalFormatting>
  <conditionalFormatting sqref="V24">
    <cfRule type="cellIs" dxfId="893" priority="893" stopIfTrue="1" operator="equal">
      <formula>"Fail"</formula>
    </cfRule>
    <cfRule type="cellIs" dxfId="892" priority="894" stopIfTrue="1" operator="equal">
      <formula>"Pass"</formula>
    </cfRule>
  </conditionalFormatting>
  <conditionalFormatting sqref="V24">
    <cfRule type="cellIs" dxfId="891" priority="891" stopIfTrue="1" operator="equal">
      <formula>"Fail"</formula>
    </cfRule>
    <cfRule type="cellIs" dxfId="890" priority="892" stopIfTrue="1" operator="equal">
      <formula>"Pass"</formula>
    </cfRule>
  </conditionalFormatting>
  <conditionalFormatting sqref="V24">
    <cfRule type="cellIs" dxfId="889" priority="889" stopIfTrue="1" operator="equal">
      <formula>"Fail"</formula>
    </cfRule>
    <cfRule type="cellIs" dxfId="888" priority="890" stopIfTrue="1" operator="equal">
      <formula>"Pass"</formula>
    </cfRule>
  </conditionalFormatting>
  <conditionalFormatting sqref="V25">
    <cfRule type="cellIs" dxfId="887" priority="887" stopIfTrue="1" operator="equal">
      <formula>"Fail"</formula>
    </cfRule>
    <cfRule type="cellIs" dxfId="886" priority="888" stopIfTrue="1" operator="equal">
      <formula>"Pass"</formula>
    </cfRule>
  </conditionalFormatting>
  <conditionalFormatting sqref="V25">
    <cfRule type="cellIs" dxfId="885" priority="885" stopIfTrue="1" operator="equal">
      <formula>"Fail"</formula>
    </cfRule>
    <cfRule type="cellIs" dxfId="884" priority="886" stopIfTrue="1" operator="equal">
      <formula>"Pass"</formula>
    </cfRule>
  </conditionalFormatting>
  <conditionalFormatting sqref="V25">
    <cfRule type="cellIs" dxfId="883" priority="883" stopIfTrue="1" operator="equal">
      <formula>"Fail"</formula>
    </cfRule>
    <cfRule type="cellIs" dxfId="882" priority="884" stopIfTrue="1" operator="equal">
      <formula>"Pass"</formula>
    </cfRule>
  </conditionalFormatting>
  <conditionalFormatting sqref="V26">
    <cfRule type="cellIs" dxfId="881" priority="881" stopIfTrue="1" operator="equal">
      <formula>"Fail"</formula>
    </cfRule>
    <cfRule type="cellIs" dxfId="880" priority="882" stopIfTrue="1" operator="equal">
      <formula>"Pass"</formula>
    </cfRule>
  </conditionalFormatting>
  <conditionalFormatting sqref="V26">
    <cfRule type="cellIs" dxfId="879" priority="879" stopIfTrue="1" operator="equal">
      <formula>"Fail"</formula>
    </cfRule>
    <cfRule type="cellIs" dxfId="878" priority="880" stopIfTrue="1" operator="equal">
      <formula>"Pass"</formula>
    </cfRule>
  </conditionalFormatting>
  <conditionalFormatting sqref="V26">
    <cfRule type="cellIs" dxfId="877" priority="877" stopIfTrue="1" operator="equal">
      <formula>"Fail"</formula>
    </cfRule>
    <cfRule type="cellIs" dxfId="876" priority="878" stopIfTrue="1" operator="equal">
      <formula>"Pass"</formula>
    </cfRule>
  </conditionalFormatting>
  <conditionalFormatting sqref="V27">
    <cfRule type="cellIs" dxfId="875" priority="875" stopIfTrue="1" operator="equal">
      <formula>"Fail"</formula>
    </cfRule>
    <cfRule type="cellIs" dxfId="874" priority="876" stopIfTrue="1" operator="equal">
      <formula>"Pass"</formula>
    </cfRule>
  </conditionalFormatting>
  <conditionalFormatting sqref="V27">
    <cfRule type="cellIs" dxfId="873" priority="873" stopIfTrue="1" operator="equal">
      <formula>"Fail"</formula>
    </cfRule>
    <cfRule type="cellIs" dxfId="872" priority="874" stopIfTrue="1" operator="equal">
      <formula>"Pass"</formula>
    </cfRule>
  </conditionalFormatting>
  <conditionalFormatting sqref="V27">
    <cfRule type="cellIs" dxfId="871" priority="871" stopIfTrue="1" operator="equal">
      <formula>"Fail"</formula>
    </cfRule>
    <cfRule type="cellIs" dxfId="870" priority="872" stopIfTrue="1" operator="equal">
      <formula>"Pass"</formula>
    </cfRule>
  </conditionalFormatting>
  <conditionalFormatting sqref="V28">
    <cfRule type="cellIs" dxfId="869" priority="869" stopIfTrue="1" operator="equal">
      <formula>"Fail"</formula>
    </cfRule>
    <cfRule type="cellIs" dxfId="868" priority="870" stopIfTrue="1" operator="equal">
      <formula>"Pass"</formula>
    </cfRule>
  </conditionalFormatting>
  <conditionalFormatting sqref="V28">
    <cfRule type="cellIs" dxfId="867" priority="867" stopIfTrue="1" operator="equal">
      <formula>"Fail"</formula>
    </cfRule>
    <cfRule type="cellIs" dxfId="866" priority="868" stopIfTrue="1" operator="equal">
      <formula>"Pass"</formula>
    </cfRule>
  </conditionalFormatting>
  <conditionalFormatting sqref="V28">
    <cfRule type="cellIs" dxfId="865" priority="865" stopIfTrue="1" operator="equal">
      <formula>"Fail"</formula>
    </cfRule>
    <cfRule type="cellIs" dxfId="864" priority="866" stopIfTrue="1" operator="equal">
      <formula>"Pass"</formula>
    </cfRule>
  </conditionalFormatting>
  <conditionalFormatting sqref="V29">
    <cfRule type="cellIs" dxfId="863" priority="863" stopIfTrue="1" operator="equal">
      <formula>"Fail"</formula>
    </cfRule>
    <cfRule type="cellIs" dxfId="862" priority="864" stopIfTrue="1" operator="equal">
      <formula>"Pass"</formula>
    </cfRule>
  </conditionalFormatting>
  <conditionalFormatting sqref="V29">
    <cfRule type="cellIs" dxfId="861" priority="861" stopIfTrue="1" operator="equal">
      <formula>"Fail"</formula>
    </cfRule>
    <cfRule type="cellIs" dxfId="860" priority="862" stopIfTrue="1" operator="equal">
      <formula>"Pass"</formula>
    </cfRule>
  </conditionalFormatting>
  <conditionalFormatting sqref="V29">
    <cfRule type="cellIs" dxfId="859" priority="859" stopIfTrue="1" operator="equal">
      <formula>"Fail"</formula>
    </cfRule>
    <cfRule type="cellIs" dxfId="858" priority="860" stopIfTrue="1" operator="equal">
      <formula>"Pass"</formula>
    </cfRule>
  </conditionalFormatting>
  <conditionalFormatting sqref="V30">
    <cfRule type="cellIs" dxfId="857" priority="857" stopIfTrue="1" operator="equal">
      <formula>"Fail"</formula>
    </cfRule>
    <cfRule type="cellIs" dxfId="856" priority="858" stopIfTrue="1" operator="equal">
      <formula>"Pass"</formula>
    </cfRule>
  </conditionalFormatting>
  <conditionalFormatting sqref="V30">
    <cfRule type="cellIs" dxfId="855" priority="855" stopIfTrue="1" operator="equal">
      <formula>"Fail"</formula>
    </cfRule>
    <cfRule type="cellIs" dxfId="854" priority="856" stopIfTrue="1" operator="equal">
      <formula>"Pass"</formula>
    </cfRule>
  </conditionalFormatting>
  <conditionalFormatting sqref="V30">
    <cfRule type="cellIs" dxfId="853" priority="853" stopIfTrue="1" operator="equal">
      <formula>"Fail"</formula>
    </cfRule>
    <cfRule type="cellIs" dxfId="852" priority="854" stopIfTrue="1" operator="equal">
      <formula>"Pass"</formula>
    </cfRule>
  </conditionalFormatting>
  <conditionalFormatting sqref="V31">
    <cfRule type="cellIs" dxfId="851" priority="851" stopIfTrue="1" operator="equal">
      <formula>"Fail"</formula>
    </cfRule>
    <cfRule type="cellIs" dxfId="850" priority="852" stopIfTrue="1" operator="equal">
      <formula>"Pass"</formula>
    </cfRule>
  </conditionalFormatting>
  <conditionalFormatting sqref="V31">
    <cfRule type="cellIs" dxfId="849" priority="849" stopIfTrue="1" operator="equal">
      <formula>"Fail"</formula>
    </cfRule>
    <cfRule type="cellIs" dxfId="848" priority="850" stopIfTrue="1" operator="equal">
      <formula>"Pass"</formula>
    </cfRule>
  </conditionalFormatting>
  <conditionalFormatting sqref="V31">
    <cfRule type="cellIs" dxfId="847" priority="847" stopIfTrue="1" operator="equal">
      <formula>"Fail"</formula>
    </cfRule>
    <cfRule type="cellIs" dxfId="846" priority="848" stopIfTrue="1" operator="equal">
      <formula>"Pass"</formula>
    </cfRule>
  </conditionalFormatting>
  <conditionalFormatting sqref="V32">
    <cfRule type="cellIs" dxfId="845" priority="845" stopIfTrue="1" operator="equal">
      <formula>"Fail"</formula>
    </cfRule>
    <cfRule type="cellIs" dxfId="844" priority="846" stopIfTrue="1" operator="equal">
      <formula>"Pass"</formula>
    </cfRule>
  </conditionalFormatting>
  <conditionalFormatting sqref="V32">
    <cfRule type="cellIs" dxfId="843" priority="843" stopIfTrue="1" operator="equal">
      <formula>"Fail"</formula>
    </cfRule>
    <cfRule type="cellIs" dxfId="842" priority="844" stopIfTrue="1" operator="equal">
      <formula>"Pass"</formula>
    </cfRule>
  </conditionalFormatting>
  <conditionalFormatting sqref="V32">
    <cfRule type="cellIs" dxfId="841" priority="841" stopIfTrue="1" operator="equal">
      <formula>"Fail"</formula>
    </cfRule>
    <cfRule type="cellIs" dxfId="840" priority="842" stopIfTrue="1" operator="equal">
      <formula>"Pass"</formula>
    </cfRule>
  </conditionalFormatting>
  <conditionalFormatting sqref="V32">
    <cfRule type="cellIs" dxfId="839" priority="839" stopIfTrue="1" operator="equal">
      <formula>"Fail"</formula>
    </cfRule>
    <cfRule type="cellIs" dxfId="838" priority="840" stopIfTrue="1" operator="equal">
      <formula>"Pass"</formula>
    </cfRule>
  </conditionalFormatting>
  <conditionalFormatting sqref="V32">
    <cfRule type="cellIs" dxfId="837" priority="837" stopIfTrue="1" operator="equal">
      <formula>"Fail"</formula>
    </cfRule>
    <cfRule type="cellIs" dxfId="836" priority="838" stopIfTrue="1" operator="equal">
      <formula>"Pass"</formula>
    </cfRule>
  </conditionalFormatting>
  <conditionalFormatting sqref="V32">
    <cfRule type="cellIs" dxfId="835" priority="835" stopIfTrue="1" operator="equal">
      <formula>"Fail"</formula>
    </cfRule>
    <cfRule type="cellIs" dxfId="834" priority="836" stopIfTrue="1" operator="equal">
      <formula>"Pass"</formula>
    </cfRule>
  </conditionalFormatting>
  <conditionalFormatting sqref="V33">
    <cfRule type="cellIs" dxfId="833" priority="833" stopIfTrue="1" operator="equal">
      <formula>"Fail"</formula>
    </cfRule>
    <cfRule type="cellIs" dxfId="832" priority="834" stopIfTrue="1" operator="equal">
      <formula>"Pass"</formula>
    </cfRule>
  </conditionalFormatting>
  <conditionalFormatting sqref="V33">
    <cfRule type="cellIs" dxfId="831" priority="831" stopIfTrue="1" operator="equal">
      <formula>"Fail"</formula>
    </cfRule>
    <cfRule type="cellIs" dxfId="830" priority="832" stopIfTrue="1" operator="equal">
      <formula>"Pass"</formula>
    </cfRule>
  </conditionalFormatting>
  <conditionalFormatting sqref="V33">
    <cfRule type="cellIs" dxfId="829" priority="829" stopIfTrue="1" operator="equal">
      <formula>"Fail"</formula>
    </cfRule>
    <cfRule type="cellIs" dxfId="828" priority="830" stopIfTrue="1" operator="equal">
      <formula>"Pass"</formula>
    </cfRule>
  </conditionalFormatting>
  <conditionalFormatting sqref="V33">
    <cfRule type="cellIs" dxfId="827" priority="827" stopIfTrue="1" operator="equal">
      <formula>"Fail"</formula>
    </cfRule>
    <cfRule type="cellIs" dxfId="826" priority="828" stopIfTrue="1" operator="equal">
      <formula>"Pass"</formula>
    </cfRule>
  </conditionalFormatting>
  <conditionalFormatting sqref="V33">
    <cfRule type="cellIs" dxfId="825" priority="825" stopIfTrue="1" operator="equal">
      <formula>"Fail"</formula>
    </cfRule>
    <cfRule type="cellIs" dxfId="824" priority="826" stopIfTrue="1" operator="equal">
      <formula>"Pass"</formula>
    </cfRule>
  </conditionalFormatting>
  <conditionalFormatting sqref="V33">
    <cfRule type="cellIs" dxfId="823" priority="823" stopIfTrue="1" operator="equal">
      <formula>"Fail"</formula>
    </cfRule>
    <cfRule type="cellIs" dxfId="822" priority="824" stopIfTrue="1" operator="equal">
      <formula>"Pass"</formula>
    </cfRule>
  </conditionalFormatting>
  <conditionalFormatting sqref="V34">
    <cfRule type="cellIs" dxfId="821" priority="821" stopIfTrue="1" operator="equal">
      <formula>"Fail"</formula>
    </cfRule>
    <cfRule type="cellIs" dxfId="820" priority="822" stopIfTrue="1" operator="equal">
      <formula>"Pass"</formula>
    </cfRule>
  </conditionalFormatting>
  <conditionalFormatting sqref="V34">
    <cfRule type="cellIs" dxfId="819" priority="819" stopIfTrue="1" operator="equal">
      <formula>"Fail"</formula>
    </cfRule>
    <cfRule type="cellIs" dxfId="818" priority="820" stopIfTrue="1" operator="equal">
      <formula>"Pass"</formula>
    </cfRule>
  </conditionalFormatting>
  <conditionalFormatting sqref="V34">
    <cfRule type="cellIs" dxfId="817" priority="817" stopIfTrue="1" operator="equal">
      <formula>"Fail"</formula>
    </cfRule>
    <cfRule type="cellIs" dxfId="816" priority="818" stopIfTrue="1" operator="equal">
      <formula>"Pass"</formula>
    </cfRule>
  </conditionalFormatting>
  <conditionalFormatting sqref="V34">
    <cfRule type="cellIs" dxfId="815" priority="815" stopIfTrue="1" operator="equal">
      <formula>"Fail"</formula>
    </cfRule>
    <cfRule type="cellIs" dxfId="814" priority="816" stopIfTrue="1" operator="equal">
      <formula>"Pass"</formula>
    </cfRule>
  </conditionalFormatting>
  <conditionalFormatting sqref="V34">
    <cfRule type="cellIs" dxfId="813" priority="813" stopIfTrue="1" operator="equal">
      <formula>"Fail"</formula>
    </cfRule>
    <cfRule type="cellIs" dxfId="812" priority="814" stopIfTrue="1" operator="equal">
      <formula>"Pass"</formula>
    </cfRule>
  </conditionalFormatting>
  <conditionalFormatting sqref="V34">
    <cfRule type="cellIs" dxfId="811" priority="811" stopIfTrue="1" operator="equal">
      <formula>"Fail"</formula>
    </cfRule>
    <cfRule type="cellIs" dxfId="810" priority="812" stopIfTrue="1" operator="equal">
      <formula>"Pass"</formula>
    </cfRule>
  </conditionalFormatting>
  <conditionalFormatting sqref="V35">
    <cfRule type="cellIs" dxfId="809" priority="809" stopIfTrue="1" operator="equal">
      <formula>"Fail"</formula>
    </cfRule>
    <cfRule type="cellIs" dxfId="808" priority="810" stopIfTrue="1" operator="equal">
      <formula>"Pass"</formula>
    </cfRule>
  </conditionalFormatting>
  <conditionalFormatting sqref="V35">
    <cfRule type="cellIs" dxfId="807" priority="807" stopIfTrue="1" operator="equal">
      <formula>"Fail"</formula>
    </cfRule>
    <cfRule type="cellIs" dxfId="806" priority="808" stopIfTrue="1" operator="equal">
      <formula>"Pass"</formula>
    </cfRule>
  </conditionalFormatting>
  <conditionalFormatting sqref="V35">
    <cfRule type="cellIs" dxfId="805" priority="805" stopIfTrue="1" operator="equal">
      <formula>"Fail"</formula>
    </cfRule>
    <cfRule type="cellIs" dxfId="804" priority="806" stopIfTrue="1" operator="equal">
      <formula>"Pass"</formula>
    </cfRule>
  </conditionalFormatting>
  <conditionalFormatting sqref="V35">
    <cfRule type="cellIs" dxfId="803" priority="803" stopIfTrue="1" operator="equal">
      <formula>"Fail"</formula>
    </cfRule>
    <cfRule type="cellIs" dxfId="802" priority="804" stopIfTrue="1" operator="equal">
      <formula>"Pass"</formula>
    </cfRule>
  </conditionalFormatting>
  <conditionalFormatting sqref="V35">
    <cfRule type="cellIs" dxfId="801" priority="801" stopIfTrue="1" operator="equal">
      <formula>"Fail"</formula>
    </cfRule>
    <cfRule type="cellIs" dxfId="800" priority="802" stopIfTrue="1" operator="equal">
      <formula>"Pass"</formula>
    </cfRule>
  </conditionalFormatting>
  <conditionalFormatting sqref="V35">
    <cfRule type="cellIs" dxfId="799" priority="799" stopIfTrue="1" operator="equal">
      <formula>"Fail"</formula>
    </cfRule>
    <cfRule type="cellIs" dxfId="798" priority="800" stopIfTrue="1" operator="equal">
      <formula>"Pass"</formula>
    </cfRule>
  </conditionalFormatting>
  <conditionalFormatting sqref="V36">
    <cfRule type="cellIs" dxfId="797" priority="797" stopIfTrue="1" operator="equal">
      <formula>"Fail"</formula>
    </cfRule>
    <cfRule type="cellIs" dxfId="796" priority="798" stopIfTrue="1" operator="equal">
      <formula>"Pass"</formula>
    </cfRule>
  </conditionalFormatting>
  <conditionalFormatting sqref="V36">
    <cfRule type="cellIs" dxfId="795" priority="795" stopIfTrue="1" operator="equal">
      <formula>"Fail"</formula>
    </cfRule>
    <cfRule type="cellIs" dxfId="794" priority="796" stopIfTrue="1" operator="equal">
      <formula>"Pass"</formula>
    </cfRule>
  </conditionalFormatting>
  <conditionalFormatting sqref="V36">
    <cfRule type="cellIs" dxfId="793" priority="793" stopIfTrue="1" operator="equal">
      <formula>"Fail"</formula>
    </cfRule>
    <cfRule type="cellIs" dxfId="792" priority="794" stopIfTrue="1" operator="equal">
      <formula>"Pass"</formula>
    </cfRule>
  </conditionalFormatting>
  <conditionalFormatting sqref="V36">
    <cfRule type="cellIs" dxfId="791" priority="791" stopIfTrue="1" operator="equal">
      <formula>"Fail"</formula>
    </cfRule>
    <cfRule type="cellIs" dxfId="790" priority="792" stopIfTrue="1" operator="equal">
      <formula>"Pass"</formula>
    </cfRule>
  </conditionalFormatting>
  <conditionalFormatting sqref="V36">
    <cfRule type="cellIs" dxfId="789" priority="789" stopIfTrue="1" operator="equal">
      <formula>"Fail"</formula>
    </cfRule>
    <cfRule type="cellIs" dxfId="788" priority="790" stopIfTrue="1" operator="equal">
      <formula>"Pass"</formula>
    </cfRule>
  </conditionalFormatting>
  <conditionalFormatting sqref="V36">
    <cfRule type="cellIs" dxfId="787" priority="787" stopIfTrue="1" operator="equal">
      <formula>"Fail"</formula>
    </cfRule>
    <cfRule type="cellIs" dxfId="786" priority="788" stopIfTrue="1" operator="equal">
      <formula>"Pass"</formula>
    </cfRule>
  </conditionalFormatting>
  <conditionalFormatting sqref="V36">
    <cfRule type="cellIs" dxfId="785" priority="785" stopIfTrue="1" operator="equal">
      <formula>"Fail"</formula>
    </cfRule>
    <cfRule type="cellIs" dxfId="784" priority="786" stopIfTrue="1" operator="equal">
      <formula>"Pass"</formula>
    </cfRule>
  </conditionalFormatting>
  <conditionalFormatting sqref="V36">
    <cfRule type="cellIs" dxfId="783" priority="783" stopIfTrue="1" operator="equal">
      <formula>"Fail"</formula>
    </cfRule>
    <cfRule type="cellIs" dxfId="782" priority="784" stopIfTrue="1" operator="equal">
      <formula>"Pass"</formula>
    </cfRule>
  </conditionalFormatting>
  <conditionalFormatting sqref="V36">
    <cfRule type="cellIs" dxfId="781" priority="781" stopIfTrue="1" operator="equal">
      <formula>"Fail"</formula>
    </cfRule>
    <cfRule type="cellIs" dxfId="780" priority="782" stopIfTrue="1" operator="equal">
      <formula>"Pass"</formula>
    </cfRule>
  </conditionalFormatting>
  <conditionalFormatting sqref="M3">
    <cfRule type="cellIs" dxfId="779" priority="779" stopIfTrue="1" operator="equal">
      <formula>"Fail"</formula>
    </cfRule>
    <cfRule type="cellIs" dxfId="778" priority="780" stopIfTrue="1" operator="equal">
      <formula>"Pass"</formula>
    </cfRule>
  </conditionalFormatting>
  <conditionalFormatting sqref="M4">
    <cfRule type="cellIs" dxfId="777" priority="777" stopIfTrue="1" operator="equal">
      <formula>"Fail"</formula>
    </cfRule>
    <cfRule type="cellIs" dxfId="776" priority="778" stopIfTrue="1" operator="equal">
      <formula>"Pass"</formula>
    </cfRule>
  </conditionalFormatting>
  <conditionalFormatting sqref="M5">
    <cfRule type="cellIs" dxfId="775" priority="775" stopIfTrue="1" operator="equal">
      <formula>"Fail"</formula>
    </cfRule>
    <cfRule type="cellIs" dxfId="774" priority="776" stopIfTrue="1" operator="equal">
      <formula>"Pass"</formula>
    </cfRule>
  </conditionalFormatting>
  <conditionalFormatting sqref="M6">
    <cfRule type="cellIs" dxfId="773" priority="773" stopIfTrue="1" operator="equal">
      <formula>"Fail"</formula>
    </cfRule>
    <cfRule type="cellIs" dxfId="772" priority="774" stopIfTrue="1" operator="equal">
      <formula>"Pass"</formula>
    </cfRule>
  </conditionalFormatting>
  <conditionalFormatting sqref="M7">
    <cfRule type="cellIs" dxfId="771" priority="771" stopIfTrue="1" operator="equal">
      <formula>"Fail"</formula>
    </cfRule>
    <cfRule type="cellIs" dxfId="770" priority="772" stopIfTrue="1" operator="equal">
      <formula>"Pass"</formula>
    </cfRule>
  </conditionalFormatting>
  <conditionalFormatting sqref="M7">
    <cfRule type="cellIs" dxfId="769" priority="769" stopIfTrue="1" operator="equal">
      <formula>"Fail"</formula>
    </cfRule>
    <cfRule type="cellIs" dxfId="768" priority="770" stopIfTrue="1" operator="equal">
      <formula>"Pass"</formula>
    </cfRule>
  </conditionalFormatting>
  <conditionalFormatting sqref="M8">
    <cfRule type="cellIs" dxfId="767" priority="767" stopIfTrue="1" operator="equal">
      <formula>"Fail"</formula>
    </cfRule>
    <cfRule type="cellIs" dxfId="766" priority="768" stopIfTrue="1" operator="equal">
      <formula>"Pass"</formula>
    </cfRule>
  </conditionalFormatting>
  <conditionalFormatting sqref="M9">
    <cfRule type="cellIs" dxfId="765" priority="765" stopIfTrue="1" operator="equal">
      <formula>"Fail"</formula>
    </cfRule>
    <cfRule type="cellIs" dxfId="764" priority="766" stopIfTrue="1" operator="equal">
      <formula>"Pass"</formula>
    </cfRule>
  </conditionalFormatting>
  <conditionalFormatting sqref="M10">
    <cfRule type="cellIs" dxfId="763" priority="763" stopIfTrue="1" operator="equal">
      <formula>"Fail"</formula>
    </cfRule>
    <cfRule type="cellIs" dxfId="762" priority="764" stopIfTrue="1" operator="equal">
      <formula>"Pass"</formula>
    </cfRule>
  </conditionalFormatting>
  <conditionalFormatting sqref="M11">
    <cfRule type="cellIs" dxfId="761" priority="761" stopIfTrue="1" operator="equal">
      <formula>"Fail"</formula>
    </cfRule>
    <cfRule type="cellIs" dxfId="760" priority="762" stopIfTrue="1" operator="equal">
      <formula>"Pass"</formula>
    </cfRule>
  </conditionalFormatting>
  <conditionalFormatting sqref="M11">
    <cfRule type="cellIs" dxfId="759" priority="759" stopIfTrue="1" operator="equal">
      <formula>"Fail"</formula>
    </cfRule>
    <cfRule type="cellIs" dxfId="758" priority="760" stopIfTrue="1" operator="equal">
      <formula>"Pass"</formula>
    </cfRule>
  </conditionalFormatting>
  <conditionalFormatting sqref="M11">
    <cfRule type="cellIs" dxfId="757" priority="757" stopIfTrue="1" operator="equal">
      <formula>"Fail"</formula>
    </cfRule>
    <cfRule type="cellIs" dxfId="756" priority="758" stopIfTrue="1" operator="equal">
      <formula>"Pass"</formula>
    </cfRule>
  </conditionalFormatting>
  <conditionalFormatting sqref="M12">
    <cfRule type="cellIs" dxfId="755" priority="755" stopIfTrue="1" operator="equal">
      <formula>"Fail"</formula>
    </cfRule>
    <cfRule type="cellIs" dxfId="754" priority="756" stopIfTrue="1" operator="equal">
      <formula>"Pass"</formula>
    </cfRule>
  </conditionalFormatting>
  <conditionalFormatting sqref="M13">
    <cfRule type="cellIs" dxfId="753" priority="753" stopIfTrue="1" operator="equal">
      <formula>"Fail"</formula>
    </cfRule>
    <cfRule type="cellIs" dxfId="752" priority="754" stopIfTrue="1" operator="equal">
      <formula>"Pass"</formula>
    </cfRule>
  </conditionalFormatting>
  <conditionalFormatting sqref="M13">
    <cfRule type="cellIs" dxfId="751" priority="751" stopIfTrue="1" operator="equal">
      <formula>"Fail"</formula>
    </cfRule>
    <cfRule type="cellIs" dxfId="750" priority="752" stopIfTrue="1" operator="equal">
      <formula>"Pass"</formula>
    </cfRule>
  </conditionalFormatting>
  <conditionalFormatting sqref="M13">
    <cfRule type="cellIs" dxfId="749" priority="749" stopIfTrue="1" operator="equal">
      <formula>"Fail"</formula>
    </cfRule>
    <cfRule type="cellIs" dxfId="748" priority="750" stopIfTrue="1" operator="equal">
      <formula>"Pass"</formula>
    </cfRule>
  </conditionalFormatting>
  <conditionalFormatting sqref="M13">
    <cfRule type="cellIs" dxfId="747" priority="747" stopIfTrue="1" operator="equal">
      <formula>"Fail"</formula>
    </cfRule>
    <cfRule type="cellIs" dxfId="746" priority="748" stopIfTrue="1" operator="equal">
      <formula>"Pass"</formula>
    </cfRule>
  </conditionalFormatting>
  <conditionalFormatting sqref="M14">
    <cfRule type="cellIs" dxfId="745" priority="745" stopIfTrue="1" operator="equal">
      <formula>"Fail"</formula>
    </cfRule>
    <cfRule type="cellIs" dxfId="744" priority="746" stopIfTrue="1" operator="equal">
      <formula>"Pass"</formula>
    </cfRule>
  </conditionalFormatting>
  <conditionalFormatting sqref="M14">
    <cfRule type="cellIs" dxfId="743" priority="743" stopIfTrue="1" operator="equal">
      <formula>"Fail"</formula>
    </cfRule>
    <cfRule type="cellIs" dxfId="742" priority="744" stopIfTrue="1" operator="equal">
      <formula>"Pass"</formula>
    </cfRule>
  </conditionalFormatting>
  <conditionalFormatting sqref="M14">
    <cfRule type="cellIs" dxfId="741" priority="741" stopIfTrue="1" operator="equal">
      <formula>"Fail"</formula>
    </cfRule>
    <cfRule type="cellIs" dxfId="740" priority="742" stopIfTrue="1" operator="equal">
      <formula>"Pass"</formula>
    </cfRule>
  </conditionalFormatting>
  <conditionalFormatting sqref="M14">
    <cfRule type="cellIs" dxfId="739" priority="739" stopIfTrue="1" operator="equal">
      <formula>"Fail"</formula>
    </cfRule>
    <cfRule type="cellIs" dxfId="738" priority="740" stopIfTrue="1" operator="equal">
      <formula>"Pass"</formula>
    </cfRule>
  </conditionalFormatting>
  <conditionalFormatting sqref="M15">
    <cfRule type="cellIs" dxfId="737" priority="737" stopIfTrue="1" operator="equal">
      <formula>"Fail"</formula>
    </cfRule>
    <cfRule type="cellIs" dxfId="736" priority="738" stopIfTrue="1" operator="equal">
      <formula>"Pass"</formula>
    </cfRule>
  </conditionalFormatting>
  <conditionalFormatting sqref="M15">
    <cfRule type="cellIs" dxfId="735" priority="735" stopIfTrue="1" operator="equal">
      <formula>"Fail"</formula>
    </cfRule>
    <cfRule type="cellIs" dxfId="734" priority="736" stopIfTrue="1" operator="equal">
      <formula>"Pass"</formula>
    </cfRule>
  </conditionalFormatting>
  <conditionalFormatting sqref="M15">
    <cfRule type="cellIs" dxfId="733" priority="733" stopIfTrue="1" operator="equal">
      <formula>"Fail"</formula>
    </cfRule>
    <cfRule type="cellIs" dxfId="732" priority="734" stopIfTrue="1" operator="equal">
      <formula>"Pass"</formula>
    </cfRule>
  </conditionalFormatting>
  <conditionalFormatting sqref="M15">
    <cfRule type="cellIs" dxfId="731" priority="731" stopIfTrue="1" operator="equal">
      <formula>"Fail"</formula>
    </cfRule>
    <cfRule type="cellIs" dxfId="730" priority="732" stopIfTrue="1" operator="equal">
      <formula>"Pass"</formula>
    </cfRule>
  </conditionalFormatting>
  <conditionalFormatting sqref="M16">
    <cfRule type="cellIs" dxfId="729" priority="729" stopIfTrue="1" operator="equal">
      <formula>"Fail"</formula>
    </cfRule>
    <cfRule type="cellIs" dxfId="728" priority="730" stopIfTrue="1" operator="equal">
      <formula>"Pass"</formula>
    </cfRule>
  </conditionalFormatting>
  <conditionalFormatting sqref="M16">
    <cfRule type="cellIs" dxfId="727" priority="727" stopIfTrue="1" operator="equal">
      <formula>"Fail"</formula>
    </cfRule>
    <cfRule type="cellIs" dxfId="726" priority="728" stopIfTrue="1" operator="equal">
      <formula>"Pass"</formula>
    </cfRule>
  </conditionalFormatting>
  <conditionalFormatting sqref="M16">
    <cfRule type="cellIs" dxfId="725" priority="725" stopIfTrue="1" operator="equal">
      <formula>"Fail"</formula>
    </cfRule>
    <cfRule type="cellIs" dxfId="724" priority="726" stopIfTrue="1" operator="equal">
      <formula>"Pass"</formula>
    </cfRule>
  </conditionalFormatting>
  <conditionalFormatting sqref="M16">
    <cfRule type="cellIs" dxfId="723" priority="723" stopIfTrue="1" operator="equal">
      <formula>"Fail"</formula>
    </cfRule>
    <cfRule type="cellIs" dxfId="722" priority="724" stopIfTrue="1" operator="equal">
      <formula>"Pass"</formula>
    </cfRule>
  </conditionalFormatting>
  <conditionalFormatting sqref="M17">
    <cfRule type="cellIs" dxfId="721" priority="721" stopIfTrue="1" operator="equal">
      <formula>"Fail"</formula>
    </cfRule>
    <cfRule type="cellIs" dxfId="720" priority="722" stopIfTrue="1" operator="equal">
      <formula>"Pass"</formula>
    </cfRule>
  </conditionalFormatting>
  <conditionalFormatting sqref="M17">
    <cfRule type="cellIs" dxfId="719" priority="719" stopIfTrue="1" operator="equal">
      <formula>"Fail"</formula>
    </cfRule>
    <cfRule type="cellIs" dxfId="718" priority="720" stopIfTrue="1" operator="equal">
      <formula>"Pass"</formula>
    </cfRule>
  </conditionalFormatting>
  <conditionalFormatting sqref="M17">
    <cfRule type="cellIs" dxfId="717" priority="717" stopIfTrue="1" operator="equal">
      <formula>"Fail"</formula>
    </cfRule>
    <cfRule type="cellIs" dxfId="716" priority="718" stopIfTrue="1" operator="equal">
      <formula>"Pass"</formula>
    </cfRule>
  </conditionalFormatting>
  <conditionalFormatting sqref="M17">
    <cfRule type="cellIs" dxfId="715" priority="715" stopIfTrue="1" operator="equal">
      <formula>"Fail"</formula>
    </cfRule>
    <cfRule type="cellIs" dxfId="714" priority="716" stopIfTrue="1" operator="equal">
      <formula>"Pass"</formula>
    </cfRule>
  </conditionalFormatting>
  <conditionalFormatting sqref="M18">
    <cfRule type="cellIs" dxfId="713" priority="713" stopIfTrue="1" operator="equal">
      <formula>"Fail"</formula>
    </cfRule>
    <cfRule type="cellIs" dxfId="712" priority="714" stopIfTrue="1" operator="equal">
      <formula>"Pass"</formula>
    </cfRule>
  </conditionalFormatting>
  <conditionalFormatting sqref="M18">
    <cfRule type="cellIs" dxfId="711" priority="711" stopIfTrue="1" operator="equal">
      <formula>"Fail"</formula>
    </cfRule>
    <cfRule type="cellIs" dxfId="710" priority="712" stopIfTrue="1" operator="equal">
      <formula>"Pass"</formula>
    </cfRule>
  </conditionalFormatting>
  <conditionalFormatting sqref="M18">
    <cfRule type="cellIs" dxfId="709" priority="709" stopIfTrue="1" operator="equal">
      <formula>"Fail"</formula>
    </cfRule>
    <cfRule type="cellIs" dxfId="708" priority="710" stopIfTrue="1" operator="equal">
      <formula>"Pass"</formula>
    </cfRule>
  </conditionalFormatting>
  <conditionalFormatting sqref="M19">
    <cfRule type="cellIs" dxfId="707" priority="707" stopIfTrue="1" operator="equal">
      <formula>"Fail"</formula>
    </cfRule>
    <cfRule type="cellIs" dxfId="706" priority="708" stopIfTrue="1" operator="equal">
      <formula>"Pass"</formula>
    </cfRule>
  </conditionalFormatting>
  <conditionalFormatting sqref="M19">
    <cfRule type="cellIs" dxfId="705" priority="705" stopIfTrue="1" operator="equal">
      <formula>"Fail"</formula>
    </cfRule>
    <cfRule type="cellIs" dxfId="704" priority="706" stopIfTrue="1" operator="equal">
      <formula>"Pass"</formula>
    </cfRule>
  </conditionalFormatting>
  <conditionalFormatting sqref="M19">
    <cfRule type="cellIs" dxfId="703" priority="703" stopIfTrue="1" operator="equal">
      <formula>"Fail"</formula>
    </cfRule>
    <cfRule type="cellIs" dxfId="702" priority="704" stopIfTrue="1" operator="equal">
      <formula>"Pass"</formula>
    </cfRule>
  </conditionalFormatting>
  <conditionalFormatting sqref="M20">
    <cfRule type="cellIs" dxfId="701" priority="701" stopIfTrue="1" operator="equal">
      <formula>"Fail"</formula>
    </cfRule>
    <cfRule type="cellIs" dxfId="700" priority="702" stopIfTrue="1" operator="equal">
      <formula>"Pass"</formula>
    </cfRule>
  </conditionalFormatting>
  <conditionalFormatting sqref="M20">
    <cfRule type="cellIs" dxfId="699" priority="699" stopIfTrue="1" operator="equal">
      <formula>"Fail"</formula>
    </cfRule>
    <cfRule type="cellIs" dxfId="698" priority="700" stopIfTrue="1" operator="equal">
      <formula>"Pass"</formula>
    </cfRule>
  </conditionalFormatting>
  <conditionalFormatting sqref="M20">
    <cfRule type="cellIs" dxfId="697" priority="697" stopIfTrue="1" operator="equal">
      <formula>"Fail"</formula>
    </cfRule>
    <cfRule type="cellIs" dxfId="696" priority="698" stopIfTrue="1" operator="equal">
      <formula>"Pass"</formula>
    </cfRule>
  </conditionalFormatting>
  <conditionalFormatting sqref="M21">
    <cfRule type="cellIs" dxfId="695" priority="695" stopIfTrue="1" operator="equal">
      <formula>"Fail"</formula>
    </cfRule>
    <cfRule type="cellIs" dxfId="694" priority="696" stopIfTrue="1" operator="equal">
      <formula>"Pass"</formula>
    </cfRule>
  </conditionalFormatting>
  <conditionalFormatting sqref="M21">
    <cfRule type="cellIs" dxfId="693" priority="693" stopIfTrue="1" operator="equal">
      <formula>"Fail"</formula>
    </cfRule>
    <cfRule type="cellIs" dxfId="692" priority="694" stopIfTrue="1" operator="equal">
      <formula>"Pass"</formula>
    </cfRule>
  </conditionalFormatting>
  <conditionalFormatting sqref="M21">
    <cfRule type="cellIs" dxfId="691" priority="691" stopIfTrue="1" operator="equal">
      <formula>"Fail"</formula>
    </cfRule>
    <cfRule type="cellIs" dxfId="690" priority="692" stopIfTrue="1" operator="equal">
      <formula>"Pass"</formula>
    </cfRule>
  </conditionalFormatting>
  <conditionalFormatting sqref="M21">
    <cfRule type="cellIs" dxfId="689" priority="689" stopIfTrue="1" operator="equal">
      <formula>"Fail"</formula>
    </cfRule>
    <cfRule type="cellIs" dxfId="688" priority="690" stopIfTrue="1" operator="equal">
      <formula>"Pass"</formula>
    </cfRule>
  </conditionalFormatting>
  <conditionalFormatting sqref="M21">
    <cfRule type="cellIs" dxfId="687" priority="687" stopIfTrue="1" operator="equal">
      <formula>"Fail"</formula>
    </cfRule>
    <cfRule type="cellIs" dxfId="686" priority="688" stopIfTrue="1" operator="equal">
      <formula>"Pass"</formula>
    </cfRule>
  </conditionalFormatting>
  <conditionalFormatting sqref="M21">
    <cfRule type="cellIs" dxfId="685" priority="685" stopIfTrue="1" operator="equal">
      <formula>"Fail"</formula>
    </cfRule>
    <cfRule type="cellIs" dxfId="684" priority="686" stopIfTrue="1" operator="equal">
      <formula>"Pass"</formula>
    </cfRule>
  </conditionalFormatting>
  <conditionalFormatting sqref="M22">
    <cfRule type="cellIs" dxfId="683" priority="683" stopIfTrue="1" operator="equal">
      <formula>"Fail"</formula>
    </cfRule>
    <cfRule type="cellIs" dxfId="682" priority="684" stopIfTrue="1" operator="equal">
      <formula>"Pass"</formula>
    </cfRule>
  </conditionalFormatting>
  <conditionalFormatting sqref="M22">
    <cfRule type="cellIs" dxfId="681" priority="681" stopIfTrue="1" operator="equal">
      <formula>"Fail"</formula>
    </cfRule>
    <cfRule type="cellIs" dxfId="680" priority="682" stopIfTrue="1" operator="equal">
      <formula>"Pass"</formula>
    </cfRule>
  </conditionalFormatting>
  <conditionalFormatting sqref="M22">
    <cfRule type="cellIs" dxfId="679" priority="679" stopIfTrue="1" operator="equal">
      <formula>"Fail"</formula>
    </cfRule>
    <cfRule type="cellIs" dxfId="678" priority="680" stopIfTrue="1" operator="equal">
      <formula>"Pass"</formula>
    </cfRule>
  </conditionalFormatting>
  <conditionalFormatting sqref="M22">
    <cfRule type="cellIs" dxfId="677" priority="677" stopIfTrue="1" operator="equal">
      <formula>"Fail"</formula>
    </cfRule>
    <cfRule type="cellIs" dxfId="676" priority="678" stopIfTrue="1" operator="equal">
      <formula>"Pass"</formula>
    </cfRule>
  </conditionalFormatting>
  <conditionalFormatting sqref="M22">
    <cfRule type="cellIs" dxfId="675" priority="675" stopIfTrue="1" operator="equal">
      <formula>"Fail"</formula>
    </cfRule>
    <cfRule type="cellIs" dxfId="674" priority="676" stopIfTrue="1" operator="equal">
      <formula>"Pass"</formula>
    </cfRule>
  </conditionalFormatting>
  <conditionalFormatting sqref="M22">
    <cfRule type="cellIs" dxfId="673" priority="673" stopIfTrue="1" operator="equal">
      <formula>"Fail"</formula>
    </cfRule>
    <cfRule type="cellIs" dxfId="672" priority="674" stopIfTrue="1" operator="equal">
      <formula>"Pass"</formula>
    </cfRule>
  </conditionalFormatting>
  <conditionalFormatting sqref="M23">
    <cfRule type="cellIs" dxfId="671" priority="671" stopIfTrue="1" operator="equal">
      <formula>"Fail"</formula>
    </cfRule>
    <cfRule type="cellIs" dxfId="670" priority="672" stopIfTrue="1" operator="equal">
      <formula>"Pass"</formula>
    </cfRule>
  </conditionalFormatting>
  <conditionalFormatting sqref="M23">
    <cfRule type="cellIs" dxfId="669" priority="669" stopIfTrue="1" operator="equal">
      <formula>"Fail"</formula>
    </cfRule>
    <cfRule type="cellIs" dxfId="668" priority="670" stopIfTrue="1" operator="equal">
      <formula>"Pass"</formula>
    </cfRule>
  </conditionalFormatting>
  <conditionalFormatting sqref="M23">
    <cfRule type="cellIs" dxfId="667" priority="667" stopIfTrue="1" operator="equal">
      <formula>"Fail"</formula>
    </cfRule>
    <cfRule type="cellIs" dxfId="666" priority="668" stopIfTrue="1" operator="equal">
      <formula>"Pass"</formula>
    </cfRule>
  </conditionalFormatting>
  <conditionalFormatting sqref="M24">
    <cfRule type="cellIs" dxfId="665" priority="665" stopIfTrue="1" operator="equal">
      <formula>"Fail"</formula>
    </cfRule>
    <cfRule type="cellIs" dxfId="664" priority="666" stopIfTrue="1" operator="equal">
      <formula>"Pass"</formula>
    </cfRule>
  </conditionalFormatting>
  <conditionalFormatting sqref="M24">
    <cfRule type="cellIs" dxfId="663" priority="663" stopIfTrue="1" operator="equal">
      <formula>"Fail"</formula>
    </cfRule>
    <cfRule type="cellIs" dxfId="662" priority="664" stopIfTrue="1" operator="equal">
      <formula>"Pass"</formula>
    </cfRule>
  </conditionalFormatting>
  <conditionalFormatting sqref="M24">
    <cfRule type="cellIs" dxfId="661" priority="661" stopIfTrue="1" operator="equal">
      <formula>"Fail"</formula>
    </cfRule>
    <cfRule type="cellIs" dxfId="660" priority="662" stopIfTrue="1" operator="equal">
      <formula>"Pass"</formula>
    </cfRule>
  </conditionalFormatting>
  <conditionalFormatting sqref="M25">
    <cfRule type="cellIs" dxfId="659" priority="659" stopIfTrue="1" operator="equal">
      <formula>"Fail"</formula>
    </cfRule>
    <cfRule type="cellIs" dxfId="658" priority="660" stopIfTrue="1" operator="equal">
      <formula>"Pass"</formula>
    </cfRule>
  </conditionalFormatting>
  <conditionalFormatting sqref="M25">
    <cfRule type="cellIs" dxfId="657" priority="657" stopIfTrue="1" operator="equal">
      <formula>"Fail"</formula>
    </cfRule>
    <cfRule type="cellIs" dxfId="656" priority="658" stopIfTrue="1" operator="equal">
      <formula>"Pass"</formula>
    </cfRule>
  </conditionalFormatting>
  <conditionalFormatting sqref="M25">
    <cfRule type="cellIs" dxfId="655" priority="655" stopIfTrue="1" operator="equal">
      <formula>"Fail"</formula>
    </cfRule>
    <cfRule type="cellIs" dxfId="654" priority="656" stopIfTrue="1" operator="equal">
      <formula>"Pass"</formula>
    </cfRule>
  </conditionalFormatting>
  <conditionalFormatting sqref="M26">
    <cfRule type="cellIs" dxfId="653" priority="653" stopIfTrue="1" operator="equal">
      <formula>"Fail"</formula>
    </cfRule>
    <cfRule type="cellIs" dxfId="652" priority="654" stopIfTrue="1" operator="equal">
      <formula>"Pass"</formula>
    </cfRule>
  </conditionalFormatting>
  <conditionalFormatting sqref="M26">
    <cfRule type="cellIs" dxfId="651" priority="651" stopIfTrue="1" operator="equal">
      <formula>"Fail"</formula>
    </cfRule>
    <cfRule type="cellIs" dxfId="650" priority="652" stopIfTrue="1" operator="equal">
      <formula>"Pass"</formula>
    </cfRule>
  </conditionalFormatting>
  <conditionalFormatting sqref="M26">
    <cfRule type="cellIs" dxfId="649" priority="649" stopIfTrue="1" operator="equal">
      <formula>"Fail"</formula>
    </cfRule>
    <cfRule type="cellIs" dxfId="648" priority="650" stopIfTrue="1" operator="equal">
      <formula>"Pass"</formula>
    </cfRule>
  </conditionalFormatting>
  <conditionalFormatting sqref="M27">
    <cfRule type="cellIs" dxfId="647" priority="647" stopIfTrue="1" operator="equal">
      <formula>"Fail"</formula>
    </cfRule>
    <cfRule type="cellIs" dxfId="646" priority="648" stopIfTrue="1" operator="equal">
      <formula>"Pass"</formula>
    </cfRule>
  </conditionalFormatting>
  <conditionalFormatting sqref="M27">
    <cfRule type="cellIs" dxfId="645" priority="645" stopIfTrue="1" operator="equal">
      <formula>"Fail"</formula>
    </cfRule>
    <cfRule type="cellIs" dxfId="644" priority="646" stopIfTrue="1" operator="equal">
      <formula>"Pass"</formula>
    </cfRule>
  </conditionalFormatting>
  <conditionalFormatting sqref="M27">
    <cfRule type="cellIs" dxfId="643" priority="643" stopIfTrue="1" operator="equal">
      <formula>"Fail"</formula>
    </cfRule>
    <cfRule type="cellIs" dxfId="642" priority="644" stopIfTrue="1" operator="equal">
      <formula>"Pass"</formula>
    </cfRule>
  </conditionalFormatting>
  <conditionalFormatting sqref="M28">
    <cfRule type="cellIs" dxfId="641" priority="641" stopIfTrue="1" operator="equal">
      <formula>"Fail"</formula>
    </cfRule>
    <cfRule type="cellIs" dxfId="640" priority="642" stopIfTrue="1" operator="equal">
      <formula>"Pass"</formula>
    </cfRule>
  </conditionalFormatting>
  <conditionalFormatting sqref="M28">
    <cfRule type="cellIs" dxfId="639" priority="639" stopIfTrue="1" operator="equal">
      <formula>"Fail"</formula>
    </cfRule>
    <cfRule type="cellIs" dxfId="638" priority="640" stopIfTrue="1" operator="equal">
      <formula>"Pass"</formula>
    </cfRule>
  </conditionalFormatting>
  <conditionalFormatting sqref="M28">
    <cfRule type="cellIs" dxfId="637" priority="637" stopIfTrue="1" operator="equal">
      <formula>"Fail"</formula>
    </cfRule>
    <cfRule type="cellIs" dxfId="636" priority="638" stopIfTrue="1" operator="equal">
      <formula>"Pass"</formula>
    </cfRule>
  </conditionalFormatting>
  <conditionalFormatting sqref="M29">
    <cfRule type="cellIs" dxfId="635" priority="635" stopIfTrue="1" operator="equal">
      <formula>"Fail"</formula>
    </cfRule>
    <cfRule type="cellIs" dxfId="634" priority="636" stopIfTrue="1" operator="equal">
      <formula>"Pass"</formula>
    </cfRule>
  </conditionalFormatting>
  <conditionalFormatting sqref="M29">
    <cfRule type="cellIs" dxfId="633" priority="633" stopIfTrue="1" operator="equal">
      <formula>"Fail"</formula>
    </cfRule>
    <cfRule type="cellIs" dxfId="632" priority="634" stopIfTrue="1" operator="equal">
      <formula>"Pass"</formula>
    </cfRule>
  </conditionalFormatting>
  <conditionalFormatting sqref="M29">
    <cfRule type="cellIs" dxfId="631" priority="631" stopIfTrue="1" operator="equal">
      <formula>"Fail"</formula>
    </cfRule>
    <cfRule type="cellIs" dxfId="630" priority="632" stopIfTrue="1" operator="equal">
      <formula>"Pass"</formula>
    </cfRule>
  </conditionalFormatting>
  <conditionalFormatting sqref="M30">
    <cfRule type="cellIs" dxfId="629" priority="629" stopIfTrue="1" operator="equal">
      <formula>"Fail"</formula>
    </cfRule>
    <cfRule type="cellIs" dxfId="628" priority="630" stopIfTrue="1" operator="equal">
      <formula>"Pass"</formula>
    </cfRule>
  </conditionalFormatting>
  <conditionalFormatting sqref="M30">
    <cfRule type="cellIs" dxfId="627" priority="627" stopIfTrue="1" operator="equal">
      <formula>"Fail"</formula>
    </cfRule>
    <cfRule type="cellIs" dxfId="626" priority="628" stopIfTrue="1" operator="equal">
      <formula>"Pass"</formula>
    </cfRule>
  </conditionalFormatting>
  <conditionalFormatting sqref="M30">
    <cfRule type="cellIs" dxfId="625" priority="625" stopIfTrue="1" operator="equal">
      <formula>"Fail"</formula>
    </cfRule>
    <cfRule type="cellIs" dxfId="624" priority="626" stopIfTrue="1" operator="equal">
      <formula>"Pass"</formula>
    </cfRule>
  </conditionalFormatting>
  <conditionalFormatting sqref="M31">
    <cfRule type="cellIs" dxfId="623" priority="623" stopIfTrue="1" operator="equal">
      <formula>"Fail"</formula>
    </cfRule>
    <cfRule type="cellIs" dxfId="622" priority="624" stopIfTrue="1" operator="equal">
      <formula>"Pass"</formula>
    </cfRule>
  </conditionalFormatting>
  <conditionalFormatting sqref="M31">
    <cfRule type="cellIs" dxfId="621" priority="621" stopIfTrue="1" operator="equal">
      <formula>"Fail"</formula>
    </cfRule>
    <cfRule type="cellIs" dxfId="620" priority="622" stopIfTrue="1" operator="equal">
      <formula>"Pass"</formula>
    </cfRule>
  </conditionalFormatting>
  <conditionalFormatting sqref="M31">
    <cfRule type="cellIs" dxfId="619" priority="619" stopIfTrue="1" operator="equal">
      <formula>"Fail"</formula>
    </cfRule>
    <cfRule type="cellIs" dxfId="618" priority="620" stopIfTrue="1" operator="equal">
      <formula>"Pass"</formula>
    </cfRule>
  </conditionalFormatting>
  <conditionalFormatting sqref="M32">
    <cfRule type="cellIs" dxfId="617" priority="617" stopIfTrue="1" operator="equal">
      <formula>"Fail"</formula>
    </cfRule>
    <cfRule type="cellIs" dxfId="616" priority="618" stopIfTrue="1" operator="equal">
      <formula>"Pass"</formula>
    </cfRule>
  </conditionalFormatting>
  <conditionalFormatting sqref="M32">
    <cfRule type="cellIs" dxfId="615" priority="615" stopIfTrue="1" operator="equal">
      <formula>"Fail"</formula>
    </cfRule>
    <cfRule type="cellIs" dxfId="614" priority="616" stopIfTrue="1" operator="equal">
      <formula>"Pass"</formula>
    </cfRule>
  </conditionalFormatting>
  <conditionalFormatting sqref="M32">
    <cfRule type="cellIs" dxfId="613" priority="613" stopIfTrue="1" operator="equal">
      <formula>"Fail"</formula>
    </cfRule>
    <cfRule type="cellIs" dxfId="612" priority="614" stopIfTrue="1" operator="equal">
      <formula>"Pass"</formula>
    </cfRule>
  </conditionalFormatting>
  <conditionalFormatting sqref="M33">
    <cfRule type="cellIs" dxfId="611" priority="611" stopIfTrue="1" operator="equal">
      <formula>"Fail"</formula>
    </cfRule>
    <cfRule type="cellIs" dxfId="610" priority="612" stopIfTrue="1" operator="equal">
      <formula>"Pass"</formula>
    </cfRule>
  </conditionalFormatting>
  <conditionalFormatting sqref="M33">
    <cfRule type="cellIs" dxfId="609" priority="609" stopIfTrue="1" operator="equal">
      <formula>"Fail"</formula>
    </cfRule>
    <cfRule type="cellIs" dxfId="608" priority="610" stopIfTrue="1" operator="equal">
      <formula>"Pass"</formula>
    </cfRule>
  </conditionalFormatting>
  <conditionalFormatting sqref="M33">
    <cfRule type="cellIs" dxfId="607" priority="607" stopIfTrue="1" operator="equal">
      <formula>"Fail"</formula>
    </cfRule>
    <cfRule type="cellIs" dxfId="606" priority="608" stopIfTrue="1" operator="equal">
      <formula>"Pass"</formula>
    </cfRule>
  </conditionalFormatting>
  <conditionalFormatting sqref="M33">
    <cfRule type="cellIs" dxfId="605" priority="605" stopIfTrue="1" operator="equal">
      <formula>"Fail"</formula>
    </cfRule>
    <cfRule type="cellIs" dxfId="604" priority="606" stopIfTrue="1" operator="equal">
      <formula>"Pass"</formula>
    </cfRule>
  </conditionalFormatting>
  <conditionalFormatting sqref="M33">
    <cfRule type="cellIs" dxfId="603" priority="603" stopIfTrue="1" operator="equal">
      <formula>"Fail"</formula>
    </cfRule>
    <cfRule type="cellIs" dxfId="602" priority="604" stopIfTrue="1" operator="equal">
      <formula>"Pass"</formula>
    </cfRule>
  </conditionalFormatting>
  <conditionalFormatting sqref="M33">
    <cfRule type="cellIs" dxfId="601" priority="601" stopIfTrue="1" operator="equal">
      <formula>"Fail"</formula>
    </cfRule>
    <cfRule type="cellIs" dxfId="600" priority="602" stopIfTrue="1" operator="equal">
      <formula>"Pass"</formula>
    </cfRule>
  </conditionalFormatting>
  <conditionalFormatting sqref="M34">
    <cfRule type="cellIs" dxfId="599" priority="599" stopIfTrue="1" operator="equal">
      <formula>"Fail"</formula>
    </cfRule>
    <cfRule type="cellIs" dxfId="598" priority="600" stopIfTrue="1" operator="equal">
      <formula>"Pass"</formula>
    </cfRule>
  </conditionalFormatting>
  <conditionalFormatting sqref="M34">
    <cfRule type="cellIs" dxfId="597" priority="597" stopIfTrue="1" operator="equal">
      <formula>"Fail"</formula>
    </cfRule>
    <cfRule type="cellIs" dxfId="596" priority="598" stopIfTrue="1" operator="equal">
      <formula>"Pass"</formula>
    </cfRule>
  </conditionalFormatting>
  <conditionalFormatting sqref="M34">
    <cfRule type="cellIs" dxfId="595" priority="595" stopIfTrue="1" operator="equal">
      <formula>"Fail"</formula>
    </cfRule>
    <cfRule type="cellIs" dxfId="594" priority="596" stopIfTrue="1" operator="equal">
      <formula>"Pass"</formula>
    </cfRule>
  </conditionalFormatting>
  <conditionalFormatting sqref="M34">
    <cfRule type="cellIs" dxfId="593" priority="593" stopIfTrue="1" operator="equal">
      <formula>"Fail"</formula>
    </cfRule>
    <cfRule type="cellIs" dxfId="592" priority="594" stopIfTrue="1" operator="equal">
      <formula>"Pass"</formula>
    </cfRule>
  </conditionalFormatting>
  <conditionalFormatting sqref="M34">
    <cfRule type="cellIs" dxfId="591" priority="591" stopIfTrue="1" operator="equal">
      <formula>"Fail"</formula>
    </cfRule>
    <cfRule type="cellIs" dxfId="590" priority="592" stopIfTrue="1" operator="equal">
      <formula>"Pass"</formula>
    </cfRule>
  </conditionalFormatting>
  <conditionalFormatting sqref="M34">
    <cfRule type="cellIs" dxfId="589" priority="589" stopIfTrue="1" operator="equal">
      <formula>"Fail"</formula>
    </cfRule>
    <cfRule type="cellIs" dxfId="588" priority="590" stopIfTrue="1" operator="equal">
      <formula>"Pass"</formula>
    </cfRule>
  </conditionalFormatting>
  <conditionalFormatting sqref="M35">
    <cfRule type="cellIs" dxfId="587" priority="587" stopIfTrue="1" operator="equal">
      <formula>"Fail"</formula>
    </cfRule>
    <cfRule type="cellIs" dxfId="586" priority="588" stopIfTrue="1" operator="equal">
      <formula>"Pass"</formula>
    </cfRule>
  </conditionalFormatting>
  <conditionalFormatting sqref="M35">
    <cfRule type="cellIs" dxfId="585" priority="585" stopIfTrue="1" operator="equal">
      <formula>"Fail"</formula>
    </cfRule>
    <cfRule type="cellIs" dxfId="584" priority="586" stopIfTrue="1" operator="equal">
      <formula>"Pass"</formula>
    </cfRule>
  </conditionalFormatting>
  <conditionalFormatting sqref="M35">
    <cfRule type="cellIs" dxfId="583" priority="583" stopIfTrue="1" operator="equal">
      <formula>"Fail"</formula>
    </cfRule>
    <cfRule type="cellIs" dxfId="582" priority="584" stopIfTrue="1" operator="equal">
      <formula>"Pass"</formula>
    </cfRule>
  </conditionalFormatting>
  <conditionalFormatting sqref="M35">
    <cfRule type="cellIs" dxfId="581" priority="581" stopIfTrue="1" operator="equal">
      <formula>"Fail"</formula>
    </cfRule>
    <cfRule type="cellIs" dxfId="580" priority="582" stopIfTrue="1" operator="equal">
      <formula>"Pass"</formula>
    </cfRule>
  </conditionalFormatting>
  <conditionalFormatting sqref="M35">
    <cfRule type="cellIs" dxfId="579" priority="579" stopIfTrue="1" operator="equal">
      <formula>"Fail"</formula>
    </cfRule>
    <cfRule type="cellIs" dxfId="578" priority="580" stopIfTrue="1" operator="equal">
      <formula>"Pass"</formula>
    </cfRule>
  </conditionalFormatting>
  <conditionalFormatting sqref="M35">
    <cfRule type="cellIs" dxfId="577" priority="577" stopIfTrue="1" operator="equal">
      <formula>"Fail"</formula>
    </cfRule>
    <cfRule type="cellIs" dxfId="576" priority="578" stopIfTrue="1" operator="equal">
      <formula>"Pass"</formula>
    </cfRule>
  </conditionalFormatting>
  <conditionalFormatting sqref="M36">
    <cfRule type="cellIs" dxfId="575" priority="575" stopIfTrue="1" operator="equal">
      <formula>"Fail"</formula>
    </cfRule>
    <cfRule type="cellIs" dxfId="574" priority="576" stopIfTrue="1" operator="equal">
      <formula>"Pass"</formula>
    </cfRule>
  </conditionalFormatting>
  <conditionalFormatting sqref="M36">
    <cfRule type="cellIs" dxfId="573" priority="573" stopIfTrue="1" operator="equal">
      <formula>"Fail"</formula>
    </cfRule>
    <cfRule type="cellIs" dxfId="572" priority="574" stopIfTrue="1" operator="equal">
      <formula>"Pass"</formula>
    </cfRule>
  </conditionalFormatting>
  <conditionalFormatting sqref="M36">
    <cfRule type="cellIs" dxfId="571" priority="571" stopIfTrue="1" operator="equal">
      <formula>"Fail"</formula>
    </cfRule>
    <cfRule type="cellIs" dxfId="570" priority="572" stopIfTrue="1" operator="equal">
      <formula>"Pass"</formula>
    </cfRule>
  </conditionalFormatting>
  <conditionalFormatting sqref="M36">
    <cfRule type="cellIs" dxfId="569" priority="569" stopIfTrue="1" operator="equal">
      <formula>"Fail"</formula>
    </cfRule>
    <cfRule type="cellIs" dxfId="568" priority="570" stopIfTrue="1" operator="equal">
      <formula>"Pass"</formula>
    </cfRule>
  </conditionalFormatting>
  <conditionalFormatting sqref="M36">
    <cfRule type="cellIs" dxfId="567" priority="567" stopIfTrue="1" operator="equal">
      <formula>"Fail"</formula>
    </cfRule>
    <cfRule type="cellIs" dxfId="566" priority="568" stopIfTrue="1" operator="equal">
      <formula>"Pass"</formula>
    </cfRule>
  </conditionalFormatting>
  <conditionalFormatting sqref="M36">
    <cfRule type="cellIs" dxfId="565" priority="565" stopIfTrue="1" operator="equal">
      <formula>"Fail"</formula>
    </cfRule>
    <cfRule type="cellIs" dxfId="564" priority="566" stopIfTrue="1" operator="equal">
      <formula>"Pass"</formula>
    </cfRule>
  </conditionalFormatting>
  <conditionalFormatting sqref="M24">
    <cfRule type="cellIs" dxfId="563" priority="563" stopIfTrue="1" operator="equal">
      <formula>"Fail"</formula>
    </cfRule>
    <cfRule type="cellIs" dxfId="562" priority="564" stopIfTrue="1" operator="equal">
      <formula>"Pass"</formula>
    </cfRule>
  </conditionalFormatting>
  <conditionalFormatting sqref="M24">
    <cfRule type="cellIs" dxfId="561" priority="561" stopIfTrue="1" operator="equal">
      <formula>"Fail"</formula>
    </cfRule>
    <cfRule type="cellIs" dxfId="560" priority="562" stopIfTrue="1" operator="equal">
      <formula>"Pass"</formula>
    </cfRule>
  </conditionalFormatting>
  <conditionalFormatting sqref="M24">
    <cfRule type="cellIs" dxfId="559" priority="559" stopIfTrue="1" operator="equal">
      <formula>"Fail"</formula>
    </cfRule>
    <cfRule type="cellIs" dxfId="558" priority="560" stopIfTrue="1" operator="equal">
      <formula>"Pass"</formula>
    </cfRule>
  </conditionalFormatting>
  <conditionalFormatting sqref="M25">
    <cfRule type="cellIs" dxfId="557" priority="557" stopIfTrue="1" operator="equal">
      <formula>"Fail"</formula>
    </cfRule>
    <cfRule type="cellIs" dxfId="556" priority="558" stopIfTrue="1" operator="equal">
      <formula>"Pass"</formula>
    </cfRule>
  </conditionalFormatting>
  <conditionalFormatting sqref="M25">
    <cfRule type="cellIs" dxfId="555" priority="555" stopIfTrue="1" operator="equal">
      <formula>"Fail"</formula>
    </cfRule>
    <cfRule type="cellIs" dxfId="554" priority="556" stopIfTrue="1" operator="equal">
      <formula>"Pass"</formula>
    </cfRule>
  </conditionalFormatting>
  <conditionalFormatting sqref="M25">
    <cfRule type="cellIs" dxfId="553" priority="553" stopIfTrue="1" operator="equal">
      <formula>"Fail"</formula>
    </cfRule>
    <cfRule type="cellIs" dxfId="552" priority="554" stopIfTrue="1" operator="equal">
      <formula>"Pass"</formula>
    </cfRule>
  </conditionalFormatting>
  <conditionalFormatting sqref="M26">
    <cfRule type="cellIs" dxfId="551" priority="551" stopIfTrue="1" operator="equal">
      <formula>"Fail"</formula>
    </cfRule>
    <cfRule type="cellIs" dxfId="550" priority="552" stopIfTrue="1" operator="equal">
      <formula>"Pass"</formula>
    </cfRule>
  </conditionalFormatting>
  <conditionalFormatting sqref="M26">
    <cfRule type="cellIs" dxfId="549" priority="549" stopIfTrue="1" operator="equal">
      <formula>"Fail"</formula>
    </cfRule>
    <cfRule type="cellIs" dxfId="548" priority="550" stopIfTrue="1" operator="equal">
      <formula>"Pass"</formula>
    </cfRule>
  </conditionalFormatting>
  <conditionalFormatting sqref="M26">
    <cfRule type="cellIs" dxfId="547" priority="547" stopIfTrue="1" operator="equal">
      <formula>"Fail"</formula>
    </cfRule>
    <cfRule type="cellIs" dxfId="546" priority="548" stopIfTrue="1" operator="equal">
      <formula>"Pass"</formula>
    </cfRule>
  </conditionalFormatting>
  <conditionalFormatting sqref="M27">
    <cfRule type="cellIs" dxfId="545" priority="545" stopIfTrue="1" operator="equal">
      <formula>"Fail"</formula>
    </cfRule>
    <cfRule type="cellIs" dxfId="544" priority="546" stopIfTrue="1" operator="equal">
      <formula>"Pass"</formula>
    </cfRule>
  </conditionalFormatting>
  <conditionalFormatting sqref="M27">
    <cfRule type="cellIs" dxfId="543" priority="543" stopIfTrue="1" operator="equal">
      <formula>"Fail"</formula>
    </cfRule>
    <cfRule type="cellIs" dxfId="542" priority="544" stopIfTrue="1" operator="equal">
      <formula>"Pass"</formula>
    </cfRule>
  </conditionalFormatting>
  <conditionalFormatting sqref="M27">
    <cfRule type="cellIs" dxfId="541" priority="541" stopIfTrue="1" operator="equal">
      <formula>"Fail"</formula>
    </cfRule>
    <cfRule type="cellIs" dxfId="540" priority="542" stopIfTrue="1" operator="equal">
      <formula>"Pass"</formula>
    </cfRule>
  </conditionalFormatting>
  <conditionalFormatting sqref="M28">
    <cfRule type="cellIs" dxfId="539" priority="539" stopIfTrue="1" operator="equal">
      <formula>"Fail"</formula>
    </cfRule>
    <cfRule type="cellIs" dxfId="538" priority="540" stopIfTrue="1" operator="equal">
      <formula>"Pass"</formula>
    </cfRule>
  </conditionalFormatting>
  <conditionalFormatting sqref="M28">
    <cfRule type="cellIs" dxfId="537" priority="537" stopIfTrue="1" operator="equal">
      <formula>"Fail"</formula>
    </cfRule>
    <cfRule type="cellIs" dxfId="536" priority="538" stopIfTrue="1" operator="equal">
      <formula>"Pass"</formula>
    </cfRule>
  </conditionalFormatting>
  <conditionalFormatting sqref="M28">
    <cfRule type="cellIs" dxfId="535" priority="535" stopIfTrue="1" operator="equal">
      <formula>"Fail"</formula>
    </cfRule>
    <cfRule type="cellIs" dxfId="534" priority="536" stopIfTrue="1" operator="equal">
      <formula>"Pass"</formula>
    </cfRule>
  </conditionalFormatting>
  <conditionalFormatting sqref="M29">
    <cfRule type="cellIs" dxfId="533" priority="533" stopIfTrue="1" operator="equal">
      <formula>"Fail"</formula>
    </cfRule>
    <cfRule type="cellIs" dxfId="532" priority="534" stopIfTrue="1" operator="equal">
      <formula>"Pass"</formula>
    </cfRule>
  </conditionalFormatting>
  <conditionalFormatting sqref="M29">
    <cfRule type="cellIs" dxfId="531" priority="531" stopIfTrue="1" operator="equal">
      <formula>"Fail"</formula>
    </cfRule>
    <cfRule type="cellIs" dxfId="530" priority="532" stopIfTrue="1" operator="equal">
      <formula>"Pass"</formula>
    </cfRule>
  </conditionalFormatting>
  <conditionalFormatting sqref="M29">
    <cfRule type="cellIs" dxfId="529" priority="529" stopIfTrue="1" operator="equal">
      <formula>"Fail"</formula>
    </cfRule>
    <cfRule type="cellIs" dxfId="528" priority="530" stopIfTrue="1" operator="equal">
      <formula>"Pass"</formula>
    </cfRule>
  </conditionalFormatting>
  <conditionalFormatting sqref="M30">
    <cfRule type="cellIs" dxfId="527" priority="527" stopIfTrue="1" operator="equal">
      <formula>"Fail"</formula>
    </cfRule>
    <cfRule type="cellIs" dxfId="526" priority="528" stopIfTrue="1" operator="equal">
      <formula>"Pass"</formula>
    </cfRule>
  </conditionalFormatting>
  <conditionalFormatting sqref="M30">
    <cfRule type="cellIs" dxfId="525" priority="525" stopIfTrue="1" operator="equal">
      <formula>"Fail"</formula>
    </cfRule>
    <cfRule type="cellIs" dxfId="524" priority="526" stopIfTrue="1" operator="equal">
      <formula>"Pass"</formula>
    </cfRule>
  </conditionalFormatting>
  <conditionalFormatting sqref="M30">
    <cfRule type="cellIs" dxfId="523" priority="523" stopIfTrue="1" operator="equal">
      <formula>"Fail"</formula>
    </cfRule>
    <cfRule type="cellIs" dxfId="522" priority="524" stopIfTrue="1" operator="equal">
      <formula>"Pass"</formula>
    </cfRule>
  </conditionalFormatting>
  <conditionalFormatting sqref="M31">
    <cfRule type="cellIs" dxfId="521" priority="521" stopIfTrue="1" operator="equal">
      <formula>"Fail"</formula>
    </cfRule>
    <cfRule type="cellIs" dxfId="520" priority="522" stopIfTrue="1" operator="equal">
      <formula>"Pass"</formula>
    </cfRule>
  </conditionalFormatting>
  <conditionalFormatting sqref="M31">
    <cfRule type="cellIs" dxfId="519" priority="519" stopIfTrue="1" operator="equal">
      <formula>"Fail"</formula>
    </cfRule>
    <cfRule type="cellIs" dxfId="518" priority="520" stopIfTrue="1" operator="equal">
      <formula>"Pass"</formula>
    </cfRule>
  </conditionalFormatting>
  <conditionalFormatting sqref="M31">
    <cfRule type="cellIs" dxfId="517" priority="517" stopIfTrue="1" operator="equal">
      <formula>"Fail"</formula>
    </cfRule>
    <cfRule type="cellIs" dxfId="516" priority="518" stopIfTrue="1" operator="equal">
      <formula>"Pass"</formula>
    </cfRule>
  </conditionalFormatting>
  <conditionalFormatting sqref="M32">
    <cfRule type="cellIs" dxfId="515" priority="515" stopIfTrue="1" operator="equal">
      <formula>"Fail"</formula>
    </cfRule>
    <cfRule type="cellIs" dxfId="514" priority="516" stopIfTrue="1" operator="equal">
      <formula>"Pass"</formula>
    </cfRule>
  </conditionalFormatting>
  <conditionalFormatting sqref="M32">
    <cfRule type="cellIs" dxfId="513" priority="513" stopIfTrue="1" operator="equal">
      <formula>"Fail"</formula>
    </cfRule>
    <cfRule type="cellIs" dxfId="512" priority="514" stopIfTrue="1" operator="equal">
      <formula>"Pass"</formula>
    </cfRule>
  </conditionalFormatting>
  <conditionalFormatting sqref="M32">
    <cfRule type="cellIs" dxfId="511" priority="511" stopIfTrue="1" operator="equal">
      <formula>"Fail"</formula>
    </cfRule>
    <cfRule type="cellIs" dxfId="510" priority="512" stopIfTrue="1" operator="equal">
      <formula>"Pass"</formula>
    </cfRule>
  </conditionalFormatting>
  <conditionalFormatting sqref="M32">
    <cfRule type="cellIs" dxfId="509" priority="509" stopIfTrue="1" operator="equal">
      <formula>"Fail"</formula>
    </cfRule>
    <cfRule type="cellIs" dxfId="508" priority="510" stopIfTrue="1" operator="equal">
      <formula>"Pass"</formula>
    </cfRule>
  </conditionalFormatting>
  <conditionalFormatting sqref="M32">
    <cfRule type="cellIs" dxfId="507" priority="507" stopIfTrue="1" operator="equal">
      <formula>"Fail"</formula>
    </cfRule>
    <cfRule type="cellIs" dxfId="506" priority="508" stopIfTrue="1" operator="equal">
      <formula>"Pass"</formula>
    </cfRule>
  </conditionalFormatting>
  <conditionalFormatting sqref="M32">
    <cfRule type="cellIs" dxfId="505" priority="505" stopIfTrue="1" operator="equal">
      <formula>"Fail"</formula>
    </cfRule>
    <cfRule type="cellIs" dxfId="504" priority="506" stopIfTrue="1" operator="equal">
      <formula>"Pass"</formula>
    </cfRule>
  </conditionalFormatting>
  <conditionalFormatting sqref="M33">
    <cfRule type="cellIs" dxfId="503" priority="503" stopIfTrue="1" operator="equal">
      <formula>"Fail"</formula>
    </cfRule>
    <cfRule type="cellIs" dxfId="502" priority="504" stopIfTrue="1" operator="equal">
      <formula>"Pass"</formula>
    </cfRule>
  </conditionalFormatting>
  <conditionalFormatting sqref="M33">
    <cfRule type="cellIs" dxfId="501" priority="501" stopIfTrue="1" operator="equal">
      <formula>"Fail"</formula>
    </cfRule>
    <cfRule type="cellIs" dxfId="500" priority="502" stopIfTrue="1" operator="equal">
      <formula>"Pass"</formula>
    </cfRule>
  </conditionalFormatting>
  <conditionalFormatting sqref="M33">
    <cfRule type="cellIs" dxfId="499" priority="499" stopIfTrue="1" operator="equal">
      <formula>"Fail"</formula>
    </cfRule>
    <cfRule type="cellIs" dxfId="498" priority="500" stopIfTrue="1" operator="equal">
      <formula>"Pass"</formula>
    </cfRule>
  </conditionalFormatting>
  <conditionalFormatting sqref="M33">
    <cfRule type="cellIs" dxfId="497" priority="497" stopIfTrue="1" operator="equal">
      <formula>"Fail"</formula>
    </cfRule>
    <cfRule type="cellIs" dxfId="496" priority="498" stopIfTrue="1" operator="equal">
      <formula>"Pass"</formula>
    </cfRule>
  </conditionalFormatting>
  <conditionalFormatting sqref="M33">
    <cfRule type="cellIs" dxfId="495" priority="495" stopIfTrue="1" operator="equal">
      <formula>"Fail"</formula>
    </cfRule>
    <cfRule type="cellIs" dxfId="494" priority="496" stopIfTrue="1" operator="equal">
      <formula>"Pass"</formula>
    </cfRule>
  </conditionalFormatting>
  <conditionalFormatting sqref="M33">
    <cfRule type="cellIs" dxfId="493" priority="493" stopIfTrue="1" operator="equal">
      <formula>"Fail"</formula>
    </cfRule>
    <cfRule type="cellIs" dxfId="492" priority="494" stopIfTrue="1" operator="equal">
      <formula>"Pass"</formula>
    </cfRule>
  </conditionalFormatting>
  <conditionalFormatting sqref="M34">
    <cfRule type="cellIs" dxfId="491" priority="491" stopIfTrue="1" operator="equal">
      <formula>"Fail"</formula>
    </cfRule>
    <cfRule type="cellIs" dxfId="490" priority="492" stopIfTrue="1" operator="equal">
      <formula>"Pass"</formula>
    </cfRule>
  </conditionalFormatting>
  <conditionalFormatting sqref="M34">
    <cfRule type="cellIs" dxfId="489" priority="489" stopIfTrue="1" operator="equal">
      <formula>"Fail"</formula>
    </cfRule>
    <cfRule type="cellIs" dxfId="488" priority="490" stopIfTrue="1" operator="equal">
      <formula>"Pass"</formula>
    </cfRule>
  </conditionalFormatting>
  <conditionalFormatting sqref="M34">
    <cfRule type="cellIs" dxfId="487" priority="487" stopIfTrue="1" operator="equal">
      <formula>"Fail"</formula>
    </cfRule>
    <cfRule type="cellIs" dxfId="486" priority="488" stopIfTrue="1" operator="equal">
      <formula>"Pass"</formula>
    </cfRule>
  </conditionalFormatting>
  <conditionalFormatting sqref="M34">
    <cfRule type="cellIs" dxfId="485" priority="485" stopIfTrue="1" operator="equal">
      <formula>"Fail"</formula>
    </cfRule>
    <cfRule type="cellIs" dxfId="484" priority="486" stopIfTrue="1" operator="equal">
      <formula>"Pass"</formula>
    </cfRule>
  </conditionalFormatting>
  <conditionalFormatting sqref="M34">
    <cfRule type="cellIs" dxfId="483" priority="483" stopIfTrue="1" operator="equal">
      <formula>"Fail"</formula>
    </cfRule>
    <cfRule type="cellIs" dxfId="482" priority="484" stopIfTrue="1" operator="equal">
      <formula>"Pass"</formula>
    </cfRule>
  </conditionalFormatting>
  <conditionalFormatting sqref="M34">
    <cfRule type="cellIs" dxfId="481" priority="481" stopIfTrue="1" operator="equal">
      <formula>"Fail"</formula>
    </cfRule>
    <cfRule type="cellIs" dxfId="480" priority="482" stopIfTrue="1" operator="equal">
      <formula>"Pass"</formula>
    </cfRule>
  </conditionalFormatting>
  <conditionalFormatting sqref="M35">
    <cfRule type="cellIs" dxfId="479" priority="479" stopIfTrue="1" operator="equal">
      <formula>"Fail"</formula>
    </cfRule>
    <cfRule type="cellIs" dxfId="478" priority="480" stopIfTrue="1" operator="equal">
      <formula>"Pass"</formula>
    </cfRule>
  </conditionalFormatting>
  <conditionalFormatting sqref="M35">
    <cfRule type="cellIs" dxfId="477" priority="477" stopIfTrue="1" operator="equal">
      <formula>"Fail"</formula>
    </cfRule>
    <cfRule type="cellIs" dxfId="476" priority="478" stopIfTrue="1" operator="equal">
      <formula>"Pass"</formula>
    </cfRule>
  </conditionalFormatting>
  <conditionalFormatting sqref="M35">
    <cfRule type="cellIs" dxfId="475" priority="475" stopIfTrue="1" operator="equal">
      <formula>"Fail"</formula>
    </cfRule>
    <cfRule type="cellIs" dxfId="474" priority="476" stopIfTrue="1" operator="equal">
      <formula>"Pass"</formula>
    </cfRule>
  </conditionalFormatting>
  <conditionalFormatting sqref="M35">
    <cfRule type="cellIs" dxfId="473" priority="473" stopIfTrue="1" operator="equal">
      <formula>"Fail"</formula>
    </cfRule>
    <cfRule type="cellIs" dxfId="472" priority="474" stopIfTrue="1" operator="equal">
      <formula>"Pass"</formula>
    </cfRule>
  </conditionalFormatting>
  <conditionalFormatting sqref="M35">
    <cfRule type="cellIs" dxfId="471" priority="471" stopIfTrue="1" operator="equal">
      <formula>"Fail"</formula>
    </cfRule>
    <cfRule type="cellIs" dxfId="470" priority="472" stopIfTrue="1" operator="equal">
      <formula>"Pass"</formula>
    </cfRule>
  </conditionalFormatting>
  <conditionalFormatting sqref="M35">
    <cfRule type="cellIs" dxfId="469" priority="469" stopIfTrue="1" operator="equal">
      <formula>"Fail"</formula>
    </cfRule>
    <cfRule type="cellIs" dxfId="468" priority="470" stopIfTrue="1" operator="equal">
      <formula>"Pass"</formula>
    </cfRule>
  </conditionalFormatting>
  <conditionalFormatting sqref="M36">
    <cfRule type="cellIs" dxfId="467" priority="467" stopIfTrue="1" operator="equal">
      <formula>"Fail"</formula>
    </cfRule>
    <cfRule type="cellIs" dxfId="466" priority="468" stopIfTrue="1" operator="equal">
      <formula>"Pass"</formula>
    </cfRule>
  </conditionalFormatting>
  <conditionalFormatting sqref="M36">
    <cfRule type="cellIs" dxfId="465" priority="465" stopIfTrue="1" operator="equal">
      <formula>"Fail"</formula>
    </cfRule>
    <cfRule type="cellIs" dxfId="464" priority="466" stopIfTrue="1" operator="equal">
      <formula>"Pass"</formula>
    </cfRule>
  </conditionalFormatting>
  <conditionalFormatting sqref="M36">
    <cfRule type="cellIs" dxfId="463" priority="463" stopIfTrue="1" operator="equal">
      <formula>"Fail"</formula>
    </cfRule>
    <cfRule type="cellIs" dxfId="462" priority="464" stopIfTrue="1" operator="equal">
      <formula>"Pass"</formula>
    </cfRule>
  </conditionalFormatting>
  <conditionalFormatting sqref="M36">
    <cfRule type="cellIs" dxfId="461" priority="461" stopIfTrue="1" operator="equal">
      <formula>"Fail"</formula>
    </cfRule>
    <cfRule type="cellIs" dxfId="460" priority="462" stopIfTrue="1" operator="equal">
      <formula>"Pass"</formula>
    </cfRule>
  </conditionalFormatting>
  <conditionalFormatting sqref="M36">
    <cfRule type="cellIs" dxfId="459" priority="459" stopIfTrue="1" operator="equal">
      <formula>"Fail"</formula>
    </cfRule>
    <cfRule type="cellIs" dxfId="458" priority="460" stopIfTrue="1" operator="equal">
      <formula>"Pass"</formula>
    </cfRule>
  </conditionalFormatting>
  <conditionalFormatting sqref="M36">
    <cfRule type="cellIs" dxfId="457" priority="457" stopIfTrue="1" operator="equal">
      <formula>"Fail"</formula>
    </cfRule>
    <cfRule type="cellIs" dxfId="456" priority="458" stopIfTrue="1" operator="equal">
      <formula>"Pass"</formula>
    </cfRule>
  </conditionalFormatting>
  <conditionalFormatting sqref="M36">
    <cfRule type="cellIs" dxfId="455" priority="455" stopIfTrue="1" operator="equal">
      <formula>"Fail"</formula>
    </cfRule>
    <cfRule type="cellIs" dxfId="454" priority="456" stopIfTrue="1" operator="equal">
      <formula>"Pass"</formula>
    </cfRule>
  </conditionalFormatting>
  <conditionalFormatting sqref="M36">
    <cfRule type="cellIs" dxfId="453" priority="453" stopIfTrue="1" operator="equal">
      <formula>"Fail"</formula>
    </cfRule>
    <cfRule type="cellIs" dxfId="452" priority="454" stopIfTrue="1" operator="equal">
      <formula>"Pass"</formula>
    </cfRule>
  </conditionalFormatting>
  <conditionalFormatting sqref="M36">
    <cfRule type="cellIs" dxfId="451" priority="451" stopIfTrue="1" operator="equal">
      <formula>"Fail"</formula>
    </cfRule>
    <cfRule type="cellIs" dxfId="450" priority="452" stopIfTrue="1" operator="equal">
      <formula>"Pass"</formula>
    </cfRule>
  </conditionalFormatting>
  <conditionalFormatting sqref="V3">
    <cfRule type="cellIs" dxfId="449" priority="449" stopIfTrue="1" operator="equal">
      <formula>"Fail"</formula>
    </cfRule>
    <cfRule type="cellIs" dxfId="448" priority="450" stopIfTrue="1" operator="equal">
      <formula>"Pass"</formula>
    </cfRule>
  </conditionalFormatting>
  <conditionalFormatting sqref="V3">
    <cfRule type="cellIs" dxfId="447" priority="447" stopIfTrue="1" operator="equal">
      <formula>"Fail"</formula>
    </cfRule>
    <cfRule type="cellIs" dxfId="446" priority="448" stopIfTrue="1" operator="equal">
      <formula>"Pass"</formula>
    </cfRule>
  </conditionalFormatting>
  <conditionalFormatting sqref="V3">
    <cfRule type="cellIs" dxfId="445" priority="445" stopIfTrue="1" operator="equal">
      <formula>"Fail"</formula>
    </cfRule>
    <cfRule type="cellIs" dxfId="444" priority="446" stopIfTrue="1" operator="equal">
      <formula>"Pass"</formula>
    </cfRule>
  </conditionalFormatting>
  <conditionalFormatting sqref="V4">
    <cfRule type="cellIs" dxfId="443" priority="443" stopIfTrue="1" operator="equal">
      <formula>"Fail"</formula>
    </cfRule>
    <cfRule type="cellIs" dxfId="442" priority="444" stopIfTrue="1" operator="equal">
      <formula>"Pass"</formula>
    </cfRule>
  </conditionalFormatting>
  <conditionalFormatting sqref="V5">
    <cfRule type="cellIs" dxfId="441" priority="441" stopIfTrue="1" operator="equal">
      <formula>"Fail"</formula>
    </cfRule>
    <cfRule type="cellIs" dxfId="440" priority="442" stopIfTrue="1" operator="equal">
      <formula>"Pass"</formula>
    </cfRule>
  </conditionalFormatting>
  <conditionalFormatting sqref="V5">
    <cfRule type="cellIs" dxfId="439" priority="439" stopIfTrue="1" operator="equal">
      <formula>"Fail"</formula>
    </cfRule>
    <cfRule type="cellIs" dxfId="438" priority="440" stopIfTrue="1" operator="equal">
      <formula>"Pass"</formula>
    </cfRule>
  </conditionalFormatting>
  <conditionalFormatting sqref="V5">
    <cfRule type="cellIs" dxfId="437" priority="437" stopIfTrue="1" operator="equal">
      <formula>"Fail"</formula>
    </cfRule>
    <cfRule type="cellIs" dxfId="436" priority="438" stopIfTrue="1" operator="equal">
      <formula>"Pass"</formula>
    </cfRule>
  </conditionalFormatting>
  <conditionalFormatting sqref="V5">
    <cfRule type="cellIs" dxfId="435" priority="435" stopIfTrue="1" operator="equal">
      <formula>"Fail"</formula>
    </cfRule>
    <cfRule type="cellIs" dxfId="434" priority="436" stopIfTrue="1" operator="equal">
      <formula>"Pass"</formula>
    </cfRule>
  </conditionalFormatting>
  <conditionalFormatting sqref="V6">
    <cfRule type="cellIs" dxfId="433" priority="433" stopIfTrue="1" operator="equal">
      <formula>"Fail"</formula>
    </cfRule>
    <cfRule type="cellIs" dxfId="432" priority="434" stopIfTrue="1" operator="equal">
      <formula>"Pass"</formula>
    </cfRule>
  </conditionalFormatting>
  <conditionalFormatting sqref="V6">
    <cfRule type="cellIs" dxfId="431" priority="431" stopIfTrue="1" operator="equal">
      <formula>"Fail"</formula>
    </cfRule>
    <cfRule type="cellIs" dxfId="430" priority="432" stopIfTrue="1" operator="equal">
      <formula>"Pass"</formula>
    </cfRule>
  </conditionalFormatting>
  <conditionalFormatting sqref="V6">
    <cfRule type="cellIs" dxfId="429" priority="429" stopIfTrue="1" operator="equal">
      <formula>"Fail"</formula>
    </cfRule>
    <cfRule type="cellIs" dxfId="428" priority="430" stopIfTrue="1" operator="equal">
      <formula>"Pass"</formula>
    </cfRule>
  </conditionalFormatting>
  <conditionalFormatting sqref="V6">
    <cfRule type="cellIs" dxfId="427" priority="427" stopIfTrue="1" operator="equal">
      <formula>"Fail"</formula>
    </cfRule>
    <cfRule type="cellIs" dxfId="426" priority="428" stopIfTrue="1" operator="equal">
      <formula>"Pass"</formula>
    </cfRule>
  </conditionalFormatting>
  <conditionalFormatting sqref="V7">
    <cfRule type="cellIs" dxfId="425" priority="425" stopIfTrue="1" operator="equal">
      <formula>"Fail"</formula>
    </cfRule>
    <cfRule type="cellIs" dxfId="424" priority="426" stopIfTrue="1" operator="equal">
      <formula>"Pass"</formula>
    </cfRule>
  </conditionalFormatting>
  <conditionalFormatting sqref="V7">
    <cfRule type="cellIs" dxfId="423" priority="423" stopIfTrue="1" operator="equal">
      <formula>"Fail"</formula>
    </cfRule>
    <cfRule type="cellIs" dxfId="422" priority="424" stopIfTrue="1" operator="equal">
      <formula>"Pass"</formula>
    </cfRule>
  </conditionalFormatting>
  <conditionalFormatting sqref="V7">
    <cfRule type="cellIs" dxfId="421" priority="421" stopIfTrue="1" operator="equal">
      <formula>"Fail"</formula>
    </cfRule>
    <cfRule type="cellIs" dxfId="420" priority="422" stopIfTrue="1" operator="equal">
      <formula>"Pass"</formula>
    </cfRule>
  </conditionalFormatting>
  <conditionalFormatting sqref="V7">
    <cfRule type="cellIs" dxfId="419" priority="419" stopIfTrue="1" operator="equal">
      <formula>"Fail"</formula>
    </cfRule>
    <cfRule type="cellIs" dxfId="418" priority="420" stopIfTrue="1" operator="equal">
      <formula>"Pass"</formula>
    </cfRule>
  </conditionalFormatting>
  <conditionalFormatting sqref="V8">
    <cfRule type="cellIs" dxfId="417" priority="417" stopIfTrue="1" operator="equal">
      <formula>"Fail"</formula>
    </cfRule>
    <cfRule type="cellIs" dxfId="416" priority="418" stopIfTrue="1" operator="equal">
      <formula>"Pass"</formula>
    </cfRule>
  </conditionalFormatting>
  <conditionalFormatting sqref="V8">
    <cfRule type="cellIs" dxfId="415" priority="415" stopIfTrue="1" operator="equal">
      <formula>"Fail"</formula>
    </cfRule>
    <cfRule type="cellIs" dxfId="414" priority="416" stopIfTrue="1" operator="equal">
      <formula>"Pass"</formula>
    </cfRule>
  </conditionalFormatting>
  <conditionalFormatting sqref="V8">
    <cfRule type="cellIs" dxfId="413" priority="413" stopIfTrue="1" operator="equal">
      <formula>"Fail"</formula>
    </cfRule>
    <cfRule type="cellIs" dxfId="412" priority="414" stopIfTrue="1" operator="equal">
      <formula>"Pass"</formula>
    </cfRule>
  </conditionalFormatting>
  <conditionalFormatting sqref="V8">
    <cfRule type="cellIs" dxfId="411" priority="411" stopIfTrue="1" operator="equal">
      <formula>"Fail"</formula>
    </cfRule>
    <cfRule type="cellIs" dxfId="410" priority="412" stopIfTrue="1" operator="equal">
      <formula>"Pass"</formula>
    </cfRule>
  </conditionalFormatting>
  <conditionalFormatting sqref="V9">
    <cfRule type="cellIs" dxfId="409" priority="409" stopIfTrue="1" operator="equal">
      <formula>"Fail"</formula>
    </cfRule>
    <cfRule type="cellIs" dxfId="408" priority="410" stopIfTrue="1" operator="equal">
      <formula>"Pass"</formula>
    </cfRule>
  </conditionalFormatting>
  <conditionalFormatting sqref="V9">
    <cfRule type="cellIs" dxfId="407" priority="407" stopIfTrue="1" operator="equal">
      <formula>"Fail"</formula>
    </cfRule>
    <cfRule type="cellIs" dxfId="406" priority="408" stopIfTrue="1" operator="equal">
      <formula>"Pass"</formula>
    </cfRule>
  </conditionalFormatting>
  <conditionalFormatting sqref="V9">
    <cfRule type="cellIs" dxfId="405" priority="405" stopIfTrue="1" operator="equal">
      <formula>"Fail"</formula>
    </cfRule>
    <cfRule type="cellIs" dxfId="404" priority="406" stopIfTrue="1" operator="equal">
      <formula>"Pass"</formula>
    </cfRule>
  </conditionalFormatting>
  <conditionalFormatting sqref="V9">
    <cfRule type="cellIs" dxfId="403" priority="403" stopIfTrue="1" operator="equal">
      <formula>"Fail"</formula>
    </cfRule>
    <cfRule type="cellIs" dxfId="402" priority="404" stopIfTrue="1" operator="equal">
      <formula>"Pass"</formula>
    </cfRule>
  </conditionalFormatting>
  <conditionalFormatting sqref="V10">
    <cfRule type="cellIs" dxfId="401" priority="401" stopIfTrue="1" operator="equal">
      <formula>"Fail"</formula>
    </cfRule>
    <cfRule type="cellIs" dxfId="400" priority="402" stopIfTrue="1" operator="equal">
      <formula>"Pass"</formula>
    </cfRule>
  </conditionalFormatting>
  <conditionalFormatting sqref="V10">
    <cfRule type="cellIs" dxfId="399" priority="399" stopIfTrue="1" operator="equal">
      <formula>"Fail"</formula>
    </cfRule>
    <cfRule type="cellIs" dxfId="398" priority="400" stopIfTrue="1" operator="equal">
      <formula>"Pass"</formula>
    </cfRule>
  </conditionalFormatting>
  <conditionalFormatting sqref="V10">
    <cfRule type="cellIs" dxfId="397" priority="397" stopIfTrue="1" operator="equal">
      <formula>"Fail"</formula>
    </cfRule>
    <cfRule type="cellIs" dxfId="396" priority="398" stopIfTrue="1" operator="equal">
      <formula>"Pass"</formula>
    </cfRule>
  </conditionalFormatting>
  <conditionalFormatting sqref="V11">
    <cfRule type="cellIs" dxfId="395" priority="395" stopIfTrue="1" operator="equal">
      <formula>"Fail"</formula>
    </cfRule>
    <cfRule type="cellIs" dxfId="394" priority="396" stopIfTrue="1" operator="equal">
      <formula>"Pass"</formula>
    </cfRule>
  </conditionalFormatting>
  <conditionalFormatting sqref="V11">
    <cfRule type="cellIs" dxfId="393" priority="393" stopIfTrue="1" operator="equal">
      <formula>"Fail"</formula>
    </cfRule>
    <cfRule type="cellIs" dxfId="392" priority="394" stopIfTrue="1" operator="equal">
      <formula>"Pass"</formula>
    </cfRule>
  </conditionalFormatting>
  <conditionalFormatting sqref="V11">
    <cfRule type="cellIs" dxfId="391" priority="391" stopIfTrue="1" operator="equal">
      <formula>"Fail"</formula>
    </cfRule>
    <cfRule type="cellIs" dxfId="390" priority="392" stopIfTrue="1" operator="equal">
      <formula>"Pass"</formula>
    </cfRule>
  </conditionalFormatting>
  <conditionalFormatting sqref="V12">
    <cfRule type="cellIs" dxfId="389" priority="389" stopIfTrue="1" operator="equal">
      <formula>"Fail"</formula>
    </cfRule>
    <cfRule type="cellIs" dxfId="388" priority="390" stopIfTrue="1" operator="equal">
      <formula>"Pass"</formula>
    </cfRule>
  </conditionalFormatting>
  <conditionalFormatting sqref="V12">
    <cfRule type="cellIs" dxfId="387" priority="387" stopIfTrue="1" operator="equal">
      <formula>"Fail"</formula>
    </cfRule>
    <cfRule type="cellIs" dxfId="386" priority="388" stopIfTrue="1" operator="equal">
      <formula>"Pass"</formula>
    </cfRule>
  </conditionalFormatting>
  <conditionalFormatting sqref="V12">
    <cfRule type="cellIs" dxfId="385" priority="385" stopIfTrue="1" operator="equal">
      <formula>"Fail"</formula>
    </cfRule>
    <cfRule type="cellIs" dxfId="384" priority="386" stopIfTrue="1" operator="equal">
      <formula>"Pass"</formula>
    </cfRule>
  </conditionalFormatting>
  <conditionalFormatting sqref="V13">
    <cfRule type="cellIs" dxfId="383" priority="383" stopIfTrue="1" operator="equal">
      <formula>"Fail"</formula>
    </cfRule>
    <cfRule type="cellIs" dxfId="382" priority="384" stopIfTrue="1" operator="equal">
      <formula>"Pass"</formula>
    </cfRule>
  </conditionalFormatting>
  <conditionalFormatting sqref="V13">
    <cfRule type="cellIs" dxfId="381" priority="381" stopIfTrue="1" operator="equal">
      <formula>"Fail"</formula>
    </cfRule>
    <cfRule type="cellIs" dxfId="380" priority="382" stopIfTrue="1" operator="equal">
      <formula>"Pass"</formula>
    </cfRule>
  </conditionalFormatting>
  <conditionalFormatting sqref="V13">
    <cfRule type="cellIs" dxfId="379" priority="379" stopIfTrue="1" operator="equal">
      <formula>"Fail"</formula>
    </cfRule>
    <cfRule type="cellIs" dxfId="378" priority="380" stopIfTrue="1" operator="equal">
      <formula>"Pass"</formula>
    </cfRule>
  </conditionalFormatting>
  <conditionalFormatting sqref="V13">
    <cfRule type="cellIs" dxfId="377" priority="377" stopIfTrue="1" operator="equal">
      <formula>"Fail"</formula>
    </cfRule>
    <cfRule type="cellIs" dxfId="376" priority="378" stopIfTrue="1" operator="equal">
      <formula>"Pass"</formula>
    </cfRule>
  </conditionalFormatting>
  <conditionalFormatting sqref="V13">
    <cfRule type="cellIs" dxfId="375" priority="375" stopIfTrue="1" operator="equal">
      <formula>"Fail"</formula>
    </cfRule>
    <cfRule type="cellIs" dxfId="374" priority="376" stopIfTrue="1" operator="equal">
      <formula>"Pass"</formula>
    </cfRule>
  </conditionalFormatting>
  <conditionalFormatting sqref="V13">
    <cfRule type="cellIs" dxfId="373" priority="373" stopIfTrue="1" operator="equal">
      <formula>"Fail"</formula>
    </cfRule>
    <cfRule type="cellIs" dxfId="372" priority="374" stopIfTrue="1" operator="equal">
      <formula>"Pass"</formula>
    </cfRule>
  </conditionalFormatting>
  <conditionalFormatting sqref="V14">
    <cfRule type="cellIs" dxfId="371" priority="371" stopIfTrue="1" operator="equal">
      <formula>"Fail"</formula>
    </cfRule>
    <cfRule type="cellIs" dxfId="370" priority="372" stopIfTrue="1" operator="equal">
      <formula>"Pass"</formula>
    </cfRule>
  </conditionalFormatting>
  <conditionalFormatting sqref="V14">
    <cfRule type="cellIs" dxfId="369" priority="369" stopIfTrue="1" operator="equal">
      <formula>"Fail"</formula>
    </cfRule>
    <cfRule type="cellIs" dxfId="368" priority="370" stopIfTrue="1" operator="equal">
      <formula>"Pass"</formula>
    </cfRule>
  </conditionalFormatting>
  <conditionalFormatting sqref="V14">
    <cfRule type="cellIs" dxfId="367" priority="367" stopIfTrue="1" operator="equal">
      <formula>"Fail"</formula>
    </cfRule>
    <cfRule type="cellIs" dxfId="366" priority="368" stopIfTrue="1" operator="equal">
      <formula>"Pass"</formula>
    </cfRule>
  </conditionalFormatting>
  <conditionalFormatting sqref="V14">
    <cfRule type="cellIs" dxfId="365" priority="365" stopIfTrue="1" operator="equal">
      <formula>"Fail"</formula>
    </cfRule>
    <cfRule type="cellIs" dxfId="364" priority="366" stopIfTrue="1" operator="equal">
      <formula>"Pass"</formula>
    </cfRule>
  </conditionalFormatting>
  <conditionalFormatting sqref="V14">
    <cfRule type="cellIs" dxfId="363" priority="363" stopIfTrue="1" operator="equal">
      <formula>"Fail"</formula>
    </cfRule>
    <cfRule type="cellIs" dxfId="362" priority="364" stopIfTrue="1" operator="equal">
      <formula>"Pass"</formula>
    </cfRule>
  </conditionalFormatting>
  <conditionalFormatting sqref="V14">
    <cfRule type="cellIs" dxfId="361" priority="361" stopIfTrue="1" operator="equal">
      <formula>"Fail"</formula>
    </cfRule>
    <cfRule type="cellIs" dxfId="360" priority="362" stopIfTrue="1" operator="equal">
      <formula>"Pass"</formula>
    </cfRule>
  </conditionalFormatting>
  <conditionalFormatting sqref="V15">
    <cfRule type="cellIs" dxfId="359" priority="359" stopIfTrue="1" operator="equal">
      <formula>"Fail"</formula>
    </cfRule>
    <cfRule type="cellIs" dxfId="358" priority="360" stopIfTrue="1" operator="equal">
      <formula>"Pass"</formula>
    </cfRule>
  </conditionalFormatting>
  <conditionalFormatting sqref="V15">
    <cfRule type="cellIs" dxfId="357" priority="357" stopIfTrue="1" operator="equal">
      <formula>"Fail"</formula>
    </cfRule>
    <cfRule type="cellIs" dxfId="356" priority="358" stopIfTrue="1" operator="equal">
      <formula>"Pass"</formula>
    </cfRule>
  </conditionalFormatting>
  <conditionalFormatting sqref="V15">
    <cfRule type="cellIs" dxfId="355" priority="355" stopIfTrue="1" operator="equal">
      <formula>"Fail"</formula>
    </cfRule>
    <cfRule type="cellIs" dxfId="354" priority="356" stopIfTrue="1" operator="equal">
      <formula>"Pass"</formula>
    </cfRule>
  </conditionalFormatting>
  <conditionalFormatting sqref="V16">
    <cfRule type="cellIs" dxfId="353" priority="353" stopIfTrue="1" operator="equal">
      <formula>"Fail"</formula>
    </cfRule>
    <cfRule type="cellIs" dxfId="352" priority="354" stopIfTrue="1" operator="equal">
      <formula>"Pass"</formula>
    </cfRule>
  </conditionalFormatting>
  <conditionalFormatting sqref="V16">
    <cfRule type="cellIs" dxfId="351" priority="351" stopIfTrue="1" operator="equal">
      <formula>"Fail"</formula>
    </cfRule>
    <cfRule type="cellIs" dxfId="350" priority="352" stopIfTrue="1" operator="equal">
      <formula>"Pass"</formula>
    </cfRule>
  </conditionalFormatting>
  <conditionalFormatting sqref="V16">
    <cfRule type="cellIs" dxfId="349" priority="349" stopIfTrue="1" operator="equal">
      <formula>"Fail"</formula>
    </cfRule>
    <cfRule type="cellIs" dxfId="348" priority="350" stopIfTrue="1" operator="equal">
      <formula>"Pass"</formula>
    </cfRule>
  </conditionalFormatting>
  <conditionalFormatting sqref="V17">
    <cfRule type="cellIs" dxfId="347" priority="347" stopIfTrue="1" operator="equal">
      <formula>"Fail"</formula>
    </cfRule>
    <cfRule type="cellIs" dxfId="346" priority="348" stopIfTrue="1" operator="equal">
      <formula>"Pass"</formula>
    </cfRule>
  </conditionalFormatting>
  <conditionalFormatting sqref="V17">
    <cfRule type="cellIs" dxfId="345" priority="345" stopIfTrue="1" operator="equal">
      <formula>"Fail"</formula>
    </cfRule>
    <cfRule type="cellIs" dxfId="344" priority="346" stopIfTrue="1" operator="equal">
      <formula>"Pass"</formula>
    </cfRule>
  </conditionalFormatting>
  <conditionalFormatting sqref="V17">
    <cfRule type="cellIs" dxfId="343" priority="343" stopIfTrue="1" operator="equal">
      <formula>"Fail"</formula>
    </cfRule>
    <cfRule type="cellIs" dxfId="342" priority="344" stopIfTrue="1" operator="equal">
      <formula>"Pass"</formula>
    </cfRule>
  </conditionalFormatting>
  <conditionalFormatting sqref="V18">
    <cfRule type="cellIs" dxfId="341" priority="341" stopIfTrue="1" operator="equal">
      <formula>"Fail"</formula>
    </cfRule>
    <cfRule type="cellIs" dxfId="340" priority="342" stopIfTrue="1" operator="equal">
      <formula>"Pass"</formula>
    </cfRule>
  </conditionalFormatting>
  <conditionalFormatting sqref="V18">
    <cfRule type="cellIs" dxfId="339" priority="339" stopIfTrue="1" operator="equal">
      <formula>"Fail"</formula>
    </cfRule>
    <cfRule type="cellIs" dxfId="338" priority="340" stopIfTrue="1" operator="equal">
      <formula>"Pass"</formula>
    </cfRule>
  </conditionalFormatting>
  <conditionalFormatting sqref="V18">
    <cfRule type="cellIs" dxfId="337" priority="337" stopIfTrue="1" operator="equal">
      <formula>"Fail"</formula>
    </cfRule>
    <cfRule type="cellIs" dxfId="336" priority="338" stopIfTrue="1" operator="equal">
      <formula>"Pass"</formula>
    </cfRule>
  </conditionalFormatting>
  <conditionalFormatting sqref="V19">
    <cfRule type="cellIs" dxfId="335" priority="335" stopIfTrue="1" operator="equal">
      <formula>"Fail"</formula>
    </cfRule>
    <cfRule type="cellIs" dxfId="334" priority="336" stopIfTrue="1" operator="equal">
      <formula>"Pass"</formula>
    </cfRule>
  </conditionalFormatting>
  <conditionalFormatting sqref="V19">
    <cfRule type="cellIs" dxfId="333" priority="333" stopIfTrue="1" operator="equal">
      <formula>"Fail"</formula>
    </cfRule>
    <cfRule type="cellIs" dxfId="332" priority="334" stopIfTrue="1" operator="equal">
      <formula>"Pass"</formula>
    </cfRule>
  </conditionalFormatting>
  <conditionalFormatting sqref="V19">
    <cfRule type="cellIs" dxfId="331" priority="331" stopIfTrue="1" operator="equal">
      <formula>"Fail"</formula>
    </cfRule>
    <cfRule type="cellIs" dxfId="330" priority="332" stopIfTrue="1" operator="equal">
      <formula>"Pass"</formula>
    </cfRule>
  </conditionalFormatting>
  <conditionalFormatting sqref="V20">
    <cfRule type="cellIs" dxfId="329" priority="329" stopIfTrue="1" operator="equal">
      <formula>"Fail"</formula>
    </cfRule>
    <cfRule type="cellIs" dxfId="328" priority="330" stopIfTrue="1" operator="equal">
      <formula>"Pass"</formula>
    </cfRule>
  </conditionalFormatting>
  <conditionalFormatting sqref="V20">
    <cfRule type="cellIs" dxfId="327" priority="327" stopIfTrue="1" operator="equal">
      <formula>"Fail"</formula>
    </cfRule>
    <cfRule type="cellIs" dxfId="326" priority="328" stopIfTrue="1" operator="equal">
      <formula>"Pass"</formula>
    </cfRule>
  </conditionalFormatting>
  <conditionalFormatting sqref="V20">
    <cfRule type="cellIs" dxfId="325" priority="325" stopIfTrue="1" operator="equal">
      <formula>"Fail"</formula>
    </cfRule>
    <cfRule type="cellIs" dxfId="324" priority="326" stopIfTrue="1" operator="equal">
      <formula>"Pass"</formula>
    </cfRule>
  </conditionalFormatting>
  <conditionalFormatting sqref="V21">
    <cfRule type="cellIs" dxfId="323" priority="323" stopIfTrue="1" operator="equal">
      <formula>"Fail"</formula>
    </cfRule>
    <cfRule type="cellIs" dxfId="322" priority="324" stopIfTrue="1" operator="equal">
      <formula>"Pass"</formula>
    </cfRule>
  </conditionalFormatting>
  <conditionalFormatting sqref="V21">
    <cfRule type="cellIs" dxfId="321" priority="321" stopIfTrue="1" operator="equal">
      <formula>"Fail"</formula>
    </cfRule>
    <cfRule type="cellIs" dxfId="320" priority="322" stopIfTrue="1" operator="equal">
      <formula>"Pass"</formula>
    </cfRule>
  </conditionalFormatting>
  <conditionalFormatting sqref="V21">
    <cfRule type="cellIs" dxfId="319" priority="319" stopIfTrue="1" operator="equal">
      <formula>"Fail"</formula>
    </cfRule>
    <cfRule type="cellIs" dxfId="318" priority="320" stopIfTrue="1" operator="equal">
      <formula>"Pass"</formula>
    </cfRule>
  </conditionalFormatting>
  <conditionalFormatting sqref="V22">
    <cfRule type="cellIs" dxfId="317" priority="317" stopIfTrue="1" operator="equal">
      <formula>"Fail"</formula>
    </cfRule>
    <cfRule type="cellIs" dxfId="316" priority="318" stopIfTrue="1" operator="equal">
      <formula>"Pass"</formula>
    </cfRule>
  </conditionalFormatting>
  <conditionalFormatting sqref="V22">
    <cfRule type="cellIs" dxfId="315" priority="315" stopIfTrue="1" operator="equal">
      <formula>"Fail"</formula>
    </cfRule>
    <cfRule type="cellIs" dxfId="314" priority="316" stopIfTrue="1" operator="equal">
      <formula>"Pass"</formula>
    </cfRule>
  </conditionalFormatting>
  <conditionalFormatting sqref="V22">
    <cfRule type="cellIs" dxfId="313" priority="313" stopIfTrue="1" operator="equal">
      <formula>"Fail"</formula>
    </cfRule>
    <cfRule type="cellIs" dxfId="312" priority="314" stopIfTrue="1" operator="equal">
      <formula>"Pass"</formula>
    </cfRule>
  </conditionalFormatting>
  <conditionalFormatting sqref="V23">
    <cfRule type="cellIs" dxfId="311" priority="311" stopIfTrue="1" operator="equal">
      <formula>"Fail"</formula>
    </cfRule>
    <cfRule type="cellIs" dxfId="310" priority="312" stopIfTrue="1" operator="equal">
      <formula>"Pass"</formula>
    </cfRule>
  </conditionalFormatting>
  <conditionalFormatting sqref="V23">
    <cfRule type="cellIs" dxfId="309" priority="309" stopIfTrue="1" operator="equal">
      <formula>"Fail"</formula>
    </cfRule>
    <cfRule type="cellIs" dxfId="308" priority="310" stopIfTrue="1" operator="equal">
      <formula>"Pass"</formula>
    </cfRule>
  </conditionalFormatting>
  <conditionalFormatting sqref="V23">
    <cfRule type="cellIs" dxfId="307" priority="307" stopIfTrue="1" operator="equal">
      <formula>"Fail"</formula>
    </cfRule>
    <cfRule type="cellIs" dxfId="306" priority="308" stopIfTrue="1" operator="equal">
      <formula>"Pass"</formula>
    </cfRule>
  </conditionalFormatting>
  <conditionalFormatting sqref="V24">
    <cfRule type="cellIs" dxfId="305" priority="305" stopIfTrue="1" operator="equal">
      <formula>"Fail"</formula>
    </cfRule>
    <cfRule type="cellIs" dxfId="304" priority="306" stopIfTrue="1" operator="equal">
      <formula>"Pass"</formula>
    </cfRule>
  </conditionalFormatting>
  <conditionalFormatting sqref="V24">
    <cfRule type="cellIs" dxfId="303" priority="303" stopIfTrue="1" operator="equal">
      <formula>"Fail"</formula>
    </cfRule>
    <cfRule type="cellIs" dxfId="302" priority="304" stopIfTrue="1" operator="equal">
      <formula>"Pass"</formula>
    </cfRule>
  </conditionalFormatting>
  <conditionalFormatting sqref="V24">
    <cfRule type="cellIs" dxfId="301" priority="301" stopIfTrue="1" operator="equal">
      <formula>"Fail"</formula>
    </cfRule>
    <cfRule type="cellIs" dxfId="300" priority="302" stopIfTrue="1" operator="equal">
      <formula>"Pass"</formula>
    </cfRule>
  </conditionalFormatting>
  <conditionalFormatting sqref="V25">
    <cfRule type="cellIs" dxfId="299" priority="299" stopIfTrue="1" operator="equal">
      <formula>"Fail"</formula>
    </cfRule>
    <cfRule type="cellIs" dxfId="298" priority="300" stopIfTrue="1" operator="equal">
      <formula>"Pass"</formula>
    </cfRule>
  </conditionalFormatting>
  <conditionalFormatting sqref="V25">
    <cfRule type="cellIs" dxfId="297" priority="297" stopIfTrue="1" operator="equal">
      <formula>"Fail"</formula>
    </cfRule>
    <cfRule type="cellIs" dxfId="296" priority="298" stopIfTrue="1" operator="equal">
      <formula>"Pass"</formula>
    </cfRule>
  </conditionalFormatting>
  <conditionalFormatting sqref="V25">
    <cfRule type="cellIs" dxfId="295" priority="295" stopIfTrue="1" operator="equal">
      <formula>"Fail"</formula>
    </cfRule>
    <cfRule type="cellIs" dxfId="294" priority="296" stopIfTrue="1" operator="equal">
      <formula>"Pass"</formula>
    </cfRule>
  </conditionalFormatting>
  <conditionalFormatting sqref="V25">
    <cfRule type="cellIs" dxfId="293" priority="293" stopIfTrue="1" operator="equal">
      <formula>"Fail"</formula>
    </cfRule>
    <cfRule type="cellIs" dxfId="292" priority="294" stopIfTrue="1" operator="equal">
      <formula>"Pass"</formula>
    </cfRule>
  </conditionalFormatting>
  <conditionalFormatting sqref="V25">
    <cfRule type="cellIs" dxfId="291" priority="291" stopIfTrue="1" operator="equal">
      <formula>"Fail"</formula>
    </cfRule>
    <cfRule type="cellIs" dxfId="290" priority="292" stopIfTrue="1" operator="equal">
      <formula>"Pass"</formula>
    </cfRule>
  </conditionalFormatting>
  <conditionalFormatting sqref="V25">
    <cfRule type="cellIs" dxfId="289" priority="289" stopIfTrue="1" operator="equal">
      <formula>"Fail"</formula>
    </cfRule>
    <cfRule type="cellIs" dxfId="288" priority="290" stopIfTrue="1" operator="equal">
      <formula>"Pass"</formula>
    </cfRule>
  </conditionalFormatting>
  <conditionalFormatting sqref="V26">
    <cfRule type="cellIs" dxfId="287" priority="287" stopIfTrue="1" operator="equal">
      <formula>"Fail"</formula>
    </cfRule>
    <cfRule type="cellIs" dxfId="286" priority="288" stopIfTrue="1" operator="equal">
      <formula>"Pass"</formula>
    </cfRule>
  </conditionalFormatting>
  <conditionalFormatting sqref="V26">
    <cfRule type="cellIs" dxfId="285" priority="285" stopIfTrue="1" operator="equal">
      <formula>"Fail"</formula>
    </cfRule>
    <cfRule type="cellIs" dxfId="284" priority="286" stopIfTrue="1" operator="equal">
      <formula>"Pass"</formula>
    </cfRule>
  </conditionalFormatting>
  <conditionalFormatting sqref="V26">
    <cfRule type="cellIs" dxfId="283" priority="283" stopIfTrue="1" operator="equal">
      <formula>"Fail"</formula>
    </cfRule>
    <cfRule type="cellIs" dxfId="282" priority="284" stopIfTrue="1" operator="equal">
      <formula>"Pass"</formula>
    </cfRule>
  </conditionalFormatting>
  <conditionalFormatting sqref="V26">
    <cfRule type="cellIs" dxfId="281" priority="281" stopIfTrue="1" operator="equal">
      <formula>"Fail"</formula>
    </cfRule>
    <cfRule type="cellIs" dxfId="280" priority="282" stopIfTrue="1" operator="equal">
      <formula>"Pass"</formula>
    </cfRule>
  </conditionalFormatting>
  <conditionalFormatting sqref="V26">
    <cfRule type="cellIs" dxfId="279" priority="279" stopIfTrue="1" operator="equal">
      <formula>"Fail"</formula>
    </cfRule>
    <cfRule type="cellIs" dxfId="278" priority="280" stopIfTrue="1" operator="equal">
      <formula>"Pass"</formula>
    </cfRule>
  </conditionalFormatting>
  <conditionalFormatting sqref="V26">
    <cfRule type="cellIs" dxfId="277" priority="277" stopIfTrue="1" operator="equal">
      <formula>"Fail"</formula>
    </cfRule>
    <cfRule type="cellIs" dxfId="276" priority="278" stopIfTrue="1" operator="equal">
      <formula>"Pass"</formula>
    </cfRule>
  </conditionalFormatting>
  <conditionalFormatting sqref="V27">
    <cfRule type="cellIs" dxfId="275" priority="275" stopIfTrue="1" operator="equal">
      <formula>"Fail"</formula>
    </cfRule>
    <cfRule type="cellIs" dxfId="274" priority="276" stopIfTrue="1" operator="equal">
      <formula>"Pass"</formula>
    </cfRule>
  </conditionalFormatting>
  <conditionalFormatting sqref="V27">
    <cfRule type="cellIs" dxfId="273" priority="273" stopIfTrue="1" operator="equal">
      <formula>"Fail"</formula>
    </cfRule>
    <cfRule type="cellIs" dxfId="272" priority="274" stopIfTrue="1" operator="equal">
      <formula>"Pass"</formula>
    </cfRule>
  </conditionalFormatting>
  <conditionalFormatting sqref="V27">
    <cfRule type="cellIs" dxfId="271" priority="271" stopIfTrue="1" operator="equal">
      <formula>"Fail"</formula>
    </cfRule>
    <cfRule type="cellIs" dxfId="270" priority="272" stopIfTrue="1" operator="equal">
      <formula>"Pass"</formula>
    </cfRule>
  </conditionalFormatting>
  <conditionalFormatting sqref="V27">
    <cfRule type="cellIs" dxfId="269" priority="269" stopIfTrue="1" operator="equal">
      <formula>"Fail"</formula>
    </cfRule>
    <cfRule type="cellIs" dxfId="268" priority="270" stopIfTrue="1" operator="equal">
      <formula>"Pass"</formula>
    </cfRule>
  </conditionalFormatting>
  <conditionalFormatting sqref="V27">
    <cfRule type="cellIs" dxfId="267" priority="267" stopIfTrue="1" operator="equal">
      <formula>"Fail"</formula>
    </cfRule>
    <cfRule type="cellIs" dxfId="266" priority="268" stopIfTrue="1" operator="equal">
      <formula>"Pass"</formula>
    </cfRule>
  </conditionalFormatting>
  <conditionalFormatting sqref="V27">
    <cfRule type="cellIs" dxfId="265" priority="265" stopIfTrue="1" operator="equal">
      <formula>"Fail"</formula>
    </cfRule>
    <cfRule type="cellIs" dxfId="264" priority="266" stopIfTrue="1" operator="equal">
      <formula>"Pass"</formula>
    </cfRule>
  </conditionalFormatting>
  <conditionalFormatting sqref="V28">
    <cfRule type="cellIs" dxfId="263" priority="263" stopIfTrue="1" operator="equal">
      <formula>"Fail"</formula>
    </cfRule>
    <cfRule type="cellIs" dxfId="262" priority="264" stopIfTrue="1" operator="equal">
      <formula>"Pass"</formula>
    </cfRule>
  </conditionalFormatting>
  <conditionalFormatting sqref="V28">
    <cfRule type="cellIs" dxfId="261" priority="261" stopIfTrue="1" operator="equal">
      <formula>"Fail"</formula>
    </cfRule>
    <cfRule type="cellIs" dxfId="260" priority="262" stopIfTrue="1" operator="equal">
      <formula>"Pass"</formula>
    </cfRule>
  </conditionalFormatting>
  <conditionalFormatting sqref="V28">
    <cfRule type="cellIs" dxfId="259" priority="259" stopIfTrue="1" operator="equal">
      <formula>"Fail"</formula>
    </cfRule>
    <cfRule type="cellIs" dxfId="258" priority="260" stopIfTrue="1" operator="equal">
      <formula>"Pass"</formula>
    </cfRule>
  </conditionalFormatting>
  <conditionalFormatting sqref="V28">
    <cfRule type="cellIs" dxfId="257" priority="257" stopIfTrue="1" operator="equal">
      <formula>"Fail"</formula>
    </cfRule>
    <cfRule type="cellIs" dxfId="256" priority="258" stopIfTrue="1" operator="equal">
      <formula>"Pass"</formula>
    </cfRule>
  </conditionalFormatting>
  <conditionalFormatting sqref="V28">
    <cfRule type="cellIs" dxfId="255" priority="255" stopIfTrue="1" operator="equal">
      <formula>"Fail"</formula>
    </cfRule>
    <cfRule type="cellIs" dxfId="254" priority="256" stopIfTrue="1" operator="equal">
      <formula>"Pass"</formula>
    </cfRule>
  </conditionalFormatting>
  <conditionalFormatting sqref="V28">
    <cfRule type="cellIs" dxfId="253" priority="253" stopIfTrue="1" operator="equal">
      <formula>"Fail"</formula>
    </cfRule>
    <cfRule type="cellIs" dxfId="252" priority="254" stopIfTrue="1" operator="equal">
      <formula>"Pass"</formula>
    </cfRule>
  </conditionalFormatting>
  <conditionalFormatting sqref="V29">
    <cfRule type="cellIs" dxfId="251" priority="251" stopIfTrue="1" operator="equal">
      <formula>"Fail"</formula>
    </cfRule>
    <cfRule type="cellIs" dxfId="250" priority="252" stopIfTrue="1" operator="equal">
      <formula>"Pass"</formula>
    </cfRule>
  </conditionalFormatting>
  <conditionalFormatting sqref="V29">
    <cfRule type="cellIs" dxfId="249" priority="249" stopIfTrue="1" operator="equal">
      <formula>"Fail"</formula>
    </cfRule>
    <cfRule type="cellIs" dxfId="248" priority="250" stopIfTrue="1" operator="equal">
      <formula>"Pass"</formula>
    </cfRule>
  </conditionalFormatting>
  <conditionalFormatting sqref="V29">
    <cfRule type="cellIs" dxfId="247" priority="247" stopIfTrue="1" operator="equal">
      <formula>"Fail"</formula>
    </cfRule>
    <cfRule type="cellIs" dxfId="246" priority="248" stopIfTrue="1" operator="equal">
      <formula>"Pass"</formula>
    </cfRule>
  </conditionalFormatting>
  <conditionalFormatting sqref="V29">
    <cfRule type="cellIs" dxfId="245" priority="245" stopIfTrue="1" operator="equal">
      <formula>"Fail"</formula>
    </cfRule>
    <cfRule type="cellIs" dxfId="244" priority="246" stopIfTrue="1" operator="equal">
      <formula>"Pass"</formula>
    </cfRule>
  </conditionalFormatting>
  <conditionalFormatting sqref="V29">
    <cfRule type="cellIs" dxfId="243" priority="243" stopIfTrue="1" operator="equal">
      <formula>"Fail"</formula>
    </cfRule>
    <cfRule type="cellIs" dxfId="242" priority="244" stopIfTrue="1" operator="equal">
      <formula>"Pass"</formula>
    </cfRule>
  </conditionalFormatting>
  <conditionalFormatting sqref="V29">
    <cfRule type="cellIs" dxfId="241" priority="241" stopIfTrue="1" operator="equal">
      <formula>"Fail"</formula>
    </cfRule>
    <cfRule type="cellIs" dxfId="240" priority="242" stopIfTrue="1" operator="equal">
      <formula>"Pass"</formula>
    </cfRule>
  </conditionalFormatting>
  <conditionalFormatting sqref="V29">
    <cfRule type="cellIs" dxfId="239" priority="239" stopIfTrue="1" operator="equal">
      <formula>"Fail"</formula>
    </cfRule>
    <cfRule type="cellIs" dxfId="238" priority="240" stopIfTrue="1" operator="equal">
      <formula>"Pass"</formula>
    </cfRule>
  </conditionalFormatting>
  <conditionalFormatting sqref="V29">
    <cfRule type="cellIs" dxfId="237" priority="237" stopIfTrue="1" operator="equal">
      <formula>"Fail"</formula>
    </cfRule>
    <cfRule type="cellIs" dxfId="236" priority="238" stopIfTrue="1" operator="equal">
      <formula>"Pass"</formula>
    </cfRule>
  </conditionalFormatting>
  <conditionalFormatting sqref="V29">
    <cfRule type="cellIs" dxfId="235" priority="235" stopIfTrue="1" operator="equal">
      <formula>"Fail"</formula>
    </cfRule>
    <cfRule type="cellIs" dxfId="234" priority="236" stopIfTrue="1" operator="equal">
      <formula>"Pass"</formula>
    </cfRule>
  </conditionalFormatting>
  <conditionalFormatting sqref="V3:V8">
    <cfRule type="cellIs" dxfId="233" priority="233" stopIfTrue="1" operator="equal">
      <formula>"Fail"</formula>
    </cfRule>
    <cfRule type="cellIs" dxfId="232" priority="234" stopIfTrue="1" operator="equal">
      <formula>"Pass"</formula>
    </cfRule>
  </conditionalFormatting>
  <conditionalFormatting sqref="V9">
    <cfRule type="cellIs" dxfId="231" priority="231" stopIfTrue="1" operator="equal">
      <formula>"Fail"</formula>
    </cfRule>
    <cfRule type="cellIs" dxfId="230" priority="232" stopIfTrue="1" operator="equal">
      <formula>"Pass"</formula>
    </cfRule>
  </conditionalFormatting>
  <conditionalFormatting sqref="V10">
    <cfRule type="cellIs" dxfId="229" priority="229" stopIfTrue="1" operator="equal">
      <formula>"Fail"</formula>
    </cfRule>
    <cfRule type="cellIs" dxfId="228" priority="230" stopIfTrue="1" operator="equal">
      <formula>"Pass"</formula>
    </cfRule>
  </conditionalFormatting>
  <conditionalFormatting sqref="V11">
    <cfRule type="cellIs" dxfId="227" priority="227" stopIfTrue="1" operator="equal">
      <formula>"Fail"</formula>
    </cfRule>
    <cfRule type="cellIs" dxfId="226" priority="228" stopIfTrue="1" operator="equal">
      <formula>"Pass"</formula>
    </cfRule>
  </conditionalFormatting>
  <conditionalFormatting sqref="V12">
    <cfRule type="cellIs" dxfId="225" priority="225" stopIfTrue="1" operator="equal">
      <formula>"Fail"</formula>
    </cfRule>
    <cfRule type="cellIs" dxfId="224" priority="226" stopIfTrue="1" operator="equal">
      <formula>"Pass"</formula>
    </cfRule>
  </conditionalFormatting>
  <conditionalFormatting sqref="V12">
    <cfRule type="cellIs" dxfId="223" priority="223" stopIfTrue="1" operator="equal">
      <formula>"Fail"</formula>
    </cfRule>
    <cfRule type="cellIs" dxfId="222" priority="224" stopIfTrue="1" operator="equal">
      <formula>"Pass"</formula>
    </cfRule>
  </conditionalFormatting>
  <conditionalFormatting sqref="V13">
    <cfRule type="cellIs" dxfId="221" priority="221" stopIfTrue="1" operator="equal">
      <formula>"Fail"</formula>
    </cfRule>
    <cfRule type="cellIs" dxfId="220" priority="222" stopIfTrue="1" operator="equal">
      <formula>"Pass"</formula>
    </cfRule>
  </conditionalFormatting>
  <conditionalFormatting sqref="V14">
    <cfRule type="cellIs" dxfId="219" priority="219" stopIfTrue="1" operator="equal">
      <formula>"Fail"</formula>
    </cfRule>
    <cfRule type="cellIs" dxfId="218" priority="220" stopIfTrue="1" operator="equal">
      <formula>"Pass"</formula>
    </cfRule>
  </conditionalFormatting>
  <conditionalFormatting sqref="V15">
    <cfRule type="cellIs" dxfId="217" priority="217" stopIfTrue="1" operator="equal">
      <formula>"Fail"</formula>
    </cfRule>
    <cfRule type="cellIs" dxfId="216" priority="218" stopIfTrue="1" operator="equal">
      <formula>"Pass"</formula>
    </cfRule>
  </conditionalFormatting>
  <conditionalFormatting sqref="V16">
    <cfRule type="cellIs" dxfId="215" priority="215" stopIfTrue="1" operator="equal">
      <formula>"Fail"</formula>
    </cfRule>
    <cfRule type="cellIs" dxfId="214" priority="216" stopIfTrue="1" operator="equal">
      <formula>"Pass"</formula>
    </cfRule>
  </conditionalFormatting>
  <conditionalFormatting sqref="V16">
    <cfRule type="cellIs" dxfId="213" priority="213" stopIfTrue="1" operator="equal">
      <formula>"Fail"</formula>
    </cfRule>
    <cfRule type="cellIs" dxfId="212" priority="214" stopIfTrue="1" operator="equal">
      <formula>"Pass"</formula>
    </cfRule>
  </conditionalFormatting>
  <conditionalFormatting sqref="V16">
    <cfRule type="cellIs" dxfId="211" priority="211" stopIfTrue="1" operator="equal">
      <formula>"Fail"</formula>
    </cfRule>
    <cfRule type="cellIs" dxfId="210" priority="212" stopIfTrue="1" operator="equal">
      <formula>"Pass"</formula>
    </cfRule>
  </conditionalFormatting>
  <conditionalFormatting sqref="V17">
    <cfRule type="cellIs" dxfId="209" priority="209" stopIfTrue="1" operator="equal">
      <formula>"Fail"</formula>
    </cfRule>
    <cfRule type="cellIs" dxfId="208" priority="210" stopIfTrue="1" operator="equal">
      <formula>"Pass"</formula>
    </cfRule>
  </conditionalFormatting>
  <conditionalFormatting sqref="V18">
    <cfRule type="cellIs" dxfId="207" priority="207" stopIfTrue="1" operator="equal">
      <formula>"Fail"</formula>
    </cfRule>
    <cfRule type="cellIs" dxfId="206" priority="208" stopIfTrue="1" operator="equal">
      <formula>"Pass"</formula>
    </cfRule>
  </conditionalFormatting>
  <conditionalFormatting sqref="V18">
    <cfRule type="cellIs" dxfId="205" priority="205" stopIfTrue="1" operator="equal">
      <formula>"Fail"</formula>
    </cfRule>
    <cfRule type="cellIs" dxfId="204" priority="206" stopIfTrue="1" operator="equal">
      <formula>"Pass"</formula>
    </cfRule>
  </conditionalFormatting>
  <conditionalFormatting sqref="V18">
    <cfRule type="cellIs" dxfId="203" priority="203" stopIfTrue="1" operator="equal">
      <formula>"Fail"</formula>
    </cfRule>
    <cfRule type="cellIs" dxfId="202" priority="204" stopIfTrue="1" operator="equal">
      <formula>"Pass"</formula>
    </cfRule>
  </conditionalFormatting>
  <conditionalFormatting sqref="V18">
    <cfRule type="cellIs" dxfId="201" priority="201" stopIfTrue="1" operator="equal">
      <formula>"Fail"</formula>
    </cfRule>
    <cfRule type="cellIs" dxfId="200" priority="202" stopIfTrue="1" operator="equal">
      <formula>"Pass"</formula>
    </cfRule>
  </conditionalFormatting>
  <conditionalFormatting sqref="V19">
    <cfRule type="cellIs" dxfId="199" priority="199" stopIfTrue="1" operator="equal">
      <formula>"Fail"</formula>
    </cfRule>
    <cfRule type="cellIs" dxfId="198" priority="200" stopIfTrue="1" operator="equal">
      <formula>"Pass"</formula>
    </cfRule>
  </conditionalFormatting>
  <conditionalFormatting sqref="V19">
    <cfRule type="cellIs" dxfId="197" priority="197" stopIfTrue="1" operator="equal">
      <formula>"Fail"</formula>
    </cfRule>
    <cfRule type="cellIs" dxfId="196" priority="198" stopIfTrue="1" operator="equal">
      <formula>"Pass"</formula>
    </cfRule>
  </conditionalFormatting>
  <conditionalFormatting sqref="V19">
    <cfRule type="cellIs" dxfId="195" priority="195" stopIfTrue="1" operator="equal">
      <formula>"Fail"</formula>
    </cfRule>
    <cfRule type="cellIs" dxfId="194" priority="196" stopIfTrue="1" operator="equal">
      <formula>"Pass"</formula>
    </cfRule>
  </conditionalFormatting>
  <conditionalFormatting sqref="V19">
    <cfRule type="cellIs" dxfId="193" priority="193" stopIfTrue="1" operator="equal">
      <formula>"Fail"</formula>
    </cfRule>
    <cfRule type="cellIs" dxfId="192" priority="194" stopIfTrue="1" operator="equal">
      <formula>"Pass"</formula>
    </cfRule>
  </conditionalFormatting>
  <conditionalFormatting sqref="V20">
    <cfRule type="cellIs" dxfId="191" priority="191" stopIfTrue="1" operator="equal">
      <formula>"Fail"</formula>
    </cfRule>
    <cfRule type="cellIs" dxfId="190" priority="192" stopIfTrue="1" operator="equal">
      <formula>"Pass"</formula>
    </cfRule>
  </conditionalFormatting>
  <conditionalFormatting sqref="V20">
    <cfRule type="cellIs" dxfId="189" priority="189" stopIfTrue="1" operator="equal">
      <formula>"Fail"</formula>
    </cfRule>
    <cfRule type="cellIs" dxfId="188" priority="190" stopIfTrue="1" operator="equal">
      <formula>"Pass"</formula>
    </cfRule>
  </conditionalFormatting>
  <conditionalFormatting sqref="V20">
    <cfRule type="cellIs" dxfId="187" priority="187" stopIfTrue="1" operator="equal">
      <formula>"Fail"</formula>
    </cfRule>
    <cfRule type="cellIs" dxfId="186" priority="188" stopIfTrue="1" operator="equal">
      <formula>"Pass"</formula>
    </cfRule>
  </conditionalFormatting>
  <conditionalFormatting sqref="V20">
    <cfRule type="cellIs" dxfId="185" priority="185" stopIfTrue="1" operator="equal">
      <formula>"Fail"</formula>
    </cfRule>
    <cfRule type="cellIs" dxfId="184" priority="186" stopIfTrue="1" operator="equal">
      <formula>"Pass"</formula>
    </cfRule>
  </conditionalFormatting>
  <conditionalFormatting sqref="V21">
    <cfRule type="cellIs" dxfId="183" priority="183" stopIfTrue="1" operator="equal">
      <formula>"Fail"</formula>
    </cfRule>
    <cfRule type="cellIs" dxfId="182" priority="184" stopIfTrue="1" operator="equal">
      <formula>"Pass"</formula>
    </cfRule>
  </conditionalFormatting>
  <conditionalFormatting sqref="V21">
    <cfRule type="cellIs" dxfId="181" priority="181" stopIfTrue="1" operator="equal">
      <formula>"Fail"</formula>
    </cfRule>
    <cfRule type="cellIs" dxfId="180" priority="182" stopIfTrue="1" operator="equal">
      <formula>"Pass"</formula>
    </cfRule>
  </conditionalFormatting>
  <conditionalFormatting sqref="V21">
    <cfRule type="cellIs" dxfId="179" priority="179" stopIfTrue="1" operator="equal">
      <formula>"Fail"</formula>
    </cfRule>
    <cfRule type="cellIs" dxfId="178" priority="180" stopIfTrue="1" operator="equal">
      <formula>"Pass"</formula>
    </cfRule>
  </conditionalFormatting>
  <conditionalFormatting sqref="V21">
    <cfRule type="cellIs" dxfId="177" priority="177" stopIfTrue="1" operator="equal">
      <formula>"Fail"</formula>
    </cfRule>
    <cfRule type="cellIs" dxfId="176" priority="178" stopIfTrue="1" operator="equal">
      <formula>"Pass"</formula>
    </cfRule>
  </conditionalFormatting>
  <conditionalFormatting sqref="V22">
    <cfRule type="cellIs" dxfId="175" priority="175" stopIfTrue="1" operator="equal">
      <formula>"Fail"</formula>
    </cfRule>
    <cfRule type="cellIs" dxfId="174" priority="176" stopIfTrue="1" operator="equal">
      <formula>"Pass"</formula>
    </cfRule>
  </conditionalFormatting>
  <conditionalFormatting sqref="V22">
    <cfRule type="cellIs" dxfId="173" priority="173" stopIfTrue="1" operator="equal">
      <formula>"Fail"</formula>
    </cfRule>
    <cfRule type="cellIs" dxfId="172" priority="174" stopIfTrue="1" operator="equal">
      <formula>"Pass"</formula>
    </cfRule>
  </conditionalFormatting>
  <conditionalFormatting sqref="V22">
    <cfRule type="cellIs" dxfId="171" priority="171" stopIfTrue="1" operator="equal">
      <formula>"Fail"</formula>
    </cfRule>
    <cfRule type="cellIs" dxfId="170" priority="172" stopIfTrue="1" operator="equal">
      <formula>"Pass"</formula>
    </cfRule>
  </conditionalFormatting>
  <conditionalFormatting sqref="V22">
    <cfRule type="cellIs" dxfId="169" priority="169" stopIfTrue="1" operator="equal">
      <formula>"Fail"</formula>
    </cfRule>
    <cfRule type="cellIs" dxfId="168" priority="170" stopIfTrue="1" operator="equal">
      <formula>"Pass"</formula>
    </cfRule>
  </conditionalFormatting>
  <conditionalFormatting sqref="V23">
    <cfRule type="cellIs" dxfId="167" priority="167" stopIfTrue="1" operator="equal">
      <formula>"Fail"</formula>
    </cfRule>
    <cfRule type="cellIs" dxfId="166" priority="168" stopIfTrue="1" operator="equal">
      <formula>"Pass"</formula>
    </cfRule>
  </conditionalFormatting>
  <conditionalFormatting sqref="V23">
    <cfRule type="cellIs" dxfId="165" priority="165" stopIfTrue="1" operator="equal">
      <formula>"Fail"</formula>
    </cfRule>
    <cfRule type="cellIs" dxfId="164" priority="166" stopIfTrue="1" operator="equal">
      <formula>"Pass"</formula>
    </cfRule>
  </conditionalFormatting>
  <conditionalFormatting sqref="V23">
    <cfRule type="cellIs" dxfId="163" priority="163" stopIfTrue="1" operator="equal">
      <formula>"Fail"</formula>
    </cfRule>
    <cfRule type="cellIs" dxfId="162" priority="164" stopIfTrue="1" operator="equal">
      <formula>"Pass"</formula>
    </cfRule>
  </conditionalFormatting>
  <conditionalFormatting sqref="V24">
    <cfRule type="cellIs" dxfId="161" priority="161" stopIfTrue="1" operator="equal">
      <formula>"Fail"</formula>
    </cfRule>
    <cfRule type="cellIs" dxfId="160" priority="162" stopIfTrue="1" operator="equal">
      <formula>"Pass"</formula>
    </cfRule>
  </conditionalFormatting>
  <conditionalFormatting sqref="V24">
    <cfRule type="cellIs" dxfId="159" priority="159" stopIfTrue="1" operator="equal">
      <formula>"Fail"</formula>
    </cfRule>
    <cfRule type="cellIs" dxfId="158" priority="160" stopIfTrue="1" operator="equal">
      <formula>"Pass"</formula>
    </cfRule>
  </conditionalFormatting>
  <conditionalFormatting sqref="V24">
    <cfRule type="cellIs" dxfId="157" priority="157" stopIfTrue="1" operator="equal">
      <formula>"Fail"</formula>
    </cfRule>
    <cfRule type="cellIs" dxfId="156" priority="158" stopIfTrue="1" operator="equal">
      <formula>"Pass"</formula>
    </cfRule>
  </conditionalFormatting>
  <conditionalFormatting sqref="V25">
    <cfRule type="cellIs" dxfId="155" priority="155" stopIfTrue="1" operator="equal">
      <formula>"Fail"</formula>
    </cfRule>
    <cfRule type="cellIs" dxfId="154" priority="156" stopIfTrue="1" operator="equal">
      <formula>"Pass"</formula>
    </cfRule>
  </conditionalFormatting>
  <conditionalFormatting sqref="V25">
    <cfRule type="cellIs" dxfId="153" priority="153" stopIfTrue="1" operator="equal">
      <formula>"Fail"</formula>
    </cfRule>
    <cfRule type="cellIs" dxfId="152" priority="154" stopIfTrue="1" operator="equal">
      <formula>"Pass"</formula>
    </cfRule>
  </conditionalFormatting>
  <conditionalFormatting sqref="V25">
    <cfRule type="cellIs" dxfId="151" priority="151" stopIfTrue="1" operator="equal">
      <formula>"Fail"</formula>
    </cfRule>
    <cfRule type="cellIs" dxfId="150" priority="152" stopIfTrue="1" operator="equal">
      <formula>"Pass"</formula>
    </cfRule>
  </conditionalFormatting>
  <conditionalFormatting sqref="V26">
    <cfRule type="cellIs" dxfId="149" priority="149" stopIfTrue="1" operator="equal">
      <formula>"Fail"</formula>
    </cfRule>
    <cfRule type="cellIs" dxfId="148" priority="150" stopIfTrue="1" operator="equal">
      <formula>"Pass"</formula>
    </cfRule>
  </conditionalFormatting>
  <conditionalFormatting sqref="V26">
    <cfRule type="cellIs" dxfId="147" priority="147" stopIfTrue="1" operator="equal">
      <formula>"Fail"</formula>
    </cfRule>
    <cfRule type="cellIs" dxfId="146" priority="148" stopIfTrue="1" operator="equal">
      <formula>"Pass"</formula>
    </cfRule>
  </conditionalFormatting>
  <conditionalFormatting sqref="V26">
    <cfRule type="cellIs" dxfId="145" priority="145" stopIfTrue="1" operator="equal">
      <formula>"Fail"</formula>
    </cfRule>
    <cfRule type="cellIs" dxfId="144" priority="146" stopIfTrue="1" operator="equal">
      <formula>"Pass"</formula>
    </cfRule>
  </conditionalFormatting>
  <conditionalFormatting sqref="V26">
    <cfRule type="cellIs" dxfId="143" priority="143" stopIfTrue="1" operator="equal">
      <formula>"Fail"</formula>
    </cfRule>
    <cfRule type="cellIs" dxfId="142" priority="144" stopIfTrue="1" operator="equal">
      <formula>"Pass"</formula>
    </cfRule>
  </conditionalFormatting>
  <conditionalFormatting sqref="V26">
    <cfRule type="cellIs" dxfId="141" priority="141" stopIfTrue="1" operator="equal">
      <formula>"Fail"</formula>
    </cfRule>
    <cfRule type="cellIs" dxfId="140" priority="142" stopIfTrue="1" operator="equal">
      <formula>"Pass"</formula>
    </cfRule>
  </conditionalFormatting>
  <conditionalFormatting sqref="V26">
    <cfRule type="cellIs" dxfId="139" priority="139" stopIfTrue="1" operator="equal">
      <formula>"Fail"</formula>
    </cfRule>
    <cfRule type="cellIs" dxfId="138" priority="140" stopIfTrue="1" operator="equal">
      <formula>"Pass"</formula>
    </cfRule>
  </conditionalFormatting>
  <conditionalFormatting sqref="V27">
    <cfRule type="cellIs" dxfId="137" priority="137" stopIfTrue="1" operator="equal">
      <formula>"Fail"</formula>
    </cfRule>
    <cfRule type="cellIs" dxfId="136" priority="138" stopIfTrue="1" operator="equal">
      <formula>"Pass"</formula>
    </cfRule>
  </conditionalFormatting>
  <conditionalFormatting sqref="V27">
    <cfRule type="cellIs" dxfId="135" priority="135" stopIfTrue="1" operator="equal">
      <formula>"Fail"</formula>
    </cfRule>
    <cfRule type="cellIs" dxfId="134" priority="136" stopIfTrue="1" operator="equal">
      <formula>"Pass"</formula>
    </cfRule>
  </conditionalFormatting>
  <conditionalFormatting sqref="V27">
    <cfRule type="cellIs" dxfId="133" priority="133" stopIfTrue="1" operator="equal">
      <formula>"Fail"</formula>
    </cfRule>
    <cfRule type="cellIs" dxfId="132" priority="134" stopIfTrue="1" operator="equal">
      <formula>"Pass"</formula>
    </cfRule>
  </conditionalFormatting>
  <conditionalFormatting sqref="V27">
    <cfRule type="cellIs" dxfId="131" priority="131" stopIfTrue="1" operator="equal">
      <formula>"Fail"</formula>
    </cfRule>
    <cfRule type="cellIs" dxfId="130" priority="132" stopIfTrue="1" operator="equal">
      <formula>"Pass"</formula>
    </cfRule>
  </conditionalFormatting>
  <conditionalFormatting sqref="V27">
    <cfRule type="cellIs" dxfId="129" priority="129" stopIfTrue="1" operator="equal">
      <formula>"Fail"</formula>
    </cfRule>
    <cfRule type="cellIs" dxfId="128" priority="130" stopIfTrue="1" operator="equal">
      <formula>"Pass"</formula>
    </cfRule>
  </conditionalFormatting>
  <conditionalFormatting sqref="V27">
    <cfRule type="cellIs" dxfId="127" priority="127" stopIfTrue="1" operator="equal">
      <formula>"Fail"</formula>
    </cfRule>
    <cfRule type="cellIs" dxfId="126" priority="128" stopIfTrue="1" operator="equal">
      <formula>"Pass"</formula>
    </cfRule>
  </conditionalFormatting>
  <conditionalFormatting sqref="V28">
    <cfRule type="cellIs" dxfId="125" priority="125" stopIfTrue="1" operator="equal">
      <formula>"Fail"</formula>
    </cfRule>
    <cfRule type="cellIs" dxfId="124" priority="126" stopIfTrue="1" operator="equal">
      <formula>"Pass"</formula>
    </cfRule>
  </conditionalFormatting>
  <conditionalFormatting sqref="V28">
    <cfRule type="cellIs" dxfId="123" priority="123" stopIfTrue="1" operator="equal">
      <formula>"Fail"</formula>
    </cfRule>
    <cfRule type="cellIs" dxfId="122" priority="124" stopIfTrue="1" operator="equal">
      <formula>"Pass"</formula>
    </cfRule>
  </conditionalFormatting>
  <conditionalFormatting sqref="V28">
    <cfRule type="cellIs" dxfId="121" priority="121" stopIfTrue="1" operator="equal">
      <formula>"Fail"</formula>
    </cfRule>
    <cfRule type="cellIs" dxfId="120" priority="122" stopIfTrue="1" operator="equal">
      <formula>"Pass"</formula>
    </cfRule>
  </conditionalFormatting>
  <conditionalFormatting sqref="V29">
    <cfRule type="cellIs" dxfId="119" priority="119" stopIfTrue="1" operator="equal">
      <formula>"Fail"</formula>
    </cfRule>
    <cfRule type="cellIs" dxfId="118" priority="120" stopIfTrue="1" operator="equal">
      <formula>"Pass"</formula>
    </cfRule>
  </conditionalFormatting>
  <conditionalFormatting sqref="V29">
    <cfRule type="cellIs" dxfId="117" priority="117" stopIfTrue="1" operator="equal">
      <formula>"Fail"</formula>
    </cfRule>
    <cfRule type="cellIs" dxfId="116" priority="118" stopIfTrue="1" operator="equal">
      <formula>"Pass"</formula>
    </cfRule>
  </conditionalFormatting>
  <conditionalFormatting sqref="V29">
    <cfRule type="cellIs" dxfId="115" priority="115" stopIfTrue="1" operator="equal">
      <formula>"Fail"</formula>
    </cfRule>
    <cfRule type="cellIs" dxfId="114" priority="116" stopIfTrue="1" operator="equal">
      <formula>"Pass"</formula>
    </cfRule>
  </conditionalFormatting>
  <conditionalFormatting sqref="V30">
    <cfRule type="cellIs" dxfId="113" priority="113" stopIfTrue="1" operator="equal">
      <formula>"Fail"</formula>
    </cfRule>
    <cfRule type="cellIs" dxfId="112" priority="114" stopIfTrue="1" operator="equal">
      <formula>"Pass"</formula>
    </cfRule>
  </conditionalFormatting>
  <conditionalFormatting sqref="V30">
    <cfRule type="cellIs" dxfId="111" priority="111" stopIfTrue="1" operator="equal">
      <formula>"Fail"</formula>
    </cfRule>
    <cfRule type="cellIs" dxfId="110" priority="112" stopIfTrue="1" operator="equal">
      <formula>"Pass"</formula>
    </cfRule>
  </conditionalFormatting>
  <conditionalFormatting sqref="V30">
    <cfRule type="cellIs" dxfId="109" priority="109" stopIfTrue="1" operator="equal">
      <formula>"Fail"</formula>
    </cfRule>
    <cfRule type="cellIs" dxfId="108" priority="110" stopIfTrue="1" operator="equal">
      <formula>"Pass"</formula>
    </cfRule>
  </conditionalFormatting>
  <conditionalFormatting sqref="V31">
    <cfRule type="cellIs" dxfId="107" priority="107" stopIfTrue="1" operator="equal">
      <formula>"Fail"</formula>
    </cfRule>
    <cfRule type="cellIs" dxfId="106" priority="108" stopIfTrue="1" operator="equal">
      <formula>"Pass"</formula>
    </cfRule>
  </conditionalFormatting>
  <conditionalFormatting sqref="V31">
    <cfRule type="cellIs" dxfId="105" priority="105" stopIfTrue="1" operator="equal">
      <formula>"Fail"</formula>
    </cfRule>
    <cfRule type="cellIs" dxfId="104" priority="106" stopIfTrue="1" operator="equal">
      <formula>"Pass"</formula>
    </cfRule>
  </conditionalFormatting>
  <conditionalFormatting sqref="V31">
    <cfRule type="cellIs" dxfId="103" priority="103" stopIfTrue="1" operator="equal">
      <formula>"Fail"</formula>
    </cfRule>
    <cfRule type="cellIs" dxfId="102" priority="104" stopIfTrue="1" operator="equal">
      <formula>"Pass"</formula>
    </cfRule>
  </conditionalFormatting>
  <conditionalFormatting sqref="V32">
    <cfRule type="cellIs" dxfId="101" priority="101" stopIfTrue="1" operator="equal">
      <formula>"Fail"</formula>
    </cfRule>
    <cfRule type="cellIs" dxfId="100" priority="102" stopIfTrue="1" operator="equal">
      <formula>"Pass"</formula>
    </cfRule>
  </conditionalFormatting>
  <conditionalFormatting sqref="V32">
    <cfRule type="cellIs" dxfId="99" priority="99" stopIfTrue="1" operator="equal">
      <formula>"Fail"</formula>
    </cfRule>
    <cfRule type="cellIs" dxfId="98" priority="100" stopIfTrue="1" operator="equal">
      <formula>"Pass"</formula>
    </cfRule>
  </conditionalFormatting>
  <conditionalFormatting sqref="V32">
    <cfRule type="cellIs" dxfId="97" priority="97" stopIfTrue="1" operator="equal">
      <formula>"Fail"</formula>
    </cfRule>
    <cfRule type="cellIs" dxfId="96" priority="98" stopIfTrue="1" operator="equal">
      <formula>"Pass"</formula>
    </cfRule>
  </conditionalFormatting>
  <conditionalFormatting sqref="V33">
    <cfRule type="cellIs" dxfId="95" priority="95" stopIfTrue="1" operator="equal">
      <formula>"Fail"</formula>
    </cfRule>
    <cfRule type="cellIs" dxfId="94" priority="96" stopIfTrue="1" operator="equal">
      <formula>"Pass"</formula>
    </cfRule>
  </conditionalFormatting>
  <conditionalFormatting sqref="V33">
    <cfRule type="cellIs" dxfId="93" priority="93" stopIfTrue="1" operator="equal">
      <formula>"Fail"</formula>
    </cfRule>
    <cfRule type="cellIs" dxfId="92" priority="94" stopIfTrue="1" operator="equal">
      <formula>"Pass"</formula>
    </cfRule>
  </conditionalFormatting>
  <conditionalFormatting sqref="V33">
    <cfRule type="cellIs" dxfId="91" priority="91" stopIfTrue="1" operator="equal">
      <formula>"Fail"</formula>
    </cfRule>
    <cfRule type="cellIs" dxfId="90" priority="92" stopIfTrue="1" operator="equal">
      <formula>"Pass"</formula>
    </cfRule>
  </conditionalFormatting>
  <conditionalFormatting sqref="V34">
    <cfRule type="cellIs" dxfId="89" priority="89" stopIfTrue="1" operator="equal">
      <formula>"Fail"</formula>
    </cfRule>
    <cfRule type="cellIs" dxfId="88" priority="90" stopIfTrue="1" operator="equal">
      <formula>"Pass"</formula>
    </cfRule>
  </conditionalFormatting>
  <conditionalFormatting sqref="V34">
    <cfRule type="cellIs" dxfId="87" priority="87" stopIfTrue="1" operator="equal">
      <formula>"Fail"</formula>
    </cfRule>
    <cfRule type="cellIs" dxfId="86" priority="88" stopIfTrue="1" operator="equal">
      <formula>"Pass"</formula>
    </cfRule>
  </conditionalFormatting>
  <conditionalFormatting sqref="V34">
    <cfRule type="cellIs" dxfId="85" priority="85" stopIfTrue="1" operator="equal">
      <formula>"Fail"</formula>
    </cfRule>
    <cfRule type="cellIs" dxfId="84" priority="86" stopIfTrue="1" operator="equal">
      <formula>"Pass"</formula>
    </cfRule>
  </conditionalFormatting>
  <conditionalFormatting sqref="V35">
    <cfRule type="cellIs" dxfId="83" priority="83" stopIfTrue="1" operator="equal">
      <formula>"Fail"</formula>
    </cfRule>
    <cfRule type="cellIs" dxfId="82" priority="84" stopIfTrue="1" operator="equal">
      <formula>"Pass"</formula>
    </cfRule>
  </conditionalFormatting>
  <conditionalFormatting sqref="V35">
    <cfRule type="cellIs" dxfId="81" priority="81" stopIfTrue="1" operator="equal">
      <formula>"Fail"</formula>
    </cfRule>
    <cfRule type="cellIs" dxfId="80" priority="82" stopIfTrue="1" operator="equal">
      <formula>"Pass"</formula>
    </cfRule>
  </conditionalFormatting>
  <conditionalFormatting sqref="V35">
    <cfRule type="cellIs" dxfId="79" priority="79" stopIfTrue="1" operator="equal">
      <formula>"Fail"</formula>
    </cfRule>
    <cfRule type="cellIs" dxfId="78" priority="80" stopIfTrue="1" operator="equal">
      <formula>"Pass"</formula>
    </cfRule>
  </conditionalFormatting>
  <conditionalFormatting sqref="V36">
    <cfRule type="cellIs" dxfId="77" priority="77" stopIfTrue="1" operator="equal">
      <formula>"Fail"</formula>
    </cfRule>
    <cfRule type="cellIs" dxfId="76" priority="78" stopIfTrue="1" operator="equal">
      <formula>"Pass"</formula>
    </cfRule>
  </conditionalFormatting>
  <conditionalFormatting sqref="V36">
    <cfRule type="cellIs" dxfId="75" priority="75" stopIfTrue="1" operator="equal">
      <formula>"Fail"</formula>
    </cfRule>
    <cfRule type="cellIs" dxfId="74" priority="76" stopIfTrue="1" operator="equal">
      <formula>"Pass"</formula>
    </cfRule>
  </conditionalFormatting>
  <conditionalFormatting sqref="V36">
    <cfRule type="cellIs" dxfId="73" priority="73" stopIfTrue="1" operator="equal">
      <formula>"Fail"</formula>
    </cfRule>
    <cfRule type="cellIs" dxfId="72" priority="74" stopIfTrue="1" operator="equal">
      <formula>"Pass"</formula>
    </cfRule>
  </conditionalFormatting>
  <conditionalFormatting sqref="V37">
    <cfRule type="cellIs" dxfId="71" priority="71" stopIfTrue="1" operator="equal">
      <formula>"Fail"</formula>
    </cfRule>
    <cfRule type="cellIs" dxfId="70" priority="72" stopIfTrue="1" operator="equal">
      <formula>"Pass"</formula>
    </cfRule>
  </conditionalFormatting>
  <conditionalFormatting sqref="V37">
    <cfRule type="cellIs" dxfId="69" priority="69" stopIfTrue="1" operator="equal">
      <formula>"Fail"</formula>
    </cfRule>
    <cfRule type="cellIs" dxfId="68" priority="70" stopIfTrue="1" operator="equal">
      <formula>"Pass"</formula>
    </cfRule>
  </conditionalFormatting>
  <conditionalFormatting sqref="V37">
    <cfRule type="cellIs" dxfId="67" priority="67" stopIfTrue="1" operator="equal">
      <formula>"Fail"</formula>
    </cfRule>
    <cfRule type="cellIs" dxfId="66" priority="68" stopIfTrue="1" operator="equal">
      <formula>"Pass"</formula>
    </cfRule>
  </conditionalFormatting>
  <conditionalFormatting sqref="V38">
    <cfRule type="cellIs" dxfId="65" priority="65" stopIfTrue="1" operator="equal">
      <formula>"Fail"</formula>
    </cfRule>
    <cfRule type="cellIs" dxfId="64" priority="66" stopIfTrue="1" operator="equal">
      <formula>"Pass"</formula>
    </cfRule>
  </conditionalFormatting>
  <conditionalFormatting sqref="V38">
    <cfRule type="cellIs" dxfId="63" priority="63" stopIfTrue="1" operator="equal">
      <formula>"Fail"</formula>
    </cfRule>
    <cfRule type="cellIs" dxfId="62" priority="64" stopIfTrue="1" operator="equal">
      <formula>"Pass"</formula>
    </cfRule>
  </conditionalFormatting>
  <conditionalFormatting sqref="V38">
    <cfRule type="cellIs" dxfId="61" priority="61" stopIfTrue="1" operator="equal">
      <formula>"Fail"</formula>
    </cfRule>
    <cfRule type="cellIs" dxfId="60" priority="62" stopIfTrue="1" operator="equal">
      <formula>"Pass"</formula>
    </cfRule>
  </conditionalFormatting>
  <conditionalFormatting sqref="V38">
    <cfRule type="cellIs" dxfId="59" priority="59" stopIfTrue="1" operator="equal">
      <formula>"Fail"</formula>
    </cfRule>
    <cfRule type="cellIs" dxfId="58" priority="60" stopIfTrue="1" operator="equal">
      <formula>"Pass"</formula>
    </cfRule>
  </conditionalFormatting>
  <conditionalFormatting sqref="V38">
    <cfRule type="cellIs" dxfId="57" priority="57" stopIfTrue="1" operator="equal">
      <formula>"Fail"</formula>
    </cfRule>
    <cfRule type="cellIs" dxfId="56" priority="58" stopIfTrue="1" operator="equal">
      <formula>"Pass"</formula>
    </cfRule>
  </conditionalFormatting>
  <conditionalFormatting sqref="V38">
    <cfRule type="cellIs" dxfId="55" priority="55" stopIfTrue="1" operator="equal">
      <formula>"Fail"</formula>
    </cfRule>
    <cfRule type="cellIs" dxfId="54" priority="56" stopIfTrue="1" operator="equal">
      <formula>"Pass"</formula>
    </cfRule>
  </conditionalFormatting>
  <conditionalFormatting sqref="V39">
    <cfRule type="cellIs" dxfId="53" priority="53" stopIfTrue="1" operator="equal">
      <formula>"Fail"</formula>
    </cfRule>
    <cfRule type="cellIs" dxfId="52" priority="54" stopIfTrue="1" operator="equal">
      <formula>"Pass"</formula>
    </cfRule>
  </conditionalFormatting>
  <conditionalFormatting sqref="V39">
    <cfRule type="cellIs" dxfId="51" priority="51" stopIfTrue="1" operator="equal">
      <formula>"Fail"</formula>
    </cfRule>
    <cfRule type="cellIs" dxfId="50" priority="52" stopIfTrue="1" operator="equal">
      <formula>"Pass"</formula>
    </cfRule>
  </conditionalFormatting>
  <conditionalFormatting sqref="V39">
    <cfRule type="cellIs" dxfId="49" priority="49" stopIfTrue="1" operator="equal">
      <formula>"Fail"</formula>
    </cfRule>
    <cfRule type="cellIs" dxfId="48" priority="50" stopIfTrue="1" operator="equal">
      <formula>"Pass"</formula>
    </cfRule>
  </conditionalFormatting>
  <conditionalFormatting sqref="V39">
    <cfRule type="cellIs" dxfId="47" priority="47" stopIfTrue="1" operator="equal">
      <formula>"Fail"</formula>
    </cfRule>
    <cfRule type="cellIs" dxfId="46" priority="48" stopIfTrue="1" operator="equal">
      <formula>"Pass"</formula>
    </cfRule>
  </conditionalFormatting>
  <conditionalFormatting sqref="V39">
    <cfRule type="cellIs" dxfId="45" priority="45" stopIfTrue="1" operator="equal">
      <formula>"Fail"</formula>
    </cfRule>
    <cfRule type="cellIs" dxfId="44" priority="46" stopIfTrue="1" operator="equal">
      <formula>"Pass"</formula>
    </cfRule>
  </conditionalFormatting>
  <conditionalFormatting sqref="V39">
    <cfRule type="cellIs" dxfId="43" priority="43" stopIfTrue="1" operator="equal">
      <formula>"Fail"</formula>
    </cfRule>
    <cfRule type="cellIs" dxfId="42" priority="44" stopIfTrue="1" operator="equal">
      <formula>"Pass"</formula>
    </cfRule>
  </conditionalFormatting>
  <conditionalFormatting sqref="V40">
    <cfRule type="cellIs" dxfId="41" priority="41" stopIfTrue="1" operator="equal">
      <formula>"Fail"</formula>
    </cfRule>
    <cfRule type="cellIs" dxfId="40" priority="42" stopIfTrue="1" operator="equal">
      <formula>"Pass"</formula>
    </cfRule>
  </conditionalFormatting>
  <conditionalFormatting sqref="V40">
    <cfRule type="cellIs" dxfId="39" priority="39" stopIfTrue="1" operator="equal">
      <formula>"Fail"</formula>
    </cfRule>
    <cfRule type="cellIs" dxfId="38" priority="40" stopIfTrue="1" operator="equal">
      <formula>"Pass"</formula>
    </cfRule>
  </conditionalFormatting>
  <conditionalFormatting sqref="V40">
    <cfRule type="cellIs" dxfId="37" priority="37" stopIfTrue="1" operator="equal">
      <formula>"Fail"</formula>
    </cfRule>
    <cfRule type="cellIs" dxfId="36" priority="38" stopIfTrue="1" operator="equal">
      <formula>"Pass"</formula>
    </cfRule>
  </conditionalFormatting>
  <conditionalFormatting sqref="V40">
    <cfRule type="cellIs" dxfId="35" priority="35" stopIfTrue="1" operator="equal">
      <formula>"Fail"</formula>
    </cfRule>
    <cfRule type="cellIs" dxfId="34" priority="36" stopIfTrue="1" operator="equal">
      <formula>"Pass"</formula>
    </cfRule>
  </conditionalFormatting>
  <conditionalFormatting sqref="V40">
    <cfRule type="cellIs" dxfId="33" priority="33" stopIfTrue="1" operator="equal">
      <formula>"Fail"</formula>
    </cfRule>
    <cfRule type="cellIs" dxfId="32" priority="34" stopIfTrue="1" operator="equal">
      <formula>"Pass"</formula>
    </cfRule>
  </conditionalFormatting>
  <conditionalFormatting sqref="V40">
    <cfRule type="cellIs" dxfId="31" priority="31" stopIfTrue="1" operator="equal">
      <formula>"Fail"</formula>
    </cfRule>
    <cfRule type="cellIs" dxfId="30" priority="32" stopIfTrue="1" operator="equal">
      <formula>"Pass"</formula>
    </cfRule>
  </conditionalFormatting>
  <conditionalFormatting sqref="V41">
    <cfRule type="cellIs" dxfId="29" priority="29" stopIfTrue="1" operator="equal">
      <formula>"Fail"</formula>
    </cfRule>
    <cfRule type="cellIs" dxfId="28" priority="30" stopIfTrue="1" operator="equal">
      <formula>"Pass"</formula>
    </cfRule>
  </conditionalFormatting>
  <conditionalFormatting sqref="V41">
    <cfRule type="cellIs" dxfId="27" priority="27" stopIfTrue="1" operator="equal">
      <formula>"Fail"</formula>
    </cfRule>
    <cfRule type="cellIs" dxfId="26" priority="28" stopIfTrue="1" operator="equal">
      <formula>"Pass"</formula>
    </cfRule>
  </conditionalFormatting>
  <conditionalFormatting sqref="V41">
    <cfRule type="cellIs" dxfId="25" priority="25" stopIfTrue="1" operator="equal">
      <formula>"Fail"</formula>
    </cfRule>
    <cfRule type="cellIs" dxfId="24" priority="26" stopIfTrue="1" operator="equal">
      <formula>"Pass"</formula>
    </cfRule>
  </conditionalFormatting>
  <conditionalFormatting sqref="V41">
    <cfRule type="cellIs" dxfId="23" priority="23" stopIfTrue="1" operator="equal">
      <formula>"Fail"</formula>
    </cfRule>
    <cfRule type="cellIs" dxfId="22" priority="24" stopIfTrue="1" operator="equal">
      <formula>"Pass"</formula>
    </cfRule>
  </conditionalFormatting>
  <conditionalFormatting sqref="V41">
    <cfRule type="cellIs" dxfId="21" priority="21" stopIfTrue="1" operator="equal">
      <formula>"Fail"</formula>
    </cfRule>
    <cfRule type="cellIs" dxfId="20" priority="22" stopIfTrue="1" operator="equal">
      <formula>"Pass"</formula>
    </cfRule>
  </conditionalFormatting>
  <conditionalFormatting sqref="V41">
    <cfRule type="cellIs" dxfId="19" priority="19" stopIfTrue="1" operator="equal">
      <formula>"Fail"</formula>
    </cfRule>
    <cfRule type="cellIs" dxfId="18" priority="20" stopIfTrue="1" operator="equal">
      <formula>"Pass"</formula>
    </cfRule>
  </conditionalFormatting>
  <conditionalFormatting sqref="V42">
    <cfRule type="cellIs" dxfId="17" priority="17" stopIfTrue="1" operator="equal">
      <formula>"Fail"</formula>
    </cfRule>
    <cfRule type="cellIs" dxfId="16" priority="18" stopIfTrue="1" operator="equal">
      <formula>"Pass"</formula>
    </cfRule>
  </conditionalFormatting>
  <conditionalFormatting sqref="V42">
    <cfRule type="cellIs" dxfId="15" priority="15" stopIfTrue="1" operator="equal">
      <formula>"Fail"</formula>
    </cfRule>
    <cfRule type="cellIs" dxfId="14" priority="16" stopIfTrue="1" operator="equal">
      <formula>"Pass"</formula>
    </cfRule>
  </conditionalFormatting>
  <conditionalFormatting sqref="V42">
    <cfRule type="cellIs" dxfId="13" priority="13" stopIfTrue="1" operator="equal">
      <formula>"Fail"</formula>
    </cfRule>
    <cfRule type="cellIs" dxfId="12" priority="14" stopIfTrue="1" operator="equal">
      <formula>"Pass"</formula>
    </cfRule>
  </conditionalFormatting>
  <conditionalFormatting sqref="V42">
    <cfRule type="cellIs" dxfId="11" priority="11" stopIfTrue="1" operator="equal">
      <formula>"Fail"</formula>
    </cfRule>
    <cfRule type="cellIs" dxfId="10" priority="12" stopIfTrue="1" operator="equal">
      <formula>"Pass"</formula>
    </cfRule>
  </conditionalFormatting>
  <conditionalFormatting sqref="V42">
    <cfRule type="cellIs" dxfId="9" priority="9" stopIfTrue="1" operator="equal">
      <formula>"Fail"</formula>
    </cfRule>
    <cfRule type="cellIs" dxfId="8" priority="10" stopIfTrue="1" operator="equal">
      <formula>"Pass"</formula>
    </cfRule>
  </conditionalFormatting>
  <conditionalFormatting sqref="V42">
    <cfRule type="cellIs" dxfId="7" priority="7" stopIfTrue="1" operator="equal">
      <formula>"Fail"</formula>
    </cfRule>
    <cfRule type="cellIs" dxfId="6" priority="8" stopIfTrue="1" operator="equal">
      <formula>"Pass"</formula>
    </cfRule>
  </conditionalFormatting>
  <conditionalFormatting sqref="V42">
    <cfRule type="cellIs" dxfId="5" priority="5" stopIfTrue="1" operator="equal">
      <formula>"Fail"</formula>
    </cfRule>
    <cfRule type="cellIs" dxfId="4" priority="6" stopIfTrue="1" operator="equal">
      <formula>"Pass"</formula>
    </cfRule>
  </conditionalFormatting>
  <conditionalFormatting sqref="V42">
    <cfRule type="cellIs" dxfId="3" priority="3" stopIfTrue="1" operator="equal">
      <formula>"Fail"</formula>
    </cfRule>
    <cfRule type="cellIs" dxfId="2" priority="4" stopIfTrue="1" operator="equal">
      <formula>"Pass"</formula>
    </cfRule>
  </conditionalFormatting>
  <conditionalFormatting sqref="V42">
    <cfRule type="cellIs" dxfId="1" priority="1" stopIfTrue="1" operator="equal">
      <formula>"Fail"</formula>
    </cfRule>
    <cfRule type="cellIs" dxfId="0" priority="2" stopIfTrue="1" operator="equal">
      <formula>"Pass"</formula>
    </cfRule>
  </conditionalFormatting>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sheetPr codeName="Sheet12"/>
  <dimension ref="B2:X17"/>
  <sheetViews>
    <sheetView topLeftCell="F1" workbookViewId="0">
      <selection activeCell="R24" sqref="R23:R24"/>
    </sheetView>
  </sheetViews>
  <sheetFormatPr defaultColWidth="9" defaultRowHeight="12.75"/>
  <cols>
    <col min="1" max="16384" width="9" style="31"/>
  </cols>
  <sheetData>
    <row r="2" spans="2:24" ht="25.5">
      <c r="B2" s="450" t="s">
        <v>121</v>
      </c>
      <c r="C2" s="451"/>
      <c r="D2" s="451"/>
      <c r="E2" s="451"/>
      <c r="F2" s="37"/>
      <c r="G2" s="37"/>
      <c r="H2" s="37"/>
      <c r="I2" s="451" t="s">
        <v>122</v>
      </c>
      <c r="J2" s="451"/>
      <c r="K2" s="451"/>
      <c r="L2" s="37" t="s">
        <v>123</v>
      </c>
      <c r="M2" s="37"/>
      <c r="N2" s="37"/>
      <c r="O2" s="37"/>
      <c r="P2" s="37"/>
      <c r="Q2" s="37"/>
      <c r="R2" s="37"/>
      <c r="S2" s="38"/>
      <c r="T2" s="39" t="s">
        <v>66</v>
      </c>
      <c r="U2" s="40" t="s">
        <v>67</v>
      </c>
      <c r="V2" s="40" t="s">
        <v>68</v>
      </c>
      <c r="W2" s="34" t="s">
        <v>124</v>
      </c>
      <c r="X2" s="40" t="s">
        <v>70</v>
      </c>
    </row>
    <row r="3" spans="2:24">
      <c r="B3" s="41" t="s">
        <v>77</v>
      </c>
      <c r="C3" s="42">
        <v>5398.28</v>
      </c>
      <c r="D3" s="42">
        <v>5371.04</v>
      </c>
      <c r="E3" s="42">
        <v>5361.96</v>
      </c>
      <c r="F3" s="42">
        <v>5358.02</v>
      </c>
      <c r="G3" s="42">
        <v>5347.2</v>
      </c>
      <c r="H3" s="42">
        <v>5361.21</v>
      </c>
      <c r="I3" s="42">
        <v>5378.31</v>
      </c>
      <c r="J3" s="42">
        <v>5381.54</v>
      </c>
      <c r="K3" s="42">
        <v>5407.2</v>
      </c>
      <c r="L3" s="42">
        <v>5496.21</v>
      </c>
      <c r="M3" s="42">
        <v>5373.56</v>
      </c>
      <c r="N3" s="42">
        <v>5350.6</v>
      </c>
      <c r="O3" s="42">
        <v>5378.62</v>
      </c>
      <c r="P3" s="42">
        <v>5356.5</v>
      </c>
      <c r="Q3" s="42">
        <v>5381.21</v>
      </c>
      <c r="R3" s="42">
        <v>5412.73</v>
      </c>
      <c r="S3" s="42">
        <v>5478.34</v>
      </c>
      <c r="T3" s="43">
        <f>IF((S4=""),"",MAX(C5:S5))</f>
        <v>65.460000000000946</v>
      </c>
      <c r="U3" s="43">
        <f>IF(S4="","",MIN(C5:S5))</f>
        <v>10.840000000000146</v>
      </c>
      <c r="V3" s="43">
        <f>IF((S5=""),"",AVERAGE(C5:S5))</f>
        <v>42.016470588235549</v>
      </c>
      <c r="W3" s="44">
        <f>STDEV(C5:S5)</f>
        <v>15.692974917608829</v>
      </c>
      <c r="X3" s="43">
        <f>IF((S4=""),"",((T3-U3)/(T3+U3))*100)</f>
        <v>71.585845347313253</v>
      </c>
    </row>
    <row r="4" spans="2:24">
      <c r="B4" s="45" t="s">
        <v>78</v>
      </c>
      <c r="C4" s="44">
        <v>5377.54</v>
      </c>
      <c r="D4" s="44">
        <v>5345.49</v>
      </c>
      <c r="E4" s="44">
        <v>5337.53</v>
      </c>
      <c r="F4" s="44">
        <v>5341.5</v>
      </c>
      <c r="G4" s="44">
        <v>5332.54</v>
      </c>
      <c r="H4" s="44">
        <v>5342.18</v>
      </c>
      <c r="I4" s="44">
        <v>5345.58</v>
      </c>
      <c r="J4" s="44">
        <v>5352.19</v>
      </c>
      <c r="K4" s="44">
        <v>5379.43</v>
      </c>
      <c r="L4" s="44">
        <v>5477.23</v>
      </c>
      <c r="M4" s="44">
        <v>5354.78</v>
      </c>
      <c r="N4" s="44">
        <v>5334.36</v>
      </c>
      <c r="O4" s="44">
        <v>5348.17</v>
      </c>
      <c r="P4" s="44">
        <v>5351.08</v>
      </c>
      <c r="Q4" s="44">
        <v>5368.96</v>
      </c>
      <c r="R4" s="44">
        <v>5380.8</v>
      </c>
      <c r="S4" s="44">
        <v>5466.03</v>
      </c>
      <c r="T4" s="46"/>
      <c r="U4" s="46"/>
      <c r="V4" s="46"/>
      <c r="W4" s="46"/>
      <c r="X4" s="46"/>
    </row>
    <row r="5" spans="2:24" ht="51">
      <c r="B5" s="45" t="s">
        <v>79</v>
      </c>
      <c r="C5" s="47">
        <f t="shared" ref="C5:S5" si="0">IF(((C3="")*AND(C4="")),"",(C3-C4)*2)</f>
        <v>41.479999999999563</v>
      </c>
      <c r="D5" s="47">
        <f t="shared" si="0"/>
        <v>51.100000000000364</v>
      </c>
      <c r="E5" s="47">
        <f t="shared" si="0"/>
        <v>48.860000000000582</v>
      </c>
      <c r="F5" s="47">
        <f t="shared" si="0"/>
        <v>33.040000000000873</v>
      </c>
      <c r="G5" s="47">
        <f t="shared" si="0"/>
        <v>29.319999999999709</v>
      </c>
      <c r="H5" s="47">
        <f t="shared" si="0"/>
        <v>38.059999999999491</v>
      </c>
      <c r="I5" s="47">
        <f t="shared" si="0"/>
        <v>65.460000000000946</v>
      </c>
      <c r="J5" s="47">
        <f t="shared" si="0"/>
        <v>58.700000000000728</v>
      </c>
      <c r="K5" s="47">
        <f t="shared" si="0"/>
        <v>55.539999999999054</v>
      </c>
      <c r="L5" s="47">
        <f t="shared" si="0"/>
        <v>37.960000000000946</v>
      </c>
      <c r="M5" s="47">
        <f t="shared" si="0"/>
        <v>37.56000000000131</v>
      </c>
      <c r="N5" s="47">
        <f t="shared" si="0"/>
        <v>32.480000000001382</v>
      </c>
      <c r="O5" s="47">
        <f t="shared" si="0"/>
        <v>60.899999999999636</v>
      </c>
      <c r="P5" s="47">
        <f t="shared" si="0"/>
        <v>10.840000000000146</v>
      </c>
      <c r="Q5" s="47">
        <f t="shared" si="0"/>
        <v>24.5</v>
      </c>
      <c r="R5" s="47">
        <f t="shared" si="0"/>
        <v>63.859999999998763</v>
      </c>
      <c r="S5" s="47">
        <f t="shared" si="0"/>
        <v>24.6200000000008</v>
      </c>
      <c r="T5" s="46"/>
      <c r="U5" s="46"/>
      <c r="V5" s="46"/>
      <c r="W5" s="48"/>
      <c r="X5" s="46"/>
    </row>
    <row r="6" spans="2:24">
      <c r="B6" s="49"/>
      <c r="C6" s="49"/>
      <c r="D6" s="49"/>
      <c r="E6" s="49"/>
      <c r="F6" s="49"/>
      <c r="G6" s="49"/>
      <c r="H6" s="49"/>
      <c r="I6" s="49"/>
      <c r="J6" s="49"/>
      <c r="K6" s="49"/>
      <c r="L6" s="49"/>
      <c r="M6" s="49"/>
      <c r="N6" s="49"/>
      <c r="O6" s="49"/>
      <c r="P6" s="49"/>
      <c r="Q6" s="49"/>
      <c r="R6" s="49"/>
      <c r="S6" s="49"/>
      <c r="T6" s="49"/>
      <c r="U6" s="49"/>
      <c r="V6" s="49"/>
      <c r="W6" s="49"/>
      <c r="X6" s="49"/>
    </row>
    <row r="7" spans="2:24">
      <c r="B7" s="49"/>
      <c r="C7" s="49"/>
      <c r="D7" s="49"/>
      <c r="E7" s="49"/>
      <c r="F7" s="49"/>
      <c r="G7" s="49"/>
      <c r="H7" s="49"/>
      <c r="I7" s="49"/>
      <c r="J7" s="49"/>
      <c r="K7" s="49"/>
      <c r="L7" s="49"/>
      <c r="M7" s="49"/>
      <c r="N7" s="49"/>
      <c r="O7" s="49"/>
      <c r="P7" s="49"/>
      <c r="Q7" s="49"/>
      <c r="R7" s="49"/>
      <c r="S7" s="49"/>
      <c r="T7" s="49"/>
      <c r="U7" s="49"/>
      <c r="V7" s="49"/>
      <c r="W7" s="49"/>
      <c r="X7" s="49"/>
    </row>
    <row r="8" spans="2:24" ht="25.5">
      <c r="B8" s="452" t="s">
        <v>125</v>
      </c>
      <c r="C8" s="453"/>
      <c r="D8" s="453"/>
      <c r="E8" s="453"/>
      <c r="F8" s="50"/>
      <c r="G8" s="50"/>
      <c r="H8" s="50"/>
      <c r="I8" s="454" t="s">
        <v>122</v>
      </c>
      <c r="J8" s="454"/>
      <c r="K8" s="454"/>
      <c r="L8" s="50" t="s">
        <v>126</v>
      </c>
      <c r="M8" s="50"/>
      <c r="N8" s="50"/>
      <c r="O8" s="50"/>
      <c r="P8" s="50"/>
      <c r="Q8" s="50"/>
      <c r="R8" s="50"/>
      <c r="S8" s="51"/>
      <c r="T8" s="52" t="s">
        <v>66</v>
      </c>
      <c r="U8" s="53" t="s">
        <v>67</v>
      </c>
      <c r="V8" s="53" t="s">
        <v>68</v>
      </c>
      <c r="W8" s="35" t="s">
        <v>124</v>
      </c>
      <c r="X8" s="53" t="s">
        <v>70</v>
      </c>
    </row>
    <row r="9" spans="2:24">
      <c r="B9" s="54" t="s">
        <v>77</v>
      </c>
      <c r="C9" s="55">
        <v>5415.12</v>
      </c>
      <c r="D9" s="55">
        <v>5385.04</v>
      </c>
      <c r="E9" s="55">
        <v>5364.78</v>
      </c>
      <c r="F9" s="55">
        <v>5369.05</v>
      </c>
      <c r="G9" s="55">
        <v>5369.37</v>
      </c>
      <c r="H9" s="55">
        <v>5375.24</v>
      </c>
      <c r="I9" s="55">
        <v>5393.56</v>
      </c>
      <c r="J9" s="55">
        <v>5404.92</v>
      </c>
      <c r="K9" s="55">
        <v>5453.96</v>
      </c>
      <c r="L9" s="55">
        <v>5485.66</v>
      </c>
      <c r="M9" s="55">
        <v>5375.42</v>
      </c>
      <c r="N9" s="55">
        <v>5372.72</v>
      </c>
      <c r="O9" s="55">
        <v>5390.21</v>
      </c>
      <c r="P9" s="55">
        <v>5376.99</v>
      </c>
      <c r="Q9" s="55">
        <v>5404.93</v>
      </c>
      <c r="R9" s="55">
        <v>5423.68</v>
      </c>
      <c r="S9" s="55">
        <v>5490.02</v>
      </c>
      <c r="T9" s="56">
        <f>IF((S10=""),"",MAX(C11:S11))</f>
        <v>75.5</v>
      </c>
      <c r="U9" s="56">
        <f>IF(S10="","",MIN(C11:S11))</f>
        <v>36.659999999999854</v>
      </c>
      <c r="V9" s="56">
        <f>IF((S11=""),"",AVERAGE(C11:S11))</f>
        <v>52.010588235294243</v>
      </c>
      <c r="W9" s="55">
        <f>STDEV(C11:S11)</f>
        <v>10.415551155956939</v>
      </c>
      <c r="X9" s="56">
        <f>IF((S10=""),"",((T9-U9)/(T9+U9))*100)</f>
        <v>34.629101283880345</v>
      </c>
    </row>
    <row r="10" spans="2:24">
      <c r="B10" s="57" t="s">
        <v>78</v>
      </c>
      <c r="C10" s="55">
        <v>5377.37</v>
      </c>
      <c r="D10" s="55">
        <v>5361.14</v>
      </c>
      <c r="E10" s="55">
        <v>5339.68</v>
      </c>
      <c r="F10" s="55">
        <v>5345.21</v>
      </c>
      <c r="G10" s="55">
        <v>5346.05</v>
      </c>
      <c r="H10" s="55">
        <v>5349.72</v>
      </c>
      <c r="I10" s="55">
        <v>5370.12</v>
      </c>
      <c r="J10" s="55">
        <v>5375.71</v>
      </c>
      <c r="K10" s="55">
        <v>5433.2</v>
      </c>
      <c r="L10" s="55">
        <v>5458.46</v>
      </c>
      <c r="M10" s="55">
        <v>5347.42</v>
      </c>
      <c r="N10" s="55">
        <v>5353.96</v>
      </c>
      <c r="O10" s="55">
        <v>5371.88</v>
      </c>
      <c r="P10" s="55">
        <v>5351.95</v>
      </c>
      <c r="Q10" s="55">
        <v>5370.54</v>
      </c>
      <c r="R10" s="55">
        <v>5390.98</v>
      </c>
      <c r="S10" s="55">
        <v>5465.19</v>
      </c>
      <c r="T10" s="46"/>
      <c r="U10" s="46"/>
      <c r="V10" s="46"/>
      <c r="W10" s="46"/>
      <c r="X10" s="46"/>
    </row>
    <row r="11" spans="2:24" ht="51">
      <c r="B11" s="57" t="s">
        <v>79</v>
      </c>
      <c r="C11" s="58">
        <f t="shared" ref="C11:S11" si="1">IF(((C9="")*AND(C10="")),"",(C9-C10)*2)</f>
        <v>75.5</v>
      </c>
      <c r="D11" s="58">
        <f t="shared" si="1"/>
        <v>47.799999999999272</v>
      </c>
      <c r="E11" s="58">
        <f t="shared" si="1"/>
        <v>50.199999999998909</v>
      </c>
      <c r="F11" s="58">
        <f t="shared" si="1"/>
        <v>47.680000000000291</v>
      </c>
      <c r="G11" s="58">
        <f t="shared" si="1"/>
        <v>46.639999999999418</v>
      </c>
      <c r="H11" s="58">
        <f t="shared" si="1"/>
        <v>51.039999999999054</v>
      </c>
      <c r="I11" s="58">
        <f t="shared" si="1"/>
        <v>46.880000000001019</v>
      </c>
      <c r="J11" s="58">
        <f t="shared" si="1"/>
        <v>58.420000000000073</v>
      </c>
      <c r="K11" s="58">
        <f t="shared" si="1"/>
        <v>41.520000000000437</v>
      </c>
      <c r="L11" s="58">
        <f t="shared" si="1"/>
        <v>54.399999999999636</v>
      </c>
      <c r="M11" s="58">
        <f t="shared" si="1"/>
        <v>56</v>
      </c>
      <c r="N11" s="58">
        <f t="shared" si="1"/>
        <v>37.520000000000437</v>
      </c>
      <c r="O11" s="58">
        <f t="shared" si="1"/>
        <v>36.659999999999854</v>
      </c>
      <c r="P11" s="58">
        <f t="shared" si="1"/>
        <v>50.079999999999927</v>
      </c>
      <c r="Q11" s="58">
        <f t="shared" si="1"/>
        <v>68.780000000000655</v>
      </c>
      <c r="R11" s="58">
        <f t="shared" si="1"/>
        <v>65.400000000001455</v>
      </c>
      <c r="S11" s="58">
        <f t="shared" si="1"/>
        <v>49.660000000001673</v>
      </c>
      <c r="T11" s="46"/>
      <c r="U11" s="46"/>
      <c r="V11" s="46"/>
      <c r="W11" s="48"/>
      <c r="X11" s="46"/>
    </row>
    <row r="12" spans="2:24">
      <c r="B12" s="49"/>
      <c r="C12" s="49"/>
      <c r="D12" s="49"/>
      <c r="E12" s="49"/>
      <c r="F12" s="49"/>
      <c r="G12" s="49"/>
      <c r="H12" s="49"/>
      <c r="I12" s="49"/>
      <c r="J12" s="49"/>
      <c r="K12" s="49"/>
      <c r="L12" s="49"/>
      <c r="M12" s="49"/>
      <c r="N12" s="49"/>
      <c r="O12" s="49"/>
      <c r="P12" s="49"/>
      <c r="Q12" s="49"/>
      <c r="R12" s="49"/>
      <c r="S12" s="49"/>
      <c r="T12" s="49"/>
      <c r="U12" s="49"/>
      <c r="V12" s="49"/>
      <c r="W12" s="49"/>
      <c r="X12" s="49"/>
    </row>
    <row r="13" spans="2:24">
      <c r="B13" s="49"/>
      <c r="C13" s="49"/>
      <c r="D13" s="49"/>
      <c r="E13" s="49"/>
      <c r="F13" s="49"/>
      <c r="G13" s="49"/>
      <c r="H13" s="49"/>
      <c r="I13" s="49"/>
      <c r="J13" s="49"/>
      <c r="K13" s="49"/>
      <c r="L13" s="49"/>
      <c r="M13" s="49"/>
      <c r="N13" s="49"/>
      <c r="O13" s="49"/>
      <c r="P13" s="49"/>
      <c r="Q13" s="49"/>
      <c r="R13" s="49"/>
      <c r="S13" s="49"/>
      <c r="T13" s="49"/>
      <c r="U13" s="49"/>
      <c r="V13" s="49"/>
      <c r="W13" s="49"/>
      <c r="X13" s="49"/>
    </row>
    <row r="14" spans="2:24" ht="25.5">
      <c r="B14" s="455" t="s">
        <v>127</v>
      </c>
      <c r="C14" s="456"/>
      <c r="D14" s="59"/>
      <c r="E14" s="59"/>
      <c r="F14" s="59"/>
      <c r="G14" s="59"/>
      <c r="H14" s="59"/>
      <c r="I14" s="59"/>
      <c r="J14" s="59"/>
      <c r="K14" s="59"/>
      <c r="L14" s="59"/>
      <c r="M14" s="59"/>
      <c r="N14" s="59"/>
      <c r="O14" s="59"/>
      <c r="P14" s="59"/>
      <c r="Q14" s="59"/>
      <c r="R14" s="59"/>
      <c r="S14" s="60"/>
      <c r="T14" s="61" t="s">
        <v>66</v>
      </c>
      <c r="U14" s="61" t="s">
        <v>67</v>
      </c>
      <c r="V14" s="61" t="s">
        <v>68</v>
      </c>
      <c r="W14" s="36" t="s">
        <v>124</v>
      </c>
      <c r="X14" s="61" t="s">
        <v>70</v>
      </c>
    </row>
    <row r="15" spans="2:24">
      <c r="B15" s="62" t="s">
        <v>77</v>
      </c>
      <c r="C15" s="63">
        <v>5450.22</v>
      </c>
      <c r="D15" s="63">
        <v>5415.37</v>
      </c>
      <c r="E15" s="63">
        <v>5403.37</v>
      </c>
      <c r="F15" s="63">
        <v>5387.48</v>
      </c>
      <c r="G15" s="63">
        <v>5378.9</v>
      </c>
      <c r="H15" s="63">
        <v>5381.85</v>
      </c>
      <c r="I15" s="63">
        <v>5384.28</v>
      </c>
      <c r="J15" s="63">
        <v>5383.3</v>
      </c>
      <c r="K15" s="63">
        <v>5412.4</v>
      </c>
      <c r="L15" s="63">
        <v>5485.84</v>
      </c>
      <c r="M15" s="63">
        <v>5392.61</v>
      </c>
      <c r="N15" s="63">
        <v>5381.13</v>
      </c>
      <c r="O15" s="63">
        <v>5403.68</v>
      </c>
      <c r="P15" s="63">
        <v>5383.16</v>
      </c>
      <c r="Q15" s="63">
        <v>5405.58</v>
      </c>
      <c r="R15" s="63">
        <v>5422.1</v>
      </c>
      <c r="S15" s="63">
        <v>5499.05</v>
      </c>
      <c r="T15" s="64">
        <f>IF((S16=""),"",MAX(C17:S17))</f>
        <v>2250.0599999999995</v>
      </c>
      <c r="U15" s="64">
        <f>IF(S16="","",MIN(C17:S17))</f>
        <v>2138.9400000000005</v>
      </c>
      <c r="V15" s="64">
        <f>IF((S17=""),"",AVERAGE(C17:S17))</f>
        <v>2171.4035294117657</v>
      </c>
      <c r="W15" s="63">
        <f>STDEV(C17:S17)</f>
        <v>27.430177938990919</v>
      </c>
      <c r="X15" s="64">
        <f>IF((S16=""),"",((T15-U15)/(T15+U15))*100)</f>
        <v>2.5317840054681926</v>
      </c>
    </row>
    <row r="16" spans="2:24">
      <c r="B16" s="65" t="s">
        <v>78</v>
      </c>
      <c r="C16" s="63">
        <v>4365.16</v>
      </c>
      <c r="D16" s="63">
        <v>4345.05</v>
      </c>
      <c r="E16" s="63">
        <v>4331.76</v>
      </c>
      <c r="F16" s="63">
        <v>4315.78</v>
      </c>
      <c r="G16" s="63">
        <v>4302.0600000000004</v>
      </c>
      <c r="H16" s="63">
        <v>4304.9399999999996</v>
      </c>
      <c r="I16" s="63">
        <v>4298.7299999999996</v>
      </c>
      <c r="J16" s="63">
        <v>4292.5200000000004</v>
      </c>
      <c r="K16" s="63">
        <v>4287.37</v>
      </c>
      <c r="L16" s="63">
        <v>4393.3900000000003</v>
      </c>
      <c r="M16" s="63">
        <v>4299.07</v>
      </c>
      <c r="N16" s="63">
        <v>4284.59</v>
      </c>
      <c r="O16" s="63">
        <v>4334.21</v>
      </c>
      <c r="P16" s="63">
        <v>4296.4799999999996</v>
      </c>
      <c r="Q16" s="63">
        <v>4323.7</v>
      </c>
      <c r="R16" s="63">
        <v>4337.29</v>
      </c>
      <c r="S16" s="63">
        <v>4401.29</v>
      </c>
      <c r="T16" s="46"/>
      <c r="U16" s="46"/>
      <c r="V16" s="46"/>
      <c r="W16" s="46"/>
      <c r="X16" s="46"/>
    </row>
    <row r="17" spans="2:24" ht="51">
      <c r="B17" s="65" t="s">
        <v>79</v>
      </c>
      <c r="C17" s="66">
        <f t="shared" ref="C17:S17" si="2">IF(((C15="")*AND(C16="")),"",(C15-C16)*2)</f>
        <v>2170.1200000000008</v>
      </c>
      <c r="D17" s="66">
        <f t="shared" si="2"/>
        <v>2140.6399999999994</v>
      </c>
      <c r="E17" s="66">
        <f t="shared" si="2"/>
        <v>2143.2199999999993</v>
      </c>
      <c r="F17" s="66">
        <f t="shared" si="2"/>
        <v>2143.3999999999996</v>
      </c>
      <c r="G17" s="66">
        <f t="shared" si="2"/>
        <v>2153.6799999999985</v>
      </c>
      <c r="H17" s="66">
        <f t="shared" si="2"/>
        <v>2153.8200000000015</v>
      </c>
      <c r="I17" s="66">
        <f t="shared" si="2"/>
        <v>2171.1000000000004</v>
      </c>
      <c r="J17" s="66">
        <f t="shared" si="2"/>
        <v>2181.5599999999995</v>
      </c>
      <c r="K17" s="66">
        <f t="shared" si="2"/>
        <v>2250.0599999999995</v>
      </c>
      <c r="L17" s="66">
        <f t="shared" si="2"/>
        <v>2184.8999999999996</v>
      </c>
      <c r="M17" s="66">
        <f t="shared" si="2"/>
        <v>2187.08</v>
      </c>
      <c r="N17" s="66">
        <f t="shared" si="2"/>
        <v>2193.08</v>
      </c>
      <c r="O17" s="66">
        <f t="shared" si="2"/>
        <v>2138.9400000000005</v>
      </c>
      <c r="P17" s="66">
        <f t="shared" si="2"/>
        <v>2173.3600000000006</v>
      </c>
      <c r="Q17" s="66">
        <f t="shared" si="2"/>
        <v>2163.7600000000002</v>
      </c>
      <c r="R17" s="66">
        <f t="shared" si="2"/>
        <v>2169.6200000000008</v>
      </c>
      <c r="S17" s="66">
        <f t="shared" si="2"/>
        <v>2195.5200000000004</v>
      </c>
      <c r="T17" s="46"/>
      <c r="U17" s="46"/>
      <c r="V17" s="46"/>
      <c r="W17" s="48"/>
      <c r="X17" s="46"/>
    </row>
  </sheetData>
  <mergeCells count="5">
    <mergeCell ref="B2:E2"/>
    <mergeCell ref="I2:K2"/>
    <mergeCell ref="B8:E8"/>
    <mergeCell ref="I8:K8"/>
    <mergeCell ref="B14:C14"/>
  </mergeCell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13"/>
  <dimension ref="A1"/>
  <sheetViews>
    <sheetView topLeftCell="A4" workbookViewId="0">
      <selection activeCell="Q18" sqref="Q18"/>
    </sheetView>
  </sheetViews>
  <sheetFormatPr defaultRowHeight="15.7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REPL1A-WSA</vt:lpstr>
      <vt:lpstr>_xlwings.conf</vt:lpstr>
      <vt:lpstr>CP Plot</vt:lpstr>
      <vt:lpstr>SiN Plot</vt:lpstr>
      <vt:lpstr>Poly Plot</vt:lpstr>
      <vt:lpstr>REPL1A-CP</vt:lpstr>
      <vt:lpstr>REPL1A-ERNit</vt:lpstr>
      <vt:lpstr>REPL1A-ERPoly</vt:lpstr>
      <vt:lpstr>RUN_code</vt:lpstr>
      <vt:lpstr>Daily CP monitor</vt:lpstr>
      <vt:lpstr>control limit calculation</vt:lpstr>
      <vt:lpstr>Sheet7</vt:lpstr>
      <vt:lpstr>Sheet1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2019-12-04T11:19:28Z</dcterms:modified>
</cp:coreProperties>
</file>