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-105" yWindow="-105" windowWidth="20730" windowHeight="11760" tabRatio="475" activeTab="6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'REOX1A-CP'!$A$10:$R$478</definedName>
    <definedName name="_xlnm._FilterDatabase" localSheetId="2" hidden="1">'REOX1A-ER'!$A$13:$AD$1330</definedName>
    <definedName name="TVZPPO29" localSheetId="2">'REOX1A-ER'!#REF!</definedName>
  </definedNames>
  <calcPr calcId="125725"/>
</workbook>
</file>

<file path=xl/calcChain.xml><?xml version="1.0" encoding="utf-8"?>
<calcChain xmlns="http://schemas.openxmlformats.org/spreadsheetml/2006/main">
  <c r="K441" i="4"/>
  <c r="K442"/>
  <c r="K443"/>
  <c r="K444"/>
  <c r="K445"/>
  <c r="K440"/>
  <c r="H441"/>
  <c r="H442"/>
  <c r="H443"/>
  <c r="H444"/>
  <c r="H445"/>
  <c r="H440"/>
  <c r="K427"/>
  <c r="K428"/>
  <c r="K429"/>
  <c r="K430"/>
  <c r="K431"/>
  <c r="K432"/>
  <c r="K433"/>
  <c r="K434"/>
  <c r="K435"/>
  <c r="K426"/>
  <c r="H427"/>
  <c r="H428"/>
  <c r="H429"/>
  <c r="H430"/>
  <c r="H431"/>
  <c r="H432"/>
  <c r="H433"/>
  <c r="H434"/>
  <c r="H435"/>
  <c r="H426"/>
  <c r="K422"/>
  <c r="K423"/>
  <c r="K424"/>
  <c r="K421"/>
  <c r="H422"/>
  <c r="H423"/>
  <c r="H424"/>
  <c r="H421"/>
  <c r="K419"/>
  <c r="H419"/>
  <c r="K418"/>
  <c r="H418"/>
  <c r="K416"/>
  <c r="K417"/>
  <c r="K415"/>
  <c r="H417"/>
  <c r="H416"/>
  <c r="H415"/>
  <c r="H414"/>
  <c r="K412"/>
  <c r="K411"/>
  <c r="K409"/>
  <c r="K408"/>
  <c r="K407"/>
  <c r="H412"/>
  <c r="H411"/>
  <c r="H410"/>
  <c r="H409"/>
  <c r="H408"/>
  <c r="H407"/>
  <c r="K406"/>
  <c r="H406"/>
  <c r="K398"/>
  <c r="K397"/>
  <c r="K394"/>
  <c r="K393"/>
  <c r="K391"/>
  <c r="K389"/>
  <c r="K388"/>
  <c r="H398"/>
  <c r="H397"/>
  <c r="H394"/>
  <c r="H393"/>
  <c r="H391"/>
  <c r="H389"/>
  <c r="H388"/>
  <c r="K386"/>
  <c r="H386"/>
  <c r="K385"/>
  <c r="H385"/>
  <c r="P1336" i="12"/>
  <c r="L1336"/>
  <c r="K1336"/>
  <c r="J1336"/>
  <c r="I1336"/>
  <c r="H1336"/>
  <c r="G1336"/>
  <c r="F1336"/>
  <c r="E1336"/>
  <c r="D1336"/>
  <c r="P1333"/>
  <c r="O1333"/>
  <c r="N1333"/>
  <c r="M1333"/>
  <c r="L1333"/>
  <c r="K1333"/>
  <c r="J1333"/>
  <c r="I1333"/>
  <c r="H1333"/>
  <c r="G1333"/>
  <c r="F1333"/>
  <c r="E1333"/>
  <c r="D1333"/>
  <c r="U1331" l="1"/>
  <c r="S1331"/>
  <c r="U1334"/>
  <c r="S1334"/>
  <c r="R1331"/>
  <c r="Q1331"/>
  <c r="R1334"/>
  <c r="Q1334"/>
  <c r="T1331" l="1"/>
  <c r="V1331" s="1"/>
  <c r="T1334"/>
  <c r="V1334" s="1"/>
  <c r="H382" i="4" l="1"/>
  <c r="H381"/>
  <c r="K382"/>
  <c r="K381"/>
  <c r="K379"/>
  <c r="K378"/>
  <c r="H379"/>
  <c r="H378"/>
  <c r="K370"/>
  <c r="H370"/>
  <c r="K369"/>
  <c r="H369"/>
  <c r="K368"/>
  <c r="H368"/>
  <c r="K366"/>
  <c r="H366"/>
  <c r="H362"/>
  <c r="H360"/>
  <c r="K354"/>
  <c r="K355"/>
  <c r="K356"/>
  <c r="H354"/>
  <c r="H355"/>
  <c r="H356"/>
  <c r="K353"/>
  <c r="H353"/>
  <c r="K352"/>
  <c r="H352"/>
  <c r="K349"/>
  <c r="H349"/>
  <c r="K348"/>
  <c r="H348"/>
  <c r="K347"/>
  <c r="H347"/>
  <c r="K346"/>
  <c r="H346"/>
  <c r="K345"/>
  <c r="H345"/>
  <c r="K344"/>
  <c r="H344"/>
  <c r="K343"/>
  <c r="H343"/>
  <c r="H342"/>
  <c r="K340"/>
  <c r="H340"/>
  <c r="K339"/>
  <c r="H339"/>
  <c r="K337"/>
  <c r="H337"/>
  <c r="K336"/>
  <c r="H336"/>
  <c r="H330"/>
  <c r="H329"/>
  <c r="K328"/>
  <c r="H328"/>
  <c r="K327"/>
  <c r="H327"/>
  <c r="K325"/>
  <c r="K324"/>
  <c r="H325"/>
  <c r="H324"/>
  <c r="H323"/>
  <c r="H322"/>
  <c r="H321"/>
  <c r="E442" l="1"/>
  <c r="N442" s="1"/>
  <c r="E441"/>
  <c r="N441" s="1"/>
  <c r="P1330" i="12"/>
  <c r="L1330"/>
  <c r="K1330"/>
  <c r="J1330"/>
  <c r="I1330"/>
  <c r="H1330"/>
  <c r="G1330"/>
  <c r="F1330"/>
  <c r="E1330"/>
  <c r="D1330"/>
  <c r="P1327"/>
  <c r="O1327"/>
  <c r="N1327"/>
  <c r="M1327"/>
  <c r="L1327"/>
  <c r="K1327"/>
  <c r="J1327"/>
  <c r="I1327"/>
  <c r="H1327"/>
  <c r="G1327"/>
  <c r="F1327"/>
  <c r="E1327"/>
  <c r="D1327"/>
  <c r="E440" i="4"/>
  <c r="N440" s="1"/>
  <c r="Q1328" i="12" l="1"/>
  <c r="R1328"/>
  <c r="T1328" s="1"/>
  <c r="U1325"/>
  <c r="U1328"/>
  <c r="S1328"/>
  <c r="R1325"/>
  <c r="S1325"/>
  <c r="Q1325"/>
  <c r="P1324"/>
  <c r="L1324"/>
  <c r="K1324"/>
  <c r="J1324"/>
  <c r="I1324"/>
  <c r="H1324"/>
  <c r="G1324"/>
  <c r="F1324"/>
  <c r="E1324"/>
  <c r="D1324"/>
  <c r="P1321"/>
  <c r="O1321"/>
  <c r="N1321"/>
  <c r="M1321"/>
  <c r="L1321"/>
  <c r="K1321"/>
  <c r="J1321"/>
  <c r="I1321"/>
  <c r="H1321"/>
  <c r="G1321"/>
  <c r="F1321"/>
  <c r="E1321"/>
  <c r="D1321"/>
  <c r="E435" i="4"/>
  <c r="N435" s="1"/>
  <c r="P1318" i="12"/>
  <c r="L1318"/>
  <c r="K1318"/>
  <c r="J1318"/>
  <c r="I1318"/>
  <c r="H1318"/>
  <c r="G1318"/>
  <c r="F1318"/>
  <c r="E1318"/>
  <c r="D1318"/>
  <c r="R1316" s="1"/>
  <c r="P1315"/>
  <c r="O1315"/>
  <c r="N1315"/>
  <c r="M1315"/>
  <c r="L1315"/>
  <c r="K1315"/>
  <c r="J1315"/>
  <c r="I1315"/>
  <c r="H1315"/>
  <c r="G1315"/>
  <c r="F1315"/>
  <c r="E1315"/>
  <c r="D1315"/>
  <c r="E434" i="4"/>
  <c r="N434" s="1"/>
  <c r="E433"/>
  <c r="N433" s="1"/>
  <c r="E432"/>
  <c r="N432" s="1"/>
  <c r="E431"/>
  <c r="N431" s="1"/>
  <c r="E428"/>
  <c r="N428" s="1"/>
  <c r="E427"/>
  <c r="Q1322" i="12" l="1"/>
  <c r="R1319"/>
  <c r="R1322"/>
  <c r="R1313"/>
  <c r="Q1316"/>
  <c r="T1316" s="1"/>
  <c r="V1328"/>
  <c r="T1325"/>
  <c r="V1325" s="1"/>
  <c r="U1319"/>
  <c r="T1322"/>
  <c r="S1322"/>
  <c r="U1322"/>
  <c r="S1319"/>
  <c r="Q1319"/>
  <c r="T1319" s="1"/>
  <c r="V1319" s="1"/>
  <c r="U1313"/>
  <c r="U1316"/>
  <c r="S1316"/>
  <c r="V1316" s="1"/>
  <c r="S1313"/>
  <c r="Q1313"/>
  <c r="N427" i="4"/>
  <c r="P1312" i="12"/>
  <c r="L1312"/>
  <c r="K1312"/>
  <c r="J1312"/>
  <c r="I1312"/>
  <c r="H1312"/>
  <c r="G1312"/>
  <c r="F1312"/>
  <c r="E1312"/>
  <c r="D1312"/>
  <c r="P1309"/>
  <c r="O1309"/>
  <c r="N1309"/>
  <c r="M1309"/>
  <c r="L1309"/>
  <c r="K1309"/>
  <c r="J1309"/>
  <c r="I1309"/>
  <c r="H1309"/>
  <c r="G1309"/>
  <c r="F1309"/>
  <c r="E1309"/>
  <c r="D1309"/>
  <c r="P1306"/>
  <c r="L1306"/>
  <c r="K1306"/>
  <c r="J1306"/>
  <c r="I1306"/>
  <c r="H1306"/>
  <c r="G1306"/>
  <c r="F1306"/>
  <c r="E1306"/>
  <c r="D1306"/>
  <c r="P1303"/>
  <c r="O1303"/>
  <c r="N1303"/>
  <c r="M1303"/>
  <c r="L1303"/>
  <c r="K1303"/>
  <c r="J1303"/>
  <c r="I1303"/>
  <c r="H1303"/>
  <c r="G1303"/>
  <c r="F1303"/>
  <c r="E1303"/>
  <c r="D1303"/>
  <c r="R1301" s="1"/>
  <c r="E425" i="4"/>
  <c r="N425" s="1"/>
  <c r="P1300" i="12"/>
  <c r="L1300"/>
  <c r="K1300"/>
  <c r="J1300"/>
  <c r="I1300"/>
  <c r="H1300"/>
  <c r="G1300"/>
  <c r="F1300"/>
  <c r="E1300"/>
  <c r="D1300"/>
  <c r="P1297"/>
  <c r="O1297"/>
  <c r="N1297"/>
  <c r="M1297"/>
  <c r="L1297"/>
  <c r="K1297"/>
  <c r="J1297"/>
  <c r="I1297"/>
  <c r="H1297"/>
  <c r="G1297"/>
  <c r="F1297"/>
  <c r="E1297"/>
  <c r="D1297"/>
  <c r="E424" i="4"/>
  <c r="N424" s="1"/>
  <c r="P1294" i="12"/>
  <c r="O1294"/>
  <c r="N1294"/>
  <c r="M1294"/>
  <c r="L1294"/>
  <c r="K1294"/>
  <c r="J1294"/>
  <c r="I1294"/>
  <c r="H1294"/>
  <c r="G1294"/>
  <c r="F1294"/>
  <c r="E1294"/>
  <c r="D1294"/>
  <c r="P1291"/>
  <c r="L1291"/>
  <c r="K1291"/>
  <c r="J1291"/>
  <c r="I1291"/>
  <c r="H1291"/>
  <c r="G1291"/>
  <c r="F1291"/>
  <c r="E1291"/>
  <c r="D1291"/>
  <c r="E423" i="4"/>
  <c r="N423" s="1"/>
  <c r="E422"/>
  <c r="N422" s="1"/>
  <c r="P1288" i="12"/>
  <c r="O1288"/>
  <c r="N1288"/>
  <c r="M1288"/>
  <c r="L1288"/>
  <c r="K1288"/>
  <c r="J1288"/>
  <c r="I1288"/>
  <c r="H1288"/>
  <c r="G1288"/>
  <c r="F1288"/>
  <c r="E1288"/>
  <c r="D1288"/>
  <c r="P1285"/>
  <c r="L1285"/>
  <c r="K1285"/>
  <c r="J1285"/>
  <c r="I1285"/>
  <c r="H1285"/>
  <c r="G1285"/>
  <c r="F1285"/>
  <c r="E1285"/>
  <c r="D1285"/>
  <c r="E420" i="4"/>
  <c r="N420" s="1"/>
  <c r="E418"/>
  <c r="N418" s="1"/>
  <c r="E417"/>
  <c r="N417" s="1"/>
  <c r="E416"/>
  <c r="N416" s="1"/>
  <c r="E415"/>
  <c r="N415" s="1"/>
  <c r="P1282" i="12"/>
  <c r="O1282"/>
  <c r="N1282"/>
  <c r="M1282"/>
  <c r="L1282"/>
  <c r="K1282"/>
  <c r="J1282"/>
  <c r="I1282"/>
  <c r="H1282"/>
  <c r="G1282"/>
  <c r="F1282"/>
  <c r="E1282"/>
  <c r="D1282"/>
  <c r="P1279"/>
  <c r="L1279"/>
  <c r="K1279"/>
  <c r="J1279"/>
  <c r="I1279"/>
  <c r="H1279"/>
  <c r="G1279"/>
  <c r="F1279"/>
  <c r="E1279"/>
  <c r="D1279"/>
  <c r="E414" i="4"/>
  <c r="N414" s="1"/>
  <c r="P1276" i="12"/>
  <c r="O1276"/>
  <c r="N1276"/>
  <c r="M1276"/>
  <c r="L1276"/>
  <c r="K1276"/>
  <c r="J1276"/>
  <c r="I1276"/>
  <c r="H1276"/>
  <c r="G1276"/>
  <c r="F1276"/>
  <c r="E1276"/>
  <c r="D1276"/>
  <c r="R1274" s="1"/>
  <c r="P1273"/>
  <c r="L1273"/>
  <c r="K1273"/>
  <c r="J1273"/>
  <c r="I1273"/>
  <c r="H1273"/>
  <c r="G1273"/>
  <c r="F1273"/>
  <c r="E1273"/>
  <c r="D1273"/>
  <c r="P1270"/>
  <c r="O1270"/>
  <c r="N1270"/>
  <c r="M1270"/>
  <c r="L1270"/>
  <c r="K1270"/>
  <c r="J1270"/>
  <c r="I1270"/>
  <c r="H1270"/>
  <c r="G1270"/>
  <c r="F1270"/>
  <c r="E1270"/>
  <c r="D1270"/>
  <c r="P1267"/>
  <c r="L1267"/>
  <c r="K1267"/>
  <c r="J1267"/>
  <c r="I1267"/>
  <c r="H1267"/>
  <c r="G1267"/>
  <c r="F1267"/>
  <c r="E1267"/>
  <c r="D1267"/>
  <c r="P1264"/>
  <c r="O1264"/>
  <c r="N1264"/>
  <c r="M1264"/>
  <c r="L1264"/>
  <c r="K1264"/>
  <c r="J1264"/>
  <c r="I1264"/>
  <c r="H1264"/>
  <c r="G1264"/>
  <c r="F1264"/>
  <c r="E1264"/>
  <c r="D1264"/>
  <c r="P1261"/>
  <c r="L1261"/>
  <c r="K1261"/>
  <c r="J1261"/>
  <c r="I1261"/>
  <c r="H1261"/>
  <c r="G1261"/>
  <c r="F1261"/>
  <c r="E1261"/>
  <c r="D1261"/>
  <c r="E412" i="4"/>
  <c r="N412" s="1"/>
  <c r="I38" i="14"/>
  <c r="I37"/>
  <c r="I35"/>
  <c r="I34"/>
  <c r="R1289" i="12" l="1"/>
  <c r="Q1295"/>
  <c r="V1322"/>
  <c r="U1262"/>
  <c r="Q1292"/>
  <c r="R1298"/>
  <c r="R1262"/>
  <c r="S1262"/>
  <c r="R1292"/>
  <c r="T1292" s="1"/>
  <c r="U1307"/>
  <c r="T1313"/>
  <c r="V1313" s="1"/>
  <c r="Q1286"/>
  <c r="R1280"/>
  <c r="U1292"/>
  <c r="U1301"/>
  <c r="U1310"/>
  <c r="R1310"/>
  <c r="S1307"/>
  <c r="R1307"/>
  <c r="S1310"/>
  <c r="Q1307"/>
  <c r="Q1310"/>
  <c r="R1304"/>
  <c r="Q1304"/>
  <c r="S1304"/>
  <c r="U1304"/>
  <c r="S1301"/>
  <c r="Q1301"/>
  <c r="T1301" s="1"/>
  <c r="V1301" s="1"/>
  <c r="R1295"/>
  <c r="T1295" s="1"/>
  <c r="U1295"/>
  <c r="S1298"/>
  <c r="Q1298"/>
  <c r="T1298" s="1"/>
  <c r="V1298" s="1"/>
  <c r="U1298"/>
  <c r="S1295"/>
  <c r="S1289"/>
  <c r="U1289"/>
  <c r="Q1289"/>
  <c r="T1289" s="1"/>
  <c r="S1292"/>
  <c r="R1283"/>
  <c r="Q1283"/>
  <c r="U1283"/>
  <c r="S1283"/>
  <c r="U1286"/>
  <c r="R1286"/>
  <c r="T1286" s="1"/>
  <c r="S1286"/>
  <c r="U1280"/>
  <c r="U1277"/>
  <c r="S1277"/>
  <c r="S1280"/>
  <c r="R1277"/>
  <c r="Q1277"/>
  <c r="Q1280"/>
  <c r="S1271"/>
  <c r="U1271"/>
  <c r="S1274"/>
  <c r="U1274"/>
  <c r="R1271"/>
  <c r="Q1271"/>
  <c r="Q1274"/>
  <c r="T1274" s="1"/>
  <c r="V1274" s="1"/>
  <c r="U1268"/>
  <c r="Q1268"/>
  <c r="R1268"/>
  <c r="S1268"/>
  <c r="R1265"/>
  <c r="S1265"/>
  <c r="Q1265"/>
  <c r="U1265"/>
  <c r="Q1262"/>
  <c r="T1262" s="1"/>
  <c r="U1259"/>
  <c r="S1259"/>
  <c r="R1259"/>
  <c r="Q1259"/>
  <c r="P1258"/>
  <c r="O1258"/>
  <c r="N1258"/>
  <c r="M1258"/>
  <c r="L1258"/>
  <c r="K1258"/>
  <c r="J1258"/>
  <c r="I1258"/>
  <c r="H1258"/>
  <c r="G1258"/>
  <c r="F1258"/>
  <c r="E1258"/>
  <c r="D1258"/>
  <c r="P1255"/>
  <c r="L1255"/>
  <c r="K1255"/>
  <c r="J1255"/>
  <c r="I1255"/>
  <c r="H1255"/>
  <c r="G1255"/>
  <c r="F1255"/>
  <c r="E1255"/>
  <c r="D1255"/>
  <c r="E410" i="4"/>
  <c r="N410" s="1"/>
  <c r="E409"/>
  <c r="N409" s="1"/>
  <c r="P1252" i="12"/>
  <c r="O1252"/>
  <c r="N1252"/>
  <c r="M1252"/>
  <c r="L1252"/>
  <c r="K1252"/>
  <c r="J1252"/>
  <c r="I1252"/>
  <c r="H1252"/>
  <c r="G1252"/>
  <c r="F1252"/>
  <c r="E1252"/>
  <c r="D1252"/>
  <c r="P1249"/>
  <c r="L1249"/>
  <c r="K1249"/>
  <c r="J1249"/>
  <c r="I1249"/>
  <c r="H1249"/>
  <c r="G1249"/>
  <c r="F1249"/>
  <c r="E1249"/>
  <c r="D1249"/>
  <c r="E408" i="4"/>
  <c r="N408" s="1"/>
  <c r="E407"/>
  <c r="N407" s="1"/>
  <c r="P1246" i="12"/>
  <c r="O1246"/>
  <c r="N1246"/>
  <c r="M1246"/>
  <c r="L1246"/>
  <c r="K1246"/>
  <c r="J1246"/>
  <c r="I1246"/>
  <c r="H1246"/>
  <c r="G1246"/>
  <c r="F1246"/>
  <c r="E1246"/>
  <c r="D1246"/>
  <c r="P1243"/>
  <c r="L1243"/>
  <c r="K1243"/>
  <c r="J1243"/>
  <c r="I1243"/>
  <c r="H1243"/>
  <c r="G1243"/>
  <c r="F1243"/>
  <c r="E1243"/>
  <c r="D1243"/>
  <c r="P1240"/>
  <c r="O1240"/>
  <c r="N1240"/>
  <c r="M1240"/>
  <c r="L1240"/>
  <c r="K1240"/>
  <c r="J1240"/>
  <c r="I1240"/>
  <c r="H1240"/>
  <c r="G1240"/>
  <c r="F1240"/>
  <c r="E1240"/>
  <c r="D1240"/>
  <c r="P1237"/>
  <c r="L1237"/>
  <c r="K1237"/>
  <c r="J1237"/>
  <c r="I1237"/>
  <c r="H1237"/>
  <c r="G1237"/>
  <c r="F1237"/>
  <c r="E1237"/>
  <c r="D1237"/>
  <c r="N403" i="4"/>
  <c r="N402"/>
  <c r="E401"/>
  <c r="N401" s="1"/>
  <c r="P1234" i="12"/>
  <c r="O1234"/>
  <c r="N1234"/>
  <c r="M1234"/>
  <c r="L1234"/>
  <c r="K1234"/>
  <c r="J1234"/>
  <c r="I1234"/>
  <c r="H1234"/>
  <c r="G1234"/>
  <c r="F1234"/>
  <c r="E1234"/>
  <c r="D1234"/>
  <c r="P1231"/>
  <c r="L1231"/>
  <c r="K1231"/>
  <c r="J1231"/>
  <c r="I1231"/>
  <c r="H1231"/>
  <c r="G1231"/>
  <c r="F1231"/>
  <c r="E1231"/>
  <c r="D1231"/>
  <c r="E400" i="4"/>
  <c r="N400" s="1"/>
  <c r="E399"/>
  <c r="N399" s="1"/>
  <c r="P1228" i="12"/>
  <c r="O1228"/>
  <c r="N1228"/>
  <c r="M1228"/>
  <c r="L1228"/>
  <c r="K1228"/>
  <c r="J1228"/>
  <c r="I1228"/>
  <c r="H1228"/>
  <c r="G1228"/>
  <c r="F1228"/>
  <c r="E1228"/>
  <c r="D1228"/>
  <c r="P1225"/>
  <c r="L1225"/>
  <c r="K1225"/>
  <c r="J1225"/>
  <c r="I1225"/>
  <c r="H1225"/>
  <c r="G1225"/>
  <c r="F1225"/>
  <c r="E1225"/>
  <c r="D1225"/>
  <c r="E398" i="4"/>
  <c r="N398" s="1"/>
  <c r="E397"/>
  <c r="N397" s="1"/>
  <c r="E389"/>
  <c r="N389" s="1"/>
  <c r="P1207" i="12"/>
  <c r="O1207"/>
  <c r="N1207"/>
  <c r="M1207"/>
  <c r="L1207"/>
  <c r="K1207"/>
  <c r="J1207"/>
  <c r="I1207"/>
  <c r="H1207"/>
  <c r="G1207"/>
  <c r="F1207"/>
  <c r="E1207"/>
  <c r="D1207"/>
  <c r="P1204"/>
  <c r="L1204"/>
  <c r="K1204"/>
  <c r="J1204"/>
  <c r="I1204"/>
  <c r="H1204"/>
  <c r="G1204"/>
  <c r="F1204"/>
  <c r="E1204"/>
  <c r="D1204"/>
  <c r="P1201"/>
  <c r="O1201"/>
  <c r="N1201"/>
  <c r="M1201"/>
  <c r="L1201"/>
  <c r="K1201"/>
  <c r="J1201"/>
  <c r="I1201"/>
  <c r="H1201"/>
  <c r="G1201"/>
  <c r="F1201"/>
  <c r="E1201"/>
  <c r="D1201"/>
  <c r="P1198"/>
  <c r="O1198"/>
  <c r="N1198"/>
  <c r="M1198"/>
  <c r="L1198"/>
  <c r="K1198"/>
  <c r="J1198"/>
  <c r="I1198"/>
  <c r="H1198"/>
  <c r="G1198"/>
  <c r="F1198"/>
  <c r="E1198"/>
  <c r="D1198"/>
  <c r="T1283" l="1"/>
  <c r="V1283" s="1"/>
  <c r="V1262"/>
  <c r="T1280"/>
  <c r="V1280" s="1"/>
  <c r="V1289"/>
  <c r="V1292"/>
  <c r="T1304"/>
  <c r="V1304" s="1"/>
  <c r="T1310"/>
  <c r="V1310" s="1"/>
  <c r="T1307"/>
  <c r="V1307" s="1"/>
  <c r="V1295"/>
  <c r="V1286"/>
  <c r="T1277"/>
  <c r="V1277" s="1"/>
  <c r="T1271"/>
  <c r="V1271" s="1"/>
  <c r="T1268"/>
  <c r="V1268" s="1"/>
  <c r="T1265"/>
  <c r="V1265" s="1"/>
  <c r="T1259"/>
  <c r="V1259" s="1"/>
  <c r="U1244"/>
  <c r="R1244"/>
  <c r="R1226"/>
  <c r="Q1229"/>
  <c r="S1235"/>
  <c r="R1232"/>
  <c r="R1235"/>
  <c r="U1226"/>
  <c r="U1229"/>
  <c r="U1232"/>
  <c r="R1256"/>
  <c r="U1256"/>
  <c r="U1253"/>
  <c r="S1253"/>
  <c r="S1256"/>
  <c r="R1253"/>
  <c r="Q1253"/>
  <c r="Q1256"/>
  <c r="Q1250"/>
  <c r="R1250"/>
  <c r="R1247"/>
  <c r="Q1247"/>
  <c r="S1247"/>
  <c r="U1250"/>
  <c r="U1247"/>
  <c r="S1250"/>
  <c r="U1241"/>
  <c r="S1241"/>
  <c r="S1244"/>
  <c r="R1241"/>
  <c r="Q1241"/>
  <c r="Q1244"/>
  <c r="T1244" s="1"/>
  <c r="U1238"/>
  <c r="U1235"/>
  <c r="Q1235"/>
  <c r="T1235" s="1"/>
  <c r="V1235" s="1"/>
  <c r="Q1238"/>
  <c r="S1238"/>
  <c r="R1238"/>
  <c r="S1229"/>
  <c r="S1232"/>
  <c r="R1229"/>
  <c r="Q1232"/>
  <c r="T1232" s="1"/>
  <c r="U1223"/>
  <c r="S1223"/>
  <c r="S1226"/>
  <c r="R1223"/>
  <c r="Q1223"/>
  <c r="Q1226"/>
  <c r="R1199"/>
  <c r="R1196"/>
  <c r="U1205"/>
  <c r="S1205"/>
  <c r="R1205"/>
  <c r="Q1205"/>
  <c r="R1202"/>
  <c r="U1202"/>
  <c r="S1202"/>
  <c r="Q1202"/>
  <c r="U1199"/>
  <c r="U1196"/>
  <c r="S1199"/>
  <c r="Q1199"/>
  <c r="T1199" s="1"/>
  <c r="S1196"/>
  <c r="Q1196"/>
  <c r="T1196" s="1"/>
  <c r="P1195"/>
  <c r="L1195"/>
  <c r="K1195"/>
  <c r="J1195"/>
  <c r="I1195"/>
  <c r="H1195"/>
  <c r="G1195"/>
  <c r="F1195"/>
  <c r="E1195"/>
  <c r="D1195"/>
  <c r="P1192"/>
  <c r="O1192"/>
  <c r="N1192"/>
  <c r="M1192"/>
  <c r="L1192"/>
  <c r="K1192"/>
  <c r="J1192"/>
  <c r="I1192"/>
  <c r="H1192"/>
  <c r="G1192"/>
  <c r="F1192"/>
  <c r="E1192"/>
  <c r="D1192"/>
  <c r="I1186"/>
  <c r="T1226" l="1"/>
  <c r="V1226" s="1"/>
  <c r="T1247"/>
  <c r="V1247" s="1"/>
  <c r="T1229"/>
  <c r="V1229" s="1"/>
  <c r="V1196"/>
  <c r="T1256"/>
  <c r="V1256" s="1"/>
  <c r="T1253"/>
  <c r="V1253" s="1"/>
  <c r="T1250"/>
  <c r="V1250" s="1"/>
  <c r="T1241"/>
  <c r="V1241" s="1"/>
  <c r="V1244"/>
  <c r="T1238"/>
  <c r="V1238" s="1"/>
  <c r="V1232"/>
  <c r="T1223"/>
  <c r="V1223" s="1"/>
  <c r="V1199"/>
  <c r="T1205"/>
  <c r="V1205" s="1"/>
  <c r="T1202"/>
  <c r="V1202" s="1"/>
  <c r="R1193"/>
  <c r="S1193"/>
  <c r="Q1193"/>
  <c r="S1190"/>
  <c r="U1190"/>
  <c r="R1190"/>
  <c r="Q1190"/>
  <c r="U1193"/>
  <c r="E386" i="4"/>
  <c r="N386" s="1"/>
  <c r="T1193" i="12" l="1"/>
  <c r="V1193" s="1"/>
  <c r="T1190"/>
  <c r="V1190" s="1"/>
  <c r="D1189"/>
  <c r="P1189"/>
  <c r="O1189"/>
  <c r="N1189"/>
  <c r="M1189"/>
  <c r="L1189"/>
  <c r="K1189"/>
  <c r="J1189"/>
  <c r="I1189"/>
  <c r="H1189"/>
  <c r="G1189"/>
  <c r="F1189"/>
  <c r="E1189"/>
  <c r="P1186"/>
  <c r="L1186"/>
  <c r="K1186"/>
  <c r="J1186"/>
  <c r="H1186"/>
  <c r="G1186"/>
  <c r="F1186"/>
  <c r="E1186"/>
  <c r="D1186"/>
  <c r="R1187" l="1"/>
  <c r="U1187"/>
  <c r="U1184"/>
  <c r="S1184"/>
  <c r="S1187"/>
  <c r="R1184"/>
  <c r="Q1184"/>
  <c r="Q1187"/>
  <c r="T1184" l="1"/>
  <c r="V1184" s="1"/>
  <c r="T1187"/>
  <c r="V1187" s="1"/>
  <c r="E385" i="4" l="1"/>
  <c r="N385" s="1"/>
  <c r="E382"/>
  <c r="N382" s="1"/>
  <c r="E381"/>
  <c r="N381" s="1"/>
  <c r="E374" l="1"/>
  <c r="N374" s="1"/>
  <c r="P1177" i="12"/>
  <c r="O1177"/>
  <c r="N1177"/>
  <c r="M1177"/>
  <c r="L1177"/>
  <c r="K1177"/>
  <c r="J1177"/>
  <c r="I1177"/>
  <c r="H1177"/>
  <c r="G1177"/>
  <c r="F1177"/>
  <c r="E1177"/>
  <c r="D1177"/>
  <c r="P1174"/>
  <c r="L1174"/>
  <c r="K1174"/>
  <c r="J1174"/>
  <c r="I1174"/>
  <c r="H1174"/>
  <c r="G1174"/>
  <c r="F1174"/>
  <c r="E1174"/>
  <c r="D1174"/>
  <c r="P1165"/>
  <c r="O1165"/>
  <c r="N1165"/>
  <c r="M1165"/>
  <c r="L1165"/>
  <c r="K1165"/>
  <c r="J1165"/>
  <c r="I1165"/>
  <c r="H1165"/>
  <c r="G1165"/>
  <c r="F1165"/>
  <c r="E1165"/>
  <c r="D1165"/>
  <c r="P1162"/>
  <c r="L1162"/>
  <c r="K1162"/>
  <c r="J1162"/>
  <c r="I1162"/>
  <c r="H1162"/>
  <c r="G1162"/>
  <c r="F1162"/>
  <c r="E1162"/>
  <c r="D1162"/>
  <c r="P1135"/>
  <c r="O1135"/>
  <c r="N1135"/>
  <c r="M1135"/>
  <c r="L1135"/>
  <c r="K1135"/>
  <c r="J1135"/>
  <c r="I1135"/>
  <c r="H1135"/>
  <c r="G1135"/>
  <c r="F1135"/>
  <c r="E1135"/>
  <c r="D1135"/>
  <c r="P1132"/>
  <c r="L1132"/>
  <c r="K1132"/>
  <c r="J1132"/>
  <c r="I1132"/>
  <c r="H1132"/>
  <c r="G1132"/>
  <c r="F1132"/>
  <c r="E1132"/>
  <c r="D1132"/>
  <c r="P1129"/>
  <c r="O1129"/>
  <c r="N1129"/>
  <c r="M1129"/>
  <c r="L1129"/>
  <c r="K1129"/>
  <c r="J1129"/>
  <c r="I1129"/>
  <c r="H1129"/>
  <c r="G1129"/>
  <c r="F1129"/>
  <c r="E1129"/>
  <c r="D1129"/>
  <c r="P1126"/>
  <c r="L1126"/>
  <c r="K1126"/>
  <c r="J1126"/>
  <c r="I1126"/>
  <c r="H1126"/>
  <c r="G1126"/>
  <c r="F1126"/>
  <c r="E1126"/>
  <c r="D1126"/>
  <c r="E366" i="4"/>
  <c r="N366" s="1"/>
  <c r="E360"/>
  <c r="N360" s="1"/>
  <c r="R1124" i="12" l="1"/>
  <c r="S1175"/>
  <c r="Q1172"/>
  <c r="U1172"/>
  <c r="U1175"/>
  <c r="S1160"/>
  <c r="Q1175"/>
  <c r="R1175"/>
  <c r="S1172"/>
  <c r="R1172"/>
  <c r="S1163"/>
  <c r="U1163"/>
  <c r="U1160"/>
  <c r="R1160"/>
  <c r="R1163"/>
  <c r="Q1160"/>
  <c r="Q1163"/>
  <c r="R1127"/>
  <c r="Q1133"/>
  <c r="U1124"/>
  <c r="U1133"/>
  <c r="S1124"/>
  <c r="U1130"/>
  <c r="S1133"/>
  <c r="R1133"/>
  <c r="R1130"/>
  <c r="Q1130"/>
  <c r="S1130"/>
  <c r="U1127"/>
  <c r="Q1127"/>
  <c r="T1127" s="1"/>
  <c r="Q1124"/>
  <c r="S1127"/>
  <c r="P1105"/>
  <c r="O1105"/>
  <c r="N1105"/>
  <c r="M1105"/>
  <c r="L1105"/>
  <c r="K1105"/>
  <c r="J1105"/>
  <c r="I1105"/>
  <c r="H1105"/>
  <c r="G1105"/>
  <c r="F1105"/>
  <c r="E1105"/>
  <c r="D1105"/>
  <c r="P1102"/>
  <c r="L1102"/>
  <c r="K1102"/>
  <c r="J1102"/>
  <c r="I1102"/>
  <c r="H1102"/>
  <c r="G1102"/>
  <c r="F1102"/>
  <c r="E1102"/>
  <c r="D1102"/>
  <c r="E345" i="4"/>
  <c r="N345" s="1"/>
  <c r="E344"/>
  <c r="N344" s="1"/>
  <c r="E343"/>
  <c r="N343" s="1"/>
  <c r="E339"/>
  <c r="N339" s="1"/>
  <c r="P1069" i="12"/>
  <c r="O1069"/>
  <c r="N1069"/>
  <c r="M1069"/>
  <c r="L1069"/>
  <c r="K1069"/>
  <c r="J1069"/>
  <c r="I1069"/>
  <c r="H1069"/>
  <c r="G1069"/>
  <c r="F1069"/>
  <c r="E1069"/>
  <c r="D1069"/>
  <c r="P1066"/>
  <c r="L1066"/>
  <c r="K1066"/>
  <c r="J1066"/>
  <c r="I1066"/>
  <c r="H1066"/>
  <c r="G1066"/>
  <c r="F1066"/>
  <c r="E1066"/>
  <c r="D1066"/>
  <c r="L1060"/>
  <c r="K1060"/>
  <c r="J1060"/>
  <c r="I1060"/>
  <c r="H1060"/>
  <c r="G1060"/>
  <c r="F1060"/>
  <c r="E1060"/>
  <c r="D1060"/>
  <c r="E337" i="4"/>
  <c r="N337" s="1"/>
  <c r="E336"/>
  <c r="N336" s="1"/>
  <c r="E335"/>
  <c r="N335" s="1"/>
  <c r="E332"/>
  <c r="N332" s="1"/>
  <c r="E331"/>
  <c r="N331" s="1"/>
  <c r="E330"/>
  <c r="N330" s="1"/>
  <c r="E329"/>
  <c r="N329" s="1"/>
  <c r="E328"/>
  <c r="N328" s="1"/>
  <c r="E325"/>
  <c r="N325" s="1"/>
  <c r="E324"/>
  <c r="N324" s="1"/>
  <c r="E320"/>
  <c r="N320" s="1"/>
  <c r="E318"/>
  <c r="N318" s="1"/>
  <c r="E316"/>
  <c r="N316" s="1"/>
  <c r="P1015" i="12"/>
  <c r="O1015"/>
  <c r="N1015"/>
  <c r="M1015"/>
  <c r="L1015"/>
  <c r="K1015"/>
  <c r="J1015"/>
  <c r="I1015"/>
  <c r="H1015"/>
  <c r="G1015"/>
  <c r="F1015"/>
  <c r="E1015"/>
  <c r="D1015"/>
  <c r="P1012"/>
  <c r="L1012"/>
  <c r="K1012"/>
  <c r="J1012"/>
  <c r="I1012"/>
  <c r="H1012"/>
  <c r="G1012"/>
  <c r="F1012"/>
  <c r="E1012"/>
  <c r="D1012"/>
  <c r="E315" i="4"/>
  <c r="N315" s="1"/>
  <c r="E314"/>
  <c r="N314" s="1"/>
  <c r="E308"/>
  <c r="N308" s="1"/>
  <c r="P961" i="12"/>
  <c r="O961"/>
  <c r="N961"/>
  <c r="M961"/>
  <c r="L961"/>
  <c r="K961"/>
  <c r="J961"/>
  <c r="I961"/>
  <c r="H961"/>
  <c r="G961"/>
  <c r="F961"/>
  <c r="E961"/>
  <c r="D961"/>
  <c r="P958"/>
  <c r="L958"/>
  <c r="K958"/>
  <c r="J958"/>
  <c r="I958"/>
  <c r="H958"/>
  <c r="G958"/>
  <c r="F958"/>
  <c r="E958"/>
  <c r="D958"/>
  <c r="P955"/>
  <c r="O955"/>
  <c r="N955"/>
  <c r="M955"/>
  <c r="L955"/>
  <c r="K955"/>
  <c r="J955"/>
  <c r="I955"/>
  <c r="H955"/>
  <c r="G955"/>
  <c r="F955"/>
  <c r="E955"/>
  <c r="D955"/>
  <c r="P952"/>
  <c r="L952"/>
  <c r="K952"/>
  <c r="J952"/>
  <c r="I952"/>
  <c r="H952"/>
  <c r="G952"/>
  <c r="F952"/>
  <c r="E952"/>
  <c r="D952"/>
  <c r="E296" i="4"/>
  <c r="N296" s="1"/>
  <c r="P907" i="12"/>
  <c r="O907"/>
  <c r="N907"/>
  <c r="M907"/>
  <c r="L907"/>
  <c r="K907"/>
  <c r="J907"/>
  <c r="I907"/>
  <c r="H907"/>
  <c r="G907"/>
  <c r="F907"/>
  <c r="E907"/>
  <c r="D907"/>
  <c r="E288" i="4"/>
  <c r="N288" s="1"/>
  <c r="E286"/>
  <c r="N286" s="1"/>
  <c r="E285"/>
  <c r="N285" s="1"/>
  <c r="E283"/>
  <c r="N283" s="1"/>
  <c r="E282"/>
  <c r="N282" s="1"/>
  <c r="E275"/>
  <c r="N275" s="1"/>
  <c r="P856" i="12"/>
  <c r="O856"/>
  <c r="N856"/>
  <c r="M856"/>
  <c r="L856"/>
  <c r="K856"/>
  <c r="J856"/>
  <c r="I856"/>
  <c r="H856"/>
  <c r="G856"/>
  <c r="F856"/>
  <c r="E856"/>
  <c r="D856"/>
  <c r="P853"/>
  <c r="L853"/>
  <c r="K853"/>
  <c r="J853"/>
  <c r="I853"/>
  <c r="H853"/>
  <c r="G853"/>
  <c r="F853"/>
  <c r="E853"/>
  <c r="D853"/>
  <c r="P850"/>
  <c r="O850"/>
  <c r="N850"/>
  <c r="M850"/>
  <c r="L850"/>
  <c r="K850"/>
  <c r="J850"/>
  <c r="I850"/>
  <c r="H850"/>
  <c r="G850"/>
  <c r="F850"/>
  <c r="E850"/>
  <c r="D850"/>
  <c r="P847"/>
  <c r="L847"/>
  <c r="K847"/>
  <c r="J847"/>
  <c r="I847"/>
  <c r="H847"/>
  <c r="G847"/>
  <c r="F847"/>
  <c r="E847"/>
  <c r="D847"/>
  <c r="E478" i="4"/>
  <c r="N478" s="1"/>
  <c r="E477"/>
  <c r="N477" s="1"/>
  <c r="E476"/>
  <c r="N476" s="1"/>
  <c r="E475"/>
  <c r="N475" s="1"/>
  <c r="E474"/>
  <c r="N474" s="1"/>
  <c r="E473"/>
  <c r="N473" s="1"/>
  <c r="E472"/>
  <c r="N472" s="1"/>
  <c r="E471"/>
  <c r="N471" s="1"/>
  <c r="E470"/>
  <c r="N470" s="1"/>
  <c r="E469"/>
  <c r="N469" s="1"/>
  <c r="E468"/>
  <c r="N468" s="1"/>
  <c r="E467"/>
  <c r="N467" s="1"/>
  <c r="E466"/>
  <c r="N466" s="1"/>
  <c r="E465"/>
  <c r="N465" s="1"/>
  <c r="E464"/>
  <c r="N464" s="1"/>
  <c r="E463"/>
  <c r="N463" s="1"/>
  <c r="E462"/>
  <c r="N462" s="1"/>
  <c r="E461"/>
  <c r="N461" s="1"/>
  <c r="E460"/>
  <c r="N460" s="1"/>
  <c r="E459"/>
  <c r="N459" s="1"/>
  <c r="E458"/>
  <c r="N458" s="1"/>
  <c r="E457"/>
  <c r="N457" s="1"/>
  <c r="E456"/>
  <c r="N456" s="1"/>
  <c r="E455"/>
  <c r="N455" s="1"/>
  <c r="E454"/>
  <c r="N454" s="1"/>
  <c r="E453"/>
  <c r="N453" s="1"/>
  <c r="E452"/>
  <c r="N452" s="1"/>
  <c r="E451"/>
  <c r="N451" s="1"/>
  <c r="E450"/>
  <c r="N450" s="1"/>
  <c r="E449"/>
  <c r="N449" s="1"/>
  <c r="E448"/>
  <c r="N448" s="1"/>
  <c r="E447"/>
  <c r="N447" s="1"/>
  <c r="E446"/>
  <c r="N446" s="1"/>
  <c r="E445"/>
  <c r="N445" s="1"/>
  <c r="E444"/>
  <c r="N444" s="1"/>
  <c r="E443"/>
  <c r="N443" s="1"/>
  <c r="E439"/>
  <c r="N439" s="1"/>
  <c r="E438"/>
  <c r="N438" s="1"/>
  <c r="E437"/>
  <c r="N437" s="1"/>
  <c r="E436"/>
  <c r="N436" s="1"/>
  <c r="E430"/>
  <c r="N430" s="1"/>
  <c r="E429"/>
  <c r="N429" s="1"/>
  <c r="E426"/>
  <c r="N426" s="1"/>
  <c r="E421"/>
  <c r="N421" s="1"/>
  <c r="E419"/>
  <c r="N419" s="1"/>
  <c r="E413"/>
  <c r="N413" s="1"/>
  <c r="E411"/>
  <c r="N411" s="1"/>
  <c r="E406"/>
  <c r="N406" s="1"/>
  <c r="E405"/>
  <c r="N405" s="1"/>
  <c r="E404"/>
  <c r="N404" s="1"/>
  <c r="E396"/>
  <c r="N396" s="1"/>
  <c r="E395"/>
  <c r="N395" s="1"/>
  <c r="E394"/>
  <c r="N394" s="1"/>
  <c r="E393"/>
  <c r="N393" s="1"/>
  <c r="E392"/>
  <c r="N392" s="1"/>
  <c r="E391"/>
  <c r="N391" s="1"/>
  <c r="E390"/>
  <c r="N390" s="1"/>
  <c r="E388"/>
  <c r="N388" s="1"/>
  <c r="E387"/>
  <c r="N387" s="1"/>
  <c r="E384"/>
  <c r="N384" s="1"/>
  <c r="E383"/>
  <c r="N383" s="1"/>
  <c r="E380"/>
  <c r="N380" s="1"/>
  <c r="E379"/>
  <c r="N379" s="1"/>
  <c r="E378"/>
  <c r="N378" s="1"/>
  <c r="E377"/>
  <c r="N377" s="1"/>
  <c r="E376"/>
  <c r="N376" s="1"/>
  <c r="E375"/>
  <c r="N375" s="1"/>
  <c r="E373"/>
  <c r="N373" s="1"/>
  <c r="E372"/>
  <c r="N372" s="1"/>
  <c r="E371"/>
  <c r="N371" s="1"/>
  <c r="E370"/>
  <c r="N370" s="1"/>
  <c r="E369"/>
  <c r="N369" s="1"/>
  <c r="E368"/>
  <c r="N368" s="1"/>
  <c r="E367"/>
  <c r="N367" s="1"/>
  <c r="E365"/>
  <c r="N365" s="1"/>
  <c r="E364"/>
  <c r="N364" s="1"/>
  <c r="E363"/>
  <c r="N363" s="1"/>
  <c r="E362"/>
  <c r="N362" s="1"/>
  <c r="E361"/>
  <c r="N361" s="1"/>
  <c r="E359"/>
  <c r="N359" s="1"/>
  <c r="E358"/>
  <c r="N358" s="1"/>
  <c r="E357"/>
  <c r="N357" s="1"/>
  <c r="E356"/>
  <c r="N356" s="1"/>
  <c r="E355"/>
  <c r="N355" s="1"/>
  <c r="E354"/>
  <c r="N354" s="1"/>
  <c r="E353"/>
  <c r="N353" s="1"/>
  <c r="E352"/>
  <c r="N352" s="1"/>
  <c r="E351"/>
  <c r="N351" s="1"/>
  <c r="E350"/>
  <c r="N350" s="1"/>
  <c r="E349"/>
  <c r="N349" s="1"/>
  <c r="E348"/>
  <c r="N348" s="1"/>
  <c r="E347"/>
  <c r="N347" s="1"/>
  <c r="E346"/>
  <c r="N346" s="1"/>
  <c r="E342"/>
  <c r="N342" s="1"/>
  <c r="E341"/>
  <c r="N341" s="1"/>
  <c r="E340"/>
  <c r="N340" s="1"/>
  <c r="E338"/>
  <c r="N338" s="1"/>
  <c r="E334"/>
  <c r="N334" s="1"/>
  <c r="E333"/>
  <c r="N333" s="1"/>
  <c r="E327"/>
  <c r="N327" s="1"/>
  <c r="E326"/>
  <c r="N326" s="1"/>
  <c r="E323"/>
  <c r="N323" s="1"/>
  <c r="E322"/>
  <c r="N322" s="1"/>
  <c r="E321"/>
  <c r="N321" s="1"/>
  <c r="E319"/>
  <c r="N319" s="1"/>
  <c r="E317"/>
  <c r="N317" s="1"/>
  <c r="E313"/>
  <c r="N313" s="1"/>
  <c r="E312"/>
  <c r="N312" s="1"/>
  <c r="E311"/>
  <c r="N311" s="1"/>
  <c r="E310"/>
  <c r="N310" s="1"/>
  <c r="E309"/>
  <c r="N309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7"/>
  <c r="N287" s="1"/>
  <c r="E284"/>
  <c r="N284" s="1"/>
  <c r="E281"/>
  <c r="N281" s="1"/>
  <c r="E280"/>
  <c r="N280" s="1"/>
  <c r="E279"/>
  <c r="N279" s="1"/>
  <c r="E278"/>
  <c r="N278" s="1"/>
  <c r="E277"/>
  <c r="N277" s="1"/>
  <c r="E276"/>
  <c r="N276" s="1"/>
  <c r="E274"/>
  <c r="N274" s="1"/>
  <c r="N273"/>
  <c r="E272"/>
  <c r="N272" s="1"/>
  <c r="E271"/>
  <c r="N271" s="1"/>
  <c r="E270"/>
  <c r="N270" s="1"/>
  <c r="E269"/>
  <c r="N269" s="1"/>
  <c r="P1222" i="12"/>
  <c r="O1222"/>
  <c r="N1222"/>
  <c r="M1222"/>
  <c r="L1222"/>
  <c r="K1222"/>
  <c r="J1222"/>
  <c r="I1222"/>
  <c r="H1222"/>
  <c r="G1222"/>
  <c r="F1222"/>
  <c r="E1222"/>
  <c r="D1222"/>
  <c r="P1219"/>
  <c r="L1219"/>
  <c r="K1219"/>
  <c r="J1219"/>
  <c r="I1219"/>
  <c r="H1219"/>
  <c r="G1219"/>
  <c r="F1219"/>
  <c r="E1219"/>
  <c r="D1219"/>
  <c r="P1216"/>
  <c r="O1216"/>
  <c r="N1216"/>
  <c r="M1216"/>
  <c r="L1216"/>
  <c r="K1216"/>
  <c r="J1216"/>
  <c r="I1216"/>
  <c r="H1216"/>
  <c r="G1216"/>
  <c r="F1216"/>
  <c r="E1216"/>
  <c r="D1216"/>
  <c r="P1213"/>
  <c r="L1213"/>
  <c r="K1213"/>
  <c r="J1213"/>
  <c r="I1213"/>
  <c r="H1213"/>
  <c r="G1213"/>
  <c r="F1213"/>
  <c r="E1213"/>
  <c r="D1213"/>
  <c r="P1210"/>
  <c r="O1210"/>
  <c r="N1210"/>
  <c r="M1210"/>
  <c r="L1210"/>
  <c r="K1210"/>
  <c r="J1210"/>
  <c r="I1210"/>
  <c r="H1210"/>
  <c r="G1210"/>
  <c r="F1210"/>
  <c r="E1210"/>
  <c r="D1210"/>
  <c r="P1183"/>
  <c r="O1183"/>
  <c r="N1183"/>
  <c r="M1183"/>
  <c r="L1183"/>
  <c r="K1183"/>
  <c r="J1183"/>
  <c r="I1183"/>
  <c r="H1183"/>
  <c r="G1183"/>
  <c r="F1183"/>
  <c r="E1183"/>
  <c r="D1183"/>
  <c r="P1180"/>
  <c r="L1180"/>
  <c r="K1180"/>
  <c r="J1180"/>
  <c r="I1180"/>
  <c r="H1180"/>
  <c r="G1180"/>
  <c r="F1180"/>
  <c r="E1180"/>
  <c r="D1180"/>
  <c r="P1171"/>
  <c r="O1171"/>
  <c r="N1171"/>
  <c r="M1171"/>
  <c r="L1171"/>
  <c r="K1171"/>
  <c r="J1171"/>
  <c r="I1171"/>
  <c r="H1171"/>
  <c r="G1171"/>
  <c r="F1171"/>
  <c r="E1171"/>
  <c r="D1171"/>
  <c r="P1168"/>
  <c r="L1168"/>
  <c r="K1168"/>
  <c r="J1168"/>
  <c r="I1168"/>
  <c r="H1168"/>
  <c r="G1168"/>
  <c r="F1168"/>
  <c r="E1168"/>
  <c r="D1168"/>
  <c r="P1159"/>
  <c r="O1159"/>
  <c r="N1159"/>
  <c r="M1159"/>
  <c r="L1159"/>
  <c r="K1159"/>
  <c r="J1159"/>
  <c r="I1159"/>
  <c r="H1159"/>
  <c r="G1159"/>
  <c r="F1159"/>
  <c r="E1159"/>
  <c r="D1159"/>
  <c r="P1156"/>
  <c r="L1156"/>
  <c r="K1156"/>
  <c r="J1156"/>
  <c r="I1156"/>
  <c r="H1156"/>
  <c r="G1156"/>
  <c r="F1156"/>
  <c r="E1156"/>
  <c r="D1156"/>
  <c r="P1153"/>
  <c r="O1153"/>
  <c r="N1153"/>
  <c r="M1153"/>
  <c r="L1153"/>
  <c r="K1153"/>
  <c r="J1153"/>
  <c r="I1153"/>
  <c r="H1153"/>
  <c r="G1153"/>
  <c r="F1153"/>
  <c r="E1153"/>
  <c r="D1153"/>
  <c r="P1150"/>
  <c r="L1150"/>
  <c r="K1150"/>
  <c r="J1150"/>
  <c r="I1150"/>
  <c r="H1150"/>
  <c r="G1150"/>
  <c r="F1150"/>
  <c r="E1150"/>
  <c r="D1150"/>
  <c r="P1147"/>
  <c r="O1147"/>
  <c r="N1147"/>
  <c r="M1147"/>
  <c r="L1147"/>
  <c r="K1147"/>
  <c r="J1147"/>
  <c r="I1147"/>
  <c r="H1147"/>
  <c r="G1147"/>
  <c r="F1147"/>
  <c r="E1147"/>
  <c r="D1147"/>
  <c r="P1144"/>
  <c r="L1144"/>
  <c r="K1144"/>
  <c r="J1144"/>
  <c r="I1144"/>
  <c r="H1144"/>
  <c r="G1144"/>
  <c r="F1144"/>
  <c r="E1144"/>
  <c r="D1144"/>
  <c r="P1141"/>
  <c r="O1141"/>
  <c r="N1141"/>
  <c r="M1141"/>
  <c r="L1141"/>
  <c r="K1141"/>
  <c r="J1141"/>
  <c r="I1141"/>
  <c r="H1141"/>
  <c r="G1141"/>
  <c r="F1141"/>
  <c r="E1141"/>
  <c r="D1141"/>
  <c r="P1138"/>
  <c r="L1138"/>
  <c r="K1138"/>
  <c r="J1138"/>
  <c r="I1138"/>
  <c r="H1138"/>
  <c r="G1138"/>
  <c r="F1138"/>
  <c r="E1138"/>
  <c r="D1138"/>
  <c r="P1123"/>
  <c r="O1123"/>
  <c r="N1123"/>
  <c r="M1123"/>
  <c r="L1123"/>
  <c r="K1123"/>
  <c r="J1123"/>
  <c r="I1123"/>
  <c r="H1123"/>
  <c r="G1123"/>
  <c r="F1123"/>
  <c r="E1123"/>
  <c r="D1123"/>
  <c r="P1120"/>
  <c r="O1120"/>
  <c r="N1120"/>
  <c r="M1120"/>
  <c r="L1120"/>
  <c r="K1120"/>
  <c r="J1120"/>
  <c r="I1120"/>
  <c r="H1120"/>
  <c r="G1120"/>
  <c r="F1120"/>
  <c r="E1120"/>
  <c r="D1120"/>
  <c r="P1117"/>
  <c r="O1117"/>
  <c r="N1117"/>
  <c r="M1117"/>
  <c r="L1117"/>
  <c r="K1117"/>
  <c r="J1117"/>
  <c r="I1117"/>
  <c r="H1117"/>
  <c r="G1117"/>
  <c r="F1117"/>
  <c r="E1117"/>
  <c r="D1117"/>
  <c r="P1114"/>
  <c r="O1114"/>
  <c r="N1114"/>
  <c r="M1114"/>
  <c r="L1114"/>
  <c r="K1114"/>
  <c r="J1114"/>
  <c r="I1114"/>
  <c r="H1114"/>
  <c r="G1114"/>
  <c r="F1114"/>
  <c r="E1114"/>
  <c r="D1114"/>
  <c r="P1111"/>
  <c r="O1111"/>
  <c r="N1111"/>
  <c r="M1111"/>
  <c r="L1111"/>
  <c r="K1111"/>
  <c r="J1111"/>
  <c r="I1111"/>
  <c r="H1111"/>
  <c r="G1111"/>
  <c r="F1111"/>
  <c r="E1111"/>
  <c r="D1111"/>
  <c r="P1108"/>
  <c r="L1108"/>
  <c r="K1108"/>
  <c r="J1108"/>
  <c r="I1108"/>
  <c r="H1108"/>
  <c r="G1108"/>
  <c r="F1108"/>
  <c r="E1108"/>
  <c r="D1108"/>
  <c r="P1099"/>
  <c r="O1099"/>
  <c r="N1099"/>
  <c r="M1099"/>
  <c r="L1099"/>
  <c r="K1099"/>
  <c r="J1099"/>
  <c r="I1099"/>
  <c r="H1099"/>
  <c r="G1099"/>
  <c r="F1099"/>
  <c r="E1099"/>
  <c r="D1099"/>
  <c r="P1096"/>
  <c r="L1096"/>
  <c r="K1096"/>
  <c r="J1096"/>
  <c r="I1096"/>
  <c r="H1096"/>
  <c r="G1096"/>
  <c r="F1096"/>
  <c r="E1096"/>
  <c r="D1096"/>
  <c r="P1093"/>
  <c r="O1093"/>
  <c r="N1093"/>
  <c r="M1093"/>
  <c r="L1093"/>
  <c r="K1093"/>
  <c r="J1093"/>
  <c r="I1093"/>
  <c r="H1093"/>
  <c r="G1093"/>
  <c r="F1093"/>
  <c r="E1093"/>
  <c r="D1093"/>
  <c r="P1090"/>
  <c r="L1090"/>
  <c r="K1090"/>
  <c r="J1090"/>
  <c r="I1090"/>
  <c r="H1090"/>
  <c r="G1090"/>
  <c r="F1090"/>
  <c r="E1090"/>
  <c r="D1090"/>
  <c r="P1087"/>
  <c r="O1087"/>
  <c r="N1087"/>
  <c r="M1087"/>
  <c r="L1087"/>
  <c r="K1087"/>
  <c r="J1087"/>
  <c r="I1087"/>
  <c r="H1087"/>
  <c r="G1087"/>
  <c r="F1087"/>
  <c r="E1087"/>
  <c r="D1087"/>
  <c r="P1084"/>
  <c r="L1084"/>
  <c r="K1084"/>
  <c r="J1084"/>
  <c r="I1084"/>
  <c r="H1084"/>
  <c r="G1084"/>
  <c r="F1084"/>
  <c r="E1084"/>
  <c r="D1084"/>
  <c r="P1081"/>
  <c r="O1081"/>
  <c r="N1081"/>
  <c r="M1081"/>
  <c r="L1081"/>
  <c r="K1081"/>
  <c r="J1081"/>
  <c r="I1081"/>
  <c r="H1081"/>
  <c r="G1081"/>
  <c r="F1081"/>
  <c r="E1081"/>
  <c r="D1081"/>
  <c r="P1078"/>
  <c r="L1078"/>
  <c r="K1078"/>
  <c r="J1078"/>
  <c r="I1078"/>
  <c r="H1078"/>
  <c r="G1078"/>
  <c r="F1078"/>
  <c r="E1078"/>
  <c r="D1078"/>
  <c r="P1075"/>
  <c r="O1075"/>
  <c r="N1075"/>
  <c r="M1075"/>
  <c r="L1075"/>
  <c r="K1075"/>
  <c r="J1075"/>
  <c r="I1075"/>
  <c r="H1075"/>
  <c r="G1075"/>
  <c r="F1075"/>
  <c r="E1075"/>
  <c r="D1075"/>
  <c r="P1072"/>
  <c r="L1072"/>
  <c r="K1072"/>
  <c r="J1072"/>
  <c r="I1072"/>
  <c r="H1072"/>
  <c r="G1072"/>
  <c r="F1072"/>
  <c r="E1072"/>
  <c r="D1072"/>
  <c r="P1063"/>
  <c r="O1063"/>
  <c r="N1063"/>
  <c r="M1063"/>
  <c r="L1063"/>
  <c r="K1063"/>
  <c r="J1063"/>
  <c r="I1063"/>
  <c r="H1063"/>
  <c r="G1063"/>
  <c r="F1063"/>
  <c r="E1063"/>
  <c r="D1063"/>
  <c r="P1060"/>
  <c r="P1057"/>
  <c r="O1057"/>
  <c r="N1057"/>
  <c r="M1057"/>
  <c r="L1057"/>
  <c r="K1057"/>
  <c r="J1057"/>
  <c r="I1057"/>
  <c r="H1057"/>
  <c r="G1057"/>
  <c r="F1057"/>
  <c r="E1057"/>
  <c r="D1057"/>
  <c r="P1054"/>
  <c r="L1054"/>
  <c r="K1054"/>
  <c r="J1054"/>
  <c r="I1054"/>
  <c r="H1054"/>
  <c r="G1054"/>
  <c r="F1054"/>
  <c r="E1054"/>
  <c r="D1054"/>
  <c r="P1051"/>
  <c r="O1051"/>
  <c r="N1051"/>
  <c r="M1051"/>
  <c r="L1051"/>
  <c r="K1051"/>
  <c r="J1051"/>
  <c r="I1051"/>
  <c r="H1051"/>
  <c r="G1051"/>
  <c r="F1051"/>
  <c r="E1051"/>
  <c r="D1051"/>
  <c r="P1048"/>
  <c r="L1048"/>
  <c r="K1048"/>
  <c r="J1048"/>
  <c r="I1048"/>
  <c r="H1048"/>
  <c r="G1048"/>
  <c r="F1048"/>
  <c r="E1048"/>
  <c r="D1048"/>
  <c r="P1045"/>
  <c r="O1045"/>
  <c r="N1045"/>
  <c r="M1045"/>
  <c r="L1045"/>
  <c r="K1045"/>
  <c r="J1045"/>
  <c r="I1045"/>
  <c r="H1045"/>
  <c r="G1045"/>
  <c r="F1045"/>
  <c r="E1045"/>
  <c r="D1045"/>
  <c r="P1042"/>
  <c r="L1042"/>
  <c r="K1042"/>
  <c r="J1042"/>
  <c r="I1042"/>
  <c r="H1042"/>
  <c r="G1042"/>
  <c r="F1042"/>
  <c r="E1042"/>
  <c r="D1042"/>
  <c r="P1039"/>
  <c r="O1039"/>
  <c r="N1039"/>
  <c r="M1039"/>
  <c r="L1039"/>
  <c r="K1039"/>
  <c r="J1039"/>
  <c r="I1039"/>
  <c r="H1039"/>
  <c r="G1039"/>
  <c r="F1039"/>
  <c r="E1039"/>
  <c r="D1039"/>
  <c r="P1036"/>
  <c r="L1036"/>
  <c r="K1036"/>
  <c r="J1036"/>
  <c r="I1036"/>
  <c r="H1036"/>
  <c r="G1036"/>
  <c r="F1036"/>
  <c r="E1036"/>
  <c r="D1036"/>
  <c r="P1033"/>
  <c r="O1033"/>
  <c r="N1033"/>
  <c r="M1033"/>
  <c r="L1033"/>
  <c r="K1033"/>
  <c r="J1033"/>
  <c r="I1033"/>
  <c r="H1033"/>
  <c r="G1033"/>
  <c r="F1033"/>
  <c r="E1033"/>
  <c r="D1033"/>
  <c r="P1030"/>
  <c r="L1030"/>
  <c r="K1030"/>
  <c r="J1030"/>
  <c r="I1030"/>
  <c r="H1030"/>
  <c r="G1030"/>
  <c r="F1030"/>
  <c r="E1030"/>
  <c r="D1030"/>
  <c r="P1027"/>
  <c r="O1027"/>
  <c r="N1027"/>
  <c r="M1027"/>
  <c r="L1027"/>
  <c r="K1027"/>
  <c r="J1027"/>
  <c r="I1027"/>
  <c r="H1027"/>
  <c r="G1027"/>
  <c r="F1027"/>
  <c r="E1027"/>
  <c r="D1027"/>
  <c r="P1024"/>
  <c r="L1024"/>
  <c r="K1024"/>
  <c r="J1024"/>
  <c r="I1024"/>
  <c r="H1024"/>
  <c r="G1024"/>
  <c r="F1024"/>
  <c r="E1024"/>
  <c r="D1024"/>
  <c r="P1021"/>
  <c r="O1021"/>
  <c r="N1021"/>
  <c r="M1021"/>
  <c r="L1021"/>
  <c r="K1021"/>
  <c r="J1021"/>
  <c r="I1021"/>
  <c r="H1021"/>
  <c r="G1021"/>
  <c r="F1021"/>
  <c r="E1021"/>
  <c r="D1021"/>
  <c r="P1018"/>
  <c r="L1018"/>
  <c r="K1018"/>
  <c r="J1018"/>
  <c r="I1018"/>
  <c r="H1018"/>
  <c r="G1018"/>
  <c r="F1018"/>
  <c r="E1018"/>
  <c r="D1018"/>
  <c r="P1009"/>
  <c r="O1009"/>
  <c r="N1009"/>
  <c r="M1009"/>
  <c r="L1009"/>
  <c r="K1009"/>
  <c r="J1009"/>
  <c r="I1009"/>
  <c r="H1009"/>
  <c r="G1009"/>
  <c r="F1009"/>
  <c r="E1009"/>
  <c r="D1009"/>
  <c r="P1006"/>
  <c r="L1006"/>
  <c r="K1006"/>
  <c r="J1006"/>
  <c r="I1006"/>
  <c r="H1006"/>
  <c r="G1006"/>
  <c r="F1006"/>
  <c r="E1006"/>
  <c r="D1006"/>
  <c r="P1003"/>
  <c r="O1003"/>
  <c r="N1003"/>
  <c r="M1003"/>
  <c r="L1003"/>
  <c r="K1003"/>
  <c r="J1003"/>
  <c r="I1003"/>
  <c r="H1003"/>
  <c r="G1003"/>
  <c r="F1003"/>
  <c r="E1003"/>
  <c r="D1003"/>
  <c r="P1000"/>
  <c r="L1000"/>
  <c r="K1000"/>
  <c r="J1000"/>
  <c r="I1000"/>
  <c r="H1000"/>
  <c r="G1000"/>
  <c r="F1000"/>
  <c r="E1000"/>
  <c r="D1000"/>
  <c r="P997"/>
  <c r="O997"/>
  <c r="N997"/>
  <c r="M997"/>
  <c r="L997"/>
  <c r="K997"/>
  <c r="J997"/>
  <c r="I997"/>
  <c r="H997"/>
  <c r="G997"/>
  <c r="F997"/>
  <c r="E997"/>
  <c r="D997"/>
  <c r="P994"/>
  <c r="L994"/>
  <c r="K994"/>
  <c r="J994"/>
  <c r="I994"/>
  <c r="H994"/>
  <c r="G994"/>
  <c r="F994"/>
  <c r="E994"/>
  <c r="D994"/>
  <c r="P991"/>
  <c r="O991"/>
  <c r="N991"/>
  <c r="M991"/>
  <c r="L991"/>
  <c r="K991"/>
  <c r="J991"/>
  <c r="I991"/>
  <c r="H991"/>
  <c r="G991"/>
  <c r="F991"/>
  <c r="E991"/>
  <c r="D991"/>
  <c r="P988"/>
  <c r="L988"/>
  <c r="K988"/>
  <c r="J988"/>
  <c r="I988"/>
  <c r="H988"/>
  <c r="G988"/>
  <c r="F988"/>
  <c r="E988"/>
  <c r="D988"/>
  <c r="P985"/>
  <c r="O985"/>
  <c r="N985"/>
  <c r="M985"/>
  <c r="L985"/>
  <c r="K985"/>
  <c r="J985"/>
  <c r="I985"/>
  <c r="H985"/>
  <c r="G985"/>
  <c r="F985"/>
  <c r="E985"/>
  <c r="D985"/>
  <c r="P982"/>
  <c r="L982"/>
  <c r="K982"/>
  <c r="J982"/>
  <c r="I982"/>
  <c r="H982"/>
  <c r="G982"/>
  <c r="F982"/>
  <c r="E982"/>
  <c r="D982"/>
  <c r="P979"/>
  <c r="O979"/>
  <c r="N979"/>
  <c r="M979"/>
  <c r="L979"/>
  <c r="K979"/>
  <c r="J979"/>
  <c r="I979"/>
  <c r="H979"/>
  <c r="G979"/>
  <c r="F979"/>
  <c r="E979"/>
  <c r="D979"/>
  <c r="P976"/>
  <c r="L976"/>
  <c r="K976"/>
  <c r="J976"/>
  <c r="I976"/>
  <c r="H976"/>
  <c r="G976"/>
  <c r="F976"/>
  <c r="E976"/>
  <c r="D976"/>
  <c r="P973"/>
  <c r="O973"/>
  <c r="N973"/>
  <c r="M973"/>
  <c r="L973"/>
  <c r="K973"/>
  <c r="J973"/>
  <c r="I973"/>
  <c r="H973"/>
  <c r="G973"/>
  <c r="F973"/>
  <c r="E973"/>
  <c r="D973"/>
  <c r="P970"/>
  <c r="L970"/>
  <c r="K970"/>
  <c r="J970"/>
  <c r="I970"/>
  <c r="H970"/>
  <c r="G970"/>
  <c r="F970"/>
  <c r="E970"/>
  <c r="D970"/>
  <c r="P967"/>
  <c r="O967"/>
  <c r="N967"/>
  <c r="M967"/>
  <c r="L967"/>
  <c r="K967"/>
  <c r="J967"/>
  <c r="I967"/>
  <c r="H967"/>
  <c r="G967"/>
  <c r="F967"/>
  <c r="E967"/>
  <c r="D967"/>
  <c r="P964"/>
  <c r="L964"/>
  <c r="K964"/>
  <c r="J964"/>
  <c r="I964"/>
  <c r="H964"/>
  <c r="G964"/>
  <c r="F964"/>
  <c r="E964"/>
  <c r="D964"/>
  <c r="P949"/>
  <c r="O949"/>
  <c r="N949"/>
  <c r="M949"/>
  <c r="L949"/>
  <c r="K949"/>
  <c r="J949"/>
  <c r="I949"/>
  <c r="H949"/>
  <c r="G949"/>
  <c r="F949"/>
  <c r="E949"/>
  <c r="D949"/>
  <c r="P946"/>
  <c r="L946"/>
  <c r="K946"/>
  <c r="J946"/>
  <c r="I946"/>
  <c r="H946"/>
  <c r="G946"/>
  <c r="F946"/>
  <c r="E946"/>
  <c r="D946"/>
  <c r="P943"/>
  <c r="O943"/>
  <c r="N943"/>
  <c r="M943"/>
  <c r="L943"/>
  <c r="K943"/>
  <c r="J943"/>
  <c r="I943"/>
  <c r="H943"/>
  <c r="G943"/>
  <c r="F943"/>
  <c r="E943"/>
  <c r="D943"/>
  <c r="P940"/>
  <c r="L940"/>
  <c r="K940"/>
  <c r="J940"/>
  <c r="I940"/>
  <c r="H940"/>
  <c r="G940"/>
  <c r="F940"/>
  <c r="E940"/>
  <c r="D940"/>
  <c r="P937"/>
  <c r="O937"/>
  <c r="N937"/>
  <c r="M937"/>
  <c r="L937"/>
  <c r="K937"/>
  <c r="J937"/>
  <c r="I937"/>
  <c r="H937"/>
  <c r="G937"/>
  <c r="F937"/>
  <c r="E937"/>
  <c r="D937"/>
  <c r="P934"/>
  <c r="L934"/>
  <c r="K934"/>
  <c r="J934"/>
  <c r="I934"/>
  <c r="H934"/>
  <c r="G934"/>
  <c r="F934"/>
  <c r="E934"/>
  <c r="D934"/>
  <c r="P931"/>
  <c r="O931"/>
  <c r="N931"/>
  <c r="M931"/>
  <c r="L931"/>
  <c r="K931"/>
  <c r="J931"/>
  <c r="I931"/>
  <c r="H931"/>
  <c r="G931"/>
  <c r="F931"/>
  <c r="E931"/>
  <c r="D931"/>
  <c r="P928"/>
  <c r="L928"/>
  <c r="K928"/>
  <c r="J928"/>
  <c r="I928"/>
  <c r="H928"/>
  <c r="G928"/>
  <c r="F928"/>
  <c r="E928"/>
  <c r="D928"/>
  <c r="P925"/>
  <c r="O925"/>
  <c r="N925"/>
  <c r="M925"/>
  <c r="L925"/>
  <c r="K925"/>
  <c r="J925"/>
  <c r="I925"/>
  <c r="H925"/>
  <c r="G925"/>
  <c r="F925"/>
  <c r="E925"/>
  <c r="D925"/>
  <c r="P922"/>
  <c r="L922"/>
  <c r="K922"/>
  <c r="J922"/>
  <c r="I922"/>
  <c r="H922"/>
  <c r="G922"/>
  <c r="F922"/>
  <c r="E922"/>
  <c r="D922"/>
  <c r="P919"/>
  <c r="O919"/>
  <c r="N919"/>
  <c r="M919"/>
  <c r="L919"/>
  <c r="K919"/>
  <c r="J919"/>
  <c r="I919"/>
  <c r="H919"/>
  <c r="G919"/>
  <c r="F919"/>
  <c r="E919"/>
  <c r="D919"/>
  <c r="P916"/>
  <c r="O916"/>
  <c r="N916"/>
  <c r="M916"/>
  <c r="L916"/>
  <c r="K916"/>
  <c r="J916"/>
  <c r="I916"/>
  <c r="H916"/>
  <c r="G916"/>
  <c r="F916"/>
  <c r="E916"/>
  <c r="D916"/>
  <c r="P913"/>
  <c r="O913"/>
  <c r="N913"/>
  <c r="M913"/>
  <c r="L913"/>
  <c r="K913"/>
  <c r="J913"/>
  <c r="I913"/>
  <c r="H913"/>
  <c r="G913"/>
  <c r="F913"/>
  <c r="E913"/>
  <c r="D913"/>
  <c r="P910"/>
  <c r="O910"/>
  <c r="N910"/>
  <c r="M910"/>
  <c r="L910"/>
  <c r="K910"/>
  <c r="J910"/>
  <c r="I910"/>
  <c r="H910"/>
  <c r="G910"/>
  <c r="F910"/>
  <c r="E910"/>
  <c r="D910"/>
  <c r="P904"/>
  <c r="O904"/>
  <c r="N904"/>
  <c r="M904"/>
  <c r="L904"/>
  <c r="K904"/>
  <c r="J904"/>
  <c r="I904"/>
  <c r="H904"/>
  <c r="G904"/>
  <c r="F904"/>
  <c r="E904"/>
  <c r="D904"/>
  <c r="P901"/>
  <c r="L901"/>
  <c r="K901"/>
  <c r="J901"/>
  <c r="I901"/>
  <c r="H901"/>
  <c r="G901"/>
  <c r="F901"/>
  <c r="E901"/>
  <c r="D901"/>
  <c r="P898"/>
  <c r="O898"/>
  <c r="N898"/>
  <c r="M898"/>
  <c r="L898"/>
  <c r="K898"/>
  <c r="J898"/>
  <c r="I898"/>
  <c r="H898"/>
  <c r="G898"/>
  <c r="F898"/>
  <c r="E898"/>
  <c r="D898"/>
  <c r="P895"/>
  <c r="L895"/>
  <c r="K895"/>
  <c r="J895"/>
  <c r="I895"/>
  <c r="H895"/>
  <c r="G895"/>
  <c r="F895"/>
  <c r="E895"/>
  <c r="D895"/>
  <c r="P892"/>
  <c r="O892"/>
  <c r="N892"/>
  <c r="M892"/>
  <c r="L892"/>
  <c r="K892"/>
  <c r="J892"/>
  <c r="I892"/>
  <c r="H892"/>
  <c r="G892"/>
  <c r="F892"/>
  <c r="E892"/>
  <c r="D892"/>
  <c r="P889"/>
  <c r="L889"/>
  <c r="K889"/>
  <c r="J889"/>
  <c r="I889"/>
  <c r="H889"/>
  <c r="G889"/>
  <c r="F889"/>
  <c r="E889"/>
  <c r="D889"/>
  <c r="P886"/>
  <c r="O886"/>
  <c r="N886"/>
  <c r="M886"/>
  <c r="L886"/>
  <c r="K886"/>
  <c r="J886"/>
  <c r="I886"/>
  <c r="H886"/>
  <c r="G886"/>
  <c r="F886"/>
  <c r="E886"/>
  <c r="D886"/>
  <c r="P883"/>
  <c r="L883"/>
  <c r="K883"/>
  <c r="J883"/>
  <c r="I883"/>
  <c r="H883"/>
  <c r="G883"/>
  <c r="F883"/>
  <c r="E883"/>
  <c r="D883"/>
  <c r="P880"/>
  <c r="O880"/>
  <c r="N880"/>
  <c r="M880"/>
  <c r="L880"/>
  <c r="K880"/>
  <c r="J880"/>
  <c r="I880"/>
  <c r="H880"/>
  <c r="G880"/>
  <c r="F880"/>
  <c r="E880"/>
  <c r="D880"/>
  <c r="P877"/>
  <c r="L877"/>
  <c r="K877"/>
  <c r="J877"/>
  <c r="I877"/>
  <c r="H877"/>
  <c r="G877"/>
  <c r="F877"/>
  <c r="E877"/>
  <c r="D877"/>
  <c r="P874"/>
  <c r="O874"/>
  <c r="N874"/>
  <c r="M874"/>
  <c r="L874"/>
  <c r="K874"/>
  <c r="J874"/>
  <c r="I874"/>
  <c r="H874"/>
  <c r="G874"/>
  <c r="F874"/>
  <c r="E874"/>
  <c r="D874"/>
  <c r="P871"/>
  <c r="L871"/>
  <c r="K871"/>
  <c r="J871"/>
  <c r="I871"/>
  <c r="H871"/>
  <c r="G871"/>
  <c r="F871"/>
  <c r="E871"/>
  <c r="D871"/>
  <c r="P868"/>
  <c r="O868"/>
  <c r="N868"/>
  <c r="M868"/>
  <c r="L868"/>
  <c r="K868"/>
  <c r="J868"/>
  <c r="I868"/>
  <c r="H868"/>
  <c r="G868"/>
  <c r="F868"/>
  <c r="E868"/>
  <c r="D868"/>
  <c r="P865"/>
  <c r="L865"/>
  <c r="K865"/>
  <c r="J865"/>
  <c r="I865"/>
  <c r="H865"/>
  <c r="G865"/>
  <c r="F865"/>
  <c r="E865"/>
  <c r="D865"/>
  <c r="P862"/>
  <c r="O862"/>
  <c r="N862"/>
  <c r="M862"/>
  <c r="L862"/>
  <c r="K862"/>
  <c r="J862"/>
  <c r="I862"/>
  <c r="H862"/>
  <c r="G862"/>
  <c r="F862"/>
  <c r="E862"/>
  <c r="D862"/>
  <c r="P859"/>
  <c r="L859"/>
  <c r="K859"/>
  <c r="J859"/>
  <c r="I859"/>
  <c r="H859"/>
  <c r="G859"/>
  <c r="F859"/>
  <c r="E859"/>
  <c r="D859"/>
  <c r="P844"/>
  <c r="O844"/>
  <c r="N844"/>
  <c r="M844"/>
  <c r="L844"/>
  <c r="K844"/>
  <c r="J844"/>
  <c r="I844"/>
  <c r="H844"/>
  <c r="G844"/>
  <c r="F844"/>
  <c r="E844"/>
  <c r="D844"/>
  <c r="P841"/>
  <c r="L841"/>
  <c r="K841"/>
  <c r="J841"/>
  <c r="I841"/>
  <c r="H841"/>
  <c r="G841"/>
  <c r="F841"/>
  <c r="E841"/>
  <c r="D841"/>
  <c r="P838"/>
  <c r="O838"/>
  <c r="N838"/>
  <c r="M838"/>
  <c r="L838"/>
  <c r="K838"/>
  <c r="J838"/>
  <c r="I838"/>
  <c r="H838"/>
  <c r="G838"/>
  <c r="F838"/>
  <c r="E838"/>
  <c r="D838"/>
  <c r="P835"/>
  <c r="L835"/>
  <c r="K835"/>
  <c r="J835"/>
  <c r="I835"/>
  <c r="H835"/>
  <c r="G835"/>
  <c r="F835"/>
  <c r="E835"/>
  <c r="D835"/>
  <c r="P832"/>
  <c r="O832"/>
  <c r="N832"/>
  <c r="M832"/>
  <c r="L832"/>
  <c r="K832"/>
  <c r="J832"/>
  <c r="I832"/>
  <c r="H832"/>
  <c r="G832"/>
  <c r="F832"/>
  <c r="E832"/>
  <c r="D832"/>
  <c r="P829"/>
  <c r="L829"/>
  <c r="K829"/>
  <c r="J829"/>
  <c r="I829"/>
  <c r="H829"/>
  <c r="G829"/>
  <c r="F829"/>
  <c r="E829"/>
  <c r="D829"/>
  <c r="P826"/>
  <c r="O826"/>
  <c r="N826"/>
  <c r="M826"/>
  <c r="L826"/>
  <c r="K826"/>
  <c r="J826"/>
  <c r="I826"/>
  <c r="H826"/>
  <c r="G826"/>
  <c r="F826"/>
  <c r="E826"/>
  <c r="D826"/>
  <c r="P823"/>
  <c r="L823"/>
  <c r="K823"/>
  <c r="J823"/>
  <c r="I823"/>
  <c r="H823"/>
  <c r="G823"/>
  <c r="F823"/>
  <c r="E823"/>
  <c r="D823"/>
  <c r="E268" i="4"/>
  <c r="N268" s="1"/>
  <c r="E267"/>
  <c r="N267" s="1"/>
  <c r="P820" i="12"/>
  <c r="O820"/>
  <c r="N820"/>
  <c r="M820"/>
  <c r="L820"/>
  <c r="K820"/>
  <c r="J820"/>
  <c r="I820"/>
  <c r="H820"/>
  <c r="G820"/>
  <c r="F820"/>
  <c r="E820"/>
  <c r="D820"/>
  <c r="P817"/>
  <c r="L817"/>
  <c r="K817"/>
  <c r="J817"/>
  <c r="I817"/>
  <c r="H817"/>
  <c r="G817"/>
  <c r="F817"/>
  <c r="E817"/>
  <c r="D817"/>
  <c r="P814"/>
  <c r="O814"/>
  <c r="N814"/>
  <c r="M814"/>
  <c r="L814"/>
  <c r="K814"/>
  <c r="J814"/>
  <c r="I814"/>
  <c r="H814"/>
  <c r="G814"/>
  <c r="F814"/>
  <c r="E814"/>
  <c r="D814"/>
  <c r="P811"/>
  <c r="L811"/>
  <c r="K811"/>
  <c r="J811"/>
  <c r="I811"/>
  <c r="H811"/>
  <c r="G811"/>
  <c r="F811"/>
  <c r="E811"/>
  <c r="D811"/>
  <c r="E266" i="4"/>
  <c r="N266" s="1"/>
  <c r="E265"/>
  <c r="N265" s="1"/>
  <c r="P808" i="12"/>
  <c r="O808"/>
  <c r="N808"/>
  <c r="M808"/>
  <c r="L808"/>
  <c r="K808"/>
  <c r="J808"/>
  <c r="I808"/>
  <c r="H808"/>
  <c r="G808"/>
  <c r="F808"/>
  <c r="E808"/>
  <c r="D808"/>
  <c r="E264" i="4"/>
  <c r="N264" s="1"/>
  <c r="P805" i="12"/>
  <c r="L805"/>
  <c r="K805"/>
  <c r="J805"/>
  <c r="I805"/>
  <c r="H805"/>
  <c r="G805"/>
  <c r="F805"/>
  <c r="E805"/>
  <c r="D805"/>
  <c r="I50" i="15"/>
  <c r="I51" s="1"/>
  <c r="H50"/>
  <c r="H51" s="1"/>
  <c r="G50"/>
  <c r="G51" s="1"/>
  <c r="C50"/>
  <c r="C51" s="1"/>
  <c r="B50"/>
  <c r="B51" s="1"/>
  <c r="H49"/>
  <c r="G49"/>
  <c r="D49"/>
  <c r="C49"/>
  <c r="B49"/>
  <c r="B53" s="1"/>
  <c r="P802" i="12"/>
  <c r="O802"/>
  <c r="N802"/>
  <c r="M802"/>
  <c r="L802"/>
  <c r="K802"/>
  <c r="J802"/>
  <c r="I802"/>
  <c r="H802"/>
  <c r="G802"/>
  <c r="F802"/>
  <c r="E802"/>
  <c r="D802"/>
  <c r="P799"/>
  <c r="L799"/>
  <c r="K799"/>
  <c r="J799"/>
  <c r="I799"/>
  <c r="H799"/>
  <c r="G799"/>
  <c r="F799"/>
  <c r="E799"/>
  <c r="D799"/>
  <c r="P796"/>
  <c r="O796"/>
  <c r="N796"/>
  <c r="M796"/>
  <c r="L796"/>
  <c r="K796"/>
  <c r="J796"/>
  <c r="I796"/>
  <c r="H796"/>
  <c r="G796"/>
  <c r="F796"/>
  <c r="E796"/>
  <c r="D796"/>
  <c r="P793"/>
  <c r="L793"/>
  <c r="K793"/>
  <c r="J793"/>
  <c r="I793"/>
  <c r="H793"/>
  <c r="G793"/>
  <c r="F793"/>
  <c r="E793"/>
  <c r="D793"/>
  <c r="E263" i="4"/>
  <c r="N263" s="1"/>
  <c r="E262"/>
  <c r="N262" s="1"/>
  <c r="E261"/>
  <c r="N261" s="1"/>
  <c r="E260"/>
  <c r="N260" s="1"/>
  <c r="E259"/>
  <c r="N259" s="1"/>
  <c r="T1124" i="12" l="1"/>
  <c r="Q1208"/>
  <c r="R1211"/>
  <c r="R1220"/>
  <c r="R1217"/>
  <c r="T1133"/>
  <c r="R1208"/>
  <c r="R1214"/>
  <c r="T1172"/>
  <c r="V1172" s="1"/>
  <c r="Q1211"/>
  <c r="T1211" s="1"/>
  <c r="Q1217"/>
  <c r="Q1214"/>
  <c r="Q1220"/>
  <c r="S1220"/>
  <c r="S1217"/>
  <c r="S1214"/>
  <c r="S1211"/>
  <c r="V1211" s="1"/>
  <c r="S1208"/>
  <c r="Q1145"/>
  <c r="Q1166"/>
  <c r="Q1181"/>
  <c r="R1154"/>
  <c r="Q1178"/>
  <c r="Q1157"/>
  <c r="R1169"/>
  <c r="R1178"/>
  <c r="V1124"/>
  <c r="Q1148"/>
  <c r="V1127"/>
  <c r="Q1154"/>
  <c r="T1154" s="1"/>
  <c r="R1157"/>
  <c r="Q1151"/>
  <c r="R1166"/>
  <c r="R1181"/>
  <c r="S1181"/>
  <c r="S1178"/>
  <c r="T1175"/>
  <c r="V1175" s="1"/>
  <c r="Q1169"/>
  <c r="S1169"/>
  <c r="S1166"/>
  <c r="T1160"/>
  <c r="V1160" s="1"/>
  <c r="T1163"/>
  <c r="V1163" s="1"/>
  <c r="S1154"/>
  <c r="S1157"/>
  <c r="R1151"/>
  <c r="S1151"/>
  <c r="R1148"/>
  <c r="S1148"/>
  <c r="Q1139"/>
  <c r="R1145"/>
  <c r="Q1142"/>
  <c r="R1142"/>
  <c r="S1142"/>
  <c r="S1145"/>
  <c r="R1139"/>
  <c r="Q1136"/>
  <c r="R1136"/>
  <c r="S1136"/>
  <c r="S1139"/>
  <c r="R1121"/>
  <c r="T1130"/>
  <c r="V1130" s="1"/>
  <c r="Q1121"/>
  <c r="V1133"/>
  <c r="S1121"/>
  <c r="Q1118"/>
  <c r="R1118"/>
  <c r="S1118"/>
  <c r="R1115"/>
  <c r="Q1058"/>
  <c r="Q1115"/>
  <c r="Q1022"/>
  <c r="R1061"/>
  <c r="R1091"/>
  <c r="R1106"/>
  <c r="R1058"/>
  <c r="R1004"/>
  <c r="Q1052"/>
  <c r="S1013"/>
  <c r="R1025"/>
  <c r="Q1034"/>
  <c r="R1040"/>
  <c r="Q1076"/>
  <c r="R971"/>
  <c r="R1046"/>
  <c r="Q1028"/>
  <c r="Q1085"/>
  <c r="Q1091"/>
  <c r="Q944"/>
  <c r="R1052"/>
  <c r="R1079"/>
  <c r="Q1016"/>
  <c r="Q1046"/>
  <c r="Q1049"/>
  <c r="R1073"/>
  <c r="R1082"/>
  <c r="Q1088"/>
  <c r="Q1106"/>
  <c r="Q1112"/>
  <c r="S1115"/>
  <c r="S1112"/>
  <c r="R1112"/>
  <c r="R1109"/>
  <c r="Q1109"/>
  <c r="S1109"/>
  <c r="S1106"/>
  <c r="U1103"/>
  <c r="R1103"/>
  <c r="S1103"/>
  <c r="Q1103"/>
  <c r="U1100"/>
  <c r="R1100"/>
  <c r="Q1100"/>
  <c r="S1100"/>
  <c r="Q1094"/>
  <c r="R1094"/>
  <c r="R1097"/>
  <c r="Q1097"/>
  <c r="S1097"/>
  <c r="S1094"/>
  <c r="S1091"/>
  <c r="R1088"/>
  <c r="S1088"/>
  <c r="R1016"/>
  <c r="R1019"/>
  <c r="Q1025"/>
  <c r="R1034"/>
  <c r="R1067"/>
  <c r="R962"/>
  <c r="Q1019"/>
  <c r="R1028"/>
  <c r="Q1031"/>
  <c r="R1037"/>
  <c r="R1043"/>
  <c r="S1076"/>
  <c r="Q1079"/>
  <c r="S1010"/>
  <c r="Q1067"/>
  <c r="R920"/>
  <c r="Q998"/>
  <c r="R1007"/>
  <c r="R1022"/>
  <c r="Q1043"/>
  <c r="Q1061"/>
  <c r="Q1070"/>
  <c r="R1076"/>
  <c r="R1085"/>
  <c r="U1010"/>
  <c r="Q1055"/>
  <c r="Q1082"/>
  <c r="U1013"/>
  <c r="U1064"/>
  <c r="S1082"/>
  <c r="S1085"/>
  <c r="S1079"/>
  <c r="R1070"/>
  <c r="S1070"/>
  <c r="Q1073"/>
  <c r="S1073"/>
  <c r="Q1064"/>
  <c r="R1064"/>
  <c r="U1067"/>
  <c r="S1064"/>
  <c r="S1067"/>
  <c r="S1061"/>
  <c r="S1058"/>
  <c r="S1052"/>
  <c r="R1055"/>
  <c r="S1055"/>
  <c r="R1049"/>
  <c r="S1046"/>
  <c r="S1049"/>
  <c r="Q1040"/>
  <c r="S1040"/>
  <c r="S1043"/>
  <c r="S1034"/>
  <c r="Q1037"/>
  <c r="S1037"/>
  <c r="R1031"/>
  <c r="S1031"/>
  <c r="S1028"/>
  <c r="S1025"/>
  <c r="S1022"/>
  <c r="S1019"/>
  <c r="S1016"/>
  <c r="R1010"/>
  <c r="R1013"/>
  <c r="Q1010"/>
  <c r="Q1013"/>
  <c r="Q938"/>
  <c r="Q941"/>
  <c r="Q947"/>
  <c r="R983"/>
  <c r="Q989"/>
  <c r="Q926"/>
  <c r="R935"/>
  <c r="R977"/>
  <c r="R965"/>
  <c r="R992"/>
  <c r="Q1001"/>
  <c r="Q929"/>
  <c r="R938"/>
  <c r="R998"/>
  <c r="Q959"/>
  <c r="H53" i="15"/>
  <c r="R947" i="12"/>
  <c r="Q965"/>
  <c r="Q977"/>
  <c r="R1001"/>
  <c r="R923"/>
  <c r="R926"/>
  <c r="T926" s="1"/>
  <c r="Q962"/>
  <c r="Q968"/>
  <c r="Q986"/>
  <c r="Q992"/>
  <c r="T992" s="1"/>
  <c r="Q1004"/>
  <c r="G52" i="15"/>
  <c r="Q923" i="12"/>
  <c r="T923" s="1"/>
  <c r="R944"/>
  <c r="R974"/>
  <c r="Q920"/>
  <c r="R968"/>
  <c r="Q971"/>
  <c r="Q974"/>
  <c r="T974" s="1"/>
  <c r="Q983"/>
  <c r="T983" s="1"/>
  <c r="R986"/>
  <c r="R995"/>
  <c r="Q1007"/>
  <c r="Q956"/>
  <c r="S1004"/>
  <c r="S1007"/>
  <c r="S998"/>
  <c r="S1001"/>
  <c r="Q995"/>
  <c r="S995"/>
  <c r="S992"/>
  <c r="R989"/>
  <c r="S989"/>
  <c r="S986"/>
  <c r="Q980"/>
  <c r="R980"/>
  <c r="S980"/>
  <c r="S983"/>
  <c r="S977"/>
  <c r="S974"/>
  <c r="S971"/>
  <c r="S968"/>
  <c r="S965"/>
  <c r="S962"/>
  <c r="S956"/>
  <c r="S959"/>
  <c r="R959"/>
  <c r="U959"/>
  <c r="R956"/>
  <c r="U956"/>
  <c r="S950"/>
  <c r="S953"/>
  <c r="U953"/>
  <c r="R953"/>
  <c r="Q953"/>
  <c r="U950"/>
  <c r="R950"/>
  <c r="Q950"/>
  <c r="S944"/>
  <c r="S947"/>
  <c r="S938"/>
  <c r="R941"/>
  <c r="S941"/>
  <c r="Q932"/>
  <c r="R932"/>
  <c r="S932"/>
  <c r="Q935"/>
  <c r="S935"/>
  <c r="S926"/>
  <c r="S929"/>
  <c r="R929"/>
  <c r="S923"/>
  <c r="S920"/>
  <c r="R914"/>
  <c r="R917"/>
  <c r="Q917"/>
  <c r="S917"/>
  <c r="Q908"/>
  <c r="Q914"/>
  <c r="S914"/>
  <c r="U1118"/>
  <c r="Q911"/>
  <c r="R908"/>
  <c r="S908"/>
  <c r="R899"/>
  <c r="R902"/>
  <c r="R911"/>
  <c r="Q902"/>
  <c r="Q899"/>
  <c r="U1043"/>
  <c r="S911"/>
  <c r="S905"/>
  <c r="U905"/>
  <c r="R905"/>
  <c r="Q905"/>
  <c r="S902"/>
  <c r="S899"/>
  <c r="U1079"/>
  <c r="S893"/>
  <c r="U1004"/>
  <c r="Q839"/>
  <c r="U1091"/>
  <c r="Q890"/>
  <c r="U920"/>
  <c r="U968"/>
  <c r="U1040"/>
  <c r="S881"/>
  <c r="Q884"/>
  <c r="U941"/>
  <c r="U944"/>
  <c r="U989"/>
  <c r="U992"/>
  <c r="U1001"/>
  <c r="U1037"/>
  <c r="U1214"/>
  <c r="R830"/>
  <c r="R839"/>
  <c r="Q896"/>
  <c r="S896"/>
  <c r="U929"/>
  <c r="U965"/>
  <c r="U977"/>
  <c r="U1016"/>
  <c r="U932"/>
  <c r="U980"/>
  <c r="U1028"/>
  <c r="U1055"/>
  <c r="U1112"/>
  <c r="U1139"/>
  <c r="U1151"/>
  <c r="Q851"/>
  <c r="U911"/>
  <c r="U935"/>
  <c r="U947"/>
  <c r="U971"/>
  <c r="U995"/>
  <c r="U1094"/>
  <c r="U1217"/>
  <c r="R824"/>
  <c r="Q842"/>
  <c r="U857"/>
  <c r="R860"/>
  <c r="Q866"/>
  <c r="R869"/>
  <c r="U872"/>
  <c r="R881"/>
  <c r="R893"/>
  <c r="U899"/>
  <c r="U998"/>
  <c r="U1022"/>
  <c r="U1046"/>
  <c r="U1058"/>
  <c r="U1070"/>
  <c r="U1082"/>
  <c r="U1106"/>
  <c r="U1142"/>
  <c r="U1154"/>
  <c r="U1166"/>
  <c r="U1178"/>
  <c r="U1220"/>
  <c r="S854"/>
  <c r="R890"/>
  <c r="U923"/>
  <c r="U983"/>
  <c r="U1007"/>
  <c r="U1019"/>
  <c r="U1031"/>
  <c r="R845"/>
  <c r="R833"/>
  <c r="R836"/>
  <c r="S842"/>
  <c r="Q860"/>
  <c r="Q872"/>
  <c r="R875"/>
  <c r="S875"/>
  <c r="Q881"/>
  <c r="S884"/>
  <c r="Q893"/>
  <c r="R896"/>
  <c r="U902"/>
  <c r="U908"/>
  <c r="U914"/>
  <c r="U917"/>
  <c r="U926"/>
  <c r="U938"/>
  <c r="U962"/>
  <c r="U974"/>
  <c r="U986"/>
  <c r="U1025"/>
  <c r="U1034"/>
  <c r="U1049"/>
  <c r="U1052"/>
  <c r="U1061"/>
  <c r="U1073"/>
  <c r="U1076"/>
  <c r="U1085"/>
  <c r="U1088"/>
  <c r="U1097"/>
  <c r="U1109"/>
  <c r="U1115"/>
  <c r="U1121"/>
  <c r="U1136"/>
  <c r="U1145"/>
  <c r="U1148"/>
  <c r="U1157"/>
  <c r="U1169"/>
  <c r="U1181"/>
  <c r="U1208"/>
  <c r="U1211"/>
  <c r="R848"/>
  <c r="R887"/>
  <c r="R827"/>
  <c r="Q833"/>
  <c r="R842"/>
  <c r="R863"/>
  <c r="R866"/>
  <c r="U896"/>
  <c r="U893"/>
  <c r="Q887"/>
  <c r="T887" s="1"/>
  <c r="U887"/>
  <c r="S887"/>
  <c r="U890"/>
  <c r="S890"/>
  <c r="R884"/>
  <c r="U884"/>
  <c r="U881"/>
  <c r="Q878"/>
  <c r="S878"/>
  <c r="R878"/>
  <c r="U878"/>
  <c r="Q875"/>
  <c r="U875"/>
  <c r="R872"/>
  <c r="Q869"/>
  <c r="S869"/>
  <c r="U869"/>
  <c r="S872"/>
  <c r="U866"/>
  <c r="S866"/>
  <c r="S863"/>
  <c r="Q863"/>
  <c r="U863"/>
  <c r="S857"/>
  <c r="Q857"/>
  <c r="R857"/>
  <c r="S860"/>
  <c r="U860"/>
  <c r="R854"/>
  <c r="Q854"/>
  <c r="U854"/>
  <c r="R851"/>
  <c r="S851"/>
  <c r="U851"/>
  <c r="Q845"/>
  <c r="S845"/>
  <c r="U848"/>
  <c r="S848"/>
  <c r="U845"/>
  <c r="Q848"/>
  <c r="U842"/>
  <c r="S839"/>
  <c r="U839"/>
  <c r="Q836"/>
  <c r="S836"/>
  <c r="U836"/>
  <c r="U833"/>
  <c r="S833"/>
  <c r="U830"/>
  <c r="S830"/>
  <c r="U827"/>
  <c r="S827"/>
  <c r="Q827"/>
  <c r="Q830"/>
  <c r="U824"/>
  <c r="C53" i="15"/>
  <c r="G53"/>
  <c r="R809" i="12"/>
  <c r="U821"/>
  <c r="S821"/>
  <c r="S824"/>
  <c r="R821"/>
  <c r="Q821"/>
  <c r="Q824"/>
  <c r="R806"/>
  <c r="S818"/>
  <c r="R818"/>
  <c r="U818"/>
  <c r="Q818"/>
  <c r="S815"/>
  <c r="U815"/>
  <c r="R815"/>
  <c r="Q815"/>
  <c r="R812"/>
  <c r="S812"/>
  <c r="Q812"/>
  <c r="U812"/>
  <c r="Q809"/>
  <c r="T809" s="1"/>
  <c r="S809"/>
  <c r="U809"/>
  <c r="Q806"/>
  <c r="T806" s="1"/>
  <c r="S806"/>
  <c r="U806"/>
  <c r="Q803"/>
  <c r="R803"/>
  <c r="U803"/>
  <c r="S803"/>
  <c r="R800"/>
  <c r="Q800"/>
  <c r="S800"/>
  <c r="U800"/>
  <c r="H52" i="15"/>
  <c r="C52"/>
  <c r="B52"/>
  <c r="R794" i="12"/>
  <c r="R797"/>
  <c r="R791"/>
  <c r="U791"/>
  <c r="U794"/>
  <c r="S797"/>
  <c r="Q791"/>
  <c r="T791" s="1"/>
  <c r="Q794"/>
  <c r="S791"/>
  <c r="S794"/>
  <c r="Q797"/>
  <c r="U797"/>
  <c r="V71"/>
  <c r="V47"/>
  <c r="V35"/>
  <c r="V53"/>
  <c r="D43"/>
  <c r="E43"/>
  <c r="F43"/>
  <c r="G43"/>
  <c r="H43"/>
  <c r="I43"/>
  <c r="J43"/>
  <c r="K43"/>
  <c r="L43"/>
  <c r="M43"/>
  <c r="N43"/>
  <c r="O43"/>
  <c r="P43"/>
  <c r="E182" i="4"/>
  <c r="N182" s="1"/>
  <c r="D21" i="13"/>
  <c r="E21"/>
  <c r="F21"/>
  <c r="G21"/>
  <c r="Q19" s="1"/>
  <c r="H21"/>
  <c r="I21"/>
  <c r="J21"/>
  <c r="K21"/>
  <c r="L21"/>
  <c r="M21"/>
  <c r="N21"/>
  <c r="O21"/>
  <c r="P21"/>
  <c r="D24"/>
  <c r="E24"/>
  <c r="F24"/>
  <c r="G24"/>
  <c r="H24"/>
  <c r="I24"/>
  <c r="J24"/>
  <c r="K24"/>
  <c r="L24"/>
  <c r="P24"/>
  <c r="D27"/>
  <c r="E27"/>
  <c r="F27"/>
  <c r="G27"/>
  <c r="H27"/>
  <c r="I27"/>
  <c r="J27"/>
  <c r="K27"/>
  <c r="L27"/>
  <c r="M27"/>
  <c r="N27"/>
  <c r="O27"/>
  <c r="P27"/>
  <c r="D30"/>
  <c r="E30"/>
  <c r="F30"/>
  <c r="G30"/>
  <c r="H30"/>
  <c r="I30"/>
  <c r="J30"/>
  <c r="K30"/>
  <c r="L30"/>
  <c r="P30"/>
  <c r="D16" i="12"/>
  <c r="E16"/>
  <c r="F16"/>
  <c r="G16"/>
  <c r="H16"/>
  <c r="I16"/>
  <c r="J16"/>
  <c r="K16"/>
  <c r="L16"/>
  <c r="P16"/>
  <c r="D19"/>
  <c r="E19"/>
  <c r="F19"/>
  <c r="G19"/>
  <c r="H19"/>
  <c r="I19"/>
  <c r="J19"/>
  <c r="K19"/>
  <c r="L19"/>
  <c r="M19"/>
  <c r="N19"/>
  <c r="O19"/>
  <c r="P19"/>
  <c r="D22"/>
  <c r="E22"/>
  <c r="F22"/>
  <c r="G22"/>
  <c r="H22"/>
  <c r="I22"/>
  <c r="J22"/>
  <c r="K22"/>
  <c r="L22"/>
  <c r="P22"/>
  <c r="D25"/>
  <c r="E25"/>
  <c r="F25"/>
  <c r="G25"/>
  <c r="H25"/>
  <c r="I25"/>
  <c r="J25"/>
  <c r="K25"/>
  <c r="L25"/>
  <c r="P25"/>
  <c r="D28"/>
  <c r="E28"/>
  <c r="F28"/>
  <c r="G28"/>
  <c r="H28"/>
  <c r="I28"/>
  <c r="J28"/>
  <c r="K28"/>
  <c r="L28"/>
  <c r="P28"/>
  <c r="D31"/>
  <c r="E31"/>
  <c r="F31"/>
  <c r="G31"/>
  <c r="H31"/>
  <c r="I31"/>
  <c r="J31"/>
  <c r="K31"/>
  <c r="L31"/>
  <c r="P31"/>
  <c r="D34"/>
  <c r="E34"/>
  <c r="F34"/>
  <c r="G34"/>
  <c r="H34"/>
  <c r="I34"/>
  <c r="J34"/>
  <c r="K34"/>
  <c r="L34"/>
  <c r="P34"/>
  <c r="D37"/>
  <c r="E37"/>
  <c r="F37"/>
  <c r="G37"/>
  <c r="H37"/>
  <c r="I37"/>
  <c r="J37"/>
  <c r="K37"/>
  <c r="L37"/>
  <c r="M37"/>
  <c r="N37"/>
  <c r="O37"/>
  <c r="P37"/>
  <c r="D40"/>
  <c r="E40"/>
  <c r="F40"/>
  <c r="G40"/>
  <c r="H40"/>
  <c r="I40"/>
  <c r="J40"/>
  <c r="K40"/>
  <c r="L40"/>
  <c r="P40"/>
  <c r="D46"/>
  <c r="E46"/>
  <c r="F46"/>
  <c r="G46"/>
  <c r="H46"/>
  <c r="I46"/>
  <c r="J46"/>
  <c r="K46"/>
  <c r="L46"/>
  <c r="P46"/>
  <c r="L49"/>
  <c r="D49"/>
  <c r="E49"/>
  <c r="F49"/>
  <c r="G49"/>
  <c r="H49"/>
  <c r="I49"/>
  <c r="J49"/>
  <c r="K49"/>
  <c r="M49"/>
  <c r="N49"/>
  <c r="O49"/>
  <c r="P49"/>
  <c r="D52"/>
  <c r="E52"/>
  <c r="F52"/>
  <c r="G52"/>
  <c r="H52"/>
  <c r="I52"/>
  <c r="J52"/>
  <c r="K52"/>
  <c r="L52"/>
  <c r="P52"/>
  <c r="D55"/>
  <c r="E55"/>
  <c r="F55"/>
  <c r="G55"/>
  <c r="H55"/>
  <c r="I55"/>
  <c r="J55"/>
  <c r="K55"/>
  <c r="L55"/>
  <c r="M55"/>
  <c r="N55"/>
  <c r="O55"/>
  <c r="P55"/>
  <c r="D58"/>
  <c r="E58"/>
  <c r="F58"/>
  <c r="G58"/>
  <c r="H58"/>
  <c r="I58"/>
  <c r="J58"/>
  <c r="K58"/>
  <c r="L58"/>
  <c r="P58"/>
  <c r="V59"/>
  <c r="D61"/>
  <c r="E61"/>
  <c r="F61"/>
  <c r="G61"/>
  <c r="H61"/>
  <c r="I61"/>
  <c r="J61"/>
  <c r="K61"/>
  <c r="L61"/>
  <c r="M61"/>
  <c r="N61"/>
  <c r="O61"/>
  <c r="P61"/>
  <c r="D64"/>
  <c r="E64"/>
  <c r="F64"/>
  <c r="G64"/>
  <c r="H64"/>
  <c r="I64"/>
  <c r="J64"/>
  <c r="K64"/>
  <c r="L64"/>
  <c r="P64"/>
  <c r="V65"/>
  <c r="D67"/>
  <c r="E67"/>
  <c r="F67"/>
  <c r="G67"/>
  <c r="H67"/>
  <c r="I67"/>
  <c r="J67"/>
  <c r="K67"/>
  <c r="L67"/>
  <c r="M67"/>
  <c r="N67"/>
  <c r="O67"/>
  <c r="P67"/>
  <c r="L70"/>
  <c r="D70"/>
  <c r="E70"/>
  <c r="F70"/>
  <c r="G70"/>
  <c r="H70"/>
  <c r="I70"/>
  <c r="J70"/>
  <c r="K70"/>
  <c r="P70"/>
  <c r="L73"/>
  <c r="D73"/>
  <c r="E73"/>
  <c r="F73"/>
  <c r="G73"/>
  <c r="H73"/>
  <c r="I73"/>
  <c r="J73"/>
  <c r="K73"/>
  <c r="M73"/>
  <c r="N73"/>
  <c r="O73"/>
  <c r="P73"/>
  <c r="D76"/>
  <c r="E76"/>
  <c r="F76"/>
  <c r="G76"/>
  <c r="H76"/>
  <c r="I76"/>
  <c r="J76"/>
  <c r="K76"/>
  <c r="L76"/>
  <c r="P76"/>
  <c r="D79"/>
  <c r="E79"/>
  <c r="F79"/>
  <c r="G79"/>
  <c r="H79"/>
  <c r="I79"/>
  <c r="J79"/>
  <c r="K79"/>
  <c r="L79"/>
  <c r="M79"/>
  <c r="N79"/>
  <c r="O79"/>
  <c r="P79"/>
  <c r="D82"/>
  <c r="E82"/>
  <c r="F82"/>
  <c r="G82"/>
  <c r="H82"/>
  <c r="I82"/>
  <c r="J82"/>
  <c r="K82"/>
  <c r="L82"/>
  <c r="P82"/>
  <c r="D85"/>
  <c r="E85"/>
  <c r="F85"/>
  <c r="G85"/>
  <c r="H85"/>
  <c r="I85"/>
  <c r="J85"/>
  <c r="K85"/>
  <c r="L85"/>
  <c r="M85"/>
  <c r="N85"/>
  <c r="O85"/>
  <c r="P85"/>
  <c r="D88"/>
  <c r="E88"/>
  <c r="F88"/>
  <c r="G88"/>
  <c r="H88"/>
  <c r="I88"/>
  <c r="J88"/>
  <c r="K88"/>
  <c r="L88"/>
  <c r="P88"/>
  <c r="D91"/>
  <c r="E91"/>
  <c r="F91"/>
  <c r="G91"/>
  <c r="H91"/>
  <c r="I91"/>
  <c r="J91"/>
  <c r="K91"/>
  <c r="L91"/>
  <c r="M91"/>
  <c r="N91"/>
  <c r="O91"/>
  <c r="P91"/>
  <c r="D94"/>
  <c r="E94"/>
  <c r="F94"/>
  <c r="G94"/>
  <c r="H94"/>
  <c r="I94"/>
  <c r="J94"/>
  <c r="K94"/>
  <c r="L94"/>
  <c r="P94"/>
  <c r="P97"/>
  <c r="D97"/>
  <c r="E97"/>
  <c r="F97"/>
  <c r="G97"/>
  <c r="H97"/>
  <c r="I97"/>
  <c r="J97"/>
  <c r="K97"/>
  <c r="L97"/>
  <c r="M97"/>
  <c r="N97"/>
  <c r="O97"/>
  <c r="D100"/>
  <c r="E100"/>
  <c r="F100"/>
  <c r="G100"/>
  <c r="H100"/>
  <c r="I100"/>
  <c r="J100"/>
  <c r="K100"/>
  <c r="L100"/>
  <c r="P100"/>
  <c r="D103"/>
  <c r="E103"/>
  <c r="F103"/>
  <c r="G103"/>
  <c r="H103"/>
  <c r="I103"/>
  <c r="J103"/>
  <c r="K103"/>
  <c r="L103"/>
  <c r="M103"/>
  <c r="N103"/>
  <c r="O103"/>
  <c r="P103"/>
  <c r="D106"/>
  <c r="E106"/>
  <c r="F106"/>
  <c r="G106"/>
  <c r="H106"/>
  <c r="I106"/>
  <c r="J106"/>
  <c r="K106"/>
  <c r="L106"/>
  <c r="P106"/>
  <c r="D109"/>
  <c r="E109"/>
  <c r="F109"/>
  <c r="G109"/>
  <c r="H109"/>
  <c r="I109"/>
  <c r="J109"/>
  <c r="K109"/>
  <c r="L109"/>
  <c r="M109"/>
  <c r="N109"/>
  <c r="O109"/>
  <c r="P109"/>
  <c r="D112"/>
  <c r="E112"/>
  <c r="F112"/>
  <c r="G112"/>
  <c r="H112"/>
  <c r="I112"/>
  <c r="J112"/>
  <c r="K112"/>
  <c r="L112"/>
  <c r="P112"/>
  <c r="D115"/>
  <c r="E115"/>
  <c r="F115"/>
  <c r="G115"/>
  <c r="H115"/>
  <c r="I115"/>
  <c r="J115"/>
  <c r="K115"/>
  <c r="L115"/>
  <c r="M115"/>
  <c r="N115"/>
  <c r="O115"/>
  <c r="P115"/>
  <c r="D118"/>
  <c r="E118"/>
  <c r="F118"/>
  <c r="G118"/>
  <c r="H118"/>
  <c r="I118"/>
  <c r="J118"/>
  <c r="K118"/>
  <c r="L118"/>
  <c r="P118"/>
  <c r="P121"/>
  <c r="D121"/>
  <c r="E121"/>
  <c r="F121"/>
  <c r="G121"/>
  <c r="H121"/>
  <c r="I121"/>
  <c r="J121"/>
  <c r="K121"/>
  <c r="L121"/>
  <c r="M121"/>
  <c r="N121"/>
  <c r="O121"/>
  <c r="D124"/>
  <c r="E124"/>
  <c r="F124"/>
  <c r="G124"/>
  <c r="H124"/>
  <c r="I124"/>
  <c r="J124"/>
  <c r="K124"/>
  <c r="L124"/>
  <c r="P124"/>
  <c r="D127"/>
  <c r="E127"/>
  <c r="F127"/>
  <c r="G127"/>
  <c r="H127"/>
  <c r="I127"/>
  <c r="J127"/>
  <c r="K127"/>
  <c r="L127"/>
  <c r="M127"/>
  <c r="N127"/>
  <c r="O127"/>
  <c r="P127"/>
  <c r="D130"/>
  <c r="E130"/>
  <c r="F130"/>
  <c r="G130"/>
  <c r="H130"/>
  <c r="I130"/>
  <c r="J130"/>
  <c r="K130"/>
  <c r="L130"/>
  <c r="P130"/>
  <c r="D133"/>
  <c r="E133"/>
  <c r="F133"/>
  <c r="G133"/>
  <c r="H133"/>
  <c r="I133"/>
  <c r="J133"/>
  <c r="K133"/>
  <c r="L133"/>
  <c r="M133"/>
  <c r="N133"/>
  <c r="O133"/>
  <c r="P133"/>
  <c r="D136"/>
  <c r="E136"/>
  <c r="F136"/>
  <c r="G136"/>
  <c r="H136"/>
  <c r="I136"/>
  <c r="J136"/>
  <c r="K136"/>
  <c r="L136"/>
  <c r="P136"/>
  <c r="D139"/>
  <c r="E139"/>
  <c r="F139"/>
  <c r="G139"/>
  <c r="H139"/>
  <c r="I139"/>
  <c r="J139"/>
  <c r="K139"/>
  <c r="L139"/>
  <c r="M139"/>
  <c r="N139"/>
  <c r="O139"/>
  <c r="P139"/>
  <c r="D142"/>
  <c r="E142"/>
  <c r="F142"/>
  <c r="G142"/>
  <c r="H142"/>
  <c r="I142"/>
  <c r="J142"/>
  <c r="K142"/>
  <c r="L142"/>
  <c r="P142"/>
  <c r="L145"/>
  <c r="D145"/>
  <c r="E145"/>
  <c r="F145"/>
  <c r="G145"/>
  <c r="H145"/>
  <c r="I145"/>
  <c r="J145"/>
  <c r="K145"/>
  <c r="P145"/>
  <c r="D148"/>
  <c r="E148"/>
  <c r="F148"/>
  <c r="G148"/>
  <c r="H148"/>
  <c r="I148"/>
  <c r="J148"/>
  <c r="K148"/>
  <c r="L148"/>
  <c r="M148"/>
  <c r="N148"/>
  <c r="O148"/>
  <c r="P148"/>
  <c r="D151"/>
  <c r="E151"/>
  <c r="F151"/>
  <c r="G151"/>
  <c r="H151"/>
  <c r="I151"/>
  <c r="J151"/>
  <c r="K151"/>
  <c r="L151"/>
  <c r="P151"/>
  <c r="D154"/>
  <c r="E154"/>
  <c r="F154"/>
  <c r="G154"/>
  <c r="H154"/>
  <c r="I154"/>
  <c r="J154"/>
  <c r="K154"/>
  <c r="L154"/>
  <c r="M154"/>
  <c r="N154"/>
  <c r="O154"/>
  <c r="P154"/>
  <c r="D157"/>
  <c r="E157"/>
  <c r="F157"/>
  <c r="G157"/>
  <c r="H157"/>
  <c r="I157"/>
  <c r="J157"/>
  <c r="K157"/>
  <c r="L157"/>
  <c r="M157"/>
  <c r="N157"/>
  <c r="O157"/>
  <c r="P157"/>
  <c r="D160"/>
  <c r="E160"/>
  <c r="F160"/>
  <c r="G160"/>
  <c r="H160"/>
  <c r="I160"/>
  <c r="J160"/>
  <c r="K160"/>
  <c r="L160"/>
  <c r="P160"/>
  <c r="D163"/>
  <c r="E163"/>
  <c r="F163"/>
  <c r="G163"/>
  <c r="H163"/>
  <c r="I163"/>
  <c r="J163"/>
  <c r="K163"/>
  <c r="L163"/>
  <c r="M163"/>
  <c r="N163"/>
  <c r="O163"/>
  <c r="P163"/>
  <c r="L166"/>
  <c r="D166"/>
  <c r="E166"/>
  <c r="F166"/>
  <c r="G166"/>
  <c r="H166"/>
  <c r="I166"/>
  <c r="J166"/>
  <c r="K166"/>
  <c r="P166"/>
  <c r="D169"/>
  <c r="E169"/>
  <c r="F169"/>
  <c r="G169"/>
  <c r="H169"/>
  <c r="I169"/>
  <c r="J169"/>
  <c r="K169"/>
  <c r="L169"/>
  <c r="M169"/>
  <c r="N169"/>
  <c r="O169"/>
  <c r="P169"/>
  <c r="D172"/>
  <c r="E172"/>
  <c r="F172"/>
  <c r="G172"/>
  <c r="H172"/>
  <c r="I172"/>
  <c r="J172"/>
  <c r="K172"/>
  <c r="L172"/>
  <c r="P172"/>
  <c r="D175"/>
  <c r="E175"/>
  <c r="F175"/>
  <c r="G175"/>
  <c r="H175"/>
  <c r="I175"/>
  <c r="J175"/>
  <c r="K175"/>
  <c r="L175"/>
  <c r="M175"/>
  <c r="N175"/>
  <c r="O175"/>
  <c r="P175"/>
  <c r="D178"/>
  <c r="E178"/>
  <c r="F178"/>
  <c r="G178"/>
  <c r="H178"/>
  <c r="I178"/>
  <c r="J178"/>
  <c r="K178"/>
  <c r="L178"/>
  <c r="P178"/>
  <c r="D181"/>
  <c r="E181"/>
  <c r="F181"/>
  <c r="G181"/>
  <c r="H181"/>
  <c r="I181"/>
  <c r="J181"/>
  <c r="K181"/>
  <c r="L181"/>
  <c r="M181"/>
  <c r="N181"/>
  <c r="O181"/>
  <c r="P181"/>
  <c r="D184"/>
  <c r="E184"/>
  <c r="F184"/>
  <c r="G184"/>
  <c r="H184"/>
  <c r="I184"/>
  <c r="J184"/>
  <c r="K184"/>
  <c r="L184"/>
  <c r="P184"/>
  <c r="D187"/>
  <c r="E187"/>
  <c r="F187"/>
  <c r="G187"/>
  <c r="H187"/>
  <c r="I187"/>
  <c r="J187"/>
  <c r="K187"/>
  <c r="L187"/>
  <c r="M187"/>
  <c r="N187"/>
  <c r="O187"/>
  <c r="P187"/>
  <c r="D190"/>
  <c r="E190"/>
  <c r="F190"/>
  <c r="G190"/>
  <c r="H190"/>
  <c r="I190"/>
  <c r="J190"/>
  <c r="K190"/>
  <c r="L190"/>
  <c r="P190"/>
  <c r="D193"/>
  <c r="E193"/>
  <c r="F193"/>
  <c r="G193"/>
  <c r="H193"/>
  <c r="I193"/>
  <c r="J193"/>
  <c r="K193"/>
  <c r="L193"/>
  <c r="M193"/>
  <c r="N193"/>
  <c r="O193"/>
  <c r="P193"/>
  <c r="D196"/>
  <c r="E196"/>
  <c r="F196"/>
  <c r="G196"/>
  <c r="H196"/>
  <c r="I196"/>
  <c r="J196"/>
  <c r="K196"/>
  <c r="L196"/>
  <c r="P196"/>
  <c r="D199"/>
  <c r="E199"/>
  <c r="F199"/>
  <c r="G199"/>
  <c r="H199"/>
  <c r="I199"/>
  <c r="J199"/>
  <c r="K199"/>
  <c r="L199"/>
  <c r="M199"/>
  <c r="N199"/>
  <c r="O199"/>
  <c r="P199"/>
  <c r="D202"/>
  <c r="E202"/>
  <c r="F202"/>
  <c r="G202"/>
  <c r="H202"/>
  <c r="I202"/>
  <c r="J202"/>
  <c r="K202"/>
  <c r="L202"/>
  <c r="P202"/>
  <c r="D205"/>
  <c r="E205"/>
  <c r="F205"/>
  <c r="G205"/>
  <c r="H205"/>
  <c r="I205"/>
  <c r="J205"/>
  <c r="K205"/>
  <c r="L205"/>
  <c r="M205"/>
  <c r="N205"/>
  <c r="O205"/>
  <c r="P205"/>
  <c r="D208"/>
  <c r="E208"/>
  <c r="F208"/>
  <c r="G208"/>
  <c r="H208"/>
  <c r="I208"/>
  <c r="J208"/>
  <c r="K208"/>
  <c r="L208"/>
  <c r="P208"/>
  <c r="D211"/>
  <c r="E211"/>
  <c r="F211"/>
  <c r="G211"/>
  <c r="H211"/>
  <c r="I211"/>
  <c r="J211"/>
  <c r="K211"/>
  <c r="L211"/>
  <c r="M211"/>
  <c r="N211"/>
  <c r="O211"/>
  <c r="P211"/>
  <c r="D214"/>
  <c r="E214"/>
  <c r="F214"/>
  <c r="G214"/>
  <c r="H214"/>
  <c r="I214"/>
  <c r="J214"/>
  <c r="K214"/>
  <c r="L214"/>
  <c r="P214"/>
  <c r="D217"/>
  <c r="E217"/>
  <c r="F217"/>
  <c r="G217"/>
  <c r="H217"/>
  <c r="I217"/>
  <c r="J217"/>
  <c r="K217"/>
  <c r="L217"/>
  <c r="M217"/>
  <c r="N217"/>
  <c r="O217"/>
  <c r="P217"/>
  <c r="D220"/>
  <c r="E220"/>
  <c r="F220"/>
  <c r="G220"/>
  <c r="H220"/>
  <c r="I220"/>
  <c r="J220"/>
  <c r="K220"/>
  <c r="L220"/>
  <c r="P220"/>
  <c r="D223"/>
  <c r="E223"/>
  <c r="F223"/>
  <c r="G223"/>
  <c r="H223"/>
  <c r="I223"/>
  <c r="J223"/>
  <c r="K223"/>
  <c r="L223"/>
  <c r="M223"/>
  <c r="N223"/>
  <c r="O223"/>
  <c r="P223"/>
  <c r="D226"/>
  <c r="E226"/>
  <c r="F226"/>
  <c r="G226"/>
  <c r="H226"/>
  <c r="I226"/>
  <c r="J226"/>
  <c r="K226"/>
  <c r="L226"/>
  <c r="P226"/>
  <c r="D229"/>
  <c r="E229"/>
  <c r="F229"/>
  <c r="G229"/>
  <c r="H229"/>
  <c r="I229"/>
  <c r="J229"/>
  <c r="K229"/>
  <c r="L229"/>
  <c r="M229"/>
  <c r="N229"/>
  <c r="O229"/>
  <c r="P229"/>
  <c r="D232"/>
  <c r="E232"/>
  <c r="F232"/>
  <c r="G232"/>
  <c r="H232"/>
  <c r="I232"/>
  <c r="J232"/>
  <c r="K232"/>
  <c r="L232"/>
  <c r="P232"/>
  <c r="D235"/>
  <c r="E235"/>
  <c r="F235"/>
  <c r="G235"/>
  <c r="H235"/>
  <c r="I235"/>
  <c r="J235"/>
  <c r="K235"/>
  <c r="L235"/>
  <c r="M235"/>
  <c r="N235"/>
  <c r="O235"/>
  <c r="P235"/>
  <c r="D238"/>
  <c r="E238"/>
  <c r="F238"/>
  <c r="G238"/>
  <c r="H238"/>
  <c r="I238"/>
  <c r="J238"/>
  <c r="K238"/>
  <c r="L238"/>
  <c r="P238"/>
  <c r="D241"/>
  <c r="E241"/>
  <c r="F241"/>
  <c r="G241"/>
  <c r="H241"/>
  <c r="I241"/>
  <c r="J241"/>
  <c r="K241"/>
  <c r="L241"/>
  <c r="M241"/>
  <c r="N241"/>
  <c r="O241"/>
  <c r="P241"/>
  <c r="D244"/>
  <c r="E244"/>
  <c r="F244"/>
  <c r="G244"/>
  <c r="H244"/>
  <c r="I244"/>
  <c r="J244"/>
  <c r="K244"/>
  <c r="L244"/>
  <c r="P244"/>
  <c r="D247"/>
  <c r="E247"/>
  <c r="F247"/>
  <c r="G247"/>
  <c r="H247"/>
  <c r="I247"/>
  <c r="J247"/>
  <c r="K247"/>
  <c r="L247"/>
  <c r="M247"/>
  <c r="N247"/>
  <c r="O247"/>
  <c r="P247"/>
  <c r="D250"/>
  <c r="E250"/>
  <c r="F250"/>
  <c r="G250"/>
  <c r="H250"/>
  <c r="I250"/>
  <c r="J250"/>
  <c r="K250"/>
  <c r="L250"/>
  <c r="P250"/>
  <c r="D253"/>
  <c r="E253"/>
  <c r="F253"/>
  <c r="G253"/>
  <c r="H253"/>
  <c r="I253"/>
  <c r="J253"/>
  <c r="K253"/>
  <c r="L253"/>
  <c r="M253"/>
  <c r="N253"/>
  <c r="O253"/>
  <c r="P253"/>
  <c r="D256"/>
  <c r="E256"/>
  <c r="F256"/>
  <c r="G256"/>
  <c r="H256"/>
  <c r="I256"/>
  <c r="J256"/>
  <c r="K256"/>
  <c r="L256"/>
  <c r="P256"/>
  <c r="P259"/>
  <c r="D259"/>
  <c r="E259"/>
  <c r="F259"/>
  <c r="G259"/>
  <c r="H259"/>
  <c r="I259"/>
  <c r="J259"/>
  <c r="K259"/>
  <c r="L259"/>
  <c r="M259"/>
  <c r="N259"/>
  <c r="O259"/>
  <c r="D262"/>
  <c r="E262"/>
  <c r="F262"/>
  <c r="G262"/>
  <c r="H262"/>
  <c r="I262"/>
  <c r="J262"/>
  <c r="K262"/>
  <c r="L262"/>
  <c r="P262"/>
  <c r="D265"/>
  <c r="E265"/>
  <c r="F265"/>
  <c r="G265"/>
  <c r="H265"/>
  <c r="I265"/>
  <c r="J265"/>
  <c r="K265"/>
  <c r="L265"/>
  <c r="M265"/>
  <c r="N265"/>
  <c r="O265"/>
  <c r="P265"/>
  <c r="D268"/>
  <c r="E268"/>
  <c r="F268"/>
  <c r="G268"/>
  <c r="H268"/>
  <c r="I268"/>
  <c r="J268"/>
  <c r="K268"/>
  <c r="L268"/>
  <c r="P268"/>
  <c r="D271"/>
  <c r="E271"/>
  <c r="F271"/>
  <c r="G271"/>
  <c r="H271"/>
  <c r="I271"/>
  <c r="J271"/>
  <c r="K271"/>
  <c r="L271"/>
  <c r="M271"/>
  <c r="N271"/>
  <c r="O271"/>
  <c r="P271"/>
  <c r="D274"/>
  <c r="E274"/>
  <c r="F274"/>
  <c r="G274"/>
  <c r="H274"/>
  <c r="I274"/>
  <c r="J274"/>
  <c r="K274"/>
  <c r="L274"/>
  <c r="P274"/>
  <c r="P277"/>
  <c r="D277"/>
  <c r="E277"/>
  <c r="F277"/>
  <c r="G277"/>
  <c r="H277"/>
  <c r="I277"/>
  <c r="J277"/>
  <c r="K277"/>
  <c r="L277"/>
  <c r="M277"/>
  <c r="N277"/>
  <c r="O277"/>
  <c r="D280"/>
  <c r="E280"/>
  <c r="F280"/>
  <c r="G280"/>
  <c r="H280"/>
  <c r="I280"/>
  <c r="J280"/>
  <c r="K280"/>
  <c r="L280"/>
  <c r="P280"/>
  <c r="D283"/>
  <c r="E283"/>
  <c r="F283"/>
  <c r="G283"/>
  <c r="H283"/>
  <c r="I283"/>
  <c r="J283"/>
  <c r="K283"/>
  <c r="L283"/>
  <c r="M283"/>
  <c r="N283"/>
  <c r="O283"/>
  <c r="P283"/>
  <c r="D286"/>
  <c r="E286"/>
  <c r="F286"/>
  <c r="G286"/>
  <c r="H286"/>
  <c r="I286"/>
  <c r="J286"/>
  <c r="K286"/>
  <c r="L286"/>
  <c r="P286"/>
  <c r="D289"/>
  <c r="E289"/>
  <c r="F289"/>
  <c r="G289"/>
  <c r="H289"/>
  <c r="I289"/>
  <c r="J289"/>
  <c r="K289"/>
  <c r="L289"/>
  <c r="M289"/>
  <c r="N289"/>
  <c r="O289"/>
  <c r="P289"/>
  <c r="D292"/>
  <c r="E292"/>
  <c r="F292"/>
  <c r="G292"/>
  <c r="H292"/>
  <c r="I292"/>
  <c r="J292"/>
  <c r="K292"/>
  <c r="L292"/>
  <c r="P292"/>
  <c r="D295"/>
  <c r="E295"/>
  <c r="F295"/>
  <c r="G295"/>
  <c r="H295"/>
  <c r="I295"/>
  <c r="J295"/>
  <c r="K295"/>
  <c r="L295"/>
  <c r="M295"/>
  <c r="N295"/>
  <c r="O295"/>
  <c r="P295"/>
  <c r="D298"/>
  <c r="E298"/>
  <c r="F298"/>
  <c r="G298"/>
  <c r="H298"/>
  <c r="I298"/>
  <c r="J298"/>
  <c r="K298"/>
  <c r="L298"/>
  <c r="P298"/>
  <c r="P301"/>
  <c r="D301"/>
  <c r="E301"/>
  <c r="F301"/>
  <c r="G301"/>
  <c r="H301"/>
  <c r="I301"/>
  <c r="J301"/>
  <c r="K301"/>
  <c r="L301"/>
  <c r="M301"/>
  <c r="N301"/>
  <c r="O301"/>
  <c r="D304"/>
  <c r="E304"/>
  <c r="F304"/>
  <c r="G304"/>
  <c r="H304"/>
  <c r="I304"/>
  <c r="J304"/>
  <c r="K304"/>
  <c r="L304"/>
  <c r="P304"/>
  <c r="D307"/>
  <c r="E307"/>
  <c r="F307"/>
  <c r="G307"/>
  <c r="H307"/>
  <c r="I307"/>
  <c r="J307"/>
  <c r="K307"/>
  <c r="L307"/>
  <c r="M307"/>
  <c r="N307"/>
  <c r="O307"/>
  <c r="P307"/>
  <c r="D310"/>
  <c r="E310"/>
  <c r="F310"/>
  <c r="G310"/>
  <c r="H310"/>
  <c r="I310"/>
  <c r="J310"/>
  <c r="K310"/>
  <c r="L310"/>
  <c r="P310"/>
  <c r="D313"/>
  <c r="E313"/>
  <c r="F313"/>
  <c r="G313"/>
  <c r="H313"/>
  <c r="I313"/>
  <c r="J313"/>
  <c r="K313"/>
  <c r="L313"/>
  <c r="M313"/>
  <c r="N313"/>
  <c r="O313"/>
  <c r="P313"/>
  <c r="D316"/>
  <c r="E316"/>
  <c r="F316"/>
  <c r="G316"/>
  <c r="H316"/>
  <c r="I316"/>
  <c r="J316"/>
  <c r="K316"/>
  <c r="L316"/>
  <c r="P316"/>
  <c r="D319"/>
  <c r="E319"/>
  <c r="F319"/>
  <c r="G319"/>
  <c r="H319"/>
  <c r="I319"/>
  <c r="J319"/>
  <c r="K319"/>
  <c r="L319"/>
  <c r="M319"/>
  <c r="N319"/>
  <c r="O319"/>
  <c r="P319"/>
  <c r="D322"/>
  <c r="E322"/>
  <c r="F322"/>
  <c r="G322"/>
  <c r="H322"/>
  <c r="I322"/>
  <c r="J322"/>
  <c r="K322"/>
  <c r="L322"/>
  <c r="P322"/>
  <c r="P325"/>
  <c r="D325"/>
  <c r="E325"/>
  <c r="F325"/>
  <c r="G325"/>
  <c r="H325"/>
  <c r="I325"/>
  <c r="J325"/>
  <c r="K325"/>
  <c r="L325"/>
  <c r="M325"/>
  <c r="N325"/>
  <c r="O325"/>
  <c r="D328"/>
  <c r="E328"/>
  <c r="F328"/>
  <c r="G328"/>
  <c r="H328"/>
  <c r="I328"/>
  <c r="J328"/>
  <c r="K328"/>
  <c r="L328"/>
  <c r="P328"/>
  <c r="D331"/>
  <c r="E331"/>
  <c r="F331"/>
  <c r="G331"/>
  <c r="H331"/>
  <c r="I331"/>
  <c r="J331"/>
  <c r="K331"/>
  <c r="L331"/>
  <c r="M331"/>
  <c r="N331"/>
  <c r="O331"/>
  <c r="P331"/>
  <c r="D334"/>
  <c r="E334"/>
  <c r="F334"/>
  <c r="G334"/>
  <c r="H334"/>
  <c r="I334"/>
  <c r="J334"/>
  <c r="K334"/>
  <c r="L334"/>
  <c r="P334"/>
  <c r="D337"/>
  <c r="E337"/>
  <c r="F337"/>
  <c r="G337"/>
  <c r="H337"/>
  <c r="I337"/>
  <c r="J337"/>
  <c r="K337"/>
  <c r="L337"/>
  <c r="M337"/>
  <c r="N337"/>
  <c r="O337"/>
  <c r="P337"/>
  <c r="D340"/>
  <c r="E340"/>
  <c r="F340"/>
  <c r="G340"/>
  <c r="H340"/>
  <c r="I340"/>
  <c r="J340"/>
  <c r="K340"/>
  <c r="L340"/>
  <c r="P340"/>
  <c r="D343"/>
  <c r="E343"/>
  <c r="F343"/>
  <c r="G343"/>
  <c r="H343"/>
  <c r="I343"/>
  <c r="J343"/>
  <c r="K343"/>
  <c r="L343"/>
  <c r="M343"/>
  <c r="N343"/>
  <c r="O343"/>
  <c r="P343"/>
  <c r="D346"/>
  <c r="E346"/>
  <c r="F346"/>
  <c r="G346"/>
  <c r="H346"/>
  <c r="I346"/>
  <c r="J346"/>
  <c r="K346"/>
  <c r="L346"/>
  <c r="P346"/>
  <c r="P349"/>
  <c r="D349"/>
  <c r="E349"/>
  <c r="F349"/>
  <c r="G349"/>
  <c r="H349"/>
  <c r="I349"/>
  <c r="J349"/>
  <c r="K349"/>
  <c r="L349"/>
  <c r="M349"/>
  <c r="N349"/>
  <c r="O349"/>
  <c r="D352"/>
  <c r="E352"/>
  <c r="F352"/>
  <c r="G352"/>
  <c r="H352"/>
  <c r="I352"/>
  <c r="J352"/>
  <c r="K352"/>
  <c r="L352"/>
  <c r="P352"/>
  <c r="D355"/>
  <c r="E355"/>
  <c r="F355"/>
  <c r="G355"/>
  <c r="H355"/>
  <c r="I355"/>
  <c r="J355"/>
  <c r="K355"/>
  <c r="L355"/>
  <c r="M355"/>
  <c r="N355"/>
  <c r="O355"/>
  <c r="P355"/>
  <c r="D358"/>
  <c r="E358"/>
  <c r="F358"/>
  <c r="G358"/>
  <c r="H358"/>
  <c r="I358"/>
  <c r="J358"/>
  <c r="K358"/>
  <c r="L358"/>
  <c r="P358"/>
  <c r="D361"/>
  <c r="E361"/>
  <c r="F361"/>
  <c r="G361"/>
  <c r="H361"/>
  <c r="I361"/>
  <c r="J361"/>
  <c r="K361"/>
  <c r="L361"/>
  <c r="M361"/>
  <c r="N361"/>
  <c r="O361"/>
  <c r="P361"/>
  <c r="D364"/>
  <c r="E364"/>
  <c r="F364"/>
  <c r="G364"/>
  <c r="H364"/>
  <c r="I364"/>
  <c r="J364"/>
  <c r="K364"/>
  <c r="L364"/>
  <c r="P364"/>
  <c r="D367"/>
  <c r="E367"/>
  <c r="F367"/>
  <c r="G367"/>
  <c r="H367"/>
  <c r="I367"/>
  <c r="J367"/>
  <c r="K367"/>
  <c r="L367"/>
  <c r="M367"/>
  <c r="N367"/>
  <c r="O367"/>
  <c r="P367"/>
  <c r="D370"/>
  <c r="E370"/>
  <c r="F370"/>
  <c r="G370"/>
  <c r="H370"/>
  <c r="I370"/>
  <c r="J370"/>
  <c r="K370"/>
  <c r="L370"/>
  <c r="P370"/>
  <c r="P373"/>
  <c r="D373"/>
  <c r="E373"/>
  <c r="F373"/>
  <c r="G373"/>
  <c r="H373"/>
  <c r="I373"/>
  <c r="J373"/>
  <c r="K373"/>
  <c r="L373"/>
  <c r="M373"/>
  <c r="N373"/>
  <c r="O373"/>
  <c r="D376"/>
  <c r="E376"/>
  <c r="F376"/>
  <c r="G376"/>
  <c r="H376"/>
  <c r="I376"/>
  <c r="J376"/>
  <c r="K376"/>
  <c r="L376"/>
  <c r="P376"/>
  <c r="D379"/>
  <c r="E379"/>
  <c r="F379"/>
  <c r="G379"/>
  <c r="H379"/>
  <c r="I379"/>
  <c r="J379"/>
  <c r="K379"/>
  <c r="L379"/>
  <c r="M379"/>
  <c r="N379"/>
  <c r="O379"/>
  <c r="P379"/>
  <c r="D382"/>
  <c r="E382"/>
  <c r="F382"/>
  <c r="G382"/>
  <c r="H382"/>
  <c r="I382"/>
  <c r="J382"/>
  <c r="K382"/>
  <c r="L382"/>
  <c r="P382"/>
  <c r="D385"/>
  <c r="E385"/>
  <c r="F385"/>
  <c r="G385"/>
  <c r="H385"/>
  <c r="I385"/>
  <c r="J385"/>
  <c r="K385"/>
  <c r="L385"/>
  <c r="M385"/>
  <c r="N385"/>
  <c r="O385"/>
  <c r="P385"/>
  <c r="D388"/>
  <c r="E388"/>
  <c r="F388"/>
  <c r="G388"/>
  <c r="H388"/>
  <c r="I388"/>
  <c r="J388"/>
  <c r="K388"/>
  <c r="L388"/>
  <c r="P388"/>
  <c r="D391"/>
  <c r="E391"/>
  <c r="F391"/>
  <c r="G391"/>
  <c r="H391"/>
  <c r="I391"/>
  <c r="J391"/>
  <c r="K391"/>
  <c r="L391"/>
  <c r="M391"/>
  <c r="N391"/>
  <c r="O391"/>
  <c r="P391"/>
  <c r="D394"/>
  <c r="E394"/>
  <c r="F394"/>
  <c r="G394"/>
  <c r="H394"/>
  <c r="I394"/>
  <c r="J394"/>
  <c r="K394"/>
  <c r="L394"/>
  <c r="P394"/>
  <c r="D397"/>
  <c r="E397"/>
  <c r="F397"/>
  <c r="G397"/>
  <c r="H397"/>
  <c r="I397"/>
  <c r="J397"/>
  <c r="K397"/>
  <c r="L397"/>
  <c r="M397"/>
  <c r="N397"/>
  <c r="O397"/>
  <c r="P397"/>
  <c r="L400"/>
  <c r="D400"/>
  <c r="E400"/>
  <c r="F400"/>
  <c r="G400"/>
  <c r="H400"/>
  <c r="I400"/>
  <c r="J400"/>
  <c r="K400"/>
  <c r="P400"/>
  <c r="P403"/>
  <c r="D403"/>
  <c r="E403"/>
  <c r="F403"/>
  <c r="G403"/>
  <c r="H403"/>
  <c r="I403"/>
  <c r="J403"/>
  <c r="K403"/>
  <c r="L403"/>
  <c r="M403"/>
  <c r="N403"/>
  <c r="O403"/>
  <c r="D406"/>
  <c r="E406"/>
  <c r="F406"/>
  <c r="G406"/>
  <c r="H406"/>
  <c r="I406"/>
  <c r="J406"/>
  <c r="K406"/>
  <c r="L406"/>
  <c r="P406"/>
  <c r="D409"/>
  <c r="E409"/>
  <c r="F409"/>
  <c r="G409"/>
  <c r="H409"/>
  <c r="I409"/>
  <c r="J409"/>
  <c r="K409"/>
  <c r="L409"/>
  <c r="M409"/>
  <c r="N409"/>
  <c r="O409"/>
  <c r="P409"/>
  <c r="D412"/>
  <c r="E412"/>
  <c r="F412"/>
  <c r="G412"/>
  <c r="H412"/>
  <c r="I412"/>
  <c r="J412"/>
  <c r="K412"/>
  <c r="L412"/>
  <c r="P412"/>
  <c r="D415"/>
  <c r="E415"/>
  <c r="F415"/>
  <c r="G415"/>
  <c r="H415"/>
  <c r="I415"/>
  <c r="J415"/>
  <c r="K415"/>
  <c r="L415"/>
  <c r="M415"/>
  <c r="N415"/>
  <c r="O415"/>
  <c r="P415"/>
  <c r="D418"/>
  <c r="E418"/>
  <c r="F418"/>
  <c r="G418"/>
  <c r="H418"/>
  <c r="I418"/>
  <c r="J418"/>
  <c r="K418"/>
  <c r="L418"/>
  <c r="P418"/>
  <c r="D421"/>
  <c r="E421"/>
  <c r="F421"/>
  <c r="G421"/>
  <c r="H421"/>
  <c r="I421"/>
  <c r="J421"/>
  <c r="K421"/>
  <c r="L421"/>
  <c r="M421"/>
  <c r="N421"/>
  <c r="O421"/>
  <c r="P421"/>
  <c r="L424"/>
  <c r="D424"/>
  <c r="E424"/>
  <c r="F424"/>
  <c r="G424"/>
  <c r="H424"/>
  <c r="I424"/>
  <c r="J424"/>
  <c r="K424"/>
  <c r="P424"/>
  <c r="P427"/>
  <c r="D427"/>
  <c r="E427"/>
  <c r="F427"/>
  <c r="G427"/>
  <c r="H427"/>
  <c r="I427"/>
  <c r="J427"/>
  <c r="K427"/>
  <c r="L427"/>
  <c r="M427"/>
  <c r="N427"/>
  <c r="O427"/>
  <c r="D430"/>
  <c r="E430"/>
  <c r="F430"/>
  <c r="G430"/>
  <c r="H430"/>
  <c r="I430"/>
  <c r="J430"/>
  <c r="K430"/>
  <c r="L430"/>
  <c r="P430"/>
  <c r="D433"/>
  <c r="E433"/>
  <c r="F433"/>
  <c r="G433"/>
  <c r="H433"/>
  <c r="I433"/>
  <c r="J433"/>
  <c r="K433"/>
  <c r="L433"/>
  <c r="M433"/>
  <c r="N433"/>
  <c r="O433"/>
  <c r="P433"/>
  <c r="D436"/>
  <c r="E436"/>
  <c r="F436"/>
  <c r="G436"/>
  <c r="H436"/>
  <c r="I436"/>
  <c r="J436"/>
  <c r="K436"/>
  <c r="L436"/>
  <c r="P436"/>
  <c r="D439"/>
  <c r="E439"/>
  <c r="F439"/>
  <c r="G439"/>
  <c r="H439"/>
  <c r="I439"/>
  <c r="J439"/>
  <c r="K439"/>
  <c r="L439"/>
  <c r="M439"/>
  <c r="N439"/>
  <c r="O439"/>
  <c r="P439"/>
  <c r="D442"/>
  <c r="E442"/>
  <c r="F442"/>
  <c r="G442"/>
  <c r="H442"/>
  <c r="I442"/>
  <c r="J442"/>
  <c r="K442"/>
  <c r="L442"/>
  <c r="P442"/>
  <c r="D445"/>
  <c r="E445"/>
  <c r="F445"/>
  <c r="G445"/>
  <c r="H445"/>
  <c r="I445"/>
  <c r="J445"/>
  <c r="K445"/>
  <c r="L445"/>
  <c r="M445"/>
  <c r="N445"/>
  <c r="O445"/>
  <c r="P445"/>
  <c r="L448"/>
  <c r="D448"/>
  <c r="E448"/>
  <c r="F448"/>
  <c r="G448"/>
  <c r="H448"/>
  <c r="I448"/>
  <c r="J448"/>
  <c r="K448"/>
  <c r="P448"/>
  <c r="P451"/>
  <c r="D451"/>
  <c r="E451"/>
  <c r="F451"/>
  <c r="G451"/>
  <c r="H451"/>
  <c r="I451"/>
  <c r="J451"/>
  <c r="K451"/>
  <c r="L451"/>
  <c r="M451"/>
  <c r="N451"/>
  <c r="O451"/>
  <c r="D454"/>
  <c r="E454"/>
  <c r="F454"/>
  <c r="G454"/>
  <c r="H454"/>
  <c r="I454"/>
  <c r="J454"/>
  <c r="K454"/>
  <c r="L454"/>
  <c r="P454"/>
  <c r="D457"/>
  <c r="E457"/>
  <c r="F457"/>
  <c r="G457"/>
  <c r="H457"/>
  <c r="I457"/>
  <c r="J457"/>
  <c r="K457"/>
  <c r="L457"/>
  <c r="M457"/>
  <c r="N457"/>
  <c r="O457"/>
  <c r="P457"/>
  <c r="D460"/>
  <c r="E460"/>
  <c r="F460"/>
  <c r="G460"/>
  <c r="H460"/>
  <c r="I460"/>
  <c r="J460"/>
  <c r="K460"/>
  <c r="L460"/>
  <c r="P460"/>
  <c r="D463"/>
  <c r="E463"/>
  <c r="F463"/>
  <c r="G463"/>
  <c r="H463"/>
  <c r="I463"/>
  <c r="J463"/>
  <c r="K463"/>
  <c r="L463"/>
  <c r="M463"/>
  <c r="N463"/>
  <c r="O463"/>
  <c r="P463"/>
  <c r="D466"/>
  <c r="E466"/>
  <c r="F466"/>
  <c r="G466"/>
  <c r="H466"/>
  <c r="I466"/>
  <c r="J466"/>
  <c r="K466"/>
  <c r="L466"/>
  <c r="P466"/>
  <c r="D469"/>
  <c r="E469"/>
  <c r="F469"/>
  <c r="G469"/>
  <c r="H469"/>
  <c r="I469"/>
  <c r="J469"/>
  <c r="K469"/>
  <c r="L469"/>
  <c r="M469"/>
  <c r="N469"/>
  <c r="O469"/>
  <c r="P469"/>
  <c r="L472"/>
  <c r="D472"/>
  <c r="E472"/>
  <c r="F472"/>
  <c r="G472"/>
  <c r="H472"/>
  <c r="I472"/>
  <c r="J472"/>
  <c r="K472"/>
  <c r="P472"/>
  <c r="P475"/>
  <c r="D475"/>
  <c r="E475"/>
  <c r="F475"/>
  <c r="G475"/>
  <c r="H475"/>
  <c r="I475"/>
  <c r="J475"/>
  <c r="K475"/>
  <c r="L475"/>
  <c r="M475"/>
  <c r="N475"/>
  <c r="O475"/>
  <c r="D478"/>
  <c r="E478"/>
  <c r="F478"/>
  <c r="G478"/>
  <c r="H478"/>
  <c r="I478"/>
  <c r="J478"/>
  <c r="K478"/>
  <c r="L478"/>
  <c r="P478"/>
  <c r="D481"/>
  <c r="E481"/>
  <c r="F481"/>
  <c r="G481"/>
  <c r="H481"/>
  <c r="I481"/>
  <c r="J481"/>
  <c r="K481"/>
  <c r="L481"/>
  <c r="M481"/>
  <c r="N481"/>
  <c r="O481"/>
  <c r="P481"/>
  <c r="D484"/>
  <c r="E484"/>
  <c r="F484"/>
  <c r="G484"/>
  <c r="H484"/>
  <c r="I484"/>
  <c r="J484"/>
  <c r="K484"/>
  <c r="L484"/>
  <c r="P484"/>
  <c r="D487"/>
  <c r="E487"/>
  <c r="F487"/>
  <c r="G487"/>
  <c r="H487"/>
  <c r="I487"/>
  <c r="J487"/>
  <c r="K487"/>
  <c r="L487"/>
  <c r="M487"/>
  <c r="N487"/>
  <c r="O487"/>
  <c r="P487"/>
  <c r="D490"/>
  <c r="E490"/>
  <c r="F490"/>
  <c r="G490"/>
  <c r="H490"/>
  <c r="I490"/>
  <c r="J490"/>
  <c r="K490"/>
  <c r="L490"/>
  <c r="P490"/>
  <c r="D493"/>
  <c r="E493"/>
  <c r="F493"/>
  <c r="G493"/>
  <c r="H493"/>
  <c r="I493"/>
  <c r="J493"/>
  <c r="K493"/>
  <c r="L493"/>
  <c r="M493"/>
  <c r="N493"/>
  <c r="O493"/>
  <c r="P493"/>
  <c r="D496"/>
  <c r="E496"/>
  <c r="F496"/>
  <c r="G496"/>
  <c r="H496"/>
  <c r="I496"/>
  <c r="J496"/>
  <c r="K496"/>
  <c r="L496"/>
  <c r="P496"/>
  <c r="D499"/>
  <c r="E499"/>
  <c r="F499"/>
  <c r="G499"/>
  <c r="H499"/>
  <c r="I499"/>
  <c r="J499"/>
  <c r="K499"/>
  <c r="L499"/>
  <c r="M499"/>
  <c r="N499"/>
  <c r="O499"/>
  <c r="P499"/>
  <c r="D502"/>
  <c r="E502"/>
  <c r="F502"/>
  <c r="G502"/>
  <c r="H502"/>
  <c r="I502"/>
  <c r="J502"/>
  <c r="K502"/>
  <c r="L502"/>
  <c r="P502"/>
  <c r="P505"/>
  <c r="D505"/>
  <c r="E505"/>
  <c r="F505"/>
  <c r="G505"/>
  <c r="H505"/>
  <c r="I505"/>
  <c r="J505"/>
  <c r="K505"/>
  <c r="L505"/>
  <c r="M505"/>
  <c r="N505"/>
  <c r="O505"/>
  <c r="D508"/>
  <c r="E508"/>
  <c r="F508"/>
  <c r="G508"/>
  <c r="H508"/>
  <c r="I508"/>
  <c r="J508"/>
  <c r="K508"/>
  <c r="L508"/>
  <c r="P508"/>
  <c r="D511"/>
  <c r="E511"/>
  <c r="F511"/>
  <c r="G511"/>
  <c r="H511"/>
  <c r="I511"/>
  <c r="J511"/>
  <c r="K511"/>
  <c r="L511"/>
  <c r="M511"/>
  <c r="N511"/>
  <c r="O511"/>
  <c r="P511"/>
  <c r="D514"/>
  <c r="E514"/>
  <c r="F514"/>
  <c r="G514"/>
  <c r="H514"/>
  <c r="I514"/>
  <c r="J514"/>
  <c r="K514"/>
  <c r="L514"/>
  <c r="P514"/>
  <c r="D517"/>
  <c r="E517"/>
  <c r="F517"/>
  <c r="G517"/>
  <c r="H517"/>
  <c r="I517"/>
  <c r="J517"/>
  <c r="K517"/>
  <c r="L517"/>
  <c r="M517"/>
  <c r="N517"/>
  <c r="O517"/>
  <c r="P517"/>
  <c r="D520"/>
  <c r="E520"/>
  <c r="F520"/>
  <c r="G520"/>
  <c r="H520"/>
  <c r="I520"/>
  <c r="J520"/>
  <c r="K520"/>
  <c r="L520"/>
  <c r="P520"/>
  <c r="D523"/>
  <c r="E523"/>
  <c r="F523"/>
  <c r="G523"/>
  <c r="H523"/>
  <c r="I523"/>
  <c r="J523"/>
  <c r="K523"/>
  <c r="L523"/>
  <c r="M523"/>
  <c r="N523"/>
  <c r="O523"/>
  <c r="P523"/>
  <c r="D526"/>
  <c r="E526"/>
  <c r="F526"/>
  <c r="G526"/>
  <c r="H526"/>
  <c r="I526"/>
  <c r="J526"/>
  <c r="K526"/>
  <c r="L526"/>
  <c r="P526"/>
  <c r="P529"/>
  <c r="D529"/>
  <c r="E529"/>
  <c r="F529"/>
  <c r="G529"/>
  <c r="H529"/>
  <c r="I529"/>
  <c r="J529"/>
  <c r="K529"/>
  <c r="L529"/>
  <c r="M529"/>
  <c r="N529"/>
  <c r="O529"/>
  <c r="D532"/>
  <c r="E532"/>
  <c r="F532"/>
  <c r="G532"/>
  <c r="H532"/>
  <c r="I532"/>
  <c r="J532"/>
  <c r="K532"/>
  <c r="L532"/>
  <c r="P532"/>
  <c r="D535"/>
  <c r="E535"/>
  <c r="F535"/>
  <c r="G535"/>
  <c r="H535"/>
  <c r="I535"/>
  <c r="J535"/>
  <c r="K535"/>
  <c r="L535"/>
  <c r="M535"/>
  <c r="N535"/>
  <c r="O535"/>
  <c r="P535"/>
  <c r="D538"/>
  <c r="E538"/>
  <c r="F538"/>
  <c r="G538"/>
  <c r="H538"/>
  <c r="I538"/>
  <c r="J538"/>
  <c r="K538"/>
  <c r="L538"/>
  <c r="P538"/>
  <c r="D541"/>
  <c r="E541"/>
  <c r="F541"/>
  <c r="G541"/>
  <c r="H541"/>
  <c r="I541"/>
  <c r="J541"/>
  <c r="K541"/>
  <c r="L541"/>
  <c r="M541"/>
  <c r="N541"/>
  <c r="O541"/>
  <c r="P541"/>
  <c r="D544"/>
  <c r="E544"/>
  <c r="F544"/>
  <c r="G544"/>
  <c r="H544"/>
  <c r="I544"/>
  <c r="J544"/>
  <c r="K544"/>
  <c r="L544"/>
  <c r="P544"/>
  <c r="D547"/>
  <c r="E547"/>
  <c r="F547"/>
  <c r="G547"/>
  <c r="H547"/>
  <c r="I547"/>
  <c r="J547"/>
  <c r="K547"/>
  <c r="L547"/>
  <c r="M547"/>
  <c r="N547"/>
  <c r="O547"/>
  <c r="P547"/>
  <c r="D550"/>
  <c r="E550"/>
  <c r="F550"/>
  <c r="G550"/>
  <c r="H550"/>
  <c r="I550"/>
  <c r="J550"/>
  <c r="K550"/>
  <c r="L550"/>
  <c r="P550"/>
  <c r="P553"/>
  <c r="D553"/>
  <c r="E553"/>
  <c r="F553"/>
  <c r="G553"/>
  <c r="H553"/>
  <c r="I553"/>
  <c r="J553"/>
  <c r="K553"/>
  <c r="L553"/>
  <c r="M553"/>
  <c r="N553"/>
  <c r="O553"/>
  <c r="D556"/>
  <c r="E556"/>
  <c r="F556"/>
  <c r="G556"/>
  <c r="H556"/>
  <c r="I556"/>
  <c r="J556"/>
  <c r="K556"/>
  <c r="L556"/>
  <c r="M556"/>
  <c r="N556"/>
  <c r="O556"/>
  <c r="P556"/>
  <c r="D559"/>
  <c r="E559"/>
  <c r="F559"/>
  <c r="G559"/>
  <c r="H559"/>
  <c r="I559"/>
  <c r="J559"/>
  <c r="K559"/>
  <c r="L559"/>
  <c r="P559"/>
  <c r="D562"/>
  <c r="E562"/>
  <c r="F562"/>
  <c r="G562"/>
  <c r="H562"/>
  <c r="I562"/>
  <c r="J562"/>
  <c r="K562"/>
  <c r="L562"/>
  <c r="M562"/>
  <c r="N562"/>
  <c r="O562"/>
  <c r="P562"/>
  <c r="D565"/>
  <c r="E565"/>
  <c r="F565"/>
  <c r="G565"/>
  <c r="H565"/>
  <c r="I565"/>
  <c r="J565"/>
  <c r="K565"/>
  <c r="L565"/>
  <c r="P565"/>
  <c r="D568"/>
  <c r="E568"/>
  <c r="F568"/>
  <c r="G568"/>
  <c r="H568"/>
  <c r="I568"/>
  <c r="J568"/>
  <c r="K568"/>
  <c r="L568"/>
  <c r="M568"/>
  <c r="N568"/>
  <c r="O568"/>
  <c r="P568"/>
  <c r="D571"/>
  <c r="E571"/>
  <c r="F571"/>
  <c r="G571"/>
  <c r="H571"/>
  <c r="I571"/>
  <c r="J571"/>
  <c r="K571"/>
  <c r="L571"/>
  <c r="P571"/>
  <c r="D574"/>
  <c r="E574"/>
  <c r="F574"/>
  <c r="G574"/>
  <c r="H574"/>
  <c r="I574"/>
  <c r="J574"/>
  <c r="K574"/>
  <c r="L574"/>
  <c r="M574"/>
  <c r="N574"/>
  <c r="O574"/>
  <c r="P574"/>
  <c r="D577"/>
  <c r="E577"/>
  <c r="F577"/>
  <c r="G577"/>
  <c r="H577"/>
  <c r="I577"/>
  <c r="J577"/>
  <c r="K577"/>
  <c r="L577"/>
  <c r="P577"/>
  <c r="D580"/>
  <c r="E580"/>
  <c r="F580"/>
  <c r="G580"/>
  <c r="H580"/>
  <c r="I580"/>
  <c r="J580"/>
  <c r="K580"/>
  <c r="L580"/>
  <c r="M580"/>
  <c r="N580"/>
  <c r="O580"/>
  <c r="P580"/>
  <c r="D583"/>
  <c r="E583"/>
  <c r="F583"/>
  <c r="G583"/>
  <c r="H583"/>
  <c r="I583"/>
  <c r="J583"/>
  <c r="K583"/>
  <c r="L583"/>
  <c r="P583"/>
  <c r="D586"/>
  <c r="E586"/>
  <c r="F586"/>
  <c r="G586"/>
  <c r="H586"/>
  <c r="I586"/>
  <c r="J586"/>
  <c r="K586"/>
  <c r="L586"/>
  <c r="M586"/>
  <c r="N586"/>
  <c r="O586"/>
  <c r="P586"/>
  <c r="D589"/>
  <c r="E589"/>
  <c r="F589"/>
  <c r="G589"/>
  <c r="H589"/>
  <c r="I589"/>
  <c r="J589"/>
  <c r="K589"/>
  <c r="L589"/>
  <c r="P589"/>
  <c r="D592"/>
  <c r="E592"/>
  <c r="F592"/>
  <c r="G592"/>
  <c r="H592"/>
  <c r="I592"/>
  <c r="J592"/>
  <c r="K592"/>
  <c r="L592"/>
  <c r="M592"/>
  <c r="N592"/>
  <c r="O592"/>
  <c r="P592"/>
  <c r="D595"/>
  <c r="E595"/>
  <c r="F595"/>
  <c r="G595"/>
  <c r="H595"/>
  <c r="I595"/>
  <c r="J595"/>
  <c r="K595"/>
  <c r="L595"/>
  <c r="P595"/>
  <c r="D598"/>
  <c r="E598"/>
  <c r="F598"/>
  <c r="G598"/>
  <c r="H598"/>
  <c r="I598"/>
  <c r="J598"/>
  <c r="K598"/>
  <c r="L598"/>
  <c r="M598"/>
  <c r="N598"/>
  <c r="O598"/>
  <c r="P598"/>
  <c r="D601"/>
  <c r="E601"/>
  <c r="F601"/>
  <c r="G601"/>
  <c r="H601"/>
  <c r="I601"/>
  <c r="J601"/>
  <c r="K601"/>
  <c r="L601"/>
  <c r="P601"/>
  <c r="D604"/>
  <c r="E604"/>
  <c r="F604"/>
  <c r="G604"/>
  <c r="H604"/>
  <c r="I604"/>
  <c r="J604"/>
  <c r="K604"/>
  <c r="L604"/>
  <c r="M604"/>
  <c r="N604"/>
  <c r="O604"/>
  <c r="P604"/>
  <c r="D607"/>
  <c r="E607"/>
  <c r="F607"/>
  <c r="G607"/>
  <c r="H607"/>
  <c r="I607"/>
  <c r="J607"/>
  <c r="K607"/>
  <c r="L607"/>
  <c r="P607"/>
  <c r="D610"/>
  <c r="E610"/>
  <c r="F610"/>
  <c r="G610"/>
  <c r="H610"/>
  <c r="I610"/>
  <c r="J610"/>
  <c r="K610"/>
  <c r="L610"/>
  <c r="M610"/>
  <c r="N610"/>
  <c r="O610"/>
  <c r="P610"/>
  <c r="D613"/>
  <c r="E613"/>
  <c r="F613"/>
  <c r="G613"/>
  <c r="H613"/>
  <c r="I613"/>
  <c r="J613"/>
  <c r="K613"/>
  <c r="L613"/>
  <c r="P613"/>
  <c r="D616"/>
  <c r="E616"/>
  <c r="F616"/>
  <c r="G616"/>
  <c r="H616"/>
  <c r="I616"/>
  <c r="J616"/>
  <c r="K616"/>
  <c r="L616"/>
  <c r="M616"/>
  <c r="N616"/>
  <c r="O616"/>
  <c r="P616"/>
  <c r="D619"/>
  <c r="E619"/>
  <c r="F619"/>
  <c r="G619"/>
  <c r="H619"/>
  <c r="I619"/>
  <c r="J619"/>
  <c r="K619"/>
  <c r="L619"/>
  <c r="M619"/>
  <c r="N619"/>
  <c r="O619"/>
  <c r="P619"/>
  <c r="D622"/>
  <c r="E622"/>
  <c r="F622"/>
  <c r="G622"/>
  <c r="H622"/>
  <c r="I622"/>
  <c r="J622"/>
  <c r="K622"/>
  <c r="L622"/>
  <c r="P622"/>
  <c r="D625"/>
  <c r="E625"/>
  <c r="F625"/>
  <c r="G625"/>
  <c r="H625"/>
  <c r="I625"/>
  <c r="J625"/>
  <c r="K625"/>
  <c r="L625"/>
  <c r="M625"/>
  <c r="N625"/>
  <c r="O625"/>
  <c r="P625"/>
  <c r="D628"/>
  <c r="E628"/>
  <c r="F628"/>
  <c r="G628"/>
  <c r="H628"/>
  <c r="I628"/>
  <c r="J628"/>
  <c r="K628"/>
  <c r="L628"/>
  <c r="P628"/>
  <c r="D631"/>
  <c r="E631"/>
  <c r="F631"/>
  <c r="G631"/>
  <c r="H631"/>
  <c r="I631"/>
  <c r="J631"/>
  <c r="K631"/>
  <c r="L631"/>
  <c r="M631"/>
  <c r="N631"/>
  <c r="O631"/>
  <c r="P631"/>
  <c r="D634"/>
  <c r="E634"/>
  <c r="F634"/>
  <c r="G634"/>
  <c r="H634"/>
  <c r="I634"/>
  <c r="J634"/>
  <c r="K634"/>
  <c r="L634"/>
  <c r="P634"/>
  <c r="D637"/>
  <c r="E637"/>
  <c r="F637"/>
  <c r="G637"/>
  <c r="H637"/>
  <c r="I637"/>
  <c r="J637"/>
  <c r="K637"/>
  <c r="L637"/>
  <c r="M637"/>
  <c r="N637"/>
  <c r="O637"/>
  <c r="P637"/>
  <c r="D640"/>
  <c r="E640"/>
  <c r="F640"/>
  <c r="G640"/>
  <c r="H640"/>
  <c r="I640"/>
  <c r="J640"/>
  <c r="K640"/>
  <c r="L640"/>
  <c r="P640"/>
  <c r="P643"/>
  <c r="D643"/>
  <c r="E643"/>
  <c r="F643"/>
  <c r="G643"/>
  <c r="H643"/>
  <c r="I643"/>
  <c r="J643"/>
  <c r="K643"/>
  <c r="L643"/>
  <c r="M643"/>
  <c r="N643"/>
  <c r="O643"/>
  <c r="D646"/>
  <c r="E646"/>
  <c r="F646"/>
  <c r="G646"/>
  <c r="H646"/>
  <c r="I646"/>
  <c r="J646"/>
  <c r="K646"/>
  <c r="L646"/>
  <c r="P646"/>
  <c r="D649"/>
  <c r="E649"/>
  <c r="F649"/>
  <c r="G649"/>
  <c r="H649"/>
  <c r="I649"/>
  <c r="J649"/>
  <c r="K649"/>
  <c r="L649"/>
  <c r="M649"/>
  <c r="N649"/>
  <c r="O649"/>
  <c r="P649"/>
  <c r="D652"/>
  <c r="E652"/>
  <c r="F652"/>
  <c r="G652"/>
  <c r="H652"/>
  <c r="I652"/>
  <c r="J652"/>
  <c r="K652"/>
  <c r="L652"/>
  <c r="P652"/>
  <c r="D655"/>
  <c r="E655"/>
  <c r="F655"/>
  <c r="G655"/>
  <c r="H655"/>
  <c r="I655"/>
  <c r="J655"/>
  <c r="K655"/>
  <c r="L655"/>
  <c r="M655"/>
  <c r="N655"/>
  <c r="O655"/>
  <c r="P655"/>
  <c r="D658"/>
  <c r="E658"/>
  <c r="F658"/>
  <c r="G658"/>
  <c r="H658"/>
  <c r="I658"/>
  <c r="J658"/>
  <c r="K658"/>
  <c r="L658"/>
  <c r="P658"/>
  <c r="D661"/>
  <c r="E661"/>
  <c r="F661"/>
  <c r="G661"/>
  <c r="H661"/>
  <c r="I661"/>
  <c r="J661"/>
  <c r="K661"/>
  <c r="L661"/>
  <c r="P661"/>
  <c r="D664"/>
  <c r="E664"/>
  <c r="F664"/>
  <c r="G664"/>
  <c r="H664"/>
  <c r="I664"/>
  <c r="J664"/>
  <c r="K664"/>
  <c r="L664"/>
  <c r="M664"/>
  <c r="N664"/>
  <c r="O664"/>
  <c r="P664"/>
  <c r="D667"/>
  <c r="E667"/>
  <c r="F667"/>
  <c r="G667"/>
  <c r="H667"/>
  <c r="I667"/>
  <c r="J667"/>
  <c r="K667"/>
  <c r="L667"/>
  <c r="P667"/>
  <c r="D670"/>
  <c r="E670"/>
  <c r="F670"/>
  <c r="G670"/>
  <c r="H670"/>
  <c r="I670"/>
  <c r="J670"/>
  <c r="K670"/>
  <c r="L670"/>
  <c r="M670"/>
  <c r="N670"/>
  <c r="O670"/>
  <c r="P670"/>
  <c r="D673"/>
  <c r="E673"/>
  <c r="F673"/>
  <c r="G673"/>
  <c r="H673"/>
  <c r="I673"/>
  <c r="J673"/>
  <c r="K673"/>
  <c r="L673"/>
  <c r="P673"/>
  <c r="D676"/>
  <c r="E676"/>
  <c r="F676"/>
  <c r="G676"/>
  <c r="H676"/>
  <c r="I676"/>
  <c r="J676"/>
  <c r="K676"/>
  <c r="L676"/>
  <c r="M676"/>
  <c r="N676"/>
  <c r="O676"/>
  <c r="P676"/>
  <c r="D679"/>
  <c r="E679"/>
  <c r="F679"/>
  <c r="G679"/>
  <c r="H679"/>
  <c r="I679"/>
  <c r="J679"/>
  <c r="K679"/>
  <c r="L679"/>
  <c r="P679"/>
  <c r="D682"/>
  <c r="E682"/>
  <c r="F682"/>
  <c r="G682"/>
  <c r="H682"/>
  <c r="I682"/>
  <c r="J682"/>
  <c r="K682"/>
  <c r="L682"/>
  <c r="M682"/>
  <c r="N682"/>
  <c r="O682"/>
  <c r="P682"/>
  <c r="D685"/>
  <c r="E685"/>
  <c r="F685"/>
  <c r="G685"/>
  <c r="H685"/>
  <c r="I685"/>
  <c r="J685"/>
  <c r="K685"/>
  <c r="L685"/>
  <c r="P685"/>
  <c r="D688"/>
  <c r="E688"/>
  <c r="F688"/>
  <c r="G688"/>
  <c r="H688"/>
  <c r="I688"/>
  <c r="J688"/>
  <c r="K688"/>
  <c r="L688"/>
  <c r="M688"/>
  <c r="N688"/>
  <c r="O688"/>
  <c r="P688"/>
  <c r="D691"/>
  <c r="E691"/>
  <c r="F691"/>
  <c r="G691"/>
  <c r="H691"/>
  <c r="I691"/>
  <c r="J691"/>
  <c r="K691"/>
  <c r="L691"/>
  <c r="P691"/>
  <c r="D694"/>
  <c r="E694"/>
  <c r="F694"/>
  <c r="G694"/>
  <c r="H694"/>
  <c r="I694"/>
  <c r="J694"/>
  <c r="K694"/>
  <c r="L694"/>
  <c r="M694"/>
  <c r="N694"/>
  <c r="O694"/>
  <c r="P694"/>
  <c r="D697"/>
  <c r="E697"/>
  <c r="F697"/>
  <c r="G697"/>
  <c r="H697"/>
  <c r="I697"/>
  <c r="J697"/>
  <c r="K697"/>
  <c r="L697"/>
  <c r="P697"/>
  <c r="D700"/>
  <c r="E700"/>
  <c r="F700"/>
  <c r="G700"/>
  <c r="H700"/>
  <c r="I700"/>
  <c r="J700"/>
  <c r="K700"/>
  <c r="L700"/>
  <c r="M700"/>
  <c r="N700"/>
  <c r="O700"/>
  <c r="P700"/>
  <c r="D703"/>
  <c r="E703"/>
  <c r="F703"/>
  <c r="G703"/>
  <c r="H703"/>
  <c r="I703"/>
  <c r="J703"/>
  <c r="K703"/>
  <c r="L703"/>
  <c r="P703"/>
  <c r="D706"/>
  <c r="E706"/>
  <c r="F706"/>
  <c r="G706"/>
  <c r="H706"/>
  <c r="I706"/>
  <c r="J706"/>
  <c r="K706"/>
  <c r="L706"/>
  <c r="M706"/>
  <c r="N706"/>
  <c r="O706"/>
  <c r="P706"/>
  <c r="D709"/>
  <c r="E709"/>
  <c r="F709"/>
  <c r="G709"/>
  <c r="H709"/>
  <c r="I709"/>
  <c r="J709"/>
  <c r="K709"/>
  <c r="L709"/>
  <c r="P709"/>
  <c r="D712"/>
  <c r="E712"/>
  <c r="F712"/>
  <c r="G712"/>
  <c r="H712"/>
  <c r="I712"/>
  <c r="J712"/>
  <c r="K712"/>
  <c r="L712"/>
  <c r="M712"/>
  <c r="N712"/>
  <c r="O712"/>
  <c r="P712"/>
  <c r="D715"/>
  <c r="E715"/>
  <c r="F715"/>
  <c r="G715"/>
  <c r="H715"/>
  <c r="I715"/>
  <c r="J715"/>
  <c r="K715"/>
  <c r="L715"/>
  <c r="P715"/>
  <c r="D718"/>
  <c r="E718"/>
  <c r="F718"/>
  <c r="G718"/>
  <c r="H718"/>
  <c r="I718"/>
  <c r="J718"/>
  <c r="K718"/>
  <c r="L718"/>
  <c r="M718"/>
  <c r="N718"/>
  <c r="O718"/>
  <c r="P718"/>
  <c r="D721"/>
  <c r="E721"/>
  <c r="F721"/>
  <c r="G721"/>
  <c r="H721"/>
  <c r="I721"/>
  <c r="J721"/>
  <c r="K721"/>
  <c r="L721"/>
  <c r="P721"/>
  <c r="D724"/>
  <c r="E724"/>
  <c r="F724"/>
  <c r="G724"/>
  <c r="H724"/>
  <c r="I724"/>
  <c r="J724"/>
  <c r="K724"/>
  <c r="L724"/>
  <c r="P724"/>
  <c r="D727"/>
  <c r="E727"/>
  <c r="F727"/>
  <c r="G727"/>
  <c r="H727"/>
  <c r="I727"/>
  <c r="J727"/>
  <c r="K727"/>
  <c r="L727"/>
  <c r="M727"/>
  <c r="N727"/>
  <c r="O727"/>
  <c r="P727"/>
  <c r="D730"/>
  <c r="E730"/>
  <c r="F730"/>
  <c r="G730"/>
  <c r="H730"/>
  <c r="I730"/>
  <c r="J730"/>
  <c r="K730"/>
  <c r="L730"/>
  <c r="P730"/>
  <c r="D733"/>
  <c r="E733"/>
  <c r="F733"/>
  <c r="G733"/>
  <c r="H733"/>
  <c r="I733"/>
  <c r="J733"/>
  <c r="K733"/>
  <c r="L733"/>
  <c r="M733"/>
  <c r="N733"/>
  <c r="O733"/>
  <c r="P733"/>
  <c r="D736"/>
  <c r="E736"/>
  <c r="F736"/>
  <c r="G736"/>
  <c r="H736"/>
  <c r="I736"/>
  <c r="J736"/>
  <c r="K736"/>
  <c r="L736"/>
  <c r="P736"/>
  <c r="D739"/>
  <c r="E739"/>
  <c r="F739"/>
  <c r="G739"/>
  <c r="H739"/>
  <c r="I739"/>
  <c r="J739"/>
  <c r="K739"/>
  <c r="L739"/>
  <c r="M739"/>
  <c r="N739"/>
  <c r="O739"/>
  <c r="P739"/>
  <c r="D742"/>
  <c r="E742"/>
  <c r="F742"/>
  <c r="G742"/>
  <c r="H742"/>
  <c r="I742"/>
  <c r="J742"/>
  <c r="K742"/>
  <c r="L742"/>
  <c r="P742"/>
  <c r="D745"/>
  <c r="E745"/>
  <c r="F745"/>
  <c r="G745"/>
  <c r="H745"/>
  <c r="I745"/>
  <c r="J745"/>
  <c r="K745"/>
  <c r="L745"/>
  <c r="M745"/>
  <c r="N745"/>
  <c r="O745"/>
  <c r="P745"/>
  <c r="D748"/>
  <c r="E748"/>
  <c r="F748"/>
  <c r="G748"/>
  <c r="H748"/>
  <c r="I748"/>
  <c r="J748"/>
  <c r="K748"/>
  <c r="L748"/>
  <c r="P748"/>
  <c r="D751"/>
  <c r="E751"/>
  <c r="F751"/>
  <c r="G751"/>
  <c r="H751"/>
  <c r="I751"/>
  <c r="J751"/>
  <c r="K751"/>
  <c r="L751"/>
  <c r="M751"/>
  <c r="N751"/>
  <c r="O751"/>
  <c r="P751"/>
  <c r="D754"/>
  <c r="E754"/>
  <c r="F754"/>
  <c r="G754"/>
  <c r="H754"/>
  <c r="I754"/>
  <c r="J754"/>
  <c r="K754"/>
  <c r="L754"/>
  <c r="P754"/>
  <c r="D757"/>
  <c r="E757"/>
  <c r="F757"/>
  <c r="G757"/>
  <c r="H757"/>
  <c r="I757"/>
  <c r="J757"/>
  <c r="K757"/>
  <c r="L757"/>
  <c r="M757"/>
  <c r="N757"/>
  <c r="O757"/>
  <c r="P757"/>
  <c r="D760"/>
  <c r="E760"/>
  <c r="F760"/>
  <c r="G760"/>
  <c r="H760"/>
  <c r="I760"/>
  <c r="J760"/>
  <c r="K760"/>
  <c r="L760"/>
  <c r="P760"/>
  <c r="D763"/>
  <c r="E763"/>
  <c r="F763"/>
  <c r="G763"/>
  <c r="H763"/>
  <c r="I763"/>
  <c r="J763"/>
  <c r="K763"/>
  <c r="L763"/>
  <c r="M763"/>
  <c r="N763"/>
  <c r="O763"/>
  <c r="P763"/>
  <c r="D766"/>
  <c r="E766"/>
  <c r="F766"/>
  <c r="G766"/>
  <c r="H766"/>
  <c r="I766"/>
  <c r="J766"/>
  <c r="K766"/>
  <c r="L766"/>
  <c r="M766"/>
  <c r="N766"/>
  <c r="O766"/>
  <c r="P766"/>
  <c r="D769"/>
  <c r="E769"/>
  <c r="F769"/>
  <c r="G769"/>
  <c r="H769"/>
  <c r="I769"/>
  <c r="J769"/>
  <c r="K769"/>
  <c r="L769"/>
  <c r="P769"/>
  <c r="D772"/>
  <c r="E772"/>
  <c r="F772"/>
  <c r="G772"/>
  <c r="H772"/>
  <c r="I772"/>
  <c r="J772"/>
  <c r="K772"/>
  <c r="L772"/>
  <c r="M772"/>
  <c r="N772"/>
  <c r="O772"/>
  <c r="P772"/>
  <c r="D775"/>
  <c r="E775"/>
  <c r="F775"/>
  <c r="G775"/>
  <c r="H775"/>
  <c r="I775"/>
  <c r="J775"/>
  <c r="K775"/>
  <c r="L775"/>
  <c r="P775"/>
  <c r="D778"/>
  <c r="E778"/>
  <c r="F778"/>
  <c r="G778"/>
  <c r="H778"/>
  <c r="I778"/>
  <c r="J778"/>
  <c r="K778"/>
  <c r="L778"/>
  <c r="M778"/>
  <c r="N778"/>
  <c r="O778"/>
  <c r="P778"/>
  <c r="D781"/>
  <c r="E781"/>
  <c r="F781"/>
  <c r="G781"/>
  <c r="H781"/>
  <c r="I781"/>
  <c r="J781"/>
  <c r="K781"/>
  <c r="L781"/>
  <c r="P781"/>
  <c r="D784"/>
  <c r="E784"/>
  <c r="F784"/>
  <c r="G784"/>
  <c r="H784"/>
  <c r="I784"/>
  <c r="J784"/>
  <c r="K784"/>
  <c r="L784"/>
  <c r="M784"/>
  <c r="N784"/>
  <c r="O784"/>
  <c r="P784"/>
  <c r="D787"/>
  <c r="E787"/>
  <c r="F787"/>
  <c r="G787"/>
  <c r="H787"/>
  <c r="I787"/>
  <c r="J787"/>
  <c r="K787"/>
  <c r="L787"/>
  <c r="P787"/>
  <c r="D790"/>
  <c r="E790"/>
  <c r="F790"/>
  <c r="G790"/>
  <c r="H790"/>
  <c r="I790"/>
  <c r="J790"/>
  <c r="K790"/>
  <c r="L790"/>
  <c r="M790"/>
  <c r="N790"/>
  <c r="O790"/>
  <c r="P790"/>
  <c r="U19" i="13"/>
  <c r="E258" i="4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7"/>
  <c r="N247" s="1"/>
  <c r="E246"/>
  <c r="N246" s="1"/>
  <c r="E245"/>
  <c r="N245" s="1"/>
  <c r="E244"/>
  <c r="N244" s="1"/>
  <c r="E243"/>
  <c r="N243" s="1"/>
  <c r="E242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N188"/>
  <c r="E187"/>
  <c r="N187" s="1"/>
  <c r="E186"/>
  <c r="N186" s="1"/>
  <c r="E185"/>
  <c r="N185" s="1"/>
  <c r="E184"/>
  <c r="N184" s="1"/>
  <c r="E183"/>
  <c r="N183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N17"/>
  <c r="E16"/>
  <c r="N16" s="1"/>
  <c r="E15"/>
  <c r="N15" s="1"/>
  <c r="E14"/>
  <c r="N14" s="1"/>
  <c r="E13"/>
  <c r="N13" s="1"/>
  <c r="E12"/>
  <c r="N12" s="1"/>
  <c r="E11"/>
  <c r="N11" s="1"/>
  <c r="T1208" i="12" l="1"/>
  <c r="V1208" s="1"/>
  <c r="T1169"/>
  <c r="T1145"/>
  <c r="V1145" s="1"/>
  <c r="T1157"/>
  <c r="T1220"/>
  <c r="T1217"/>
  <c r="V1217" s="1"/>
  <c r="T1214"/>
  <c r="V1214" s="1"/>
  <c r="T1166"/>
  <c r="V1220"/>
  <c r="V1169"/>
  <c r="T1004"/>
  <c r="T1181"/>
  <c r="V1181" s="1"/>
  <c r="V1154"/>
  <c r="T1139"/>
  <c r="V1139" s="1"/>
  <c r="T1142"/>
  <c r="V1142" s="1"/>
  <c r="V1157"/>
  <c r="T1178"/>
  <c r="V1166"/>
  <c r="T1151"/>
  <c r="V1151" s="1"/>
  <c r="T1136"/>
  <c r="V1136" s="1"/>
  <c r="T1034"/>
  <c r="V1034" s="1"/>
  <c r="T1121"/>
  <c r="V1121" s="1"/>
  <c r="T1148"/>
  <c r="V1148" s="1"/>
  <c r="V1178"/>
  <c r="T1040"/>
  <c r="V1040" s="1"/>
  <c r="T1070"/>
  <c r="V1070" s="1"/>
  <c r="T1022"/>
  <c r="V1022" s="1"/>
  <c r="T1067"/>
  <c r="V1067" s="1"/>
  <c r="T1025"/>
  <c r="V1025" s="1"/>
  <c r="T1118"/>
  <c r="V1118" s="1"/>
  <c r="T1082"/>
  <c r="V1082" s="1"/>
  <c r="T947"/>
  <c r="V947" s="1"/>
  <c r="T1019"/>
  <c r="V1019" s="1"/>
  <c r="T1115"/>
  <c r="V1115" s="1"/>
  <c r="T1106"/>
  <c r="V1106" s="1"/>
  <c r="T1091"/>
  <c r="V1091" s="1"/>
  <c r="T1058"/>
  <c r="V1058" s="1"/>
  <c r="T989"/>
  <c r="V989" s="1"/>
  <c r="T968"/>
  <c r="V968" s="1"/>
  <c r="T1049"/>
  <c r="V1049" s="1"/>
  <c r="T1028"/>
  <c r="V1028" s="1"/>
  <c r="T875"/>
  <c r="V875" s="1"/>
  <c r="T986"/>
  <c r="V986" s="1"/>
  <c r="T938"/>
  <c r="V938" s="1"/>
  <c r="T971"/>
  <c r="V971" s="1"/>
  <c r="T1055"/>
  <c r="V1055" s="1"/>
  <c r="T1073"/>
  <c r="V1073" s="1"/>
  <c r="T1085"/>
  <c r="V1085" s="1"/>
  <c r="T1043"/>
  <c r="V1043" s="1"/>
  <c r="T1046"/>
  <c r="V1046" s="1"/>
  <c r="T1007"/>
  <c r="V1007" s="1"/>
  <c r="T962"/>
  <c r="V962" s="1"/>
  <c r="T1010"/>
  <c r="V1010" s="1"/>
  <c r="T1037"/>
  <c r="V1037" s="1"/>
  <c r="T1061"/>
  <c r="V1061" s="1"/>
  <c r="T944"/>
  <c r="V944" s="1"/>
  <c r="T965"/>
  <c r="V965" s="1"/>
  <c r="T998"/>
  <c r="V998" s="1"/>
  <c r="T1076"/>
  <c r="V1076" s="1"/>
  <c r="T1088"/>
  <c r="V1088" s="1"/>
  <c r="T1016"/>
  <c r="V1016" s="1"/>
  <c r="T1094"/>
  <c r="V1094" s="1"/>
  <c r="T1109"/>
  <c r="V1109" s="1"/>
  <c r="T1052"/>
  <c r="V1052" s="1"/>
  <c r="T941"/>
  <c r="V941" s="1"/>
  <c r="T1079"/>
  <c r="V1079" s="1"/>
  <c r="T1112"/>
  <c r="V1112" s="1"/>
  <c r="T935"/>
  <c r="V935" s="1"/>
  <c r="T920"/>
  <c r="V920" s="1"/>
  <c r="T1001"/>
  <c r="V1001" s="1"/>
  <c r="T1031"/>
  <c r="V1031" s="1"/>
  <c r="T1097"/>
  <c r="V1097" s="1"/>
  <c r="T1103"/>
  <c r="V1103" s="1"/>
  <c r="T1100"/>
  <c r="V1100" s="1"/>
  <c r="T19" i="13"/>
  <c r="S25"/>
  <c r="Q22"/>
  <c r="R19"/>
  <c r="T950" i="12"/>
  <c r="V950" s="1"/>
  <c r="V1004"/>
  <c r="T1064"/>
  <c r="V1064" s="1"/>
  <c r="T1013"/>
  <c r="V1013" s="1"/>
  <c r="T929"/>
  <c r="V929" s="1"/>
  <c r="T956"/>
  <c r="V956" s="1"/>
  <c r="T977"/>
  <c r="V977" s="1"/>
  <c r="V992"/>
  <c r="V926"/>
  <c r="S22" i="13"/>
  <c r="R25"/>
  <c r="U22"/>
  <c r="Q28"/>
  <c r="S28"/>
  <c r="T932" i="12"/>
  <c r="V932" s="1"/>
  <c r="T959"/>
  <c r="V959" s="1"/>
  <c r="V983"/>
  <c r="T995"/>
  <c r="V995" s="1"/>
  <c r="T980"/>
  <c r="V980" s="1"/>
  <c r="V974"/>
  <c r="T953"/>
  <c r="V953" s="1"/>
  <c r="V923"/>
  <c r="T902"/>
  <c r="V902" s="1"/>
  <c r="T911"/>
  <c r="V911" s="1"/>
  <c r="T884"/>
  <c r="V884" s="1"/>
  <c r="T917"/>
  <c r="V917" s="1"/>
  <c r="T914"/>
  <c r="V914" s="1"/>
  <c r="T908"/>
  <c r="V908" s="1"/>
  <c r="T851"/>
  <c r="V851" s="1"/>
  <c r="T899"/>
  <c r="V899" s="1"/>
  <c r="T842"/>
  <c r="V842" s="1"/>
  <c r="T827"/>
  <c r="V827" s="1"/>
  <c r="T836"/>
  <c r="V836" s="1"/>
  <c r="T863"/>
  <c r="V863" s="1"/>
  <c r="T833"/>
  <c r="V833" s="1"/>
  <c r="T881"/>
  <c r="V881" s="1"/>
  <c r="T860"/>
  <c r="V860" s="1"/>
  <c r="R26"/>
  <c r="T890"/>
  <c r="V890" s="1"/>
  <c r="T905"/>
  <c r="V905" s="1"/>
  <c r="T830"/>
  <c r="V830" s="1"/>
  <c r="T893"/>
  <c r="V893" s="1"/>
  <c r="T896"/>
  <c r="V896" s="1"/>
  <c r="S17"/>
  <c r="Q35"/>
  <c r="Q533"/>
  <c r="T839"/>
  <c r="V839" s="1"/>
  <c r="T854"/>
  <c r="V854" s="1"/>
  <c r="T878"/>
  <c r="V878" s="1"/>
  <c r="T857"/>
  <c r="V857" s="1"/>
  <c r="R638"/>
  <c r="R623"/>
  <c r="R569"/>
  <c r="Q416"/>
  <c r="Q347"/>
  <c r="R344"/>
  <c r="R287"/>
  <c r="R254"/>
  <c r="R218"/>
  <c r="S185"/>
  <c r="R173"/>
  <c r="S101"/>
  <c r="U71"/>
  <c r="S65"/>
  <c r="S59"/>
  <c r="S53"/>
  <c r="T848"/>
  <c r="V848" s="1"/>
  <c r="V887"/>
  <c r="T866"/>
  <c r="V866" s="1"/>
  <c r="Q581"/>
  <c r="Q452"/>
  <c r="U257"/>
  <c r="Q140"/>
  <c r="T824"/>
  <c r="V824" s="1"/>
  <c r="T845"/>
  <c r="V845" s="1"/>
  <c r="T869"/>
  <c r="V869" s="1"/>
  <c r="Q776"/>
  <c r="Q407"/>
  <c r="U248"/>
  <c r="U200"/>
  <c r="U65"/>
  <c r="T872"/>
  <c r="V872" s="1"/>
  <c r="S227"/>
  <c r="S668"/>
  <c r="S596"/>
  <c r="S419"/>
  <c r="S332"/>
  <c r="S19" i="13"/>
  <c r="V19" s="1"/>
  <c r="U25"/>
  <c r="R28"/>
  <c r="T28" s="1"/>
  <c r="V28" s="1"/>
  <c r="Q25"/>
  <c r="T25" s="1"/>
  <c r="V25" s="1"/>
  <c r="R22"/>
  <c r="T22" s="1"/>
  <c r="V22" s="1"/>
  <c r="S773" i="12"/>
  <c r="U28" i="13"/>
  <c r="T821" i="12"/>
  <c r="V821" s="1"/>
  <c r="R614"/>
  <c r="S611"/>
  <c r="S425"/>
  <c r="S413"/>
  <c r="U398"/>
  <c r="R374"/>
  <c r="Q362"/>
  <c r="S359"/>
  <c r="R116"/>
  <c r="R107"/>
  <c r="S83"/>
  <c r="R758"/>
  <c r="R716"/>
  <c r="R704"/>
  <c r="R698"/>
  <c r="U677"/>
  <c r="R572"/>
  <c r="Q569"/>
  <c r="U554"/>
  <c r="R551"/>
  <c r="Q380"/>
  <c r="Q332"/>
  <c r="Q320"/>
  <c r="S302"/>
  <c r="R296"/>
  <c r="U275"/>
  <c r="R272"/>
  <c r="S236"/>
  <c r="R233"/>
  <c r="R749"/>
  <c r="Q674"/>
  <c r="Q530"/>
  <c r="R527"/>
  <c r="Q512"/>
  <c r="R506"/>
  <c r="U497"/>
  <c r="Q467"/>
  <c r="U461"/>
  <c r="R452"/>
  <c r="S440"/>
  <c r="S326"/>
  <c r="R326"/>
  <c r="R323"/>
  <c r="Q299"/>
  <c r="Q215"/>
  <c r="Q206"/>
  <c r="U203"/>
  <c r="V809"/>
  <c r="R659"/>
  <c r="U656"/>
  <c r="U632"/>
  <c r="S632"/>
  <c r="U479"/>
  <c r="Q440"/>
  <c r="Q209"/>
  <c r="R185"/>
  <c r="U179"/>
  <c r="U170"/>
  <c r="R167"/>
  <c r="R146"/>
  <c r="Q143"/>
  <c r="R128"/>
  <c r="S125"/>
  <c r="R122"/>
  <c r="U98"/>
  <c r="Q95"/>
  <c r="R92"/>
  <c r="R77"/>
  <c r="U62"/>
  <c r="Q56"/>
  <c r="S44"/>
  <c r="U38"/>
  <c r="R35"/>
  <c r="Q26"/>
  <c r="Q23"/>
  <c r="U14"/>
  <c r="T818"/>
  <c r="V818" s="1"/>
  <c r="T815"/>
  <c r="V815" s="1"/>
  <c r="T812"/>
  <c r="V812" s="1"/>
  <c r="V806"/>
  <c r="T803"/>
  <c r="V803" s="1"/>
  <c r="U788"/>
  <c r="R755"/>
  <c r="U641"/>
  <c r="Q479"/>
  <c r="U299"/>
  <c r="Q236"/>
  <c r="S230"/>
  <c r="U176"/>
  <c r="S149"/>
  <c r="Q65"/>
  <c r="U53"/>
  <c r="U50"/>
  <c r="Q20"/>
  <c r="U17"/>
  <c r="Q41"/>
  <c r="R170"/>
  <c r="R20"/>
  <c r="U614"/>
  <c r="Q497"/>
  <c r="U512"/>
  <c r="Q752"/>
  <c r="U701"/>
  <c r="S656"/>
  <c r="S644"/>
  <c r="S626"/>
  <c r="Q593"/>
  <c r="R566"/>
  <c r="S506"/>
  <c r="U503"/>
  <c r="R500"/>
  <c r="S473"/>
  <c r="U467"/>
  <c r="U437"/>
  <c r="S356"/>
  <c r="Q350"/>
  <c r="R347"/>
  <c r="S296"/>
  <c r="S287"/>
  <c r="U272"/>
  <c r="U212"/>
  <c r="Q203"/>
  <c r="S194"/>
  <c r="U194"/>
  <c r="Q188"/>
  <c r="R182"/>
  <c r="S107"/>
  <c r="S104"/>
  <c r="Q50"/>
  <c r="Q17"/>
  <c r="U374"/>
  <c r="U362"/>
  <c r="R380"/>
  <c r="U773"/>
  <c r="U770"/>
  <c r="Q743"/>
  <c r="Q698"/>
  <c r="S689"/>
  <c r="S680"/>
  <c r="R680"/>
  <c r="S653"/>
  <c r="R653"/>
  <c r="S623"/>
  <c r="Q620"/>
  <c r="Q587"/>
  <c r="S569"/>
  <c r="S563"/>
  <c r="S560"/>
  <c r="R560"/>
  <c r="R557"/>
  <c r="R497"/>
  <c r="S494"/>
  <c r="S458"/>
  <c r="U458"/>
  <c r="S455"/>
  <c r="U434"/>
  <c r="Q419"/>
  <c r="U416"/>
  <c r="R410"/>
  <c r="Q410"/>
  <c r="R407"/>
  <c r="R404"/>
  <c r="Q398"/>
  <c r="U395"/>
  <c r="S392"/>
  <c r="S389"/>
  <c r="S365"/>
  <c r="U344"/>
  <c r="S341"/>
  <c r="Q338"/>
  <c r="S335"/>
  <c r="R332"/>
  <c r="Q329"/>
  <c r="U323"/>
  <c r="S320"/>
  <c r="U320"/>
  <c r="U317"/>
  <c r="U311"/>
  <c r="S269"/>
  <c r="U269"/>
  <c r="Q266"/>
  <c r="R263"/>
  <c r="R260"/>
  <c r="Q257"/>
  <c r="U254"/>
  <c r="Q251"/>
  <c r="S173"/>
  <c r="Q173"/>
  <c r="Q170"/>
  <c r="T170" s="1"/>
  <c r="Q167"/>
  <c r="Q164"/>
  <c r="Q161"/>
  <c r="S158"/>
  <c r="U137"/>
  <c r="U134"/>
  <c r="S131"/>
  <c r="S95"/>
  <c r="U92"/>
  <c r="Q86"/>
  <c r="T797"/>
  <c r="V797" s="1"/>
  <c r="R710"/>
  <c r="S641"/>
  <c r="U638"/>
  <c r="R611"/>
  <c r="Q476"/>
  <c r="U365"/>
  <c r="R311"/>
  <c r="R308"/>
  <c r="S305"/>
  <c r="Q227"/>
  <c r="Q152"/>
  <c r="R137"/>
  <c r="R113"/>
  <c r="U59"/>
  <c r="Q32"/>
  <c r="Q29"/>
  <c r="R56"/>
  <c r="U143"/>
  <c r="R785"/>
  <c r="R746"/>
  <c r="S704"/>
  <c r="U683"/>
  <c r="S605"/>
  <c r="U602"/>
  <c r="U599"/>
  <c r="R596"/>
  <c r="U590"/>
  <c r="R461"/>
  <c r="Q437"/>
  <c r="R359"/>
  <c r="R356"/>
  <c r="Q353"/>
  <c r="Q293"/>
  <c r="U290"/>
  <c r="S284"/>
  <c r="R275"/>
  <c r="R245"/>
  <c r="S224"/>
  <c r="Q224"/>
  <c r="U209"/>
  <c r="U206"/>
  <c r="Q200"/>
  <c r="R179"/>
  <c r="S140"/>
  <c r="U140"/>
  <c r="U110"/>
  <c r="U101"/>
  <c r="R98"/>
  <c r="Q83"/>
  <c r="R17"/>
  <c r="U185"/>
  <c r="Q44"/>
  <c r="U326"/>
  <c r="U293"/>
  <c r="S785"/>
  <c r="S779"/>
  <c r="Q779"/>
  <c r="U776"/>
  <c r="U761"/>
  <c r="Q740"/>
  <c r="U737"/>
  <c r="R734"/>
  <c r="R731"/>
  <c r="Q728"/>
  <c r="U725"/>
  <c r="S722"/>
  <c r="R722"/>
  <c r="U719"/>
  <c r="U716"/>
  <c r="R713"/>
  <c r="S692"/>
  <c r="Q683"/>
  <c r="R677"/>
  <c r="R674"/>
  <c r="S671"/>
  <c r="U665"/>
  <c r="S662"/>
  <c r="Q656"/>
  <c r="R644"/>
  <c r="S617"/>
  <c r="S614"/>
  <c r="R608"/>
  <c r="R581"/>
  <c r="S578"/>
  <c r="U575"/>
  <c r="U572"/>
  <c r="S554"/>
  <c r="R554"/>
  <c r="S545"/>
  <c r="S542"/>
  <c r="S536"/>
  <c r="S530"/>
  <c r="U527"/>
  <c r="U524"/>
  <c r="S521"/>
  <c r="S491"/>
  <c r="Q491"/>
  <c r="U488"/>
  <c r="U485"/>
  <c r="S452"/>
  <c r="U452"/>
  <c r="R449"/>
  <c r="Q446"/>
  <c r="Q386"/>
  <c r="S383"/>
  <c r="R383"/>
  <c r="S380"/>
  <c r="R377"/>
  <c r="S374"/>
  <c r="U371"/>
  <c r="U368"/>
  <c r="U359"/>
  <c r="S314"/>
  <c r="U314"/>
  <c r="S245"/>
  <c r="S242"/>
  <c r="Q242"/>
  <c r="S128"/>
  <c r="U128"/>
  <c r="U125"/>
  <c r="U122"/>
  <c r="R119"/>
  <c r="U116"/>
  <c r="R83"/>
  <c r="U74"/>
  <c r="R71"/>
  <c r="R68"/>
  <c r="T800"/>
  <c r="V800" s="1"/>
  <c r="R362"/>
  <c r="U173"/>
  <c r="R152"/>
  <c r="Q68"/>
  <c r="U95"/>
  <c r="Q119"/>
  <c r="R143"/>
  <c r="U182"/>
  <c r="U44"/>
  <c r="Q101"/>
  <c r="Q113"/>
  <c r="R125"/>
  <c r="R140"/>
  <c r="S170"/>
  <c r="U35"/>
  <c r="S98"/>
  <c r="Q125"/>
  <c r="Q179"/>
  <c r="S182"/>
  <c r="U302"/>
  <c r="U353"/>
  <c r="Q146"/>
  <c r="R194"/>
  <c r="R305"/>
  <c r="R353"/>
  <c r="U167"/>
  <c r="R206"/>
  <c r="R209"/>
  <c r="U224"/>
  <c r="Q230"/>
  <c r="R257"/>
  <c r="U338"/>
  <c r="Q260"/>
  <c r="R299"/>
  <c r="S311"/>
  <c r="U347"/>
  <c r="U506"/>
  <c r="R203"/>
  <c r="U245"/>
  <c r="S353"/>
  <c r="S377"/>
  <c r="R398"/>
  <c r="U440"/>
  <c r="U449"/>
  <c r="U473"/>
  <c r="R602"/>
  <c r="R437"/>
  <c r="U494"/>
  <c r="Q383"/>
  <c r="Q455"/>
  <c r="U755"/>
  <c r="Q524"/>
  <c r="U596"/>
  <c r="R701"/>
  <c r="U569"/>
  <c r="R725"/>
  <c r="S497"/>
  <c r="Q557"/>
  <c r="S770"/>
  <c r="Q770"/>
  <c r="R764"/>
  <c r="S761"/>
  <c r="Q755"/>
  <c r="S731"/>
  <c r="S701"/>
  <c r="U668"/>
  <c r="U662"/>
  <c r="U653"/>
  <c r="Q629"/>
  <c r="S593"/>
  <c r="U593"/>
  <c r="S566"/>
  <c r="U566"/>
  <c r="U557"/>
  <c r="Q545"/>
  <c r="Q542"/>
  <c r="S518"/>
  <c r="R458"/>
  <c r="R446"/>
  <c r="Q434"/>
  <c r="R434"/>
  <c r="U404"/>
  <c r="S395"/>
  <c r="Q389"/>
  <c r="U389"/>
  <c r="U380"/>
  <c r="S308"/>
  <c r="U305"/>
  <c r="Q302"/>
  <c r="R224"/>
  <c r="S218"/>
  <c r="U218"/>
  <c r="U215"/>
  <c r="S203"/>
  <c r="R200"/>
  <c r="S167"/>
  <c r="S164"/>
  <c r="R161"/>
  <c r="S146"/>
  <c r="U131"/>
  <c r="Q128"/>
  <c r="U113"/>
  <c r="S110"/>
  <c r="U89"/>
  <c r="U86"/>
  <c r="R65"/>
  <c r="S56"/>
  <c r="U56"/>
  <c r="S32"/>
  <c r="U32"/>
  <c r="S26"/>
  <c r="U26"/>
  <c r="S20"/>
  <c r="U20"/>
  <c r="Q788"/>
  <c r="U728"/>
  <c r="Q689"/>
  <c r="U635"/>
  <c r="U605"/>
  <c r="S584"/>
  <c r="U428"/>
  <c r="Q422"/>
  <c r="Q413"/>
  <c r="U149"/>
  <c r="R101"/>
  <c r="U41"/>
  <c r="S35"/>
  <c r="Q53"/>
  <c r="U68"/>
  <c r="R95"/>
  <c r="U119"/>
  <c r="S14"/>
  <c r="R23"/>
  <c r="R29"/>
  <c r="R32"/>
  <c r="R59"/>
  <c r="Q92"/>
  <c r="R104"/>
  <c r="Q110"/>
  <c r="Q116"/>
  <c r="Q14"/>
  <c r="Q98"/>
  <c r="Q182"/>
  <c r="Q254"/>
  <c r="U350"/>
  <c r="U146"/>
  <c r="R350"/>
  <c r="Q122"/>
  <c r="S212"/>
  <c r="U230"/>
  <c r="S254"/>
  <c r="Q275"/>
  <c r="Q323"/>
  <c r="Q371"/>
  <c r="U236"/>
  <c r="Q272"/>
  <c r="Q314"/>
  <c r="S329"/>
  <c r="U392"/>
  <c r="R575"/>
  <c r="U251"/>
  <c r="S350"/>
  <c r="S485"/>
  <c r="U542"/>
  <c r="Q527"/>
  <c r="Q641"/>
  <c r="U704"/>
  <c r="S557"/>
  <c r="Q572"/>
  <c r="U476"/>
  <c r="Q638"/>
  <c r="R692"/>
  <c r="Q773"/>
  <c r="S767"/>
  <c r="S758"/>
  <c r="Q758"/>
  <c r="U752"/>
  <c r="S746"/>
  <c r="R740"/>
  <c r="U734"/>
  <c r="S725"/>
  <c r="S719"/>
  <c r="S713"/>
  <c r="S710"/>
  <c r="S707"/>
  <c r="S698"/>
  <c r="S695"/>
  <c r="Q680"/>
  <c r="S677"/>
  <c r="Q659"/>
  <c r="U626"/>
  <c r="Q623"/>
  <c r="S620"/>
  <c r="U617"/>
  <c r="S575"/>
  <c r="R563"/>
  <c r="U563"/>
  <c r="Q554"/>
  <c r="U539"/>
  <c r="Q515"/>
  <c r="R512"/>
  <c r="U509"/>
  <c r="S482"/>
  <c r="R479"/>
  <c r="R476"/>
  <c r="Q458"/>
  <c r="R443"/>
  <c r="U401"/>
  <c r="S401"/>
  <c r="U386"/>
  <c r="R365"/>
  <c r="S362"/>
  <c r="S344"/>
  <c r="S338"/>
  <c r="S290"/>
  <c r="U284"/>
  <c r="S281"/>
  <c r="R281"/>
  <c r="Q278"/>
  <c r="S251"/>
  <c r="R248"/>
  <c r="Q239"/>
  <c r="S197"/>
  <c r="Q194"/>
  <c r="U158"/>
  <c r="Q134"/>
  <c r="R110"/>
  <c r="S80"/>
  <c r="U77"/>
  <c r="Q74"/>
  <c r="Q71"/>
  <c r="S71"/>
  <c r="S50"/>
  <c r="S41"/>
  <c r="V791"/>
  <c r="S782"/>
  <c r="S737"/>
  <c r="S686"/>
  <c r="U680"/>
  <c r="R548"/>
  <c r="Q425"/>
  <c r="R341"/>
  <c r="Q233"/>
  <c r="R227"/>
  <c r="R14"/>
  <c r="S122"/>
  <c r="U329"/>
  <c r="R242"/>
  <c r="R329"/>
  <c r="T329" s="1"/>
  <c r="R212"/>
  <c r="R236"/>
  <c r="R251"/>
  <c r="U425"/>
  <c r="R413"/>
  <c r="U521"/>
  <c r="U413"/>
  <c r="S488"/>
  <c r="Q734"/>
  <c r="Q785"/>
  <c r="S776"/>
  <c r="Q764"/>
  <c r="S749"/>
  <c r="S716"/>
  <c r="Q692"/>
  <c r="S683"/>
  <c r="Q677"/>
  <c r="S665"/>
  <c r="R665"/>
  <c r="Q650"/>
  <c r="Q647"/>
  <c r="Q644"/>
  <c r="S608"/>
  <c r="R587"/>
  <c r="S572"/>
  <c r="Q536"/>
  <c r="R533"/>
  <c r="Q506"/>
  <c r="R503"/>
  <c r="R470"/>
  <c r="S470"/>
  <c r="U464"/>
  <c r="S461"/>
  <c r="S449"/>
  <c r="S431"/>
  <c r="R431"/>
  <c r="S416"/>
  <c r="S368"/>
  <c r="U287"/>
  <c r="R266"/>
  <c r="U263"/>
  <c r="U239"/>
  <c r="S191"/>
  <c r="S176"/>
  <c r="Q158"/>
  <c r="S152"/>
  <c r="Q149"/>
  <c r="S137"/>
  <c r="S134"/>
  <c r="S92"/>
  <c r="R62"/>
  <c r="Q59"/>
  <c r="S47"/>
  <c r="Q38"/>
  <c r="S29"/>
  <c r="U29"/>
  <c r="S23"/>
  <c r="U23"/>
  <c r="T794"/>
  <c r="V794" s="1"/>
  <c r="Q578"/>
  <c r="U578"/>
  <c r="R518"/>
  <c r="U518"/>
  <c r="Q335"/>
  <c r="U335"/>
  <c r="R767"/>
  <c r="U767"/>
  <c r="Q710"/>
  <c r="U710"/>
  <c r="Q707"/>
  <c r="R707"/>
  <c r="Q635"/>
  <c r="R635"/>
  <c r="S635"/>
  <c r="Q599"/>
  <c r="R599"/>
  <c r="S500"/>
  <c r="Q500"/>
  <c r="U500"/>
  <c r="R482"/>
  <c r="Q482"/>
  <c r="R464"/>
  <c r="Q464"/>
  <c r="R419"/>
  <c r="U419"/>
  <c r="Q356"/>
  <c r="U356"/>
  <c r="Q296"/>
  <c r="U296"/>
  <c r="R290"/>
  <c r="Q290"/>
  <c r="S260"/>
  <c r="U260"/>
  <c r="R215"/>
  <c r="S215"/>
  <c r="Q104"/>
  <c r="U104"/>
  <c r="U743"/>
  <c r="R662"/>
  <c r="S446"/>
  <c r="S404"/>
  <c r="U80"/>
  <c r="R74"/>
  <c r="R149"/>
  <c r="R131"/>
  <c r="U164"/>
  <c r="R44"/>
  <c r="T44" s="1"/>
  <c r="Q47"/>
  <c r="S77"/>
  <c r="R80"/>
  <c r="Q62"/>
  <c r="T62" s="1"/>
  <c r="V62" s="1"/>
  <c r="S74"/>
  <c r="U281"/>
  <c r="U188"/>
  <c r="Q263"/>
  <c r="R302"/>
  <c r="R230"/>
  <c r="U266"/>
  <c r="R284"/>
  <c r="R335"/>
  <c r="U620"/>
  <c r="Q218"/>
  <c r="Q305"/>
  <c r="R368"/>
  <c r="Q401"/>
  <c r="R425"/>
  <c r="Q470"/>
  <c r="U482"/>
  <c r="R530"/>
  <c r="S233"/>
  <c r="S407"/>
  <c r="U443"/>
  <c r="S479"/>
  <c r="U587"/>
  <c r="Q431"/>
  <c r="R536"/>
  <c r="S539"/>
  <c r="S587"/>
  <c r="S629"/>
  <c r="S509"/>
  <c r="U548"/>
  <c r="U671"/>
  <c r="R593"/>
  <c r="U689"/>
  <c r="U740"/>
  <c r="U536"/>
  <c r="Q605"/>
  <c r="Q737"/>
  <c r="R770"/>
  <c r="S764"/>
  <c r="R776"/>
  <c r="U782"/>
  <c r="R782"/>
  <c r="R773"/>
  <c r="U764"/>
  <c r="Q749"/>
  <c r="S743"/>
  <c r="S740"/>
  <c r="R737"/>
  <c r="Q704"/>
  <c r="U698"/>
  <c r="R683"/>
  <c r="S674"/>
  <c r="U674"/>
  <c r="Q662"/>
  <c r="R656"/>
  <c r="Q653"/>
  <c r="Q614"/>
  <c r="R605"/>
  <c r="S599"/>
  <c r="R584"/>
  <c r="S581"/>
  <c r="U581"/>
  <c r="Q563"/>
  <c r="R542"/>
  <c r="S503"/>
  <c r="S476"/>
  <c r="S464"/>
  <c r="R440"/>
  <c r="S437"/>
  <c r="S434"/>
  <c r="S422"/>
  <c r="U407"/>
  <c r="R401"/>
  <c r="R386"/>
  <c r="Q374"/>
  <c r="Q365"/>
  <c r="U332"/>
  <c r="Q326"/>
  <c r="R314"/>
  <c r="S299"/>
  <c r="S275"/>
  <c r="S272"/>
  <c r="Q212"/>
  <c r="S200"/>
  <c r="Q185"/>
  <c r="Q176"/>
  <c r="R158"/>
  <c r="Q137"/>
  <c r="S119"/>
  <c r="R86"/>
  <c r="R53"/>
  <c r="R41"/>
  <c r="Q722"/>
  <c r="U722"/>
  <c r="U197"/>
  <c r="R197"/>
  <c r="Q197"/>
  <c r="Q191"/>
  <c r="R191"/>
  <c r="U191"/>
  <c r="U779"/>
  <c r="R779"/>
  <c r="Q746"/>
  <c r="U746"/>
  <c r="Q719"/>
  <c r="R719"/>
  <c r="U560"/>
  <c r="Q560"/>
  <c r="Q551"/>
  <c r="U551"/>
  <c r="S524"/>
  <c r="R524"/>
  <c r="U491"/>
  <c r="R491"/>
  <c r="R485"/>
  <c r="Q485"/>
  <c r="R395"/>
  <c r="Q395"/>
  <c r="Q377"/>
  <c r="U377"/>
  <c r="U758"/>
  <c r="S647"/>
  <c r="Q596"/>
  <c r="R545"/>
  <c r="U530"/>
  <c r="R473"/>
  <c r="U227"/>
  <c r="Q221"/>
  <c r="U155"/>
  <c r="S89"/>
  <c r="R164"/>
  <c r="U47"/>
  <c r="Q77"/>
  <c r="U278"/>
  <c r="U242"/>
  <c r="U341"/>
  <c r="U533"/>
  <c r="S263"/>
  <c r="Q341"/>
  <c r="U422"/>
  <c r="S428"/>
  <c r="U470"/>
  <c r="R578"/>
  <c r="S278"/>
  <c r="R515"/>
  <c r="R539"/>
  <c r="Q626"/>
  <c r="R650"/>
  <c r="Q509"/>
  <c r="Q665"/>
  <c r="U749"/>
  <c r="Q617"/>
  <c r="U644"/>
  <c r="U647"/>
  <c r="R668"/>
  <c r="R689"/>
  <c r="R743"/>
  <c r="Q767"/>
  <c r="U785"/>
  <c r="Q782"/>
  <c r="S755"/>
  <c r="S734"/>
  <c r="U731"/>
  <c r="Q725"/>
  <c r="Q716"/>
  <c r="U713"/>
  <c r="Q701"/>
  <c r="R695"/>
  <c r="U692"/>
  <c r="R671"/>
  <c r="R641"/>
  <c r="Q632"/>
  <c r="R629"/>
  <c r="U611"/>
  <c r="Q590"/>
  <c r="Q575"/>
  <c r="S527"/>
  <c r="Q521"/>
  <c r="R488"/>
  <c r="R416"/>
  <c r="S410"/>
  <c r="S398"/>
  <c r="U383"/>
  <c r="R371"/>
  <c r="S347"/>
  <c r="Q344"/>
  <c r="R338"/>
  <c r="S323"/>
  <c r="Q311"/>
  <c r="S257"/>
  <c r="S206"/>
  <c r="S179"/>
  <c r="S143"/>
  <c r="S86"/>
  <c r="S68"/>
  <c r="U584"/>
  <c r="Q584"/>
  <c r="R317"/>
  <c r="Q317"/>
  <c r="Q686"/>
  <c r="R686"/>
  <c r="U686"/>
  <c r="U608"/>
  <c r="Q608"/>
  <c r="S548"/>
  <c r="Q548"/>
  <c r="U515"/>
  <c r="S515"/>
  <c r="R494"/>
  <c r="Q494"/>
  <c r="S467"/>
  <c r="R467"/>
  <c r="U455"/>
  <c r="R455"/>
  <c r="Q428"/>
  <c r="R428"/>
  <c r="R392"/>
  <c r="Q392"/>
  <c r="R269"/>
  <c r="Q269"/>
  <c r="Q107"/>
  <c r="U107"/>
  <c r="Q539"/>
  <c r="Q503"/>
  <c r="Q461"/>
  <c r="U431"/>
  <c r="Q281"/>
  <c r="U152"/>
  <c r="R47"/>
  <c r="Q89"/>
  <c r="R278"/>
  <c r="U233"/>
  <c r="Q368"/>
  <c r="U410"/>
  <c r="R422"/>
  <c r="Q473"/>
  <c r="Q404"/>
  <c r="Q443"/>
  <c r="U545"/>
  <c r="Q668"/>
  <c r="Q518"/>
  <c r="S533"/>
  <c r="U695"/>
  <c r="U707"/>
  <c r="R761"/>
  <c r="Q761"/>
  <c r="S788"/>
  <c r="R788"/>
  <c r="S752"/>
  <c r="R752"/>
  <c r="Q731"/>
  <c r="S728"/>
  <c r="R728"/>
  <c r="Q713"/>
  <c r="Q695"/>
  <c r="Q671"/>
  <c r="S659"/>
  <c r="U659"/>
  <c r="S650"/>
  <c r="U650"/>
  <c r="R647"/>
  <c r="S638"/>
  <c r="R632"/>
  <c r="U629"/>
  <c r="R626"/>
  <c r="U623"/>
  <c r="R620"/>
  <c r="R617"/>
  <c r="Q611"/>
  <c r="S602"/>
  <c r="Q602"/>
  <c r="S590"/>
  <c r="R590"/>
  <c r="Q566"/>
  <c r="S551"/>
  <c r="R521"/>
  <c r="S512"/>
  <c r="R509"/>
  <c r="Q488"/>
  <c r="Q449"/>
  <c r="U446"/>
  <c r="S443"/>
  <c r="R389"/>
  <c r="S386"/>
  <c r="S371"/>
  <c r="Q359"/>
  <c r="R320"/>
  <c r="S317"/>
  <c r="Q308"/>
  <c r="S293"/>
  <c r="R293"/>
  <c r="Q287"/>
  <c r="Q284"/>
  <c r="S266"/>
  <c r="Q248"/>
  <c r="Q245"/>
  <c r="S239"/>
  <c r="R221"/>
  <c r="S221"/>
  <c r="S209"/>
  <c r="R188"/>
  <c r="U161"/>
  <c r="R155"/>
  <c r="S155"/>
  <c r="R134"/>
  <c r="Q131"/>
  <c r="S116"/>
  <c r="S113"/>
  <c r="R89"/>
  <c r="U83"/>
  <c r="Q80"/>
  <c r="T80" s="1"/>
  <c r="S62"/>
  <c r="R50"/>
  <c r="R38"/>
  <c r="U308"/>
  <c r="S248"/>
  <c r="R239"/>
  <c r="U221"/>
  <c r="S188"/>
  <c r="R176"/>
  <c r="S161"/>
  <c r="Q155"/>
  <c r="S38"/>
  <c r="T38" l="1"/>
  <c r="T398"/>
  <c r="T14"/>
  <c r="T98"/>
  <c r="V98" s="1"/>
  <c r="T569"/>
  <c r="V569" s="1"/>
  <c r="T515"/>
  <c r="V14"/>
  <c r="V80"/>
  <c r="T416"/>
  <c r="V416" s="1"/>
  <c r="T107"/>
  <c r="V107" s="1"/>
  <c r="T704"/>
  <c r="V704" s="1"/>
  <c r="T506"/>
  <c r="V506" s="1"/>
  <c r="T95"/>
  <c r="V95" s="1"/>
  <c r="T173"/>
  <c r="V173" s="1"/>
  <c r="T347"/>
  <c r="V347" s="1"/>
  <c r="T245"/>
  <c r="V245" s="1"/>
  <c r="T776"/>
  <c r="V776" s="1"/>
  <c r="V44"/>
  <c r="T698"/>
  <c r="V698" s="1"/>
  <c r="T26"/>
  <c r="V26" s="1"/>
  <c r="T218"/>
  <c r="V218" s="1"/>
  <c r="T638"/>
  <c r="V638" s="1"/>
  <c r="T755"/>
  <c r="V755" s="1"/>
  <c r="T215"/>
  <c r="V215" s="1"/>
  <c r="T647"/>
  <c r="V647" s="1"/>
  <c r="T518"/>
  <c r="V518" s="1"/>
  <c r="T77"/>
  <c r="V77" s="1"/>
  <c r="T551"/>
  <c r="V551" s="1"/>
  <c r="T536"/>
  <c r="V536" s="1"/>
  <c r="T299"/>
  <c r="V299" s="1"/>
  <c r="T287"/>
  <c r="V287" s="1"/>
  <c r="T449"/>
  <c r="V449" s="1"/>
  <c r="T788"/>
  <c r="V788" s="1"/>
  <c r="T473"/>
  <c r="V473" s="1"/>
  <c r="T503"/>
  <c r="V503" s="1"/>
  <c r="T467"/>
  <c r="V467" s="1"/>
  <c r="T608"/>
  <c r="V608" s="1"/>
  <c r="T371"/>
  <c r="V371" s="1"/>
  <c r="T593"/>
  <c r="V593" s="1"/>
  <c r="T623"/>
  <c r="V623" s="1"/>
  <c r="T29"/>
  <c r="V29" s="1"/>
  <c r="T35"/>
  <c r="T41"/>
  <c r="V41" s="1"/>
  <c r="T59"/>
  <c r="T161"/>
  <c r="V161" s="1"/>
  <c r="T185"/>
  <c r="V185" s="1"/>
  <c r="T200"/>
  <c r="V200" s="1"/>
  <c r="T227"/>
  <c r="V227" s="1"/>
  <c r="T260"/>
  <c r="V260" s="1"/>
  <c r="T332"/>
  <c r="V332" s="1"/>
  <c r="T344"/>
  <c r="V344" s="1"/>
  <c r="T365"/>
  <c r="V365" s="1"/>
  <c r="T440"/>
  <c r="V440" s="1"/>
  <c r="T497"/>
  <c r="V497" s="1"/>
  <c r="T533"/>
  <c r="V533" s="1"/>
  <c r="T554"/>
  <c r="V554" s="1"/>
  <c r="T671"/>
  <c r="V671" s="1"/>
  <c r="T749"/>
  <c r="V749" s="1"/>
  <c r="T458"/>
  <c r="V458" s="1"/>
  <c r="T257"/>
  <c r="V257" s="1"/>
  <c r="T566"/>
  <c r="V566" s="1"/>
  <c r="T350"/>
  <c r="V350" s="1"/>
  <c r="T68"/>
  <c r="V68" s="1"/>
  <c r="T242"/>
  <c r="V242" s="1"/>
  <c r="T56"/>
  <c r="V56" s="1"/>
  <c r="T251"/>
  <c r="V251" s="1"/>
  <c r="T452"/>
  <c r="V452" s="1"/>
  <c r="T743"/>
  <c r="V743" s="1"/>
  <c r="T659"/>
  <c r="V659" s="1"/>
  <c r="T446"/>
  <c r="V446" s="1"/>
  <c r="T152"/>
  <c r="V152" s="1"/>
  <c r="T407"/>
  <c r="V407" s="1"/>
  <c r="T620"/>
  <c r="V620" s="1"/>
  <c r="T314"/>
  <c r="V314" s="1"/>
  <c r="T773"/>
  <c r="V773" s="1"/>
  <c r="T356"/>
  <c r="V356" s="1"/>
  <c r="T680"/>
  <c r="V680" s="1"/>
  <c r="T254"/>
  <c r="V254" s="1"/>
  <c r="T128"/>
  <c r="V128" s="1"/>
  <c r="T410"/>
  <c r="V410" s="1"/>
  <c r="T581"/>
  <c r="V581" s="1"/>
  <c r="T308"/>
  <c r="V308" s="1"/>
  <c r="T611"/>
  <c r="V611" s="1"/>
  <c r="T209"/>
  <c r="V209" s="1"/>
  <c r="T530"/>
  <c r="V530" s="1"/>
  <c r="T194"/>
  <c r="V194" s="1"/>
  <c r="T479"/>
  <c r="V479" s="1"/>
  <c r="T758"/>
  <c r="V758" s="1"/>
  <c r="T272"/>
  <c r="V272" s="1"/>
  <c r="T122"/>
  <c r="V122" s="1"/>
  <c r="T353"/>
  <c r="V353" s="1"/>
  <c r="T140"/>
  <c r="V140" s="1"/>
  <c r="T362"/>
  <c r="V362" s="1"/>
  <c r="T674"/>
  <c r="V674" s="1"/>
  <c r="T83"/>
  <c r="V83" s="1"/>
  <c r="T167"/>
  <c r="V167" s="1"/>
  <c r="T320"/>
  <c r="V320" s="1"/>
  <c r="T389"/>
  <c r="V389" s="1"/>
  <c r="T158"/>
  <c r="V158" s="1"/>
  <c r="T212"/>
  <c r="V212" s="1"/>
  <c r="T323"/>
  <c r="V323" s="1"/>
  <c r="T92"/>
  <c r="V92" s="1"/>
  <c r="T23"/>
  <c r="V23" s="1"/>
  <c r="T146"/>
  <c r="V146" s="1"/>
  <c r="T206"/>
  <c r="V206" s="1"/>
  <c r="T284"/>
  <c r="V284" s="1"/>
  <c r="T461"/>
  <c r="V461" s="1"/>
  <c r="T740"/>
  <c r="V740" s="1"/>
  <c r="T293"/>
  <c r="V293" s="1"/>
  <c r="T695"/>
  <c r="V695" s="1"/>
  <c r="T278"/>
  <c r="V278" s="1"/>
  <c r="T641"/>
  <c r="V641" s="1"/>
  <c r="T701"/>
  <c r="V701" s="1"/>
  <c r="T164"/>
  <c r="V164" s="1"/>
  <c r="T377"/>
  <c r="V377" s="1"/>
  <c r="T746"/>
  <c r="V746" s="1"/>
  <c r="T374"/>
  <c r="V374" s="1"/>
  <c r="T683"/>
  <c r="V683" s="1"/>
  <c r="T500"/>
  <c r="V500" s="1"/>
  <c r="T233"/>
  <c r="V233" s="1"/>
  <c r="T476"/>
  <c r="V476" s="1"/>
  <c r="T512"/>
  <c r="V512" s="1"/>
  <c r="T572"/>
  <c r="V572" s="1"/>
  <c r="T527"/>
  <c r="V527" s="1"/>
  <c r="T380"/>
  <c r="V380" s="1"/>
  <c r="T728"/>
  <c r="V728" s="1"/>
  <c r="T404"/>
  <c r="V404" s="1"/>
  <c r="T584"/>
  <c r="V584" s="1"/>
  <c r="T629"/>
  <c r="V629" s="1"/>
  <c r="T716"/>
  <c r="V716" s="1"/>
  <c r="T614"/>
  <c r="V614" s="1"/>
  <c r="T302"/>
  <c r="V302" s="1"/>
  <c r="T149"/>
  <c r="V149" s="1"/>
  <c r="T104"/>
  <c r="V104" s="1"/>
  <c r="T296"/>
  <c r="V296" s="1"/>
  <c r="T710"/>
  <c r="V710" s="1"/>
  <c r="T764"/>
  <c r="V764" s="1"/>
  <c r="V329"/>
  <c r="T239"/>
  <c r="V239" s="1"/>
  <c r="T134"/>
  <c r="V134" s="1"/>
  <c r="T443"/>
  <c r="V443" s="1"/>
  <c r="T455"/>
  <c r="V455" s="1"/>
  <c r="T548"/>
  <c r="V548" s="1"/>
  <c r="T665"/>
  <c r="V665" s="1"/>
  <c r="T491"/>
  <c r="V491" s="1"/>
  <c r="T779"/>
  <c r="V779" s="1"/>
  <c r="T86"/>
  <c r="V86" s="1"/>
  <c r="T326"/>
  <c r="V326" s="1"/>
  <c r="T386"/>
  <c r="V386" s="1"/>
  <c r="T677"/>
  <c r="V677" s="1"/>
  <c r="T275"/>
  <c r="V275" s="1"/>
  <c r="T116"/>
  <c r="V116" s="1"/>
  <c r="T437"/>
  <c r="V437" s="1"/>
  <c r="T113"/>
  <c r="V113" s="1"/>
  <c r="T143"/>
  <c r="V143" s="1"/>
  <c r="T269"/>
  <c r="V269" s="1"/>
  <c r="T686"/>
  <c r="V686" s="1"/>
  <c r="T425"/>
  <c r="V425" s="1"/>
  <c r="T32"/>
  <c r="V32" s="1"/>
  <c r="T266"/>
  <c r="V266" s="1"/>
  <c r="T587"/>
  <c r="V587" s="1"/>
  <c r="T236"/>
  <c r="V236" s="1"/>
  <c r="T692"/>
  <c r="V692" s="1"/>
  <c r="T434"/>
  <c r="V434" s="1"/>
  <c r="T707"/>
  <c r="V707" s="1"/>
  <c r="T596"/>
  <c r="V596" s="1"/>
  <c r="T563"/>
  <c r="V563" s="1"/>
  <c r="T734"/>
  <c r="V734" s="1"/>
  <c r="T17"/>
  <c r="V17" s="1"/>
  <c r="T20"/>
  <c r="V20" s="1"/>
  <c r="T50"/>
  <c r="V50" s="1"/>
  <c r="T188"/>
  <c r="V188" s="1"/>
  <c r="T359"/>
  <c r="V359" s="1"/>
  <c r="T713"/>
  <c r="V713" s="1"/>
  <c r="T752"/>
  <c r="V752" s="1"/>
  <c r="T761"/>
  <c r="V761" s="1"/>
  <c r="T392"/>
  <c r="V392" s="1"/>
  <c r="T494"/>
  <c r="V494" s="1"/>
  <c r="T590"/>
  <c r="V590" s="1"/>
  <c r="T626"/>
  <c r="V626" s="1"/>
  <c r="T341"/>
  <c r="V341" s="1"/>
  <c r="T524"/>
  <c r="V524" s="1"/>
  <c r="T560"/>
  <c r="V560" s="1"/>
  <c r="T137"/>
  <c r="V137" s="1"/>
  <c r="T542"/>
  <c r="V542" s="1"/>
  <c r="T653"/>
  <c r="V653" s="1"/>
  <c r="T431"/>
  <c r="V431" s="1"/>
  <c r="T305"/>
  <c r="V305" s="1"/>
  <c r="T263"/>
  <c r="V263" s="1"/>
  <c r="T644"/>
  <c r="V644" s="1"/>
  <c r="T785"/>
  <c r="V785" s="1"/>
  <c r="T383"/>
  <c r="V383" s="1"/>
  <c r="T311"/>
  <c r="V311" s="1"/>
  <c r="T53"/>
  <c r="T656"/>
  <c r="V656" s="1"/>
  <c r="T248"/>
  <c r="V248" s="1"/>
  <c r="T731"/>
  <c r="V731" s="1"/>
  <c r="T422"/>
  <c r="V422" s="1"/>
  <c r="T338"/>
  <c r="V338" s="1"/>
  <c r="T575"/>
  <c r="V575" s="1"/>
  <c r="T725"/>
  <c r="V725" s="1"/>
  <c r="T689"/>
  <c r="V689" s="1"/>
  <c r="T545"/>
  <c r="V545" s="1"/>
  <c r="T722"/>
  <c r="V722" s="1"/>
  <c r="T419"/>
  <c r="V419" s="1"/>
  <c r="T635"/>
  <c r="V635" s="1"/>
  <c r="T71"/>
  <c r="T182"/>
  <c r="V182" s="1"/>
  <c r="T65"/>
  <c r="T224"/>
  <c r="V224" s="1"/>
  <c r="T557"/>
  <c r="V557" s="1"/>
  <c r="T203"/>
  <c r="V203" s="1"/>
  <c r="T179"/>
  <c r="V179" s="1"/>
  <c r="V170"/>
  <c r="T101"/>
  <c r="V101" s="1"/>
  <c r="T119"/>
  <c r="V119" s="1"/>
  <c r="T335"/>
  <c r="V335" s="1"/>
  <c r="T602"/>
  <c r="V602" s="1"/>
  <c r="T281"/>
  <c r="V281" s="1"/>
  <c r="T650"/>
  <c r="V650" s="1"/>
  <c r="T395"/>
  <c r="V395" s="1"/>
  <c r="T191"/>
  <c r="V191" s="1"/>
  <c r="T662"/>
  <c r="V662" s="1"/>
  <c r="T770"/>
  <c r="V770" s="1"/>
  <c r="T401"/>
  <c r="V401" s="1"/>
  <c r="T230"/>
  <c r="V230" s="1"/>
  <c r="T110"/>
  <c r="V110" s="1"/>
  <c r="V515"/>
  <c r="V398"/>
  <c r="T368"/>
  <c r="V368" s="1"/>
  <c r="T485"/>
  <c r="V485" s="1"/>
  <c r="T470"/>
  <c r="V470" s="1"/>
  <c r="T74"/>
  <c r="V74" s="1"/>
  <c r="T413"/>
  <c r="V413" s="1"/>
  <c r="T125"/>
  <c r="V125" s="1"/>
  <c r="T89"/>
  <c r="V89" s="1"/>
  <c r="T221"/>
  <c r="V221" s="1"/>
  <c r="T176"/>
  <c r="V176" s="1"/>
  <c r="V38"/>
  <c r="T155"/>
  <c r="V155" s="1"/>
  <c r="T131"/>
  <c r="V131" s="1"/>
  <c r="T488"/>
  <c r="V488" s="1"/>
  <c r="T539"/>
  <c r="V539" s="1"/>
  <c r="T428"/>
  <c r="V428" s="1"/>
  <c r="T317"/>
  <c r="V317" s="1"/>
  <c r="T632"/>
  <c r="V632" s="1"/>
  <c r="T782"/>
  <c r="V782" s="1"/>
  <c r="T617"/>
  <c r="V617" s="1"/>
  <c r="T290"/>
  <c r="V290" s="1"/>
  <c r="T464"/>
  <c r="V464" s="1"/>
  <c r="T599"/>
  <c r="V599" s="1"/>
  <c r="T509"/>
  <c r="V509" s="1"/>
  <c r="T605"/>
  <c r="V605" s="1"/>
  <c r="T578"/>
  <c r="V578" s="1"/>
  <c r="T668"/>
  <c r="V668" s="1"/>
  <c r="T521"/>
  <c r="V521" s="1"/>
  <c r="T767"/>
  <c r="V767" s="1"/>
  <c r="T719"/>
  <c r="V719" s="1"/>
  <c r="T197"/>
  <c r="V197" s="1"/>
  <c r="T737"/>
  <c r="V737" s="1"/>
  <c r="T47"/>
  <c r="T482"/>
  <c r="V482" s="1"/>
</calcChain>
</file>

<file path=xl/sharedStrings.xml><?xml version="1.0" encoding="utf-8"?>
<sst xmlns="http://schemas.openxmlformats.org/spreadsheetml/2006/main" count="2857" uniqueCount="618">
  <si>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</si>
  <si>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</si>
  <si>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</si>
  <si>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</si>
  <si>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</si>
  <si>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</si>
  <si>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</si>
  <si>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</si>
  <si>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</si>
  <si>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</si>
  <si>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</si>
  <si>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</si>
  <si>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</si>
  <si>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</si>
  <si>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</si>
  <si>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</si>
  <si>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</si>
  <si>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</si>
  <si>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</si>
  <si>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</si>
  <si>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</si>
  <si>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</si>
  <si>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</si>
  <si>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</si>
  <si>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</si>
  <si>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</si>
  <si>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</si>
  <si>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</si>
  <si>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</si>
  <si>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</si>
  <si>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</si>
  <si>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</si>
  <si>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</si>
  <si>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</si>
  <si>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</si>
  <si>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</si>
  <si>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</si>
  <si>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</si>
  <si>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</si>
  <si>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</si>
  <si>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</si>
  <si>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</si>
  <si>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</si>
  <si>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</si>
  <si>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</si>
  <si>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</si>
  <si>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</si>
  <si>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</si>
  <si>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</si>
  <si>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</si>
  <si>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</si>
  <si>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</si>
  <si>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</si>
  <si>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</si>
  <si>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</si>
  <si>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</si>
  <si>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</si>
  <si>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</si>
  <si>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</si>
  <si>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</si>
  <si>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</si>
  <si>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</si>
  <si>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</si>
  <si>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</si>
  <si>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</si>
  <si>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</si>
  <si>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</si>
  <si>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</si>
  <si>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</si>
  <si>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</si>
  <si>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</si>
  <si>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</si>
  <si>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</si>
  <si>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</si>
  <si>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</si>
  <si>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</si>
  <si>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</si>
  <si>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</si>
  <si>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</si>
  <si>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</si>
  <si>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</si>
  <si>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</si>
  <si>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</si>
  <si>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</si>
  <si>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</si>
  <si>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</si>
  <si>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</si>
  <si>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</si>
  <si>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</si>
  <si>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</si>
  <si>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</si>
  <si>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</si>
  <si>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</si>
  <si>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</si>
  <si>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</si>
  <si>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</si>
  <si>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</si>
  <si>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</si>
  <si>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</si>
  <si>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</si>
  <si>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</si>
  <si>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</si>
  <si>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</si>
  <si>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</si>
  <si>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</si>
  <si>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</si>
  <si>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</si>
  <si>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</si>
  <si>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</si>
  <si>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</si>
  <si>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</si>
  <si>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</si>
  <si>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</si>
  <si>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</si>
  <si>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</si>
  <si>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</si>
  <si>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</si>
  <si>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</si>
  <si>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</si>
  <si>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</si>
  <si>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</si>
  <si>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</si>
  <si>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</si>
  <si>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</si>
  <si>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</si>
  <si>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</si>
  <si>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</si>
  <si>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</si>
  <si>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</si>
  <si>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</si>
  <si>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</si>
  <si>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</si>
  <si>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</si>
  <si>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</si>
  <si>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</si>
  <si>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</si>
  <si>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</si>
  <si>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</si>
  <si>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</si>
  <si>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</si>
  <si>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</si>
  <si>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</si>
  <si>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</si>
  <si>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</si>
  <si>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</si>
  <si>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</si>
  <si>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</si>
  <si>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</si>
  <si>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</si>
  <si>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</si>
  <si>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</si>
  <si>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</si>
  <si>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</si>
  <si>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</si>
  <si>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</si>
  <si>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</si>
  <si>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</si>
  <si>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</si>
  <si>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</si>
  <si>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</si>
  <si>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</si>
  <si>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</si>
  <si>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</si>
  <si>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</si>
  <si>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</si>
  <si>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</si>
  <si>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</si>
  <si>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</si>
  <si>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</si>
  <si>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</si>
  <si>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</si>
  <si>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</si>
  <si>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</si>
  <si>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</si>
  <si>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</si>
  <si>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</si>
  <si>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</si>
  <si>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</si>
  <si>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</si>
  <si>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</si>
  <si>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</si>
  <si>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</si>
  <si>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</si>
  <si>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</si>
  <si>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</si>
  <si>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</si>
  <si>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</si>
  <si>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</si>
  <si>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</si>
  <si>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</si>
  <si>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</si>
  <si>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</si>
  <si>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</si>
  <si>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</si>
  <si>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</si>
  <si>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</si>
  <si>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</si>
  <si>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</si>
  <si>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</si>
  <si>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</si>
  <si>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</si>
  <si>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</si>
  <si>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</si>
  <si>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</si>
  <si>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</si>
  <si>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</si>
  <si>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</si>
  <si>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</si>
  <si>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</si>
  <si>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</si>
  <si>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</si>
  <si>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</si>
  <si>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</si>
  <si>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</si>
  <si>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</si>
  <si>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</si>
  <si>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</si>
  <si>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</si>
  <si>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</si>
  <si>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</si>
  <si>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</si>
  <si>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</si>
  <si>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</si>
  <si>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</si>
  <si>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</si>
  <si>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</si>
  <si>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</si>
  <si>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</si>
  <si>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</si>
  <si>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</si>
  <si>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</si>
  <si>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</si>
  <si>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</si>
  <si>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</si>
  <si>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</si>
  <si>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</si>
  <si>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</si>
  <si>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</si>
  <si>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</si>
  <si>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</si>
  <si>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</si>
  <si>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</si>
  <si>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</si>
  <si>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</si>
  <si>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</si>
  <si>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</si>
  <si>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</si>
  <si>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</si>
  <si>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</si>
  <si>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</si>
  <si>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</si>
  <si>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</si>
  <si>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</si>
  <si>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</si>
  <si>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</si>
  <si>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</si>
  <si>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</si>
  <si>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</si>
  <si>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</si>
  <si>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</si>
  <si>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</si>
  <si>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</si>
  <si>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</si>
  <si>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</si>
  <si>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</si>
  <si>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</si>
  <si>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</si>
  <si>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</si>
  <si>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</si>
  <si>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</si>
  <si>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</si>
  <si>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</si>
  <si>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</si>
  <si>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</si>
  <si>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</si>
  <si>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</si>
  <si>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</si>
  <si>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</si>
  <si>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</si>
  <si>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</si>
  <si>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</si>
  <si>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</si>
  <si>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</si>
  <si>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</si>
  <si>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</si>
  <si>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</si>
  <si>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</si>
  <si>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</si>
  <si>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</si>
  <si>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</si>
  <si>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</si>
  <si>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</si>
  <si>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</si>
  <si>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</si>
  <si>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</si>
  <si>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</si>
  <si>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</si>
  <si>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</si>
  <si>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</si>
  <si>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</si>
  <si>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</si>
  <si>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</si>
  <si>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</si>
  <si>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</si>
  <si>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</si>
  <si>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</si>
  <si>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</si>
  <si>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</si>
  <si>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</si>
  <si>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</si>
  <si>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</si>
  <si>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</si>
  <si>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</si>
  <si>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</si>
  <si>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</si>
  <si>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</si>
  <si>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</si>
  <si>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</si>
  <si>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</si>
  <si>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</si>
  <si>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</si>
  <si>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</si>
  <si>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</si>
  <si>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</si>
  <si>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</si>
  <si>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</si>
  <si>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</si>
  <si>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</si>
  <si>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</si>
  <si>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</si>
  <si>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</si>
  <si>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</si>
  <si>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</si>
  <si>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</si>
  <si>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</si>
  <si>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</si>
  <si>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</si>
  <si>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</si>
  <si>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</si>
  <si>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</si>
  <si>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</si>
  <si>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</si>
  <si>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</si>
  <si>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</si>
  <si>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</si>
  <si>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</si>
  <si>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</si>
  <si>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</si>
  <si>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</si>
  <si>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</si>
  <si>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</si>
  <si>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</si>
  <si>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</si>
  <si>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</si>
  <si>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</si>
  <si>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</si>
  <si>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</si>
  <si>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</si>
  <si>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</si>
  <si>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</si>
  <si>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</si>
  <si>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</si>
  <si>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</si>
  <si>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</si>
  <si>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</si>
  <si>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</si>
  <si>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</si>
  <si>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</si>
  <si>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</si>
  <si>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</si>
  <si>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</si>
  <si>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</si>
  <si>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</si>
  <si>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</si>
  <si>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</si>
  <si>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</si>
  <si>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</si>
  <si>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</si>
  <si>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</si>
  <si>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</si>
  <si>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</si>
  <si>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</si>
  <si>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</si>
  <si>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</si>
  <si>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</si>
  <si>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</si>
  <si>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</si>
  <si>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</si>
  <si>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</si>
  <si>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</si>
  <si>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</si>
  <si>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</si>
  <si>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</si>
  <si>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</si>
  <si>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</si>
  <si>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</si>
  <si>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</si>
  <si>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</si>
  <si>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</si>
  <si>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</si>
  <si>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</si>
  <si>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</si>
  <si>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</si>
  <si>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</si>
  <si>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</si>
  <si>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</si>
  <si>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</si>
  <si>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</si>
  <si>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</si>
  <si>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</si>
  <si>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</si>
  <si>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</si>
  <si>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</si>
  <si>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</si>
  <si>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</si>
  <si>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</si>
  <si>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</si>
  <si>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</si>
  <si>
    <t>Q19500059.F1</t>
  </si>
  <si>
    <t>YEDR1(LPDN PRE 0 POST 13)</t>
  </si>
  <si>
    <t>YEDR1(LPDN PRE 0 POST 1188)</t>
  </si>
  <si>
    <t>Q19510003.F1</t>
  </si>
  <si>
    <t>YEDR1(LPDN PRE 2 POST 49 )</t>
  </si>
  <si>
    <t>YEDR1(LPDN PRE 0 POST 40 )</t>
  </si>
  <si>
    <t>YEDR1(LPDN PRE 0 POST 129 )</t>
  </si>
  <si>
    <t>YEDR1(LPDN PRE 3 POST 86 )</t>
  </si>
  <si>
    <t>YEDR1(LPDN PRE 0 POST 52 )</t>
  </si>
  <si>
    <t>YEDR1(LPDN PRE 0 POST 60 )</t>
  </si>
  <si>
    <t>chamber purge done for 3 hrs</t>
  </si>
  <si>
    <t>YEDR1(LPDN PRE 0 POST 16 )</t>
  </si>
  <si>
    <t>YEDR1(LPDN PRE 01POST 19 )</t>
  </si>
  <si>
    <t>YEDR1(LPDN PRE 04 POST 1585 )</t>
  </si>
  <si>
    <t>Q19520078.F1</t>
  </si>
  <si>
    <t>YEDR1(LPDN PRE 04 POST 1575 )</t>
  </si>
  <si>
    <t>CH PM Due to CP Fail Issue
0.16-6(0),357(1447)/0.5-0,29(0)</t>
  </si>
  <si>
    <t>YEDR1(LPDN PRE 0 POST 1474)</t>
  </si>
  <si>
    <t>YEDR1(LPDN PRE 02 POST 1394 )</t>
  </si>
  <si>
    <t>74/64</t>
  </si>
  <si>
    <t>YEDR1(LPDN PRE 05 POST  1567)</t>
  </si>
  <si>
    <t>Q19520097.F1</t>
  </si>
  <si>
    <t>YEDR1(LPDN PRE 06 POST  516)</t>
  </si>
  <si>
    <t>YEDR1(LPDN PRE 06 POST  422)</t>
  </si>
  <si>
    <t>YEDR1(LPDN PRE 8 POST  437)</t>
  </si>
  <si>
    <t>to confirm</t>
  </si>
  <si>
    <t>YEDR1(LPDN PRE 3 POST  435)</t>
  </si>
  <si>
    <t>after dry clean (with bare si) &amp; std. Seasoning</t>
  </si>
  <si>
    <t>after dry clean (with bare si) &amp; 10 fresh wfs. Seasoning</t>
  </si>
  <si>
    <t>Q20010075.F1</t>
  </si>
  <si>
    <t>YEDR1(LPDN PRE 01 POST  16)</t>
  </si>
  <si>
    <t>Q20020090.F1</t>
  </si>
  <si>
    <t>YEDR1(LPDN PRE 0 POST  36)</t>
  </si>
  <si>
    <t>YEDR1(LPDN PRE 0 POST  22)</t>
  </si>
  <si>
    <t xml:space="preserve">  Q20030033.F1</t>
  </si>
  <si>
    <t>Q20030135.F1</t>
  </si>
  <si>
    <t>121/1159</t>
  </si>
  <si>
    <t>YEDR1(LPDN PRE 03 POST  23)</t>
  </si>
  <si>
    <t>Q20050069.F1</t>
  </si>
  <si>
    <t>YEDR1(LPDN PRE 06 POST  432)</t>
  </si>
  <si>
    <t>Q20060046.F1</t>
  </si>
  <si>
    <r>
      <t>Area</t>
    </r>
    <r>
      <rPr>
        <b/>
        <sz val="11"/>
        <rFont val="Arial"/>
        <family val="2"/>
      </rPr>
      <t>: Dry Etch</t>
    </r>
  </si>
  <si>
    <r>
      <t>Tool</t>
    </r>
    <r>
      <rPr>
        <b/>
        <sz val="11"/>
        <rFont val="Arial"/>
        <family val="2"/>
      </rPr>
      <t>: REOX1A</t>
    </r>
  </si>
  <si>
    <r>
      <t>QC Name</t>
    </r>
    <r>
      <rPr>
        <b/>
        <sz val="11"/>
        <rFont val="Arial"/>
        <family val="2"/>
      </rPr>
      <t>: TEOS etch rate &amp; SiN Etch rate</t>
    </r>
  </si>
  <si>
    <r>
      <t>Wafer Type</t>
    </r>
    <r>
      <rPr>
        <b/>
        <sz val="11"/>
        <rFont val="Arial"/>
        <family val="2"/>
      </rPr>
      <t>: V33ZP91,TVZP91</t>
    </r>
  </si>
  <si>
    <r>
      <t xml:space="preserve">Measurment Tool recipe: </t>
    </r>
    <r>
      <rPr>
        <b/>
        <sz val="11"/>
        <rFont val="Arial"/>
        <family val="2"/>
      </rPr>
      <t>ETCH/SUPER-E/TVTEOS13, ETCH/SUPER-E/TV-P-SIN</t>
    </r>
  </si>
  <si>
    <t>YEDR1(LPDN PRE 186 POST  1852)</t>
  </si>
  <si>
    <t>Q20060149.F1</t>
  </si>
  <si>
    <t>YEDR1(LPDN PRE 07 POST  488)</t>
  </si>
  <si>
    <t>YEDR1(LPDN PRE 09 POST  511)</t>
  </si>
  <si>
    <t>Q20060150.F1</t>
  </si>
  <si>
    <t>After 25 wfs SiN seasoning</t>
  </si>
  <si>
    <t>YEDR1(LPDN PRE 03 POST  28)</t>
  </si>
  <si>
    <t>Q20070080.F1</t>
  </si>
  <si>
    <t>5 Wfs SiN Seasoning</t>
  </si>
  <si>
    <t>Q20080110.F1</t>
  </si>
  <si>
    <t>121/1428</t>
  </si>
  <si>
    <t>After 12 short seas (75 sec) SiN wfs</t>
  </si>
  <si>
    <t>After 13 SEAS (150 sec) SiN wfs</t>
  </si>
  <si>
    <t>pre -0,post-11(&gt;=.2)</t>
  </si>
  <si>
    <t>.3-7-7,.5-9-10,LPDN PRE4,POST4</t>
  </si>
  <si>
    <t xml:space="preserve">2nd CP Repeat </t>
  </si>
  <si>
    <t xml:space="preserve">3rd CP Repeat </t>
  </si>
  <si>
    <t>CP QC  done after RF PM completed on 9TH March</t>
  </si>
  <si>
    <t>After Chamber PM</t>
  </si>
  <si>
    <t>YEDR1(LPDN PRE 01 POST  06)</t>
  </si>
  <si>
    <t>1159/64</t>
  </si>
  <si>
    <t>Q20110120.F1</t>
  </si>
  <si>
    <t>YEDR1(LPDN PRE 7 POST  10)</t>
  </si>
  <si>
    <t>Q20120047.F1</t>
  </si>
  <si>
    <t>YEDR1 (LPDN PRE 1 POST  74)</t>
  </si>
  <si>
    <t>Q20180041.F1</t>
  </si>
  <si>
    <t>YEDR1 (LPDN PRE 6 POST  28)</t>
  </si>
  <si>
    <t>Q20190026.F1</t>
  </si>
  <si>
    <t>Q20210036.F1</t>
  </si>
  <si>
    <t>Q20220005.F1</t>
  </si>
  <si>
    <t>Q20220095.F1</t>
  </si>
  <si>
    <t>Q20230030.F1</t>
  </si>
  <si>
    <t>YEDR1(LPDN PRE 1 POST  18)</t>
  </si>
  <si>
    <t>YEDR1(LPDN PRE 2 POST  16)</t>
  </si>
  <si>
    <t>YEDR1(LPDN PRE 0 POST 8)</t>
  </si>
  <si>
    <t>YEDR1(LPDN PRE 0 POST 11)</t>
  </si>
  <si>
    <t>YEDR1(LPDN PRE 1 POST 28)</t>
  </si>
  <si>
    <t>YEDR1(LPDN PRE 0 POST 24)</t>
  </si>
  <si>
    <t>Q20230144.F1</t>
  </si>
  <si>
    <t>Q20240119.F1</t>
  </si>
  <si>
    <t>1428/1335</t>
  </si>
  <si>
    <t>YEDR1(LPDN PRE 0 POST 31 )</t>
  </si>
  <si>
    <t>YEDR1(LPDN PRE 0 POST 14 )</t>
  </si>
  <si>
    <t>YEDR1(LPDN PRE 3 POST 562 )</t>
  </si>
  <si>
    <t>MTOP1 issue. GOF not good</t>
  </si>
  <si>
    <t>YEDR1(LPDN PRE 3 POST 37 )</t>
  </si>
  <si>
    <t>YEDR1 (LPDN PRE 1, POST 43)</t>
  </si>
  <si>
    <t>Q20250104.F1</t>
  </si>
  <si>
    <t>YEDR1 (LPDN PRE 0, POST 7)</t>
  </si>
  <si>
    <t>xxxxxxxxxxxxxxx</t>
  </si>
  <si>
    <t>YEDR1 (LPDN PRE 2, POST 9)</t>
  </si>
  <si>
    <t>YEDR1 (LPDN PRE 4, POST 18)</t>
  </si>
  <si>
    <t>YEDR1 (LPDN PRE 4, POST 32)</t>
  </si>
  <si>
    <t>YEDR1 (LPDN PRE 1, POST 22)</t>
  </si>
  <si>
    <t>YEDR1 (LPDN PRE 2, POST 20)</t>
  </si>
  <si>
    <t>YEDR1(LPDN PRE 05 POST 20 )</t>
  </si>
  <si>
    <t>YEDR1(LPDN PRE 02 POST 83 )</t>
  </si>
  <si>
    <t>Q20290096.F1</t>
  </si>
  <si>
    <t>YEDR1(LPDN PRE 00 POST 58 )</t>
  </si>
  <si>
    <t>YEDR1(LPDN PRE 04 POST 43)</t>
  </si>
  <si>
    <t xml:space="preserve">
RAN 10 SIN WFS SEASONING</t>
  </si>
  <si>
    <t>REPEATABILITY</t>
  </si>
  <si>
    <t>Q20300096.F1</t>
  </si>
  <si>
    <t>YEDR1(LPDN PRE 07 POST 582)</t>
  </si>
  <si>
    <t>YEDR1(LPDN PRE 02 POST 662)</t>
  </si>
  <si>
    <t>YEDR1(LPDN PRE 03 POST 577)</t>
  </si>
  <si>
    <t>Q20310060.F1</t>
  </si>
  <si>
    <t>Q20320008.F1</t>
  </si>
  <si>
    <t>YEDR1(LPDN PRE 05 POST 16 )</t>
  </si>
  <si>
    <r>
      <t xml:space="preserve">YEDR1(LPDN PRE 09 POST 134 ) ( </t>
    </r>
    <r>
      <rPr>
        <b/>
        <sz val="10"/>
        <rFont val="Arial"/>
        <family val="2"/>
      </rPr>
      <t>USED WAFER</t>
    </r>
    <r>
      <rPr>
        <sz val="10"/>
        <rFont val="Arial"/>
        <family val="2"/>
      </rPr>
      <t xml:space="preserve"> )</t>
    </r>
  </si>
  <si>
    <t>YEDR1(LPDN PRE 0 POST 39)</t>
  </si>
  <si>
    <t>YEDR1(LPDN PRE  0 POST 25)</t>
  </si>
  <si>
    <t>RF PM done. Followed by 25 wfs seasoning</t>
  </si>
  <si>
    <t>1335/121</t>
  </si>
  <si>
    <t>mean</t>
  </si>
  <si>
    <t>dev</t>
  </si>
  <si>
    <t>YEDR1(LPDN PRE  1 POST 78)</t>
  </si>
  <si>
    <t>RF PM Done, CL limit changed</t>
  </si>
  <si>
    <t>RF PM Done</t>
  </si>
  <si>
    <t>Q20330080.F1</t>
  </si>
  <si>
    <t>YEDR1(LPDN PRE  5 POST 130)</t>
  </si>
  <si>
    <t>Q20340059.F1</t>
  </si>
  <si>
    <t>YEDR1(LPDN PRE  01 POST 17)</t>
  </si>
  <si>
    <t>Q20340131.F1</t>
  </si>
  <si>
    <t>YEDR1(LPDN PRE  01 POST 11 )</t>
  </si>
  <si>
    <t>Q20350085.F1</t>
  </si>
  <si>
    <t>74/1159</t>
  </si>
  <si>
    <t>YEDR1(LPDN PRE  01 POST 1469 )</t>
  </si>
  <si>
    <t>YEDR1(LPDN PRE  05 POST 312 )</t>
  </si>
  <si>
    <t>YEDR1(LPDN PRE  0 POST 39)</t>
  </si>
  <si>
    <t>YEDR1(LPDN PRE  03 POST 28)</t>
  </si>
  <si>
    <t>YEDR1(LPDN PRE  02 POST  215)</t>
  </si>
  <si>
    <t>YEDR1(LPDN PRE  02 POST  )</t>
  </si>
  <si>
    <t>AFter 25 wfs SiN seasoning</t>
  </si>
  <si>
    <t>YEDR1(LPDN PRE 68 POST 1085)</t>
  </si>
  <si>
    <t>Q20360095.F1</t>
  </si>
  <si>
    <t>QC AFTER RF PM</t>
  </si>
  <si>
    <t>YEDR1(LPDN PRE 1 POST 431)</t>
  </si>
  <si>
    <t>Q20370101.F1</t>
  </si>
  <si>
    <t>LOAD
LOCK</t>
  </si>
  <si>
    <t>LLB</t>
  </si>
  <si>
    <t xml:space="preserve"> LLB</t>
  </si>
  <si>
    <t>LLA</t>
  </si>
  <si>
    <t>YEDR1(LPDN PRE 1 POST 9)</t>
  </si>
  <si>
    <t>CPX DOWN. CP DONE ON DIA</t>
  </si>
  <si>
    <t>1519/102</t>
  </si>
  <si>
    <t>Q20380060.F1</t>
  </si>
  <si>
    <r>
      <t xml:space="preserve">     Frequency: 96hrs or 500 producti</t>
    </r>
    <r>
      <rPr>
        <b/>
        <sz val="11"/>
        <rFont val="Calibri"/>
        <family val="2"/>
      </rPr>
      <t xml:space="preserve">on wfs   </t>
    </r>
  </si>
  <si>
    <t>YEDR1(LPDN PRE 5 POST 17)</t>
  </si>
  <si>
    <t>Q20390027.F1</t>
  </si>
  <si>
    <t xml:space="preserve">YEDR1(LPDN PRE  POST </t>
  </si>
  <si>
    <t>YEDR1(LPDN PRE )</t>
  </si>
  <si>
    <t>YEDR1(LPDN PRE  0 POST 19)</t>
  </si>
  <si>
    <t>YEDR1(LPDN PRE  0 POST 17)</t>
  </si>
  <si>
    <t>YEDR1(LPDN PRE  02 POST 17)</t>
  </si>
  <si>
    <t>after 10 wfs seasoning</t>
  </si>
  <si>
    <t>after 10+5 wfs seasoning</t>
  </si>
  <si>
    <t>without seasoning after purging</t>
  </si>
  <si>
    <t>YEDR1(LPDN PRE  01 POST 20)</t>
  </si>
  <si>
    <t>after 6 wfs (FRESH PAD PR ) seasoning</t>
  </si>
  <si>
    <t>Q20400031.F1</t>
  </si>
  <si>
    <t>Q20400097.F1 CP</t>
  </si>
  <si>
    <t>YEDR1(LPDN PRE  03 POST 176)</t>
  </si>
  <si>
    <t>purging</t>
  </si>
  <si>
    <t>Q20410046.F1</t>
  </si>
  <si>
    <t>YEDR1(LPDN PRE  01 POST31 )</t>
  </si>
  <si>
    <t>YEDR1(LPDN PRE 15 POST582 )</t>
  </si>
  <si>
    <t>YEDR1(LPDN PRE 2 POST 22 )</t>
  </si>
  <si>
    <t>YEDR1(LPDN PRE 50 POST 1380)</t>
  </si>
  <si>
    <t>After 6 SiN seasoning wfs</t>
  </si>
  <si>
    <t>YEDR1(LPDN PRE 82 POST 1475)</t>
  </si>
  <si>
    <t>YEDR1(LPDN PRE 85 POST 1436)</t>
  </si>
  <si>
    <t>Q20440096.F1</t>
  </si>
  <si>
    <t>Q20440097.F1</t>
  </si>
  <si>
    <t>Q20440098.F1</t>
  </si>
  <si>
    <t>Q20440100.F1</t>
  </si>
  <si>
    <t>AC</t>
  </si>
  <si>
    <t>&gt;0.2u</t>
  </si>
  <si>
    <t>&gt;0.5u</t>
  </si>
  <si>
    <t>YEDR1 (LPDN pre 88, post 1300)</t>
  </si>
  <si>
    <t>YEDR1 (LPDN pre 117, post2003 )</t>
  </si>
  <si>
    <t>0.16-4(5),228(1298)</t>
  </si>
  <si>
    <t>0.16-1(2),235(1601)</t>
  </si>
  <si>
    <t>0.16-1(3),164(1755)</t>
  </si>
  <si>
    <t>After 22 SEAS (150 sec) SiN wfs</t>
  </si>
  <si>
    <t>After 6 SEAS  FRESH NNIT2800wfs</t>
  </si>
  <si>
    <r>
      <t xml:space="preserve">After 5 SEAS  FRESH NNIT2800wfs. </t>
    </r>
    <r>
      <rPr>
        <b/>
        <sz val="10"/>
        <color theme="1"/>
        <rFont val="Calibri"/>
        <family val="2"/>
        <scheme val="minor"/>
      </rPr>
      <t>Ch down for PM</t>
    </r>
  </si>
  <si>
    <t>1335/74</t>
  </si>
  <si>
    <t>121/1340</t>
  </si>
  <si>
    <t>Q20450058.F1</t>
  </si>
  <si>
    <t>REPEATABILITY, AFter 6 wfs SiN seasoning</t>
  </si>
  <si>
    <t>Delta CP 0.2u</t>
  </si>
  <si>
    <t>Delta CP 0.5u</t>
  </si>
  <si>
    <t>Delta CP AC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</si>
</sst>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;[Red]0.00"/>
    <numFmt numFmtId="167" formatCode="m/d/yyyy;@"/>
    <numFmt numFmtId="168" formatCode="0.000000"/>
  </numFmts>
  <fonts count="5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Arial"/>
      <family val="2"/>
    </font>
    <font>
      <b/>
      <u/>
      <sz val="11"/>
      <color rgb="FF00B05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B050"/>
      <name val="Arial"/>
      <family val="2"/>
    </font>
    <font>
      <b/>
      <sz val="11"/>
      <name val="Calibri"/>
      <family val="2"/>
    </font>
    <font>
      <b/>
      <sz val="11"/>
      <color rgb="FF00B050"/>
      <name val="Arial"/>
      <family val="2"/>
    </font>
    <font>
      <sz val="11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4" fillId="0" borderId="49" applyNumberFormat="0" applyFill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6" fillId="6" borderId="0" applyNumberFormat="0" applyBorder="0" applyAlignment="0" applyProtection="0"/>
    <xf numFmtId="0" fontId="37" fillId="7" borderId="0" applyNumberFormat="0" applyBorder="0" applyAlignment="0" applyProtection="0"/>
    <xf numFmtId="0" fontId="38" fillId="8" borderId="50" applyNumberFormat="0" applyAlignment="0" applyProtection="0"/>
    <xf numFmtId="0" fontId="39" fillId="9" borderId="51" applyNumberFormat="0" applyAlignment="0" applyProtection="0"/>
    <xf numFmtId="0" fontId="40" fillId="9" borderId="50" applyNumberFormat="0" applyAlignment="0" applyProtection="0"/>
    <xf numFmtId="0" fontId="41" fillId="0" borderId="52" applyNumberFormat="0" applyFill="0" applyAlignment="0" applyProtection="0"/>
    <xf numFmtId="0" fontId="42" fillId="10" borderId="53" applyNumberFormat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6" fillId="0" borderId="55" applyNumberFormat="0" applyFill="0" applyAlignment="0" applyProtection="0"/>
    <xf numFmtId="0" fontId="45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35" borderId="0" applyNumberFormat="0" applyBorder="0" applyAlignment="0" applyProtection="0"/>
    <xf numFmtId="0" fontId="2" fillId="0" borderId="0"/>
    <xf numFmtId="0" fontId="2" fillId="11" borderId="54" applyNumberFormat="0" applyFont="0" applyAlignment="0" applyProtection="0"/>
  </cellStyleXfs>
  <cellXfs count="540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/>
    <xf numFmtId="0" fontId="6" fillId="2" borderId="4" xfId="0" applyFont="1" applyFill="1" applyBorder="1" applyAlignment="1"/>
    <xf numFmtId="0" fontId="9" fillId="0" borderId="0" xfId="0" applyFont="1" applyBorder="1"/>
    <xf numFmtId="0" fontId="6" fillId="2" borderId="0" xfId="0" applyFont="1" applyFill="1" applyBorder="1" applyAlignment="1"/>
    <xf numFmtId="0" fontId="8" fillId="2" borderId="0" xfId="0" applyFont="1" applyFill="1" applyBorder="1" applyAlignment="1"/>
    <xf numFmtId="0" fontId="6" fillId="2" borderId="5" xfId="0" applyFont="1" applyFill="1" applyBorder="1" applyAlignment="1">
      <alignment horizontal="right"/>
    </xf>
    <xf numFmtId="0" fontId="10" fillId="2" borderId="0" xfId="0" applyFont="1" applyFill="1" applyAlignment="1"/>
    <xf numFmtId="0" fontId="11" fillId="2" borderId="0" xfId="0" applyFont="1" applyFill="1" applyAlignment="1"/>
    <xf numFmtId="0" fontId="6" fillId="2" borderId="4" xfId="0" applyFont="1" applyFill="1" applyBorder="1" applyAlignment="1">
      <alignment horizontal="left"/>
    </xf>
    <xf numFmtId="0" fontId="9" fillId="2" borderId="0" xfId="0" applyFont="1" applyFill="1" applyBorder="1"/>
    <xf numFmtId="0" fontId="11" fillId="0" borderId="0" xfId="0" applyFont="1" applyBorder="1" applyAlignment="1"/>
    <xf numFmtId="0" fontId="12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/>
    <xf numFmtId="0" fontId="8" fillId="2" borderId="4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8" fillId="2" borderId="6" xfId="0" applyFont="1" applyFill="1" applyBorder="1" applyAlignment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/>
    <xf numFmtId="0" fontId="8" fillId="2" borderId="8" xfId="0" applyFont="1" applyFill="1" applyBorder="1" applyAlignment="1"/>
    <xf numFmtId="0" fontId="1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11" fillId="0" borderId="0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4" fillId="0" borderId="9" xfId="0" applyFont="1" applyBorder="1" applyAlignment="1"/>
    <xf numFmtId="0" fontId="10" fillId="0" borderId="9" xfId="0" applyFont="1" applyBorder="1" applyAlignment="1"/>
    <xf numFmtId="0" fontId="10" fillId="0" borderId="0" xfId="0" applyFont="1" applyBorder="1" applyAlignment="1"/>
    <xf numFmtId="0" fontId="10" fillId="0" borderId="0" xfId="0" applyFont="1" applyBorder="1"/>
    <xf numFmtId="164" fontId="0" fillId="0" borderId="0" xfId="0" applyNumberFormat="1"/>
    <xf numFmtId="0" fontId="10" fillId="0" borderId="0" xfId="1"/>
    <xf numFmtId="0" fontId="10" fillId="0" borderId="0" xfId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0" fillId="0" borderId="0" xfId="1" applyAlignment="1">
      <alignment horizontal="center"/>
    </xf>
    <xf numFmtId="165" fontId="10" fillId="0" borderId="0" xfId="1" applyNumberFormat="1" applyAlignment="1">
      <alignment horizontal="center" vertical="center"/>
    </xf>
    <xf numFmtId="164" fontId="10" fillId="0" borderId="0" xfId="1" applyNumberFormat="1" applyAlignment="1">
      <alignment horizontal="center"/>
    </xf>
    <xf numFmtId="0" fontId="9" fillId="0" borderId="16" xfId="1" applyFont="1" applyFill="1" applyBorder="1" applyAlignment="1">
      <alignment vertical="top" wrapText="1"/>
    </xf>
    <xf numFmtId="0" fontId="9" fillId="0" borderId="16" xfId="1" applyFont="1" applyFill="1" applyBorder="1" applyAlignment="1">
      <alignment vertical="top"/>
    </xf>
    <xf numFmtId="0" fontId="9" fillId="0" borderId="11" xfId="1" applyFont="1" applyFill="1" applyBorder="1" applyAlignment="1">
      <alignment vertical="top" wrapText="1"/>
    </xf>
    <xf numFmtId="0" fontId="9" fillId="0" borderId="11" xfId="1" applyFont="1" applyFill="1" applyBorder="1" applyAlignment="1">
      <alignment vertical="top"/>
    </xf>
    <xf numFmtId="0" fontId="9" fillId="0" borderId="10" xfId="1" applyFont="1" applyFill="1" applyBorder="1" applyAlignment="1">
      <alignment vertical="top" wrapText="1"/>
    </xf>
    <xf numFmtId="0" fontId="9" fillId="0" borderId="10" xfId="1" applyFont="1" applyFill="1" applyBorder="1" applyAlignment="1">
      <alignment vertical="top"/>
    </xf>
    <xf numFmtId="165" fontId="9" fillId="0" borderId="10" xfId="1" applyNumberFormat="1" applyFont="1" applyFill="1" applyBorder="1" applyAlignment="1">
      <alignment horizontal="center" vertical="center" wrapText="1"/>
    </xf>
    <xf numFmtId="165" fontId="9" fillId="0" borderId="20" xfId="1" applyNumberFormat="1" applyFont="1" applyFill="1" applyBorder="1" applyAlignment="1">
      <alignment horizontal="center" vertical="center" wrapText="1"/>
    </xf>
    <xf numFmtId="0" fontId="10" fillId="3" borderId="0" xfId="1" applyFill="1" applyBorder="1"/>
    <xf numFmtId="0" fontId="9" fillId="0" borderId="9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/>
    </xf>
    <xf numFmtId="0" fontId="9" fillId="0" borderId="23" xfId="1" applyFont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5" fillId="0" borderId="0" xfId="1" applyFont="1" applyFill="1" applyBorder="1"/>
    <xf numFmtId="0" fontId="15" fillId="0" borderId="0" xfId="1" applyFont="1"/>
    <xf numFmtId="0" fontId="9" fillId="0" borderId="26" xfId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vertical="top" wrapText="1"/>
    </xf>
    <xf numFmtId="0" fontId="9" fillId="0" borderId="12" xfId="1" applyFont="1" applyFill="1" applyBorder="1" applyAlignment="1">
      <alignment vertical="top" wrapText="1"/>
    </xf>
    <xf numFmtId="0" fontId="10" fillId="0" borderId="26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/>
    </xf>
    <xf numFmtId="0" fontId="10" fillId="0" borderId="9" xfId="1" applyFont="1" applyFill="1" applyBorder="1" applyAlignment="1">
      <alignment horizontal="center" wrapText="1"/>
    </xf>
    <xf numFmtId="165" fontId="9" fillId="0" borderId="11" xfId="1" applyNumberFormat="1" applyFont="1" applyFill="1" applyBorder="1" applyAlignment="1">
      <alignment horizontal="center" vertical="center" wrapText="1"/>
    </xf>
    <xf numFmtId="164" fontId="10" fillId="0" borderId="34" xfId="1" applyNumberFormat="1" applyBorder="1" applyAlignment="1">
      <alignment horizontal="center"/>
    </xf>
    <xf numFmtId="164" fontId="9" fillId="0" borderId="17" xfId="1" applyNumberFormat="1" applyFont="1" applyFill="1" applyBorder="1" applyAlignment="1">
      <alignment vertical="top" wrapText="1"/>
    </xf>
    <xf numFmtId="164" fontId="9" fillId="0" borderId="19" xfId="1" applyNumberFormat="1" applyFont="1" applyFill="1" applyBorder="1" applyAlignment="1">
      <alignment vertical="top" wrapText="1"/>
    </xf>
    <xf numFmtId="164" fontId="9" fillId="0" borderId="27" xfId="1" applyNumberFormat="1" applyFont="1" applyFill="1" applyBorder="1" applyAlignment="1">
      <alignment vertical="top" wrapText="1"/>
    </xf>
    <xf numFmtId="165" fontId="9" fillId="0" borderId="20" xfId="1" applyNumberFormat="1" applyFont="1" applyFill="1" applyBorder="1" applyAlignment="1">
      <alignment vertical="center" wrapText="1"/>
    </xf>
    <xf numFmtId="164" fontId="9" fillId="0" borderId="33" xfId="1" applyNumberFormat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horizontal="center" vertical="top" wrapText="1"/>
    </xf>
    <xf numFmtId="0" fontId="9" fillId="0" borderId="9" xfId="1" applyFont="1" applyBorder="1" applyAlignment="1">
      <alignment horizontal="center" vertical="top"/>
    </xf>
    <xf numFmtId="0" fontId="9" fillId="0" borderId="9" xfId="1" applyFont="1" applyBorder="1" applyAlignment="1">
      <alignment horizontal="center" vertical="top" wrapText="1"/>
    </xf>
    <xf numFmtId="165" fontId="9" fillId="0" borderId="9" xfId="1" applyNumberFormat="1" applyFont="1" applyBorder="1" applyAlignment="1">
      <alignment horizontal="center" vertical="center" wrapText="1"/>
    </xf>
    <xf numFmtId="165" fontId="9" fillId="0" borderId="36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top" wrapText="1"/>
    </xf>
    <xf numFmtId="164" fontId="9" fillId="0" borderId="9" xfId="1" applyNumberFormat="1" applyFont="1" applyBorder="1" applyAlignment="1">
      <alignment horizontal="center" vertical="top" wrapText="1"/>
    </xf>
    <xf numFmtId="0" fontId="8" fillId="2" borderId="8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165" fontId="8" fillId="2" borderId="7" xfId="1" applyNumberFormat="1" applyFont="1" applyFill="1" applyBorder="1" applyAlignment="1">
      <alignment horizontal="center" vertical="center"/>
    </xf>
    <xf numFmtId="165" fontId="9" fillId="2" borderId="7" xfId="1" applyNumberFormat="1" applyFont="1" applyFill="1" applyBorder="1" applyAlignment="1">
      <alignment horizontal="center" vertical="center"/>
    </xf>
    <xf numFmtId="0" fontId="8" fillId="2" borderId="8" xfId="1" applyFont="1" applyFill="1" applyBorder="1" applyAlignment="1"/>
    <xf numFmtId="0" fontId="8" fillId="2" borderId="7" xfId="1" applyFont="1" applyFill="1" applyBorder="1" applyAlignment="1"/>
    <xf numFmtId="0" fontId="9" fillId="2" borderId="7" xfId="1" applyFont="1" applyFill="1" applyBorder="1" applyAlignment="1"/>
    <xf numFmtId="164" fontId="8" fillId="2" borderId="7" xfId="1" applyNumberFormat="1" applyFont="1" applyFill="1" applyBorder="1" applyAlignment="1">
      <alignment horizontal="center"/>
    </xf>
    <xf numFmtId="0" fontId="10" fillId="0" borderId="5" xfId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165" fontId="9" fillId="2" borderId="0" xfId="1" applyNumberFormat="1" applyFont="1" applyFill="1" applyBorder="1" applyAlignment="1">
      <alignment horizontal="center" vertical="center"/>
    </xf>
    <xf numFmtId="0" fontId="8" fillId="2" borderId="5" xfId="1" applyFont="1" applyFill="1" applyBorder="1" applyAlignment="1"/>
    <xf numFmtId="0" fontId="8" fillId="2" borderId="0" xfId="1" applyFont="1" applyFill="1" applyBorder="1" applyAlignment="1"/>
    <xf numFmtId="0" fontId="6" fillId="2" borderId="0" xfId="1" applyFont="1" applyFill="1" applyBorder="1" applyAlignment="1"/>
    <xf numFmtId="0" fontId="8" fillId="2" borderId="5" xfId="1" applyFont="1" applyFill="1" applyBorder="1" applyAlignment="1">
      <alignment horizontal="center"/>
    </xf>
    <xf numFmtId="0" fontId="10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9" fillId="2" borderId="14" xfId="1" applyNumberFormat="1" applyFont="1" applyFill="1" applyBorder="1" applyAlignment="1">
      <alignment vertical="center"/>
    </xf>
    <xf numFmtId="165" fontId="9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>
      <alignment horizontal="center"/>
    </xf>
    <xf numFmtId="0" fontId="8" fillId="2" borderId="9" xfId="1" applyFont="1" applyFill="1" applyBorder="1" applyAlignment="1">
      <alignment horizontal="center"/>
    </xf>
    <xf numFmtId="165" fontId="11" fillId="0" borderId="9" xfId="1" applyNumberFormat="1" applyFont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/>
    <xf numFmtId="0" fontId="7" fillId="2" borderId="0" xfId="1" applyFont="1" applyFill="1" applyAlignment="1"/>
    <xf numFmtId="0" fontId="7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165" fontId="6" fillId="2" borderId="2" xfId="1" applyNumberFormat="1" applyFont="1" applyFill="1" applyBorder="1" applyAlignment="1">
      <alignment horizontal="center" vertical="center"/>
    </xf>
    <xf numFmtId="49" fontId="9" fillId="0" borderId="11" xfId="1" applyNumberFormat="1" applyFont="1" applyFill="1" applyBorder="1" applyAlignment="1">
      <alignment vertical="top"/>
    </xf>
    <xf numFmtId="11" fontId="9" fillId="0" borderId="11" xfId="1" applyNumberFormat="1" applyFont="1" applyFill="1" applyBorder="1" applyAlignment="1">
      <alignment vertical="top" wrapText="1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4" fillId="0" borderId="0" xfId="0" applyFont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0" fontId="10" fillId="0" borderId="7" xfId="1" applyBorder="1"/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3" fillId="0" borderId="0" xfId="0" applyFont="1"/>
    <xf numFmtId="167" fontId="28" fillId="0" borderId="41" xfId="0" applyNumberFormat="1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14" fontId="0" fillId="0" borderId="0" xfId="0" applyNumberFormat="1"/>
    <xf numFmtId="0" fontId="10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9" xfId="0" applyFont="1" applyFill="1" applyBorder="1" applyAlignment="1">
      <alignment horizontal="center" wrapText="1"/>
    </xf>
    <xf numFmtId="0" fontId="10" fillId="0" borderId="9" xfId="0" applyFont="1" applyFill="1" applyBorder="1" applyAlignment="1">
      <alignment horizontal="center"/>
    </xf>
    <xf numFmtId="0" fontId="0" fillId="0" borderId="9" xfId="0" applyBorder="1"/>
    <xf numFmtId="0" fontId="21" fillId="2" borderId="5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0" fillId="0" borderId="9" xfId="0" applyFont="1" applyFill="1" applyBorder="1" applyAlignment="1" applyProtection="1">
      <alignment horizontal="center" wrapText="1"/>
    </xf>
    <xf numFmtId="0" fontId="14" fillId="0" borderId="9" xfId="0" applyFont="1" applyFill="1" applyBorder="1" applyAlignment="1">
      <alignment horizontal="center" wrapText="1"/>
    </xf>
    <xf numFmtId="0" fontId="10" fillId="0" borderId="9" xfId="0" applyFont="1" applyBorder="1"/>
    <xf numFmtId="0" fontId="9" fillId="0" borderId="20" xfId="0" applyFont="1" applyFill="1" applyBorder="1" applyAlignment="1">
      <alignment vertical="top" wrapText="1"/>
    </xf>
    <xf numFmtId="0" fontId="9" fillId="0" borderId="23" xfId="0" applyFont="1" applyFill="1" applyBorder="1" applyAlignment="1">
      <alignment vertical="top" wrapText="1"/>
    </xf>
    <xf numFmtId="166" fontId="9" fillId="0" borderId="20" xfId="0" applyNumberFormat="1" applyFont="1" applyFill="1" applyBorder="1" applyAlignment="1">
      <alignment vertical="top" wrapText="1"/>
    </xf>
    <xf numFmtId="165" fontId="9" fillId="0" borderId="20" xfId="0" applyNumberFormat="1" applyFont="1" applyFill="1" applyBorder="1" applyAlignment="1">
      <alignment horizontal="center" vertical="center" wrapText="1"/>
    </xf>
    <xf numFmtId="0" fontId="9" fillId="0" borderId="20" xfId="0" applyFont="1" applyFill="1" applyBorder="1" applyAlignment="1">
      <alignment vertical="top"/>
    </xf>
    <xf numFmtId="0" fontId="9" fillId="0" borderId="11" xfId="0" applyFont="1" applyFill="1" applyBorder="1" applyAlignment="1">
      <alignment vertical="top" wrapText="1"/>
    </xf>
    <xf numFmtId="0" fontId="9" fillId="0" borderId="9" xfId="0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horizontal="center" wrapText="1"/>
    </xf>
    <xf numFmtId="0" fontId="9" fillId="0" borderId="10" xfId="0" applyFont="1" applyFill="1" applyBorder="1" applyAlignment="1">
      <alignment vertical="top"/>
    </xf>
    <xf numFmtId="0" fontId="9" fillId="0" borderId="16" xfId="0" applyFont="1" applyFill="1" applyBorder="1" applyAlignment="1">
      <alignment vertical="top" wrapText="1"/>
    </xf>
    <xf numFmtId="0" fontId="10" fillId="0" borderId="16" xfId="0" applyFont="1" applyFill="1" applyBorder="1" applyAlignment="1">
      <alignment horizontal="center" wrapText="1"/>
    </xf>
    <xf numFmtId="0" fontId="9" fillId="0" borderId="16" xfId="0" applyFont="1" applyFill="1" applyBorder="1" applyAlignment="1">
      <alignment vertical="top"/>
    </xf>
    <xf numFmtId="0" fontId="0" fillId="0" borderId="45" xfId="0" applyBorder="1"/>
    <xf numFmtId="0" fontId="0" fillId="0" borderId="46" xfId="0" applyBorder="1"/>
    <xf numFmtId="0" fontId="1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1" applyFont="1"/>
    <xf numFmtId="0" fontId="11" fillId="0" borderId="9" xfId="1" applyFont="1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166" fontId="10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4" fontId="27" fillId="0" borderId="5" xfId="0" applyNumberFormat="1" applyFont="1" applyBorder="1" applyAlignment="1">
      <alignment horizontal="center" vertical="top" wrapText="1"/>
    </xf>
    <xf numFmtId="0" fontId="27" fillId="0" borderId="0" xfId="0" applyFont="1" applyBorder="1" applyAlignment="1">
      <alignment vertical="top" wrapText="1"/>
    </xf>
    <xf numFmtId="0" fontId="27" fillId="0" borderId="5" xfId="0" applyFont="1" applyBorder="1" applyAlignment="1">
      <alignment vertical="top" wrapText="1"/>
    </xf>
    <xf numFmtId="0" fontId="28" fillId="0" borderId="16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/>
    </xf>
    <xf numFmtId="14" fontId="27" fillId="0" borderId="9" xfId="0" applyNumberFormat="1" applyFont="1" applyBorder="1" applyAlignment="1">
      <alignment horizontal="center" vertical="top" wrapText="1"/>
    </xf>
    <xf numFmtId="14" fontId="27" fillId="0" borderId="26" xfId="0" applyNumberFormat="1" applyFont="1" applyBorder="1" applyAlignment="1">
      <alignment horizontal="center" vertical="top" wrapText="1"/>
    </xf>
    <xf numFmtId="164" fontId="20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/>
    </xf>
    <xf numFmtId="164" fontId="22" fillId="0" borderId="12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wrapText="1"/>
    </xf>
    <xf numFmtId="0" fontId="22" fillId="0" borderId="12" xfId="0" applyFont="1" applyBorder="1" applyAlignment="1" applyProtection="1">
      <alignment horizontal="center" wrapText="1"/>
    </xf>
    <xf numFmtId="0" fontId="25" fillId="0" borderId="12" xfId="0" applyFont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/>
    </xf>
    <xf numFmtId="0" fontId="24" fillId="0" borderId="56" xfId="0" applyFont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9" xfId="0" applyNumberFormat="1" applyFont="1" applyBorder="1" applyAlignment="1">
      <alignment horizont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6" fillId="2" borderId="0" xfId="1" applyFont="1" applyFill="1" applyBorder="1" applyAlignment="1">
      <alignment horizontal="center"/>
    </xf>
    <xf numFmtId="0" fontId="46" fillId="2" borderId="0" xfId="1" applyFont="1" applyFill="1" applyBorder="1" applyAlignment="1"/>
    <xf numFmtId="0" fontId="46" fillId="2" borderId="5" xfId="1" applyFont="1" applyFill="1" applyBorder="1" applyAlignment="1"/>
    <xf numFmtId="165" fontId="46" fillId="2" borderId="2" xfId="1" applyNumberFormat="1" applyFont="1" applyFill="1" applyBorder="1" applyAlignment="1">
      <alignment horizontal="center" vertical="center"/>
    </xf>
    <xf numFmtId="0" fontId="46" fillId="2" borderId="2" xfId="1" applyFont="1" applyFill="1" applyBorder="1" applyAlignment="1">
      <alignment horizontal="center"/>
    </xf>
    <xf numFmtId="0" fontId="46" fillId="2" borderId="3" xfId="1" applyFont="1" applyFill="1" applyBorder="1" applyAlignment="1">
      <alignment horizontal="center"/>
    </xf>
    <xf numFmtId="0" fontId="47" fillId="2" borderId="0" xfId="1" applyFont="1" applyFill="1" applyAlignment="1">
      <alignment horizontal="center" vertical="center"/>
    </xf>
    <xf numFmtId="0" fontId="46" fillId="2" borderId="0" xfId="1" applyFont="1" applyFill="1" applyAlignment="1">
      <alignment horizontal="center"/>
    </xf>
    <xf numFmtId="0" fontId="46" fillId="2" borderId="0" xfId="1" applyFont="1" applyFill="1" applyAlignment="1">
      <alignment horizontal="center" vertical="center"/>
    </xf>
    <xf numFmtId="164" fontId="46" fillId="2" borderId="0" xfId="1" applyNumberFormat="1" applyFont="1" applyFill="1" applyBorder="1" applyAlignment="1">
      <alignment horizontal="center"/>
    </xf>
    <xf numFmtId="0" fontId="49" fillId="0" borderId="0" xfId="1" applyFont="1" applyBorder="1"/>
    <xf numFmtId="0" fontId="49" fillId="2" borderId="0" xfId="1" applyFont="1" applyFill="1" applyBorder="1"/>
    <xf numFmtId="0" fontId="48" fillId="2" borderId="0" xfId="1" applyFont="1" applyFill="1" applyBorder="1" applyAlignment="1"/>
    <xf numFmtId="165" fontId="48" fillId="2" borderId="13" xfId="1" applyNumberFormat="1" applyFont="1" applyFill="1" applyBorder="1" applyAlignment="1">
      <alignment vertical="center"/>
    </xf>
    <xf numFmtId="165" fontId="48" fillId="2" borderId="14" xfId="1" applyNumberFormat="1" applyFont="1" applyFill="1" applyBorder="1" applyAlignment="1">
      <alignment vertical="center"/>
    </xf>
    <xf numFmtId="165" fontId="48" fillId="0" borderId="9" xfId="1" applyNumberFormat="1" applyFont="1" applyBorder="1" applyAlignment="1">
      <alignment horizontal="center" vertical="center"/>
    </xf>
    <xf numFmtId="0" fontId="48" fillId="2" borderId="9" xfId="1" applyFont="1" applyFill="1" applyBorder="1" applyAlignment="1">
      <alignment horizontal="center"/>
    </xf>
    <xf numFmtId="0" fontId="46" fillId="2" borderId="5" xfId="1" applyFont="1" applyFill="1" applyBorder="1" applyAlignment="1">
      <alignment horizontal="center"/>
    </xf>
    <xf numFmtId="0" fontId="50" fillId="0" borderId="0" xfId="1" applyFont="1" applyAlignment="1">
      <alignment horizontal="center" vertical="center"/>
    </xf>
    <xf numFmtId="0" fontId="49" fillId="0" borderId="0" xfId="1" applyFont="1" applyAlignment="1">
      <alignment horizontal="center"/>
    </xf>
    <xf numFmtId="0" fontId="49" fillId="0" borderId="0" xfId="1" applyFont="1" applyAlignment="1">
      <alignment horizontal="center" vertical="center"/>
    </xf>
    <xf numFmtId="0" fontId="46" fillId="2" borderId="0" xfId="1" applyFont="1" applyFill="1" applyBorder="1" applyAlignment="1">
      <alignment horizontal="left"/>
    </xf>
    <xf numFmtId="0" fontId="48" fillId="2" borderId="0" xfId="1" applyFont="1" applyFill="1" applyBorder="1"/>
    <xf numFmtId="0" fontId="48" fillId="2" borderId="5" xfId="1" applyFont="1" applyFill="1" applyBorder="1" applyAlignment="1"/>
    <xf numFmtId="165" fontId="49" fillId="2" borderId="13" xfId="1" applyNumberFormat="1" applyFont="1" applyFill="1" applyBorder="1" applyAlignment="1">
      <alignment vertical="center"/>
    </xf>
    <xf numFmtId="165" fontId="49" fillId="2" borderId="14" xfId="1" applyNumberFormat="1" applyFont="1" applyFill="1" applyBorder="1" applyAlignment="1">
      <alignment vertical="center"/>
    </xf>
    <xf numFmtId="0" fontId="49" fillId="0" borderId="9" xfId="1" applyFont="1" applyFill="1" applyBorder="1" applyAlignment="1">
      <alignment horizontal="center" vertical="center"/>
    </xf>
    <xf numFmtId="0" fontId="48" fillId="2" borderId="0" xfId="1" applyFont="1" applyFill="1" applyBorder="1" applyAlignment="1">
      <alignment horizontal="center"/>
    </xf>
    <xf numFmtId="0" fontId="48" fillId="2" borderId="5" xfId="1" applyFont="1" applyFill="1" applyBorder="1" applyAlignment="1">
      <alignment horizontal="center"/>
    </xf>
    <xf numFmtId="0" fontId="49" fillId="0" borderId="0" xfId="1" applyFont="1"/>
    <xf numFmtId="165" fontId="49" fillId="2" borderId="0" xfId="1" applyNumberFormat="1" applyFont="1" applyFill="1" applyBorder="1" applyAlignment="1">
      <alignment horizontal="center" vertical="center"/>
    </xf>
    <xf numFmtId="165" fontId="48" fillId="2" borderId="0" xfId="1" applyNumberFormat="1" applyFont="1" applyFill="1" applyBorder="1" applyAlignment="1">
      <alignment horizontal="center" vertical="center"/>
    </xf>
    <xf numFmtId="0" fontId="49" fillId="2" borderId="0" xfId="1" applyFont="1" applyFill="1" applyBorder="1" applyAlignment="1">
      <alignment horizontal="center" vertical="center"/>
    </xf>
    <xf numFmtId="0" fontId="49" fillId="0" borderId="0" xfId="1" applyFont="1" applyBorder="1" applyAlignment="1">
      <alignment horizontal="center" vertical="center"/>
    </xf>
    <xf numFmtId="0" fontId="49" fillId="0" borderId="5" xfId="1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168" fontId="1" fillId="0" borderId="9" xfId="0" applyNumberFormat="1" applyFont="1" applyBorder="1" applyAlignment="1">
      <alignment horizontal="center" vertical="center"/>
    </xf>
    <xf numFmtId="0" fontId="49" fillId="3" borderId="0" xfId="1" applyFont="1" applyFill="1" applyBorder="1"/>
    <xf numFmtId="168" fontId="1" fillId="0" borderId="26" xfId="0" applyNumberFormat="1" applyFont="1" applyBorder="1" applyAlignment="1">
      <alignment horizontal="center" vertical="center"/>
    </xf>
    <xf numFmtId="165" fontId="48" fillId="0" borderId="42" xfId="1" applyNumberFormat="1" applyFont="1" applyBorder="1" applyAlignment="1">
      <alignment horizontal="center" vertical="center" wrapText="1"/>
    </xf>
    <xf numFmtId="0" fontId="48" fillId="0" borderId="42" xfId="1" applyFont="1" applyBorder="1" applyAlignment="1">
      <alignment horizontal="center" vertical="top"/>
    </xf>
    <xf numFmtId="0" fontId="48" fillId="0" borderId="42" xfId="1" applyFont="1" applyBorder="1" applyAlignment="1">
      <alignment horizontal="center" vertical="top" wrapText="1"/>
    </xf>
    <xf numFmtId="0" fontId="52" fillId="0" borderId="42" xfId="1" applyFont="1" applyBorder="1" applyAlignment="1">
      <alignment horizontal="center" vertical="center"/>
    </xf>
    <xf numFmtId="0" fontId="52" fillId="0" borderId="42" xfId="1" applyFont="1" applyFill="1" applyBorder="1" applyAlignment="1">
      <alignment horizontal="center" vertical="center"/>
    </xf>
    <xf numFmtId="164" fontId="49" fillId="0" borderId="19" xfId="1" applyNumberFormat="1" applyFont="1" applyFill="1" applyBorder="1" applyAlignment="1">
      <alignment horizontal="center" vertical="top" wrapText="1"/>
    </xf>
    <xf numFmtId="0" fontId="49" fillId="0" borderId="11" xfId="1" applyFont="1" applyFill="1" applyBorder="1" applyAlignment="1">
      <alignment vertical="top" wrapText="1"/>
    </xf>
    <xf numFmtId="0" fontId="49" fillId="0" borderId="12" xfId="1" applyFont="1" applyFill="1" applyBorder="1" applyAlignment="1">
      <alignment vertical="top" wrapText="1"/>
    </xf>
    <xf numFmtId="166" fontId="49" fillId="0" borderId="11" xfId="1" applyNumberFormat="1" applyFont="1" applyFill="1" applyBorder="1" applyAlignment="1">
      <alignment vertical="top" wrapText="1"/>
    </xf>
    <xf numFmtId="165" fontId="49" fillId="4" borderId="11" xfId="1" applyNumberFormat="1" applyFont="1" applyFill="1" applyBorder="1" applyAlignment="1">
      <alignment horizontal="center" vertical="center" wrapText="1"/>
    </xf>
    <xf numFmtId="0" fontId="49" fillId="0" borderId="11" xfId="1" applyFont="1" applyFill="1" applyBorder="1" applyAlignment="1">
      <alignment horizontal="center" vertical="top"/>
    </xf>
    <xf numFmtId="0" fontId="49" fillId="0" borderId="0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top"/>
    </xf>
    <xf numFmtId="0" fontId="50" fillId="0" borderId="0" xfId="1" applyFont="1" applyFill="1" applyBorder="1" applyAlignment="1">
      <alignment horizontal="center" vertical="center"/>
    </xf>
    <xf numFmtId="0" fontId="1" fillId="0" borderId="0" xfId="0" applyFont="1"/>
    <xf numFmtId="0" fontId="49" fillId="0" borderId="9" xfId="1" applyFont="1" applyFill="1" applyBorder="1" applyAlignment="1">
      <alignment vertical="top" wrapText="1"/>
    </xf>
    <xf numFmtId="0" fontId="49" fillId="0" borderId="29" xfId="1" applyFont="1" applyFill="1" applyBorder="1" applyAlignment="1">
      <alignment horizontal="center" vertical="top"/>
    </xf>
    <xf numFmtId="0" fontId="49" fillId="0" borderId="1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horizontal="center" wrapText="1"/>
    </xf>
    <xf numFmtId="0" fontId="49" fillId="0" borderId="16" xfId="1" applyFont="1" applyFill="1" applyBorder="1" applyAlignment="1">
      <alignment horizontal="center" vertical="top"/>
    </xf>
    <xf numFmtId="0" fontId="49" fillId="0" borderId="35" xfId="1" applyFont="1" applyFill="1" applyBorder="1" applyAlignment="1">
      <alignment horizontal="center" vertical="top"/>
    </xf>
    <xf numFmtId="164" fontId="49" fillId="0" borderId="33" xfId="1" applyNumberFormat="1" applyFont="1" applyFill="1" applyBorder="1" applyAlignment="1">
      <alignment horizontal="center" vertical="top" wrapText="1"/>
    </xf>
    <xf numFmtId="0" fontId="49" fillId="0" borderId="20" xfId="1" applyFont="1" applyFill="1" applyBorder="1" applyAlignment="1">
      <alignment vertical="top" wrapText="1"/>
    </xf>
    <xf numFmtId="0" fontId="49" fillId="0" borderId="23" xfId="1" applyFont="1" applyFill="1" applyBorder="1" applyAlignment="1">
      <alignment vertical="top" wrapText="1"/>
    </xf>
    <xf numFmtId="165" fontId="49" fillId="0" borderId="20" xfId="1" applyNumberFormat="1" applyFont="1" applyFill="1" applyBorder="1" applyAlignment="1">
      <alignment vertical="center" wrapText="1"/>
    </xf>
    <xf numFmtId="165" fontId="49" fillId="0" borderId="20" xfId="1" applyNumberFormat="1" applyFont="1" applyFill="1" applyBorder="1" applyAlignment="1">
      <alignment horizontal="center" vertical="center" wrapText="1"/>
    </xf>
    <xf numFmtId="165" fontId="49" fillId="0" borderId="10" xfId="1" applyNumberFormat="1" applyFont="1" applyFill="1" applyBorder="1" applyAlignment="1">
      <alignment horizontal="center" vertical="center" wrapText="1"/>
    </xf>
    <xf numFmtId="0" fontId="49" fillId="0" borderId="20" xfId="1" applyFont="1" applyFill="1" applyBorder="1" applyAlignment="1">
      <alignment horizontal="center" vertical="top"/>
    </xf>
    <xf numFmtId="0" fontId="50" fillId="0" borderId="0" xfId="1" applyFont="1" applyAlignment="1">
      <alignment horizontal="center"/>
    </xf>
    <xf numFmtId="0" fontId="50" fillId="0" borderId="0" xfId="1" applyFont="1" applyFill="1" applyBorder="1" applyAlignment="1">
      <alignment horizontal="center"/>
    </xf>
    <xf numFmtId="0" fontId="49" fillId="0" borderId="9" xfId="1" applyFont="1" applyFill="1" applyBorder="1" applyAlignment="1">
      <alignment horizontal="center" wrapText="1"/>
    </xf>
    <xf numFmtId="0" fontId="49" fillId="0" borderId="12" xfId="1" applyFont="1" applyFill="1" applyBorder="1" applyAlignment="1">
      <alignment horizontal="center" vertical="top"/>
    </xf>
    <xf numFmtId="164" fontId="49" fillId="0" borderId="32" xfId="1" applyNumberFormat="1" applyFont="1" applyFill="1" applyBorder="1" applyAlignment="1">
      <alignment horizontal="center" vertical="top" wrapText="1"/>
    </xf>
    <xf numFmtId="0" fontId="49" fillId="0" borderId="10" xfId="1" applyFont="1" applyFill="1" applyBorder="1" applyAlignment="1">
      <alignment vertical="top" wrapText="1"/>
    </xf>
    <xf numFmtId="166" fontId="49" fillId="0" borderId="10" xfId="1" applyNumberFormat="1" applyFont="1" applyFill="1" applyBorder="1" applyAlignment="1">
      <alignment vertical="top" wrapText="1"/>
    </xf>
    <xf numFmtId="0" fontId="49" fillId="0" borderId="10" xfId="1" applyFont="1" applyFill="1" applyBorder="1" applyAlignment="1">
      <alignment horizontal="center" vertical="top"/>
    </xf>
    <xf numFmtId="165" fontId="49" fillId="4" borderId="10" xfId="1" applyNumberFormat="1" applyFont="1" applyFill="1" applyBorder="1" applyAlignment="1">
      <alignment horizontal="center" vertical="center" wrapText="1"/>
    </xf>
    <xf numFmtId="166" fontId="49" fillId="0" borderId="10" xfId="1" applyNumberFormat="1" applyFont="1" applyFill="1" applyBorder="1" applyAlignment="1">
      <alignment horizontal="center" vertical="top" wrapText="1"/>
    </xf>
    <xf numFmtId="0" fontId="49" fillId="0" borderId="7" xfId="1" applyFont="1" applyFill="1" applyBorder="1" applyAlignment="1">
      <alignment horizontal="center" vertical="top"/>
    </xf>
    <xf numFmtId="0" fontId="49" fillId="0" borderId="40" xfId="1" applyFont="1" applyFill="1" applyBorder="1" applyAlignment="1">
      <alignment horizontal="center" vertical="top"/>
    </xf>
    <xf numFmtId="0" fontId="50" fillId="0" borderId="7" xfId="1" applyFont="1" applyBorder="1" applyAlignment="1">
      <alignment horizontal="center" vertical="center"/>
    </xf>
    <xf numFmtId="0" fontId="50" fillId="0" borderId="7" xfId="1" applyFont="1" applyFill="1" applyBorder="1" applyAlignment="1">
      <alignment horizontal="center" vertical="center"/>
    </xf>
    <xf numFmtId="165" fontId="49" fillId="0" borderId="11" xfId="1" applyNumberFormat="1" applyFont="1" applyFill="1" applyBorder="1" applyAlignment="1">
      <alignment vertical="center" wrapText="1"/>
    </xf>
    <xf numFmtId="165" fontId="49" fillId="0" borderId="11" xfId="1" applyNumberFormat="1" applyFont="1" applyFill="1" applyBorder="1" applyAlignment="1">
      <alignment horizontal="center" vertical="center" wrapText="1"/>
    </xf>
    <xf numFmtId="0" fontId="49" fillId="0" borderId="18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center"/>
    </xf>
    <xf numFmtId="0" fontId="49" fillId="0" borderId="0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164" fontId="49" fillId="0" borderId="0" xfId="1" applyNumberFormat="1" applyFont="1" applyAlignment="1">
      <alignment horizontal="center"/>
    </xf>
    <xf numFmtId="0" fontId="49" fillId="0" borderId="10" xfId="1" applyFont="1" applyFill="1" applyBorder="1" applyAlignment="1">
      <alignment horizontal="center" wrapText="1"/>
    </xf>
    <xf numFmtId="164" fontId="49" fillId="0" borderId="34" xfId="1" applyNumberFormat="1" applyFont="1" applyBorder="1" applyAlignment="1">
      <alignment horizontal="center"/>
    </xf>
    <xf numFmtId="0" fontId="49" fillId="0" borderId="22" xfId="1" applyFont="1" applyBorder="1"/>
    <xf numFmtId="0" fontId="49" fillId="3" borderId="22" xfId="1" applyFont="1" applyFill="1" applyBorder="1"/>
    <xf numFmtId="166" fontId="49" fillId="0" borderId="20" xfId="1" applyNumberFormat="1" applyFont="1" applyFill="1" applyBorder="1" applyAlignment="1">
      <alignment vertical="top" wrapText="1"/>
    </xf>
    <xf numFmtId="164" fontId="49" fillId="0" borderId="32" xfId="1" applyNumberFormat="1" applyFont="1" applyBorder="1" applyAlignment="1">
      <alignment horizontal="center"/>
    </xf>
    <xf numFmtId="164" fontId="49" fillId="0" borderId="33" xfId="1" applyNumberFormat="1" applyFont="1" applyBorder="1" applyAlignment="1">
      <alignment horizontal="center"/>
    </xf>
    <xf numFmtId="164" fontId="49" fillId="0" borderId="11" xfId="1" applyNumberFormat="1" applyFont="1" applyBorder="1" applyAlignment="1">
      <alignment horizontal="center"/>
    </xf>
    <xf numFmtId="164" fontId="49" fillId="0" borderId="10" xfId="1" applyNumberFormat="1" applyFont="1" applyBorder="1" applyAlignment="1">
      <alignment horizontal="center"/>
    </xf>
    <xf numFmtId="0" fontId="49" fillId="0" borderId="15" xfId="1" applyFont="1" applyFill="1" applyBorder="1" applyAlignment="1">
      <alignment horizontal="center" vertical="top"/>
    </xf>
    <xf numFmtId="0" fontId="49" fillId="0" borderId="31" xfId="1" applyFont="1" applyFill="1" applyBorder="1" applyAlignment="1">
      <alignment horizontal="center" vertical="top" wrapText="1"/>
    </xf>
    <xf numFmtId="0" fontId="49" fillId="0" borderId="4" xfId="1" applyFont="1" applyFill="1" applyBorder="1" applyAlignment="1">
      <alignment horizontal="center" vertical="top"/>
    </xf>
    <xf numFmtId="0" fontId="49" fillId="0" borderId="30" xfId="1" applyFont="1" applyFill="1" applyBorder="1" applyAlignment="1">
      <alignment horizontal="center" vertical="top"/>
    </xf>
    <xf numFmtId="0" fontId="49" fillId="0" borderId="0" xfId="1" applyFont="1" applyFill="1" applyBorder="1"/>
    <xf numFmtId="0" fontId="49" fillId="0" borderId="29" xfId="1" applyFont="1" applyFill="1" applyBorder="1" applyAlignment="1">
      <alignment horizontal="center" vertical="center"/>
    </xf>
    <xf numFmtId="0" fontId="53" fillId="0" borderId="18" xfId="1" applyFont="1" applyFill="1" applyBorder="1" applyAlignment="1">
      <alignment horizontal="center" vertical="center"/>
    </xf>
    <xf numFmtId="0" fontId="53" fillId="0" borderId="15" xfId="1" applyFont="1" applyFill="1" applyBorder="1" applyAlignment="1">
      <alignment horizontal="center" vertical="center"/>
    </xf>
    <xf numFmtId="0" fontId="1" fillId="0" borderId="0" xfId="4" applyFont="1"/>
    <xf numFmtId="0" fontId="1" fillId="0" borderId="0" xfId="3" applyFont="1"/>
    <xf numFmtId="0" fontId="1" fillId="0" borderId="0" xfId="2" applyFont="1"/>
    <xf numFmtId="0" fontId="1" fillId="0" borderId="0" xfId="2" applyFont="1" applyFill="1" applyBorder="1"/>
    <xf numFmtId="164" fontId="49" fillId="0" borderId="9" xfId="1" applyNumberFormat="1" applyFont="1" applyBorder="1" applyAlignment="1">
      <alignment horizontal="center"/>
    </xf>
    <xf numFmtId="0" fontId="49" fillId="0" borderId="0" xfId="1" applyFont="1" applyBorder="1" applyAlignment="1">
      <alignment horizontal="center"/>
    </xf>
    <xf numFmtId="0" fontId="49" fillId="0" borderId="18" xfId="1" applyFont="1" applyBorder="1" applyAlignment="1">
      <alignment horizontal="center"/>
    </xf>
    <xf numFmtId="0" fontId="49" fillId="0" borderId="10" xfId="1" applyFont="1" applyBorder="1"/>
    <xf numFmtId="0" fontId="49" fillId="0" borderId="10" xfId="1" applyFont="1" applyFill="1" applyBorder="1"/>
    <xf numFmtId="0" fontId="49" fillId="0" borderId="11" xfId="1" applyFont="1" applyBorder="1"/>
    <xf numFmtId="0" fontId="49" fillId="0" borderId="11" xfId="1" applyFont="1" applyFill="1" applyBorder="1"/>
    <xf numFmtId="0" fontId="49" fillId="0" borderId="12" xfId="1" applyFont="1" applyFill="1" applyBorder="1" applyAlignment="1">
      <alignment horizontal="center" wrapText="1"/>
    </xf>
    <xf numFmtId="0" fontId="49" fillId="0" borderId="11" xfId="1" applyFont="1" applyFill="1" applyBorder="1" applyAlignment="1">
      <alignment horizontal="center" wrapText="1"/>
    </xf>
    <xf numFmtId="164" fontId="49" fillId="0" borderId="25" xfId="1" applyNumberFormat="1" applyFont="1" applyBorder="1" applyAlignment="1">
      <alignment horizontal="center"/>
    </xf>
    <xf numFmtId="0" fontId="49" fillId="0" borderId="21" xfId="1" applyFont="1" applyBorder="1" applyAlignment="1">
      <alignment horizontal="center" vertical="center"/>
    </xf>
    <xf numFmtId="0" fontId="49" fillId="0" borderId="18" xfId="1" applyFont="1" applyBorder="1" applyAlignment="1">
      <alignment horizontal="center" vertical="center"/>
    </xf>
    <xf numFmtId="164" fontId="49" fillId="0" borderId="28" xfId="1" applyNumberFormat="1" applyFont="1" applyBorder="1" applyAlignment="1">
      <alignment horizontal="center"/>
    </xf>
    <xf numFmtId="0" fontId="49" fillId="0" borderId="16" xfId="1" applyFont="1" applyFill="1" applyBorder="1" applyAlignment="1">
      <alignment horizontal="center" wrapText="1"/>
    </xf>
    <xf numFmtId="0" fontId="49" fillId="0" borderId="15" xfId="1" applyFont="1" applyBorder="1" applyAlignment="1">
      <alignment horizontal="center" vertical="center"/>
    </xf>
    <xf numFmtId="0" fontId="49" fillId="0" borderId="21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9" xfId="1" applyFont="1" applyBorder="1" applyAlignment="1">
      <alignment horizontal="center" vertical="center"/>
    </xf>
    <xf numFmtId="0" fontId="50" fillId="0" borderId="9" xfId="1" applyFont="1" applyBorder="1" applyAlignment="1">
      <alignment horizontal="center" vertical="center"/>
    </xf>
    <xf numFmtId="0" fontId="49" fillId="0" borderId="0" xfId="1" applyFont="1" applyFill="1" applyBorder="1" applyProtection="1">
      <protection locked="0"/>
    </xf>
    <xf numFmtId="0" fontId="49" fillId="0" borderId="0" xfId="1" applyFont="1" applyProtection="1">
      <protection locked="0"/>
    </xf>
    <xf numFmtId="164" fontId="49" fillId="0" borderId="24" xfId="1" applyNumberFormat="1" applyFont="1" applyBorder="1" applyAlignment="1">
      <alignment horizontal="center" vertical="center"/>
    </xf>
    <xf numFmtId="0" fontId="49" fillId="0" borderId="4" xfId="1" applyFont="1" applyBorder="1" applyAlignment="1">
      <alignment horizontal="center" vertical="center"/>
    </xf>
    <xf numFmtId="164" fontId="49" fillId="0" borderId="5" xfId="1" applyNumberFormat="1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4" xfId="1" applyFont="1" applyBorder="1" applyAlignment="1">
      <alignment horizontal="center" vertical="center"/>
    </xf>
    <xf numFmtId="0" fontId="1" fillId="0" borderId="45" xfId="0" applyFont="1" applyBorder="1"/>
    <xf numFmtId="164" fontId="49" fillId="0" borderId="45" xfId="1" applyNumberFormat="1" applyFont="1" applyBorder="1" applyAlignment="1">
      <alignment horizontal="center"/>
    </xf>
    <xf numFmtId="0" fontId="49" fillId="0" borderId="43" xfId="1" applyFont="1" applyBorder="1" applyAlignment="1">
      <alignment horizontal="center" vertical="center"/>
    </xf>
    <xf numFmtId="0" fontId="1" fillId="0" borderId="46" xfId="0" applyFont="1" applyBorder="1"/>
    <xf numFmtId="0" fontId="49" fillId="0" borderId="44" xfId="1" applyFont="1" applyBorder="1" applyAlignment="1">
      <alignment horizontal="center" vertical="center"/>
    </xf>
    <xf numFmtId="0" fontId="49" fillId="0" borderId="20" xfId="0" applyFont="1" applyFill="1" applyBorder="1" applyAlignment="1">
      <alignment vertical="top" wrapText="1"/>
    </xf>
    <xf numFmtId="0" fontId="49" fillId="0" borderId="23" xfId="0" applyFont="1" applyFill="1" applyBorder="1" applyAlignment="1">
      <alignment vertical="top" wrapText="1"/>
    </xf>
    <xf numFmtId="0" fontId="1" fillId="0" borderId="22" xfId="0" applyFont="1" applyBorder="1"/>
    <xf numFmtId="0" fontId="1" fillId="3" borderId="22" xfId="0" applyFont="1" applyFill="1" applyBorder="1"/>
    <xf numFmtId="166" fontId="49" fillId="0" borderId="20" xfId="0" applyNumberFormat="1" applyFont="1" applyFill="1" applyBorder="1" applyAlignment="1">
      <alignment vertical="top" wrapText="1"/>
    </xf>
    <xf numFmtId="165" fontId="49" fillId="0" borderId="20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vertical="top"/>
    </xf>
    <xf numFmtId="0" fontId="49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0" borderId="11" xfId="0" applyFont="1" applyFill="1" applyBorder="1" applyAlignment="1">
      <alignment vertical="top" wrapText="1"/>
    </xf>
    <xf numFmtId="0" fontId="49" fillId="0" borderId="9" xfId="0" applyFont="1" applyFill="1" applyBorder="1" applyAlignment="1">
      <alignment vertical="top" wrapText="1"/>
    </xf>
    <xf numFmtId="0" fontId="1" fillId="3" borderId="0" xfId="0" applyFont="1" applyFill="1" applyBorder="1"/>
    <xf numFmtId="0" fontId="49" fillId="0" borderId="11" xfId="0" applyFont="1" applyFill="1" applyBorder="1" applyAlignment="1">
      <alignment vertical="top"/>
    </xf>
    <xf numFmtId="0" fontId="49" fillId="0" borderId="18" xfId="0" applyFont="1" applyBorder="1" applyAlignment="1">
      <alignment horizontal="center" vertical="center"/>
    </xf>
    <xf numFmtId="0" fontId="49" fillId="0" borderId="10" xfId="0" applyFont="1" applyFill="1" applyBorder="1" applyAlignment="1">
      <alignment vertical="top" wrapText="1"/>
    </xf>
    <xf numFmtId="0" fontId="49" fillId="0" borderId="10" xfId="0" applyFont="1" applyFill="1" applyBorder="1" applyAlignment="1">
      <alignment horizontal="center" wrapText="1"/>
    </xf>
    <xf numFmtId="0" fontId="1" fillId="0" borderId="0" xfId="0" applyFont="1" applyFill="1" applyBorder="1"/>
    <xf numFmtId="165" fontId="49" fillId="0" borderId="10" xfId="0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vertical="top"/>
    </xf>
    <xf numFmtId="0" fontId="49" fillId="0" borderId="16" xfId="0" applyFont="1" applyFill="1" applyBorder="1" applyAlignment="1">
      <alignment vertical="top" wrapText="1"/>
    </xf>
    <xf numFmtId="0" fontId="49" fillId="0" borderId="16" xfId="0" applyFont="1" applyFill="1" applyBorder="1" applyAlignment="1">
      <alignment horizontal="center" wrapText="1"/>
    </xf>
    <xf numFmtId="0" fontId="49" fillId="0" borderId="16" xfId="0" applyFont="1" applyFill="1" applyBorder="1" applyAlignment="1">
      <alignment vertical="top"/>
    </xf>
    <xf numFmtId="0" fontId="49" fillId="0" borderId="15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49" fillId="0" borderId="20" xfId="0" applyFont="1" applyFill="1" applyBorder="1" applyAlignment="1">
      <alignment horizontal="right" vertical="top" wrapText="1"/>
    </xf>
    <xf numFmtId="0" fontId="49" fillId="0" borderId="11" xfId="0" applyFont="1" applyFill="1" applyBorder="1" applyAlignment="1">
      <alignment horizontal="right" vertical="top" wrapText="1"/>
    </xf>
    <xf numFmtId="0" fontId="49" fillId="0" borderId="10" xfId="0" applyFont="1" applyFill="1" applyBorder="1" applyAlignment="1">
      <alignment horizontal="right" vertical="top" wrapText="1"/>
    </xf>
    <xf numFmtId="164" fontId="1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49" fillId="36" borderId="9" xfId="1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Alignment="1">
      <alignment wrapText="1"/>
    </xf>
    <xf numFmtId="165" fontId="10" fillId="0" borderId="0" xfId="1" applyNumberFormat="1"/>
    <xf numFmtId="0" fontId="10" fillId="0" borderId="9" xfId="0" applyFont="1" applyBorder="1" applyAlignment="1">
      <alignment horizontal="center"/>
    </xf>
    <xf numFmtId="0" fontId="48" fillId="0" borderId="2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36" borderId="0" xfId="0" applyFont="1" applyFill="1"/>
    <xf numFmtId="0" fontId="49" fillId="0" borderId="10" xfId="0" applyFont="1" applyFill="1" applyBorder="1" applyAlignment="1">
      <alignment horizontal="left" vertical="top" wrapText="1"/>
    </xf>
    <xf numFmtId="0" fontId="49" fillId="0" borderId="11" xfId="0" applyFont="1" applyFill="1" applyBorder="1" applyAlignment="1">
      <alignment horizontal="left" vertical="top" wrapText="1"/>
    </xf>
    <xf numFmtId="0" fontId="49" fillId="0" borderId="16" xfId="0" applyFont="1" applyFill="1" applyBorder="1" applyAlignment="1">
      <alignment horizontal="left" vertical="top" wrapText="1"/>
    </xf>
    <xf numFmtId="0" fontId="49" fillId="0" borderId="20" xfId="0" applyFont="1" applyFill="1" applyBorder="1" applyAlignment="1">
      <alignment horizontal="left" vertical="top" wrapText="1"/>
    </xf>
    <xf numFmtId="0" fontId="10" fillId="0" borderId="9" xfId="0" applyFont="1" applyBorder="1" applyAlignment="1">
      <alignment horizontal="center"/>
    </xf>
    <xf numFmtId="164" fontId="21" fillId="2" borderId="0" xfId="0" applyNumberFormat="1" applyFont="1" applyFill="1" applyBorder="1" applyAlignment="1"/>
    <xf numFmtId="164" fontId="21" fillId="2" borderId="0" xfId="0" applyNumberFormat="1" applyFont="1" applyFill="1" applyBorder="1" applyAlignment="1">
      <alignment horizontal="left"/>
    </xf>
    <xf numFmtId="164" fontId="20" fillId="2" borderId="0" xfId="0" applyNumberFormat="1" applyFont="1" applyFill="1" applyBorder="1" applyAlignment="1"/>
    <xf numFmtId="164" fontId="20" fillId="0" borderId="57" xfId="0" applyNumberFormat="1" applyFont="1" applyBorder="1" applyAlignment="1">
      <alignment horizontal="center" vertical="top" wrapText="1"/>
    </xf>
    <xf numFmtId="164" fontId="49" fillId="0" borderId="0" xfId="1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36" borderId="9" xfId="0" applyFont="1" applyFill="1" applyBorder="1" applyAlignment="1">
      <alignment horizontal="center"/>
    </xf>
    <xf numFmtId="0" fontId="5" fillId="0" borderId="0" xfId="0" applyFont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Fill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/>
    </xf>
    <xf numFmtId="0" fontId="24" fillId="0" borderId="4" xfId="0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/>
    </xf>
    <xf numFmtId="0" fontId="20" fillId="0" borderId="2" xfId="0" applyFont="1" applyBorder="1" applyAlignment="1">
      <alignment vertical="top"/>
    </xf>
    <xf numFmtId="0" fontId="20" fillId="0" borderId="3" xfId="0" applyFont="1" applyBorder="1" applyAlignment="1">
      <alignment vertical="top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14" fillId="2" borderId="10" xfId="0" applyFont="1" applyFill="1" applyBorder="1" applyAlignment="1">
      <alignment horizontal="center" vertical="top"/>
    </xf>
    <xf numFmtId="0" fontId="14" fillId="2" borderId="11" xfId="0" applyFont="1" applyFill="1" applyBorder="1" applyAlignment="1">
      <alignment horizontal="center" vertical="top"/>
    </xf>
    <xf numFmtId="0" fontId="14" fillId="2" borderId="12" xfId="0" applyFont="1" applyFill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13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49" fillId="0" borderId="10" xfId="1" applyFont="1" applyFill="1" applyBorder="1" applyAlignment="1">
      <alignment horizontal="center" vertical="center"/>
    </xf>
    <xf numFmtId="0" fontId="49" fillId="0" borderId="11" xfId="1" applyFont="1" applyFill="1" applyBorder="1" applyAlignment="1">
      <alignment horizontal="center" vertical="center"/>
    </xf>
    <xf numFmtId="0" fontId="49" fillId="0" borderId="12" xfId="1" applyFont="1" applyFill="1" applyBorder="1" applyAlignment="1">
      <alignment horizontal="center" vertical="center"/>
    </xf>
    <xf numFmtId="0" fontId="49" fillId="0" borderId="29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0" fontId="27" fillId="0" borderId="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49" fillId="0" borderId="21" xfId="1" applyFont="1" applyFill="1" applyBorder="1" applyAlignment="1">
      <alignment horizontal="center" vertical="center"/>
    </xf>
    <xf numFmtId="0" fontId="49" fillId="0" borderId="18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11" fillId="0" borderId="39" xfId="1" applyFont="1" applyFill="1" applyBorder="1" applyAlignment="1">
      <alignment horizontal="center" vertical="center" wrapText="1"/>
    </xf>
    <xf numFmtId="0" fontId="11" fillId="0" borderId="38" xfId="1" applyFont="1" applyFill="1" applyBorder="1" applyAlignment="1">
      <alignment horizontal="center" vertical="center" wrapText="1"/>
    </xf>
    <xf numFmtId="0" fontId="11" fillId="0" borderId="37" xfId="1" applyFont="1" applyFill="1" applyBorder="1" applyAlignment="1">
      <alignment horizontal="center" vertical="center" wrapText="1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11" fillId="0" borderId="21" xfId="1" applyFont="1" applyFill="1" applyBorder="1" applyAlignment="1">
      <alignment horizontal="center" vertical="center" wrapText="1"/>
    </xf>
    <xf numFmtId="0" fontId="11" fillId="0" borderId="18" xfId="1" applyFont="1" applyFill="1" applyBorder="1" applyAlignment="1">
      <alignment horizontal="center" vertical="center" wrapText="1"/>
    </xf>
    <xf numFmtId="0" fontId="11" fillId="0" borderId="15" xfId="1" applyFont="1" applyFill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36" xfId="1" applyFont="1" applyBorder="1" applyAlignment="1">
      <alignment horizontal="center" vertical="center" wrapText="1"/>
    </xf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/>
    <cellStyle name="Normal 18" xfId="3"/>
    <cellStyle name="Normal 19" xfId="2"/>
    <cellStyle name="Normal 2" xfId="1"/>
    <cellStyle name="Normal 3" xfId="45"/>
    <cellStyle name="Note 2" xfId="46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20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4"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496" t="s">
        <v>14</v>
      </c>
      <c r="B1" s="497"/>
      <c r="C1" s="497"/>
      <c r="D1" s="497"/>
      <c r="E1" s="497"/>
      <c r="F1" s="497"/>
      <c r="G1" s="498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499" t="s">
        <v>18</v>
      </c>
      <c r="G3" s="500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501"/>
      <c r="B13" s="28" t="s">
        <v>35</v>
      </c>
      <c r="C13" s="29"/>
      <c r="D13" s="28" t="s">
        <v>36</v>
      </c>
      <c r="E13" s="30"/>
      <c r="F13" s="504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502"/>
      <c r="B14" s="28" t="s">
        <v>37</v>
      </c>
      <c r="C14" s="29"/>
      <c r="D14" s="28" t="s">
        <v>36</v>
      </c>
      <c r="E14" s="30"/>
      <c r="F14" s="504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502"/>
      <c r="B15" s="28" t="s">
        <v>38</v>
      </c>
      <c r="C15" s="29"/>
      <c r="D15" s="28" t="s">
        <v>36</v>
      </c>
      <c r="E15" s="30"/>
      <c r="F15" s="504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502"/>
      <c r="B16" s="28" t="s">
        <v>39</v>
      </c>
      <c r="C16" s="29"/>
      <c r="D16" s="28" t="s">
        <v>36</v>
      </c>
      <c r="E16" s="30"/>
      <c r="F16" s="504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503"/>
      <c r="B17" s="28" t="s">
        <v>40</v>
      </c>
      <c r="C17" s="29"/>
      <c r="D17" s="28" t="s">
        <v>36</v>
      </c>
      <c r="E17" s="30"/>
      <c r="F17" s="504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501"/>
      <c r="B18" s="28" t="s">
        <v>35</v>
      </c>
      <c r="C18" s="29"/>
      <c r="D18" s="28" t="s">
        <v>36</v>
      </c>
      <c r="E18" s="30"/>
      <c r="F18" s="504"/>
      <c r="G18" s="31"/>
    </row>
    <row r="19" spans="1:20" ht="12.75" customHeight="1">
      <c r="A19" s="502"/>
      <c r="B19" s="28" t="s">
        <v>37</v>
      </c>
      <c r="C19" s="29"/>
      <c r="D19" s="28" t="s">
        <v>36</v>
      </c>
      <c r="E19" s="30"/>
      <c r="F19" s="504"/>
      <c r="G19" s="31"/>
    </row>
    <row r="20" spans="1:20" ht="12.75" customHeight="1">
      <c r="A20" s="502"/>
      <c r="B20" s="28" t="s">
        <v>38</v>
      </c>
      <c r="C20" s="29"/>
      <c r="D20" s="28" t="s">
        <v>36</v>
      </c>
      <c r="E20" s="30"/>
      <c r="F20" s="504"/>
      <c r="G20" s="31"/>
    </row>
    <row r="21" spans="1:20" ht="12.75" customHeight="1">
      <c r="A21" s="502"/>
      <c r="B21" s="28" t="s">
        <v>39</v>
      </c>
      <c r="C21" s="29"/>
      <c r="D21" s="28" t="s">
        <v>36</v>
      </c>
      <c r="E21" s="30"/>
      <c r="F21" s="504"/>
      <c r="G21" s="31"/>
    </row>
    <row r="22" spans="1:20" ht="12.75" customHeight="1">
      <c r="A22" s="503"/>
      <c r="B22" s="28" t="s">
        <v>40</v>
      </c>
      <c r="C22" s="29"/>
      <c r="D22" s="28" t="s">
        <v>36</v>
      </c>
      <c r="E22" s="30"/>
      <c r="F22" s="504"/>
      <c r="G22" s="31"/>
    </row>
    <row r="23" spans="1:20" ht="12.75" customHeight="1">
      <c r="A23" s="501"/>
      <c r="B23" s="28" t="s">
        <v>35</v>
      </c>
      <c r="C23" s="29"/>
      <c r="D23" s="28" t="s">
        <v>36</v>
      </c>
      <c r="E23" s="30"/>
      <c r="F23" s="504"/>
      <c r="G23" s="31"/>
    </row>
    <row r="24" spans="1:20" ht="12.75" customHeight="1">
      <c r="A24" s="502"/>
      <c r="B24" s="28" t="s">
        <v>37</v>
      </c>
      <c r="C24" s="29"/>
      <c r="D24" s="28" t="s">
        <v>36</v>
      </c>
      <c r="E24" s="30"/>
      <c r="F24" s="504"/>
      <c r="G24" s="31"/>
    </row>
    <row r="25" spans="1:20" ht="12.75" customHeight="1">
      <c r="A25" s="502"/>
      <c r="B25" s="28" t="s">
        <v>38</v>
      </c>
      <c r="C25" s="29"/>
      <c r="D25" s="28" t="s">
        <v>36</v>
      </c>
      <c r="E25" s="30"/>
      <c r="F25" s="504"/>
      <c r="G25" s="31"/>
    </row>
    <row r="26" spans="1:20" ht="12.75" customHeight="1">
      <c r="A26" s="502"/>
      <c r="B26" s="28" t="s">
        <v>39</v>
      </c>
      <c r="C26" s="29"/>
      <c r="D26" s="28" t="s">
        <v>36</v>
      </c>
      <c r="E26" s="30"/>
      <c r="F26" s="504"/>
      <c r="G26" s="31"/>
    </row>
    <row r="27" spans="1:20" ht="12.75" customHeight="1">
      <c r="A27" s="503"/>
      <c r="B27" s="28" t="s">
        <v>40</v>
      </c>
      <c r="C27" s="29"/>
      <c r="D27" s="28" t="s">
        <v>36</v>
      </c>
      <c r="E27" s="30"/>
      <c r="F27" s="504"/>
      <c r="G27" s="31"/>
    </row>
    <row r="28" spans="1:20" ht="12.75" customHeight="1">
      <c r="A28" s="501"/>
      <c r="B28" s="28" t="s">
        <v>35</v>
      </c>
      <c r="C28" s="29"/>
      <c r="D28" s="28" t="s">
        <v>36</v>
      </c>
      <c r="E28" s="30"/>
      <c r="F28" s="504"/>
      <c r="G28" s="31"/>
    </row>
    <row r="29" spans="1:20" ht="12.75" customHeight="1">
      <c r="A29" s="502"/>
      <c r="B29" s="28" t="s">
        <v>37</v>
      </c>
      <c r="C29" s="29"/>
      <c r="D29" s="28" t="s">
        <v>36</v>
      </c>
      <c r="E29" s="30"/>
      <c r="F29" s="504"/>
      <c r="G29" s="31"/>
    </row>
    <row r="30" spans="1:20" ht="12.75" customHeight="1">
      <c r="A30" s="502"/>
      <c r="B30" s="28" t="s">
        <v>38</v>
      </c>
      <c r="C30" s="29"/>
      <c r="D30" s="28" t="s">
        <v>36</v>
      </c>
      <c r="E30" s="30"/>
      <c r="F30" s="504"/>
      <c r="G30" s="31"/>
    </row>
    <row r="31" spans="1:20" ht="12.75" customHeight="1">
      <c r="A31" s="502"/>
      <c r="B31" s="28" t="s">
        <v>39</v>
      </c>
      <c r="C31" s="29"/>
      <c r="D31" s="28" t="s">
        <v>36</v>
      </c>
      <c r="E31" s="30"/>
      <c r="F31" s="504"/>
      <c r="G31" s="31"/>
    </row>
    <row r="32" spans="1:20" ht="12.75" customHeight="1">
      <c r="A32" s="503"/>
      <c r="B32" s="28" t="s">
        <v>40</v>
      </c>
      <c r="C32" s="29"/>
      <c r="D32" s="28" t="s">
        <v>36</v>
      </c>
      <c r="E32" s="30"/>
      <c r="F32" s="504"/>
      <c r="G32" s="31"/>
    </row>
    <row r="33" spans="1:7" ht="12.75" customHeight="1">
      <c r="A33" s="501"/>
      <c r="B33" s="28" t="s">
        <v>35</v>
      </c>
      <c r="C33" s="29"/>
      <c r="D33" s="28" t="s">
        <v>36</v>
      </c>
      <c r="E33" s="30"/>
      <c r="F33" s="504"/>
      <c r="G33" s="31"/>
    </row>
    <row r="34" spans="1:7" ht="12.75" customHeight="1">
      <c r="A34" s="502"/>
      <c r="B34" s="28" t="s">
        <v>37</v>
      </c>
      <c r="C34" s="29"/>
      <c r="D34" s="28" t="s">
        <v>36</v>
      </c>
      <c r="E34" s="30"/>
      <c r="F34" s="504"/>
      <c r="G34" s="31"/>
    </row>
    <row r="35" spans="1:7" ht="12.75" customHeight="1">
      <c r="A35" s="502"/>
      <c r="B35" s="28" t="s">
        <v>38</v>
      </c>
      <c r="C35" s="29"/>
      <c r="D35" s="28" t="s">
        <v>36</v>
      </c>
      <c r="E35" s="30"/>
      <c r="F35" s="504"/>
      <c r="G35" s="31"/>
    </row>
    <row r="36" spans="1:7" ht="12.75" customHeight="1">
      <c r="A36" s="502"/>
      <c r="B36" s="28" t="s">
        <v>39</v>
      </c>
      <c r="C36" s="29"/>
      <c r="D36" s="28" t="s">
        <v>36</v>
      </c>
      <c r="E36" s="30"/>
      <c r="F36" s="504"/>
      <c r="G36" s="31"/>
    </row>
    <row r="37" spans="1:7" ht="12.75" customHeight="1">
      <c r="A37" s="503"/>
      <c r="B37" s="28" t="s">
        <v>40</v>
      </c>
      <c r="C37" s="29"/>
      <c r="D37" s="28" t="s">
        <v>36</v>
      </c>
      <c r="E37" s="30"/>
      <c r="F37" s="504"/>
      <c r="G37" s="31"/>
    </row>
    <row r="38" spans="1:7" ht="12.75" customHeight="1">
      <c r="A38" s="501"/>
      <c r="B38" s="28" t="s">
        <v>35</v>
      </c>
      <c r="C38" s="29"/>
      <c r="D38" s="28" t="s">
        <v>36</v>
      </c>
      <c r="E38" s="30"/>
      <c r="F38" s="504"/>
      <c r="G38" s="31"/>
    </row>
    <row r="39" spans="1:7" ht="12.75" customHeight="1">
      <c r="A39" s="502"/>
      <c r="B39" s="28" t="s">
        <v>37</v>
      </c>
      <c r="C39" s="29"/>
      <c r="D39" s="28" t="s">
        <v>36</v>
      </c>
      <c r="E39" s="30"/>
      <c r="F39" s="504"/>
      <c r="G39" s="31"/>
    </row>
    <row r="40" spans="1:7" ht="12.75" customHeight="1">
      <c r="A40" s="502"/>
      <c r="B40" s="28" t="s">
        <v>38</v>
      </c>
      <c r="C40" s="29"/>
      <c r="D40" s="28" t="s">
        <v>36</v>
      </c>
      <c r="E40" s="30"/>
      <c r="F40" s="504"/>
      <c r="G40" s="31"/>
    </row>
    <row r="41" spans="1:7" ht="12.75" customHeight="1">
      <c r="A41" s="502"/>
      <c r="B41" s="28" t="s">
        <v>39</v>
      </c>
      <c r="C41" s="29"/>
      <c r="D41" s="28" t="s">
        <v>36</v>
      </c>
      <c r="E41" s="30"/>
      <c r="F41" s="504"/>
      <c r="G41" s="31"/>
    </row>
    <row r="42" spans="1:7" ht="12.75" customHeight="1">
      <c r="A42" s="503"/>
      <c r="B42" s="28" t="s">
        <v>40</v>
      </c>
      <c r="C42" s="29"/>
      <c r="D42" s="28" t="s">
        <v>36</v>
      </c>
      <c r="E42" s="30"/>
      <c r="F42" s="504"/>
      <c r="G42" s="31"/>
    </row>
    <row r="43" spans="1:7" ht="12.75" customHeight="1">
      <c r="A43" s="501"/>
      <c r="B43" s="28" t="s">
        <v>35</v>
      </c>
      <c r="C43" s="29"/>
      <c r="D43" s="28" t="s">
        <v>36</v>
      </c>
      <c r="E43" s="30"/>
      <c r="F43" s="504"/>
      <c r="G43" s="31"/>
    </row>
    <row r="44" spans="1:7" ht="12.75" customHeight="1">
      <c r="A44" s="502"/>
      <c r="B44" s="28" t="s">
        <v>37</v>
      </c>
      <c r="C44" s="29"/>
      <c r="D44" s="28" t="s">
        <v>36</v>
      </c>
      <c r="E44" s="30"/>
      <c r="F44" s="504"/>
      <c r="G44" s="31"/>
    </row>
    <row r="45" spans="1:7" ht="12.75" customHeight="1">
      <c r="A45" s="502"/>
      <c r="B45" s="28" t="s">
        <v>38</v>
      </c>
      <c r="C45" s="29"/>
      <c r="D45" s="28" t="s">
        <v>36</v>
      </c>
      <c r="E45" s="30"/>
      <c r="F45" s="504"/>
      <c r="G45" s="31"/>
    </row>
    <row r="46" spans="1:7" ht="12.75" customHeight="1">
      <c r="A46" s="502"/>
      <c r="B46" s="28" t="s">
        <v>39</v>
      </c>
      <c r="C46" s="29"/>
      <c r="D46" s="28" t="s">
        <v>36</v>
      </c>
      <c r="E46" s="30"/>
      <c r="F46" s="504"/>
      <c r="G46" s="31"/>
    </row>
    <row r="47" spans="1:7" ht="12.75" customHeight="1">
      <c r="A47" s="503"/>
      <c r="B47" s="28" t="s">
        <v>40</v>
      </c>
      <c r="C47" s="29"/>
      <c r="D47" s="28" t="s">
        <v>36</v>
      </c>
      <c r="E47" s="30"/>
      <c r="F47" s="504"/>
      <c r="G47" s="31"/>
    </row>
    <row r="48" spans="1:7" ht="12.75" customHeight="1">
      <c r="A48" s="501"/>
      <c r="B48" s="28" t="s">
        <v>35</v>
      </c>
      <c r="C48" s="29"/>
      <c r="D48" s="28" t="s">
        <v>36</v>
      </c>
      <c r="E48" s="30"/>
      <c r="F48" s="504"/>
      <c r="G48" s="31"/>
    </row>
    <row r="49" spans="1:7" ht="12.75" customHeight="1">
      <c r="A49" s="502"/>
      <c r="B49" s="28" t="s">
        <v>37</v>
      </c>
      <c r="C49" s="29"/>
      <c r="D49" s="28" t="s">
        <v>36</v>
      </c>
      <c r="E49" s="30"/>
      <c r="F49" s="504"/>
      <c r="G49" s="31"/>
    </row>
    <row r="50" spans="1:7" ht="12.75" customHeight="1">
      <c r="A50" s="502"/>
      <c r="B50" s="28" t="s">
        <v>38</v>
      </c>
      <c r="C50" s="29"/>
      <c r="D50" s="28" t="s">
        <v>36</v>
      </c>
      <c r="E50" s="30"/>
      <c r="F50" s="504"/>
      <c r="G50" s="31"/>
    </row>
    <row r="51" spans="1:7" ht="12.75" customHeight="1">
      <c r="A51" s="502"/>
      <c r="B51" s="28" t="s">
        <v>39</v>
      </c>
      <c r="C51" s="29"/>
      <c r="D51" s="28" t="s">
        <v>36</v>
      </c>
      <c r="E51" s="30"/>
      <c r="F51" s="504"/>
      <c r="G51" s="31"/>
    </row>
    <row r="52" spans="1:7" ht="12.75" customHeight="1">
      <c r="A52" s="503"/>
      <c r="B52" s="28" t="s">
        <v>40</v>
      </c>
      <c r="C52" s="29"/>
      <c r="D52" s="28" t="s">
        <v>36</v>
      </c>
      <c r="E52" s="30"/>
      <c r="F52" s="504"/>
      <c r="G52" s="31"/>
    </row>
  </sheetData>
  <mergeCells count="17"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478"/>
  <sheetViews>
    <sheetView zoomScale="85" zoomScaleNormal="85" workbookViewId="0">
      <pane ySplit="10" topLeftCell="A11" activePane="bottomLeft" state="frozen"/>
      <selection pane="bottomLeft" activeCell="E10" sqref="E10"/>
    </sheetView>
  </sheetViews>
  <sheetFormatPr defaultRowHeight="15.75"/>
  <cols>
    <col min="1" max="1" width="13.5" style="34" customWidth="1"/>
    <col min="2" max="2" width="9.375" style="34" customWidth="1"/>
    <col min="3" max="3" width="7.125" style="144" customWidth="1"/>
    <col min="4" max="4" width="7.375" style="144" customWidth="1"/>
    <col min="5" max="5" width="14.875" style="144" bestFit="1" customWidth="1"/>
    <col min="6" max="7" width="7.875" style="144" customWidth="1"/>
    <col min="8" max="8" width="14.875" style="144" bestFit="1" customWidth="1"/>
    <col min="9" max="10" width="7.875" style="144" customWidth="1"/>
    <col min="11" max="11" width="13.625" style="144" bestFit="1" customWidth="1"/>
    <col min="12" max="13" width="5.5" style="144" customWidth="1"/>
    <col min="14" max="14" width="9.75" style="144" customWidth="1"/>
    <col min="15" max="15" width="12.125" customWidth="1"/>
    <col min="16" max="16" width="53.25" style="144" customWidth="1"/>
    <col min="17" max="17" width="49.75" customWidth="1"/>
    <col min="18" max="18" width="36.75" bestFit="1" customWidth="1"/>
    <col min="19" max="19" width="23" customWidth="1"/>
    <col min="264" max="264" width="11.25" customWidth="1"/>
    <col min="265" max="265" width="8.5" customWidth="1"/>
    <col min="266" max="266" width="7.125" customWidth="1"/>
    <col min="267" max="267" width="7.375" customWidth="1"/>
    <col min="268" max="268" width="7.875" customWidth="1"/>
    <col min="269" max="269" width="5.5" customWidth="1"/>
    <col min="270" max="270" width="9.75" customWidth="1"/>
    <col min="271" max="271" width="12.125" customWidth="1"/>
    <col min="272" max="272" width="72.125" bestFit="1" customWidth="1"/>
    <col min="273" max="273" width="30.5" bestFit="1" customWidth="1"/>
    <col min="520" max="520" width="11.25" customWidth="1"/>
    <col min="521" max="521" width="8.5" customWidth="1"/>
    <col min="522" max="522" width="7.125" customWidth="1"/>
    <col min="523" max="523" width="7.375" customWidth="1"/>
    <col min="524" max="524" width="7.875" customWidth="1"/>
    <col min="525" max="525" width="5.5" customWidth="1"/>
    <col min="526" max="526" width="9.75" customWidth="1"/>
    <col min="527" max="527" width="12.125" customWidth="1"/>
    <col min="528" max="528" width="72.125" bestFit="1" customWidth="1"/>
    <col min="529" max="529" width="30.5" bestFit="1" customWidth="1"/>
    <col min="776" max="776" width="11.25" customWidth="1"/>
    <col min="777" max="777" width="8.5" customWidth="1"/>
    <col min="778" max="778" width="7.125" customWidth="1"/>
    <col min="779" max="779" width="7.375" customWidth="1"/>
    <col min="780" max="780" width="7.875" customWidth="1"/>
    <col min="781" max="781" width="5.5" customWidth="1"/>
    <col min="782" max="782" width="9.75" customWidth="1"/>
    <col min="783" max="783" width="12.125" customWidth="1"/>
    <col min="784" max="784" width="72.125" bestFit="1" customWidth="1"/>
    <col min="785" max="785" width="30.5" bestFit="1" customWidth="1"/>
    <col min="1032" max="1032" width="11.25" customWidth="1"/>
    <col min="1033" max="1033" width="8.5" customWidth="1"/>
    <col min="1034" max="1034" width="7.125" customWidth="1"/>
    <col min="1035" max="1035" width="7.375" customWidth="1"/>
    <col min="1036" max="1036" width="7.875" customWidth="1"/>
    <col min="1037" max="1037" width="5.5" customWidth="1"/>
    <col min="1038" max="1038" width="9.75" customWidth="1"/>
    <col min="1039" max="1039" width="12.125" customWidth="1"/>
    <col min="1040" max="1040" width="72.125" bestFit="1" customWidth="1"/>
    <col min="1041" max="1041" width="30.5" bestFit="1" customWidth="1"/>
    <col min="1288" max="1288" width="11.25" customWidth="1"/>
    <col min="1289" max="1289" width="8.5" customWidth="1"/>
    <col min="1290" max="1290" width="7.125" customWidth="1"/>
    <col min="1291" max="1291" width="7.375" customWidth="1"/>
    <col min="1292" max="1292" width="7.875" customWidth="1"/>
    <col min="1293" max="1293" width="5.5" customWidth="1"/>
    <col min="1294" max="1294" width="9.75" customWidth="1"/>
    <col min="1295" max="1295" width="12.125" customWidth="1"/>
    <col min="1296" max="1296" width="72.125" bestFit="1" customWidth="1"/>
    <col min="1297" max="1297" width="30.5" bestFit="1" customWidth="1"/>
    <col min="1544" max="1544" width="11.25" customWidth="1"/>
    <col min="1545" max="1545" width="8.5" customWidth="1"/>
    <col min="1546" max="1546" width="7.125" customWidth="1"/>
    <col min="1547" max="1547" width="7.375" customWidth="1"/>
    <col min="1548" max="1548" width="7.875" customWidth="1"/>
    <col min="1549" max="1549" width="5.5" customWidth="1"/>
    <col min="1550" max="1550" width="9.75" customWidth="1"/>
    <col min="1551" max="1551" width="12.125" customWidth="1"/>
    <col min="1552" max="1552" width="72.125" bestFit="1" customWidth="1"/>
    <col min="1553" max="1553" width="30.5" bestFit="1" customWidth="1"/>
    <col min="1800" max="1800" width="11.25" customWidth="1"/>
    <col min="1801" max="1801" width="8.5" customWidth="1"/>
    <col min="1802" max="1802" width="7.125" customWidth="1"/>
    <col min="1803" max="1803" width="7.375" customWidth="1"/>
    <col min="1804" max="1804" width="7.875" customWidth="1"/>
    <col min="1805" max="1805" width="5.5" customWidth="1"/>
    <col min="1806" max="1806" width="9.75" customWidth="1"/>
    <col min="1807" max="1807" width="12.125" customWidth="1"/>
    <col min="1808" max="1808" width="72.125" bestFit="1" customWidth="1"/>
    <col min="1809" max="1809" width="30.5" bestFit="1" customWidth="1"/>
    <col min="2056" max="2056" width="11.25" customWidth="1"/>
    <col min="2057" max="2057" width="8.5" customWidth="1"/>
    <col min="2058" max="2058" width="7.125" customWidth="1"/>
    <col min="2059" max="2059" width="7.375" customWidth="1"/>
    <col min="2060" max="2060" width="7.875" customWidth="1"/>
    <col min="2061" max="2061" width="5.5" customWidth="1"/>
    <col min="2062" max="2062" width="9.75" customWidth="1"/>
    <col min="2063" max="2063" width="12.125" customWidth="1"/>
    <col min="2064" max="2064" width="72.125" bestFit="1" customWidth="1"/>
    <col min="2065" max="2065" width="30.5" bestFit="1" customWidth="1"/>
    <col min="2312" max="2312" width="11.25" customWidth="1"/>
    <col min="2313" max="2313" width="8.5" customWidth="1"/>
    <col min="2314" max="2314" width="7.125" customWidth="1"/>
    <col min="2315" max="2315" width="7.375" customWidth="1"/>
    <col min="2316" max="2316" width="7.875" customWidth="1"/>
    <col min="2317" max="2317" width="5.5" customWidth="1"/>
    <col min="2318" max="2318" width="9.75" customWidth="1"/>
    <col min="2319" max="2319" width="12.125" customWidth="1"/>
    <col min="2320" max="2320" width="72.125" bestFit="1" customWidth="1"/>
    <col min="2321" max="2321" width="30.5" bestFit="1" customWidth="1"/>
    <col min="2568" max="2568" width="11.25" customWidth="1"/>
    <col min="2569" max="2569" width="8.5" customWidth="1"/>
    <col min="2570" max="2570" width="7.125" customWidth="1"/>
    <col min="2571" max="2571" width="7.375" customWidth="1"/>
    <col min="2572" max="2572" width="7.875" customWidth="1"/>
    <col min="2573" max="2573" width="5.5" customWidth="1"/>
    <col min="2574" max="2574" width="9.75" customWidth="1"/>
    <col min="2575" max="2575" width="12.125" customWidth="1"/>
    <col min="2576" max="2576" width="72.125" bestFit="1" customWidth="1"/>
    <col min="2577" max="2577" width="30.5" bestFit="1" customWidth="1"/>
    <col min="2824" max="2824" width="11.25" customWidth="1"/>
    <col min="2825" max="2825" width="8.5" customWidth="1"/>
    <col min="2826" max="2826" width="7.125" customWidth="1"/>
    <col min="2827" max="2827" width="7.375" customWidth="1"/>
    <col min="2828" max="2828" width="7.875" customWidth="1"/>
    <col min="2829" max="2829" width="5.5" customWidth="1"/>
    <col min="2830" max="2830" width="9.75" customWidth="1"/>
    <col min="2831" max="2831" width="12.125" customWidth="1"/>
    <col min="2832" max="2832" width="72.125" bestFit="1" customWidth="1"/>
    <col min="2833" max="2833" width="30.5" bestFit="1" customWidth="1"/>
    <col min="3080" max="3080" width="11.25" customWidth="1"/>
    <col min="3081" max="3081" width="8.5" customWidth="1"/>
    <col min="3082" max="3082" width="7.125" customWidth="1"/>
    <col min="3083" max="3083" width="7.375" customWidth="1"/>
    <col min="3084" max="3084" width="7.875" customWidth="1"/>
    <col min="3085" max="3085" width="5.5" customWidth="1"/>
    <col min="3086" max="3086" width="9.75" customWidth="1"/>
    <col min="3087" max="3087" width="12.125" customWidth="1"/>
    <col min="3088" max="3088" width="72.125" bestFit="1" customWidth="1"/>
    <col min="3089" max="3089" width="30.5" bestFit="1" customWidth="1"/>
    <col min="3336" max="3336" width="11.25" customWidth="1"/>
    <col min="3337" max="3337" width="8.5" customWidth="1"/>
    <col min="3338" max="3338" width="7.125" customWidth="1"/>
    <col min="3339" max="3339" width="7.375" customWidth="1"/>
    <col min="3340" max="3340" width="7.875" customWidth="1"/>
    <col min="3341" max="3341" width="5.5" customWidth="1"/>
    <col min="3342" max="3342" width="9.75" customWidth="1"/>
    <col min="3343" max="3343" width="12.125" customWidth="1"/>
    <col min="3344" max="3344" width="72.125" bestFit="1" customWidth="1"/>
    <col min="3345" max="3345" width="30.5" bestFit="1" customWidth="1"/>
    <col min="3592" max="3592" width="11.25" customWidth="1"/>
    <col min="3593" max="3593" width="8.5" customWidth="1"/>
    <col min="3594" max="3594" width="7.125" customWidth="1"/>
    <col min="3595" max="3595" width="7.375" customWidth="1"/>
    <col min="3596" max="3596" width="7.875" customWidth="1"/>
    <col min="3597" max="3597" width="5.5" customWidth="1"/>
    <col min="3598" max="3598" width="9.75" customWidth="1"/>
    <col min="3599" max="3599" width="12.125" customWidth="1"/>
    <col min="3600" max="3600" width="72.125" bestFit="1" customWidth="1"/>
    <col min="3601" max="3601" width="30.5" bestFit="1" customWidth="1"/>
    <col min="3848" max="3848" width="11.25" customWidth="1"/>
    <col min="3849" max="3849" width="8.5" customWidth="1"/>
    <col min="3850" max="3850" width="7.125" customWidth="1"/>
    <col min="3851" max="3851" width="7.375" customWidth="1"/>
    <col min="3852" max="3852" width="7.875" customWidth="1"/>
    <col min="3853" max="3853" width="5.5" customWidth="1"/>
    <col min="3854" max="3854" width="9.75" customWidth="1"/>
    <col min="3855" max="3855" width="12.125" customWidth="1"/>
    <col min="3856" max="3856" width="72.125" bestFit="1" customWidth="1"/>
    <col min="3857" max="3857" width="30.5" bestFit="1" customWidth="1"/>
    <col min="4104" max="4104" width="11.25" customWidth="1"/>
    <col min="4105" max="4105" width="8.5" customWidth="1"/>
    <col min="4106" max="4106" width="7.125" customWidth="1"/>
    <col min="4107" max="4107" width="7.375" customWidth="1"/>
    <col min="4108" max="4108" width="7.875" customWidth="1"/>
    <col min="4109" max="4109" width="5.5" customWidth="1"/>
    <col min="4110" max="4110" width="9.75" customWidth="1"/>
    <col min="4111" max="4111" width="12.125" customWidth="1"/>
    <col min="4112" max="4112" width="72.125" bestFit="1" customWidth="1"/>
    <col min="4113" max="4113" width="30.5" bestFit="1" customWidth="1"/>
    <col min="4360" max="4360" width="11.25" customWidth="1"/>
    <col min="4361" max="4361" width="8.5" customWidth="1"/>
    <col min="4362" max="4362" width="7.125" customWidth="1"/>
    <col min="4363" max="4363" width="7.375" customWidth="1"/>
    <col min="4364" max="4364" width="7.875" customWidth="1"/>
    <col min="4365" max="4365" width="5.5" customWidth="1"/>
    <col min="4366" max="4366" width="9.75" customWidth="1"/>
    <col min="4367" max="4367" width="12.125" customWidth="1"/>
    <col min="4368" max="4368" width="72.125" bestFit="1" customWidth="1"/>
    <col min="4369" max="4369" width="30.5" bestFit="1" customWidth="1"/>
    <col min="4616" max="4616" width="11.25" customWidth="1"/>
    <col min="4617" max="4617" width="8.5" customWidth="1"/>
    <col min="4618" max="4618" width="7.125" customWidth="1"/>
    <col min="4619" max="4619" width="7.375" customWidth="1"/>
    <col min="4620" max="4620" width="7.875" customWidth="1"/>
    <col min="4621" max="4621" width="5.5" customWidth="1"/>
    <col min="4622" max="4622" width="9.75" customWidth="1"/>
    <col min="4623" max="4623" width="12.125" customWidth="1"/>
    <col min="4624" max="4624" width="72.125" bestFit="1" customWidth="1"/>
    <col min="4625" max="4625" width="30.5" bestFit="1" customWidth="1"/>
    <col min="4872" max="4872" width="11.25" customWidth="1"/>
    <col min="4873" max="4873" width="8.5" customWidth="1"/>
    <col min="4874" max="4874" width="7.125" customWidth="1"/>
    <col min="4875" max="4875" width="7.375" customWidth="1"/>
    <col min="4876" max="4876" width="7.875" customWidth="1"/>
    <col min="4877" max="4877" width="5.5" customWidth="1"/>
    <col min="4878" max="4878" width="9.75" customWidth="1"/>
    <col min="4879" max="4879" width="12.125" customWidth="1"/>
    <col min="4880" max="4880" width="72.125" bestFit="1" customWidth="1"/>
    <col min="4881" max="4881" width="30.5" bestFit="1" customWidth="1"/>
    <col min="5128" max="5128" width="11.25" customWidth="1"/>
    <col min="5129" max="5129" width="8.5" customWidth="1"/>
    <col min="5130" max="5130" width="7.125" customWidth="1"/>
    <col min="5131" max="5131" width="7.375" customWidth="1"/>
    <col min="5132" max="5132" width="7.875" customWidth="1"/>
    <col min="5133" max="5133" width="5.5" customWidth="1"/>
    <col min="5134" max="5134" width="9.75" customWidth="1"/>
    <col min="5135" max="5135" width="12.125" customWidth="1"/>
    <col min="5136" max="5136" width="72.125" bestFit="1" customWidth="1"/>
    <col min="5137" max="5137" width="30.5" bestFit="1" customWidth="1"/>
    <col min="5384" max="5384" width="11.25" customWidth="1"/>
    <col min="5385" max="5385" width="8.5" customWidth="1"/>
    <col min="5386" max="5386" width="7.125" customWidth="1"/>
    <col min="5387" max="5387" width="7.375" customWidth="1"/>
    <col min="5388" max="5388" width="7.875" customWidth="1"/>
    <col min="5389" max="5389" width="5.5" customWidth="1"/>
    <col min="5390" max="5390" width="9.75" customWidth="1"/>
    <col min="5391" max="5391" width="12.125" customWidth="1"/>
    <col min="5392" max="5392" width="72.125" bestFit="1" customWidth="1"/>
    <col min="5393" max="5393" width="30.5" bestFit="1" customWidth="1"/>
    <col min="5640" max="5640" width="11.25" customWidth="1"/>
    <col min="5641" max="5641" width="8.5" customWidth="1"/>
    <col min="5642" max="5642" width="7.125" customWidth="1"/>
    <col min="5643" max="5643" width="7.375" customWidth="1"/>
    <col min="5644" max="5644" width="7.875" customWidth="1"/>
    <col min="5645" max="5645" width="5.5" customWidth="1"/>
    <col min="5646" max="5646" width="9.75" customWidth="1"/>
    <col min="5647" max="5647" width="12.125" customWidth="1"/>
    <col min="5648" max="5648" width="72.125" bestFit="1" customWidth="1"/>
    <col min="5649" max="5649" width="30.5" bestFit="1" customWidth="1"/>
    <col min="5896" max="5896" width="11.25" customWidth="1"/>
    <col min="5897" max="5897" width="8.5" customWidth="1"/>
    <col min="5898" max="5898" width="7.125" customWidth="1"/>
    <col min="5899" max="5899" width="7.375" customWidth="1"/>
    <col min="5900" max="5900" width="7.875" customWidth="1"/>
    <col min="5901" max="5901" width="5.5" customWidth="1"/>
    <col min="5902" max="5902" width="9.75" customWidth="1"/>
    <col min="5903" max="5903" width="12.125" customWidth="1"/>
    <col min="5904" max="5904" width="72.125" bestFit="1" customWidth="1"/>
    <col min="5905" max="5905" width="30.5" bestFit="1" customWidth="1"/>
    <col min="6152" max="6152" width="11.25" customWidth="1"/>
    <col min="6153" max="6153" width="8.5" customWidth="1"/>
    <col min="6154" max="6154" width="7.125" customWidth="1"/>
    <col min="6155" max="6155" width="7.375" customWidth="1"/>
    <col min="6156" max="6156" width="7.875" customWidth="1"/>
    <col min="6157" max="6157" width="5.5" customWidth="1"/>
    <col min="6158" max="6158" width="9.75" customWidth="1"/>
    <col min="6159" max="6159" width="12.125" customWidth="1"/>
    <col min="6160" max="6160" width="72.125" bestFit="1" customWidth="1"/>
    <col min="6161" max="6161" width="30.5" bestFit="1" customWidth="1"/>
    <col min="6408" max="6408" width="11.25" customWidth="1"/>
    <col min="6409" max="6409" width="8.5" customWidth="1"/>
    <col min="6410" max="6410" width="7.125" customWidth="1"/>
    <col min="6411" max="6411" width="7.375" customWidth="1"/>
    <col min="6412" max="6412" width="7.875" customWidth="1"/>
    <col min="6413" max="6413" width="5.5" customWidth="1"/>
    <col min="6414" max="6414" width="9.75" customWidth="1"/>
    <col min="6415" max="6415" width="12.125" customWidth="1"/>
    <col min="6416" max="6416" width="72.125" bestFit="1" customWidth="1"/>
    <col min="6417" max="6417" width="30.5" bestFit="1" customWidth="1"/>
    <col min="6664" max="6664" width="11.25" customWidth="1"/>
    <col min="6665" max="6665" width="8.5" customWidth="1"/>
    <col min="6666" max="6666" width="7.125" customWidth="1"/>
    <col min="6667" max="6667" width="7.375" customWidth="1"/>
    <col min="6668" max="6668" width="7.875" customWidth="1"/>
    <col min="6669" max="6669" width="5.5" customWidth="1"/>
    <col min="6670" max="6670" width="9.75" customWidth="1"/>
    <col min="6671" max="6671" width="12.125" customWidth="1"/>
    <col min="6672" max="6672" width="72.125" bestFit="1" customWidth="1"/>
    <col min="6673" max="6673" width="30.5" bestFit="1" customWidth="1"/>
    <col min="6920" max="6920" width="11.25" customWidth="1"/>
    <col min="6921" max="6921" width="8.5" customWidth="1"/>
    <col min="6922" max="6922" width="7.125" customWidth="1"/>
    <col min="6923" max="6923" width="7.375" customWidth="1"/>
    <col min="6924" max="6924" width="7.875" customWidth="1"/>
    <col min="6925" max="6925" width="5.5" customWidth="1"/>
    <col min="6926" max="6926" width="9.75" customWidth="1"/>
    <col min="6927" max="6927" width="12.125" customWidth="1"/>
    <col min="6928" max="6928" width="72.125" bestFit="1" customWidth="1"/>
    <col min="6929" max="6929" width="30.5" bestFit="1" customWidth="1"/>
    <col min="7176" max="7176" width="11.25" customWidth="1"/>
    <col min="7177" max="7177" width="8.5" customWidth="1"/>
    <col min="7178" max="7178" width="7.125" customWidth="1"/>
    <col min="7179" max="7179" width="7.375" customWidth="1"/>
    <col min="7180" max="7180" width="7.875" customWidth="1"/>
    <col min="7181" max="7181" width="5.5" customWidth="1"/>
    <col min="7182" max="7182" width="9.75" customWidth="1"/>
    <col min="7183" max="7183" width="12.125" customWidth="1"/>
    <col min="7184" max="7184" width="72.125" bestFit="1" customWidth="1"/>
    <col min="7185" max="7185" width="30.5" bestFit="1" customWidth="1"/>
    <col min="7432" max="7432" width="11.25" customWidth="1"/>
    <col min="7433" max="7433" width="8.5" customWidth="1"/>
    <col min="7434" max="7434" width="7.125" customWidth="1"/>
    <col min="7435" max="7435" width="7.375" customWidth="1"/>
    <col min="7436" max="7436" width="7.875" customWidth="1"/>
    <col min="7437" max="7437" width="5.5" customWidth="1"/>
    <col min="7438" max="7438" width="9.75" customWidth="1"/>
    <col min="7439" max="7439" width="12.125" customWidth="1"/>
    <col min="7440" max="7440" width="72.125" bestFit="1" customWidth="1"/>
    <col min="7441" max="7441" width="30.5" bestFit="1" customWidth="1"/>
    <col min="7688" max="7688" width="11.25" customWidth="1"/>
    <col min="7689" max="7689" width="8.5" customWidth="1"/>
    <col min="7690" max="7690" width="7.125" customWidth="1"/>
    <col min="7691" max="7691" width="7.375" customWidth="1"/>
    <col min="7692" max="7692" width="7.875" customWidth="1"/>
    <col min="7693" max="7693" width="5.5" customWidth="1"/>
    <col min="7694" max="7694" width="9.75" customWidth="1"/>
    <col min="7695" max="7695" width="12.125" customWidth="1"/>
    <col min="7696" max="7696" width="72.125" bestFit="1" customWidth="1"/>
    <col min="7697" max="7697" width="30.5" bestFit="1" customWidth="1"/>
    <col min="7944" max="7944" width="11.25" customWidth="1"/>
    <col min="7945" max="7945" width="8.5" customWidth="1"/>
    <col min="7946" max="7946" width="7.125" customWidth="1"/>
    <col min="7947" max="7947" width="7.375" customWidth="1"/>
    <col min="7948" max="7948" width="7.875" customWidth="1"/>
    <col min="7949" max="7949" width="5.5" customWidth="1"/>
    <col min="7950" max="7950" width="9.75" customWidth="1"/>
    <col min="7951" max="7951" width="12.125" customWidth="1"/>
    <col min="7952" max="7952" width="72.125" bestFit="1" customWidth="1"/>
    <col min="7953" max="7953" width="30.5" bestFit="1" customWidth="1"/>
    <col min="8200" max="8200" width="11.25" customWidth="1"/>
    <col min="8201" max="8201" width="8.5" customWidth="1"/>
    <col min="8202" max="8202" width="7.125" customWidth="1"/>
    <col min="8203" max="8203" width="7.375" customWidth="1"/>
    <col min="8204" max="8204" width="7.875" customWidth="1"/>
    <col min="8205" max="8205" width="5.5" customWidth="1"/>
    <col min="8206" max="8206" width="9.75" customWidth="1"/>
    <col min="8207" max="8207" width="12.125" customWidth="1"/>
    <col min="8208" max="8208" width="72.125" bestFit="1" customWidth="1"/>
    <col min="8209" max="8209" width="30.5" bestFit="1" customWidth="1"/>
    <col min="8456" max="8456" width="11.25" customWidth="1"/>
    <col min="8457" max="8457" width="8.5" customWidth="1"/>
    <col min="8458" max="8458" width="7.125" customWidth="1"/>
    <col min="8459" max="8459" width="7.375" customWidth="1"/>
    <col min="8460" max="8460" width="7.875" customWidth="1"/>
    <col min="8461" max="8461" width="5.5" customWidth="1"/>
    <col min="8462" max="8462" width="9.75" customWidth="1"/>
    <col min="8463" max="8463" width="12.125" customWidth="1"/>
    <col min="8464" max="8464" width="72.125" bestFit="1" customWidth="1"/>
    <col min="8465" max="8465" width="30.5" bestFit="1" customWidth="1"/>
    <col min="8712" max="8712" width="11.25" customWidth="1"/>
    <col min="8713" max="8713" width="8.5" customWidth="1"/>
    <col min="8714" max="8714" width="7.125" customWidth="1"/>
    <col min="8715" max="8715" width="7.375" customWidth="1"/>
    <col min="8716" max="8716" width="7.875" customWidth="1"/>
    <col min="8717" max="8717" width="5.5" customWidth="1"/>
    <col min="8718" max="8718" width="9.75" customWidth="1"/>
    <col min="8719" max="8719" width="12.125" customWidth="1"/>
    <col min="8720" max="8720" width="72.125" bestFit="1" customWidth="1"/>
    <col min="8721" max="8721" width="30.5" bestFit="1" customWidth="1"/>
    <col min="8968" max="8968" width="11.25" customWidth="1"/>
    <col min="8969" max="8969" width="8.5" customWidth="1"/>
    <col min="8970" max="8970" width="7.125" customWidth="1"/>
    <col min="8971" max="8971" width="7.375" customWidth="1"/>
    <col min="8972" max="8972" width="7.875" customWidth="1"/>
    <col min="8973" max="8973" width="5.5" customWidth="1"/>
    <col min="8974" max="8974" width="9.75" customWidth="1"/>
    <col min="8975" max="8975" width="12.125" customWidth="1"/>
    <col min="8976" max="8976" width="72.125" bestFit="1" customWidth="1"/>
    <col min="8977" max="8977" width="30.5" bestFit="1" customWidth="1"/>
    <col min="9224" max="9224" width="11.25" customWidth="1"/>
    <col min="9225" max="9225" width="8.5" customWidth="1"/>
    <col min="9226" max="9226" width="7.125" customWidth="1"/>
    <col min="9227" max="9227" width="7.375" customWidth="1"/>
    <col min="9228" max="9228" width="7.875" customWidth="1"/>
    <col min="9229" max="9229" width="5.5" customWidth="1"/>
    <col min="9230" max="9230" width="9.75" customWidth="1"/>
    <col min="9231" max="9231" width="12.125" customWidth="1"/>
    <col min="9232" max="9232" width="72.125" bestFit="1" customWidth="1"/>
    <col min="9233" max="9233" width="30.5" bestFit="1" customWidth="1"/>
    <col min="9480" max="9480" width="11.25" customWidth="1"/>
    <col min="9481" max="9481" width="8.5" customWidth="1"/>
    <col min="9482" max="9482" width="7.125" customWidth="1"/>
    <col min="9483" max="9483" width="7.375" customWidth="1"/>
    <col min="9484" max="9484" width="7.875" customWidth="1"/>
    <col min="9485" max="9485" width="5.5" customWidth="1"/>
    <col min="9486" max="9486" width="9.75" customWidth="1"/>
    <col min="9487" max="9487" width="12.125" customWidth="1"/>
    <col min="9488" max="9488" width="72.125" bestFit="1" customWidth="1"/>
    <col min="9489" max="9489" width="30.5" bestFit="1" customWidth="1"/>
    <col min="9736" max="9736" width="11.25" customWidth="1"/>
    <col min="9737" max="9737" width="8.5" customWidth="1"/>
    <col min="9738" max="9738" width="7.125" customWidth="1"/>
    <col min="9739" max="9739" width="7.375" customWidth="1"/>
    <col min="9740" max="9740" width="7.875" customWidth="1"/>
    <col min="9741" max="9741" width="5.5" customWidth="1"/>
    <col min="9742" max="9742" width="9.75" customWidth="1"/>
    <col min="9743" max="9743" width="12.125" customWidth="1"/>
    <col min="9744" max="9744" width="72.125" bestFit="1" customWidth="1"/>
    <col min="9745" max="9745" width="30.5" bestFit="1" customWidth="1"/>
    <col min="9992" max="9992" width="11.25" customWidth="1"/>
    <col min="9993" max="9993" width="8.5" customWidth="1"/>
    <col min="9994" max="9994" width="7.125" customWidth="1"/>
    <col min="9995" max="9995" width="7.375" customWidth="1"/>
    <col min="9996" max="9996" width="7.875" customWidth="1"/>
    <col min="9997" max="9997" width="5.5" customWidth="1"/>
    <col min="9998" max="9998" width="9.75" customWidth="1"/>
    <col min="9999" max="9999" width="12.125" customWidth="1"/>
    <col min="10000" max="10000" width="72.125" bestFit="1" customWidth="1"/>
    <col min="10001" max="10001" width="30.5" bestFit="1" customWidth="1"/>
    <col min="10248" max="10248" width="11.25" customWidth="1"/>
    <col min="10249" max="10249" width="8.5" customWidth="1"/>
    <col min="10250" max="10250" width="7.125" customWidth="1"/>
    <col min="10251" max="10251" width="7.375" customWidth="1"/>
    <col min="10252" max="10252" width="7.875" customWidth="1"/>
    <col min="10253" max="10253" width="5.5" customWidth="1"/>
    <col min="10254" max="10254" width="9.75" customWidth="1"/>
    <col min="10255" max="10255" width="12.125" customWidth="1"/>
    <col min="10256" max="10256" width="72.125" bestFit="1" customWidth="1"/>
    <col min="10257" max="10257" width="30.5" bestFit="1" customWidth="1"/>
    <col min="10504" max="10504" width="11.25" customWidth="1"/>
    <col min="10505" max="10505" width="8.5" customWidth="1"/>
    <col min="10506" max="10506" width="7.125" customWidth="1"/>
    <col min="10507" max="10507" width="7.375" customWidth="1"/>
    <col min="10508" max="10508" width="7.875" customWidth="1"/>
    <col min="10509" max="10509" width="5.5" customWidth="1"/>
    <col min="10510" max="10510" width="9.75" customWidth="1"/>
    <col min="10511" max="10511" width="12.125" customWidth="1"/>
    <col min="10512" max="10512" width="72.125" bestFit="1" customWidth="1"/>
    <col min="10513" max="10513" width="30.5" bestFit="1" customWidth="1"/>
    <col min="10760" max="10760" width="11.25" customWidth="1"/>
    <col min="10761" max="10761" width="8.5" customWidth="1"/>
    <col min="10762" max="10762" width="7.125" customWidth="1"/>
    <col min="10763" max="10763" width="7.375" customWidth="1"/>
    <col min="10764" max="10764" width="7.875" customWidth="1"/>
    <col min="10765" max="10765" width="5.5" customWidth="1"/>
    <col min="10766" max="10766" width="9.75" customWidth="1"/>
    <col min="10767" max="10767" width="12.125" customWidth="1"/>
    <col min="10768" max="10768" width="72.125" bestFit="1" customWidth="1"/>
    <col min="10769" max="10769" width="30.5" bestFit="1" customWidth="1"/>
    <col min="11016" max="11016" width="11.25" customWidth="1"/>
    <col min="11017" max="11017" width="8.5" customWidth="1"/>
    <col min="11018" max="11018" width="7.125" customWidth="1"/>
    <col min="11019" max="11019" width="7.375" customWidth="1"/>
    <col min="11020" max="11020" width="7.875" customWidth="1"/>
    <col min="11021" max="11021" width="5.5" customWidth="1"/>
    <col min="11022" max="11022" width="9.75" customWidth="1"/>
    <col min="11023" max="11023" width="12.125" customWidth="1"/>
    <col min="11024" max="11024" width="72.125" bestFit="1" customWidth="1"/>
    <col min="11025" max="11025" width="30.5" bestFit="1" customWidth="1"/>
    <col min="11272" max="11272" width="11.25" customWidth="1"/>
    <col min="11273" max="11273" width="8.5" customWidth="1"/>
    <col min="11274" max="11274" width="7.125" customWidth="1"/>
    <col min="11275" max="11275" width="7.375" customWidth="1"/>
    <col min="11276" max="11276" width="7.875" customWidth="1"/>
    <col min="11277" max="11277" width="5.5" customWidth="1"/>
    <col min="11278" max="11278" width="9.75" customWidth="1"/>
    <col min="11279" max="11279" width="12.125" customWidth="1"/>
    <col min="11280" max="11280" width="72.125" bestFit="1" customWidth="1"/>
    <col min="11281" max="11281" width="30.5" bestFit="1" customWidth="1"/>
    <col min="11528" max="11528" width="11.25" customWidth="1"/>
    <col min="11529" max="11529" width="8.5" customWidth="1"/>
    <col min="11530" max="11530" width="7.125" customWidth="1"/>
    <col min="11531" max="11531" width="7.375" customWidth="1"/>
    <col min="11532" max="11532" width="7.875" customWidth="1"/>
    <col min="11533" max="11533" width="5.5" customWidth="1"/>
    <col min="11534" max="11534" width="9.75" customWidth="1"/>
    <col min="11535" max="11535" width="12.125" customWidth="1"/>
    <col min="11536" max="11536" width="72.125" bestFit="1" customWidth="1"/>
    <col min="11537" max="11537" width="30.5" bestFit="1" customWidth="1"/>
    <col min="11784" max="11784" width="11.25" customWidth="1"/>
    <col min="11785" max="11785" width="8.5" customWidth="1"/>
    <col min="11786" max="11786" width="7.125" customWidth="1"/>
    <col min="11787" max="11787" width="7.375" customWidth="1"/>
    <col min="11788" max="11788" width="7.875" customWidth="1"/>
    <col min="11789" max="11789" width="5.5" customWidth="1"/>
    <col min="11790" max="11790" width="9.75" customWidth="1"/>
    <col min="11791" max="11791" width="12.125" customWidth="1"/>
    <col min="11792" max="11792" width="72.125" bestFit="1" customWidth="1"/>
    <col min="11793" max="11793" width="30.5" bestFit="1" customWidth="1"/>
    <col min="12040" max="12040" width="11.25" customWidth="1"/>
    <col min="12041" max="12041" width="8.5" customWidth="1"/>
    <col min="12042" max="12042" width="7.125" customWidth="1"/>
    <col min="12043" max="12043" width="7.375" customWidth="1"/>
    <col min="12044" max="12044" width="7.875" customWidth="1"/>
    <col min="12045" max="12045" width="5.5" customWidth="1"/>
    <col min="12046" max="12046" width="9.75" customWidth="1"/>
    <col min="12047" max="12047" width="12.125" customWidth="1"/>
    <col min="12048" max="12048" width="72.125" bestFit="1" customWidth="1"/>
    <col min="12049" max="12049" width="30.5" bestFit="1" customWidth="1"/>
    <col min="12296" max="12296" width="11.25" customWidth="1"/>
    <col min="12297" max="12297" width="8.5" customWidth="1"/>
    <col min="12298" max="12298" width="7.125" customWidth="1"/>
    <col min="12299" max="12299" width="7.375" customWidth="1"/>
    <col min="12300" max="12300" width="7.875" customWidth="1"/>
    <col min="12301" max="12301" width="5.5" customWidth="1"/>
    <col min="12302" max="12302" width="9.75" customWidth="1"/>
    <col min="12303" max="12303" width="12.125" customWidth="1"/>
    <col min="12304" max="12304" width="72.125" bestFit="1" customWidth="1"/>
    <col min="12305" max="12305" width="30.5" bestFit="1" customWidth="1"/>
    <col min="12552" max="12552" width="11.25" customWidth="1"/>
    <col min="12553" max="12553" width="8.5" customWidth="1"/>
    <col min="12554" max="12554" width="7.125" customWidth="1"/>
    <col min="12555" max="12555" width="7.375" customWidth="1"/>
    <col min="12556" max="12556" width="7.875" customWidth="1"/>
    <col min="12557" max="12557" width="5.5" customWidth="1"/>
    <col min="12558" max="12558" width="9.75" customWidth="1"/>
    <col min="12559" max="12559" width="12.125" customWidth="1"/>
    <col min="12560" max="12560" width="72.125" bestFit="1" customWidth="1"/>
    <col min="12561" max="12561" width="30.5" bestFit="1" customWidth="1"/>
    <col min="12808" max="12808" width="11.25" customWidth="1"/>
    <col min="12809" max="12809" width="8.5" customWidth="1"/>
    <col min="12810" max="12810" width="7.125" customWidth="1"/>
    <col min="12811" max="12811" width="7.375" customWidth="1"/>
    <col min="12812" max="12812" width="7.875" customWidth="1"/>
    <col min="12813" max="12813" width="5.5" customWidth="1"/>
    <col min="12814" max="12814" width="9.75" customWidth="1"/>
    <col min="12815" max="12815" width="12.125" customWidth="1"/>
    <col min="12816" max="12816" width="72.125" bestFit="1" customWidth="1"/>
    <col min="12817" max="12817" width="30.5" bestFit="1" customWidth="1"/>
    <col min="13064" max="13064" width="11.25" customWidth="1"/>
    <col min="13065" max="13065" width="8.5" customWidth="1"/>
    <col min="13066" max="13066" width="7.125" customWidth="1"/>
    <col min="13067" max="13067" width="7.375" customWidth="1"/>
    <col min="13068" max="13068" width="7.875" customWidth="1"/>
    <col min="13069" max="13069" width="5.5" customWidth="1"/>
    <col min="13070" max="13070" width="9.75" customWidth="1"/>
    <col min="13071" max="13071" width="12.125" customWidth="1"/>
    <col min="13072" max="13072" width="72.125" bestFit="1" customWidth="1"/>
    <col min="13073" max="13073" width="30.5" bestFit="1" customWidth="1"/>
    <col min="13320" max="13320" width="11.25" customWidth="1"/>
    <col min="13321" max="13321" width="8.5" customWidth="1"/>
    <col min="13322" max="13322" width="7.125" customWidth="1"/>
    <col min="13323" max="13323" width="7.375" customWidth="1"/>
    <col min="13324" max="13324" width="7.875" customWidth="1"/>
    <col min="13325" max="13325" width="5.5" customWidth="1"/>
    <col min="13326" max="13326" width="9.75" customWidth="1"/>
    <col min="13327" max="13327" width="12.125" customWidth="1"/>
    <col min="13328" max="13328" width="72.125" bestFit="1" customWidth="1"/>
    <col min="13329" max="13329" width="30.5" bestFit="1" customWidth="1"/>
    <col min="13576" max="13576" width="11.25" customWidth="1"/>
    <col min="13577" max="13577" width="8.5" customWidth="1"/>
    <col min="13578" max="13578" width="7.125" customWidth="1"/>
    <col min="13579" max="13579" width="7.375" customWidth="1"/>
    <col min="13580" max="13580" width="7.875" customWidth="1"/>
    <col min="13581" max="13581" width="5.5" customWidth="1"/>
    <col min="13582" max="13582" width="9.75" customWidth="1"/>
    <col min="13583" max="13583" width="12.125" customWidth="1"/>
    <col min="13584" max="13584" width="72.125" bestFit="1" customWidth="1"/>
    <col min="13585" max="13585" width="30.5" bestFit="1" customWidth="1"/>
    <col min="13832" max="13832" width="11.25" customWidth="1"/>
    <col min="13833" max="13833" width="8.5" customWidth="1"/>
    <col min="13834" max="13834" width="7.125" customWidth="1"/>
    <col min="13835" max="13835" width="7.375" customWidth="1"/>
    <col min="13836" max="13836" width="7.875" customWidth="1"/>
    <col min="13837" max="13837" width="5.5" customWidth="1"/>
    <col min="13838" max="13838" width="9.75" customWidth="1"/>
    <col min="13839" max="13839" width="12.125" customWidth="1"/>
    <col min="13840" max="13840" width="72.125" bestFit="1" customWidth="1"/>
    <col min="13841" max="13841" width="30.5" bestFit="1" customWidth="1"/>
    <col min="14088" max="14088" width="11.25" customWidth="1"/>
    <col min="14089" max="14089" width="8.5" customWidth="1"/>
    <col min="14090" max="14090" width="7.125" customWidth="1"/>
    <col min="14091" max="14091" width="7.375" customWidth="1"/>
    <col min="14092" max="14092" width="7.875" customWidth="1"/>
    <col min="14093" max="14093" width="5.5" customWidth="1"/>
    <col min="14094" max="14094" width="9.75" customWidth="1"/>
    <col min="14095" max="14095" width="12.125" customWidth="1"/>
    <col min="14096" max="14096" width="72.125" bestFit="1" customWidth="1"/>
    <col min="14097" max="14097" width="30.5" bestFit="1" customWidth="1"/>
    <col min="14344" max="14344" width="11.25" customWidth="1"/>
    <col min="14345" max="14345" width="8.5" customWidth="1"/>
    <col min="14346" max="14346" width="7.125" customWidth="1"/>
    <col min="14347" max="14347" width="7.375" customWidth="1"/>
    <col min="14348" max="14348" width="7.875" customWidth="1"/>
    <col min="14349" max="14349" width="5.5" customWidth="1"/>
    <col min="14350" max="14350" width="9.75" customWidth="1"/>
    <col min="14351" max="14351" width="12.125" customWidth="1"/>
    <col min="14352" max="14352" width="72.125" bestFit="1" customWidth="1"/>
    <col min="14353" max="14353" width="30.5" bestFit="1" customWidth="1"/>
    <col min="14600" max="14600" width="11.25" customWidth="1"/>
    <col min="14601" max="14601" width="8.5" customWidth="1"/>
    <col min="14602" max="14602" width="7.125" customWidth="1"/>
    <col min="14603" max="14603" width="7.375" customWidth="1"/>
    <col min="14604" max="14604" width="7.875" customWidth="1"/>
    <col min="14605" max="14605" width="5.5" customWidth="1"/>
    <col min="14606" max="14606" width="9.75" customWidth="1"/>
    <col min="14607" max="14607" width="12.125" customWidth="1"/>
    <col min="14608" max="14608" width="72.125" bestFit="1" customWidth="1"/>
    <col min="14609" max="14609" width="30.5" bestFit="1" customWidth="1"/>
    <col min="14856" max="14856" width="11.25" customWidth="1"/>
    <col min="14857" max="14857" width="8.5" customWidth="1"/>
    <col min="14858" max="14858" width="7.125" customWidth="1"/>
    <col min="14859" max="14859" width="7.375" customWidth="1"/>
    <col min="14860" max="14860" width="7.875" customWidth="1"/>
    <col min="14861" max="14861" width="5.5" customWidth="1"/>
    <col min="14862" max="14862" width="9.75" customWidth="1"/>
    <col min="14863" max="14863" width="12.125" customWidth="1"/>
    <col min="14864" max="14864" width="72.125" bestFit="1" customWidth="1"/>
    <col min="14865" max="14865" width="30.5" bestFit="1" customWidth="1"/>
    <col min="15112" max="15112" width="11.25" customWidth="1"/>
    <col min="15113" max="15113" width="8.5" customWidth="1"/>
    <col min="15114" max="15114" width="7.125" customWidth="1"/>
    <col min="15115" max="15115" width="7.375" customWidth="1"/>
    <col min="15116" max="15116" width="7.875" customWidth="1"/>
    <col min="15117" max="15117" width="5.5" customWidth="1"/>
    <col min="15118" max="15118" width="9.75" customWidth="1"/>
    <col min="15119" max="15119" width="12.125" customWidth="1"/>
    <col min="15120" max="15120" width="72.125" bestFit="1" customWidth="1"/>
    <col min="15121" max="15121" width="30.5" bestFit="1" customWidth="1"/>
    <col min="15368" max="15368" width="11.25" customWidth="1"/>
    <col min="15369" max="15369" width="8.5" customWidth="1"/>
    <col min="15370" max="15370" width="7.125" customWidth="1"/>
    <col min="15371" max="15371" width="7.375" customWidth="1"/>
    <col min="15372" max="15372" width="7.875" customWidth="1"/>
    <col min="15373" max="15373" width="5.5" customWidth="1"/>
    <col min="15374" max="15374" width="9.75" customWidth="1"/>
    <col min="15375" max="15375" width="12.125" customWidth="1"/>
    <col min="15376" max="15376" width="72.125" bestFit="1" customWidth="1"/>
    <col min="15377" max="15377" width="30.5" bestFit="1" customWidth="1"/>
    <col min="15624" max="15624" width="11.25" customWidth="1"/>
    <col min="15625" max="15625" width="8.5" customWidth="1"/>
    <col min="15626" max="15626" width="7.125" customWidth="1"/>
    <col min="15627" max="15627" width="7.375" customWidth="1"/>
    <col min="15628" max="15628" width="7.875" customWidth="1"/>
    <col min="15629" max="15629" width="5.5" customWidth="1"/>
    <col min="15630" max="15630" width="9.75" customWidth="1"/>
    <col min="15631" max="15631" width="12.125" customWidth="1"/>
    <col min="15632" max="15632" width="72.125" bestFit="1" customWidth="1"/>
    <col min="15633" max="15633" width="30.5" bestFit="1" customWidth="1"/>
    <col min="15880" max="15880" width="11.25" customWidth="1"/>
    <col min="15881" max="15881" width="8.5" customWidth="1"/>
    <col min="15882" max="15882" width="7.125" customWidth="1"/>
    <col min="15883" max="15883" width="7.375" customWidth="1"/>
    <col min="15884" max="15884" width="7.875" customWidth="1"/>
    <col min="15885" max="15885" width="5.5" customWidth="1"/>
    <col min="15886" max="15886" width="9.75" customWidth="1"/>
    <col min="15887" max="15887" width="12.125" customWidth="1"/>
    <col min="15888" max="15888" width="72.125" bestFit="1" customWidth="1"/>
    <col min="15889" max="15889" width="30.5" bestFit="1" customWidth="1"/>
    <col min="16136" max="16136" width="11.25" customWidth="1"/>
    <col min="16137" max="16137" width="8.5" customWidth="1"/>
    <col min="16138" max="16138" width="7.125" customWidth="1"/>
    <col min="16139" max="16139" width="7.375" customWidth="1"/>
    <col min="16140" max="16140" width="7.875" customWidth="1"/>
    <col min="16141" max="16141" width="5.5" customWidth="1"/>
    <col min="16142" max="16142" width="9.75" customWidth="1"/>
    <col min="16143" max="16143" width="12.125" customWidth="1"/>
    <col min="16144" max="16144" width="72.125" bestFit="1" customWidth="1"/>
    <col min="16145" max="16145" width="30.5" bestFit="1" customWidth="1"/>
  </cols>
  <sheetData>
    <row r="1" spans="1:17" s="3" customFormat="1" ht="12.75" customHeight="1">
      <c r="A1" s="505" t="s">
        <v>14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</row>
    <row r="2" spans="1:17" s="116" customFormat="1" ht="12.75" customHeight="1">
      <c r="A2" s="114" t="s">
        <v>294</v>
      </c>
      <c r="B2" s="468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3"/>
      <c r="O2" s="115"/>
      <c r="P2" s="149" t="s">
        <v>295</v>
      </c>
    </row>
    <row r="3" spans="1:17" s="116" customFormat="1" ht="12.75" customHeight="1">
      <c r="A3" s="117" t="s">
        <v>296</v>
      </c>
      <c r="B3" s="469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508" t="s">
        <v>41</v>
      </c>
      <c r="O3" s="508"/>
      <c r="P3" s="509"/>
    </row>
    <row r="4" spans="1:17" s="116" customFormat="1" ht="12.75" customHeight="1">
      <c r="A4" s="117" t="s">
        <v>297</v>
      </c>
      <c r="B4" s="469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 t="s">
        <v>42</v>
      </c>
      <c r="O4" s="113"/>
      <c r="P4" s="150"/>
    </row>
    <row r="5" spans="1:17" s="116" customFormat="1" ht="12.75" customHeight="1">
      <c r="A5" s="114" t="s">
        <v>298</v>
      </c>
      <c r="B5" s="468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13"/>
      <c r="P5" s="150"/>
    </row>
    <row r="6" spans="1:17" s="116" customFormat="1" ht="12.75" customHeight="1">
      <c r="A6" s="114" t="s">
        <v>299</v>
      </c>
      <c r="B6" s="468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13"/>
      <c r="P6" s="150"/>
    </row>
    <row r="7" spans="1:17" s="116" customFormat="1" ht="12.75" customHeight="1">
      <c r="A7" s="119"/>
      <c r="B7" s="470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13"/>
      <c r="P7" s="150"/>
    </row>
    <row r="8" spans="1:17" s="118" customFormat="1" ht="17.45" customHeight="1">
      <c r="A8" s="218"/>
      <c r="B8" s="218"/>
      <c r="C8" s="513" t="s">
        <v>43</v>
      </c>
      <c r="D8" s="514"/>
      <c r="E8" s="514"/>
      <c r="F8" s="514"/>
      <c r="G8" s="514"/>
      <c r="H8" s="514"/>
      <c r="I8" s="514"/>
      <c r="J8" s="514"/>
      <c r="K8" s="514"/>
      <c r="L8" s="494"/>
      <c r="M8" s="494"/>
      <c r="N8" s="494"/>
      <c r="O8" s="494"/>
      <c r="P8" s="495"/>
      <c r="Q8" s="219"/>
    </row>
    <row r="9" spans="1:17" s="118" customFormat="1" ht="17.45" customHeight="1" thickBot="1">
      <c r="A9" s="489"/>
      <c r="B9" s="489"/>
      <c r="C9" s="510" t="s">
        <v>601</v>
      </c>
      <c r="D9" s="511"/>
      <c r="E9" s="512"/>
      <c r="F9" s="510" t="s">
        <v>602</v>
      </c>
      <c r="G9" s="511"/>
      <c r="H9" s="512"/>
      <c r="I9" s="510" t="s">
        <v>600</v>
      </c>
      <c r="J9" s="511"/>
      <c r="K9" s="512"/>
      <c r="L9" s="490"/>
      <c r="M9" s="490"/>
      <c r="N9" s="490"/>
      <c r="O9" s="490"/>
      <c r="P9" s="490"/>
      <c r="Q9" s="491"/>
    </row>
    <row r="10" spans="1:17" s="118" customFormat="1" ht="28.9" customHeight="1" thickBot="1">
      <c r="A10" s="226" t="s">
        <v>300</v>
      </c>
      <c r="B10" s="471" t="s">
        <v>563</v>
      </c>
      <c r="C10" s="492" t="s">
        <v>46</v>
      </c>
      <c r="D10" s="493" t="s">
        <v>47</v>
      </c>
      <c r="E10" s="493" t="s">
        <v>615</v>
      </c>
      <c r="F10" s="492" t="s">
        <v>46</v>
      </c>
      <c r="G10" s="493" t="s">
        <v>47</v>
      </c>
      <c r="H10" s="493" t="s">
        <v>616</v>
      </c>
      <c r="I10" s="492" t="s">
        <v>46</v>
      </c>
      <c r="J10" s="493" t="s">
        <v>47</v>
      </c>
      <c r="K10" s="493" t="s">
        <v>617</v>
      </c>
      <c r="L10" s="227" t="s">
        <v>48</v>
      </c>
      <c r="M10" s="227" t="s">
        <v>268</v>
      </c>
      <c r="N10" s="227" t="s">
        <v>32</v>
      </c>
      <c r="O10" s="228" t="s">
        <v>44</v>
      </c>
      <c r="P10" s="229" t="s">
        <v>45</v>
      </c>
      <c r="Q10" s="230" t="s">
        <v>34</v>
      </c>
    </row>
    <row r="11" spans="1:17" ht="15" customHeight="1">
      <c r="A11" s="220">
        <v>41366</v>
      </c>
      <c r="B11" s="220"/>
      <c r="C11" s="221">
        <v>1</v>
      </c>
      <c r="D11" s="221">
        <v>131</v>
      </c>
      <c r="E11" s="222">
        <f t="shared" ref="E11:E16" si="0">IF(((C11="")*AND(D11="")),"",D11-C11)</f>
        <v>130</v>
      </c>
      <c r="F11" s="222"/>
      <c r="G11" s="222"/>
      <c r="H11" s="222"/>
      <c r="I11" s="222"/>
      <c r="J11" s="222"/>
      <c r="K11" s="222"/>
      <c r="L11" s="222">
        <v>40</v>
      </c>
      <c r="M11" s="222">
        <v>40</v>
      </c>
      <c r="N11" s="223" t="str">
        <f t="shared" ref="N11:N64" si="1">IF(E11="","",IF(E11&lt;=40,"Pass","Fail"))</f>
        <v>Fail</v>
      </c>
      <c r="O11" s="224"/>
      <c r="P11" s="224"/>
      <c r="Q11" s="225"/>
    </row>
    <row r="12" spans="1:17" ht="15" customHeight="1">
      <c r="A12" s="122">
        <v>41366</v>
      </c>
      <c r="B12" s="122"/>
      <c r="C12" s="124">
        <v>18</v>
      </c>
      <c r="D12" s="124">
        <v>79</v>
      </c>
      <c r="E12" s="125">
        <f t="shared" si="0"/>
        <v>61</v>
      </c>
      <c r="F12" s="125"/>
      <c r="G12" s="125"/>
      <c r="H12" s="125"/>
      <c r="I12" s="125"/>
      <c r="J12" s="125"/>
      <c r="K12" s="125"/>
      <c r="L12" s="125">
        <v>40</v>
      </c>
      <c r="M12" s="125">
        <v>40</v>
      </c>
      <c r="N12" s="126" t="str">
        <f t="shared" si="1"/>
        <v>Fail</v>
      </c>
      <c r="O12" s="120"/>
      <c r="P12" s="120"/>
      <c r="Q12" s="127"/>
    </row>
    <row r="13" spans="1:17" ht="12.75" customHeight="1">
      <c r="A13" s="123">
        <v>41661</v>
      </c>
      <c r="B13" s="123"/>
      <c r="C13" s="128">
        <v>11</v>
      </c>
      <c r="D13" s="128">
        <v>130</v>
      </c>
      <c r="E13" s="129">
        <f t="shared" si="0"/>
        <v>119</v>
      </c>
      <c r="F13" s="129"/>
      <c r="G13" s="129"/>
      <c r="H13" s="129"/>
      <c r="I13" s="129"/>
      <c r="J13" s="129"/>
      <c r="K13" s="129"/>
      <c r="L13" s="125">
        <v>40</v>
      </c>
      <c r="M13" s="125">
        <v>40</v>
      </c>
      <c r="N13" s="126" t="str">
        <f t="shared" si="1"/>
        <v>Fail</v>
      </c>
      <c r="O13" s="121">
        <v>1400</v>
      </c>
      <c r="P13" s="121" t="s">
        <v>49</v>
      </c>
      <c r="Q13" s="127"/>
    </row>
    <row r="14" spans="1:17" ht="12.75" customHeight="1">
      <c r="A14" s="123">
        <v>41688</v>
      </c>
      <c r="B14" s="123"/>
      <c r="C14" s="128">
        <v>15</v>
      </c>
      <c r="D14" s="128">
        <v>522</v>
      </c>
      <c r="E14" s="129">
        <f t="shared" si="0"/>
        <v>507</v>
      </c>
      <c r="F14" s="129"/>
      <c r="G14" s="129"/>
      <c r="H14" s="129"/>
      <c r="I14" s="129"/>
      <c r="J14" s="129"/>
      <c r="K14" s="129"/>
      <c r="L14" s="125">
        <v>40</v>
      </c>
      <c r="M14" s="125">
        <v>40</v>
      </c>
      <c r="N14" s="126" t="str">
        <f t="shared" si="1"/>
        <v>Fail</v>
      </c>
      <c r="O14" s="120" t="s">
        <v>50</v>
      </c>
      <c r="P14" s="121" t="s">
        <v>51</v>
      </c>
      <c r="Q14" s="127"/>
    </row>
    <row r="15" spans="1:17" ht="12.75" customHeight="1">
      <c r="A15" s="123">
        <v>41694</v>
      </c>
      <c r="B15" s="123"/>
      <c r="C15" s="128">
        <v>8</v>
      </c>
      <c r="D15" s="128">
        <v>62</v>
      </c>
      <c r="E15" s="129">
        <f t="shared" si="0"/>
        <v>54</v>
      </c>
      <c r="F15" s="129"/>
      <c r="G15" s="129"/>
      <c r="H15" s="129"/>
      <c r="I15" s="129"/>
      <c r="J15" s="129"/>
      <c r="K15" s="129"/>
      <c r="L15" s="125">
        <v>40</v>
      </c>
      <c r="M15" s="125">
        <v>40</v>
      </c>
      <c r="N15" s="126" t="str">
        <f t="shared" si="1"/>
        <v>Fail</v>
      </c>
      <c r="O15" s="120">
        <v>1400</v>
      </c>
      <c r="P15" s="121" t="s">
        <v>52</v>
      </c>
      <c r="Q15" s="127"/>
    </row>
    <row r="16" spans="1:17" ht="12.75" customHeight="1">
      <c r="A16" s="123">
        <v>41695</v>
      </c>
      <c r="B16" s="123"/>
      <c r="C16" s="128">
        <v>62</v>
      </c>
      <c r="D16" s="128">
        <v>142</v>
      </c>
      <c r="E16" s="129">
        <f t="shared" si="0"/>
        <v>80</v>
      </c>
      <c r="F16" s="129"/>
      <c r="G16" s="129"/>
      <c r="H16" s="129"/>
      <c r="I16" s="129"/>
      <c r="J16" s="129"/>
      <c r="K16" s="129"/>
      <c r="L16" s="125">
        <v>40</v>
      </c>
      <c r="M16" s="125">
        <v>40</v>
      </c>
      <c r="N16" s="126" t="str">
        <f t="shared" si="1"/>
        <v>Fail</v>
      </c>
      <c r="O16" s="120">
        <v>1400</v>
      </c>
      <c r="P16" s="121" t="s">
        <v>52</v>
      </c>
      <c r="Q16" s="127"/>
    </row>
    <row r="17" spans="1:17" ht="12.75" customHeight="1">
      <c r="A17" s="123">
        <v>41695</v>
      </c>
      <c r="B17" s="123"/>
      <c r="C17" s="128">
        <v>62</v>
      </c>
      <c r="D17" s="128">
        <v>6</v>
      </c>
      <c r="E17" s="129">
        <v>50</v>
      </c>
      <c r="F17" s="129"/>
      <c r="G17" s="129"/>
      <c r="H17" s="129"/>
      <c r="I17" s="129"/>
      <c r="J17" s="129"/>
      <c r="K17" s="129"/>
      <c r="L17" s="125">
        <v>40</v>
      </c>
      <c r="M17" s="125">
        <v>40</v>
      </c>
      <c r="N17" s="126" t="str">
        <f t="shared" si="1"/>
        <v>Fail</v>
      </c>
      <c r="O17" s="120">
        <v>1400</v>
      </c>
      <c r="P17" s="121" t="s">
        <v>53</v>
      </c>
      <c r="Q17" s="127"/>
    </row>
    <row r="18" spans="1:17" ht="12.75" customHeight="1">
      <c r="A18" s="123">
        <v>41695</v>
      </c>
      <c r="B18" s="123"/>
      <c r="C18" s="128">
        <v>50</v>
      </c>
      <c r="D18" s="128">
        <v>484</v>
      </c>
      <c r="E18" s="129">
        <f t="shared" ref="E18:E74" si="2">IF(((C18="")*AND(D18="")),"",D18-C18)</f>
        <v>434</v>
      </c>
      <c r="F18" s="129"/>
      <c r="G18" s="129"/>
      <c r="H18" s="129"/>
      <c r="I18" s="129"/>
      <c r="J18" s="129"/>
      <c r="K18" s="129"/>
      <c r="L18" s="125">
        <v>40</v>
      </c>
      <c r="M18" s="125">
        <v>40</v>
      </c>
      <c r="N18" s="126" t="str">
        <f t="shared" si="1"/>
        <v>Fail</v>
      </c>
      <c r="O18" s="120">
        <v>1400</v>
      </c>
      <c r="P18" s="121" t="s">
        <v>53</v>
      </c>
      <c r="Q18" s="127"/>
    </row>
    <row r="19" spans="1:17" ht="12.75" customHeight="1">
      <c r="A19" s="123">
        <v>41771</v>
      </c>
      <c r="B19" s="123"/>
      <c r="C19" s="128">
        <v>65</v>
      </c>
      <c r="D19" s="128">
        <v>111</v>
      </c>
      <c r="E19" s="129">
        <f t="shared" si="2"/>
        <v>46</v>
      </c>
      <c r="F19" s="129"/>
      <c r="G19" s="129"/>
      <c r="H19" s="129"/>
      <c r="I19" s="129"/>
      <c r="J19" s="129"/>
      <c r="K19" s="129"/>
      <c r="L19" s="125">
        <v>40</v>
      </c>
      <c r="M19" s="125">
        <v>40</v>
      </c>
      <c r="N19" s="130" t="str">
        <f t="shared" si="1"/>
        <v>Fail</v>
      </c>
      <c r="O19" s="121">
        <v>1400</v>
      </c>
      <c r="P19" s="131" t="s">
        <v>54</v>
      </c>
      <c r="Q19" s="127"/>
    </row>
    <row r="20" spans="1:17" ht="12.75" customHeight="1">
      <c r="A20" s="123">
        <v>41803</v>
      </c>
      <c r="B20" s="123"/>
      <c r="C20" s="128">
        <v>44</v>
      </c>
      <c r="D20" s="128">
        <v>91</v>
      </c>
      <c r="E20" s="129">
        <f t="shared" si="2"/>
        <v>47</v>
      </c>
      <c r="F20" s="129"/>
      <c r="G20" s="129"/>
      <c r="H20" s="129"/>
      <c r="I20" s="129"/>
      <c r="J20" s="129"/>
      <c r="K20" s="129"/>
      <c r="L20" s="125">
        <v>40</v>
      </c>
      <c r="M20" s="125">
        <v>40</v>
      </c>
      <c r="N20" s="130" t="str">
        <f t="shared" si="1"/>
        <v>Fail</v>
      </c>
      <c r="O20" s="121">
        <v>1400</v>
      </c>
      <c r="P20" s="121" t="s">
        <v>54</v>
      </c>
      <c r="Q20" s="127"/>
    </row>
    <row r="21" spans="1:17" ht="12.75" customHeight="1">
      <c r="A21" s="123">
        <v>41808</v>
      </c>
      <c r="B21" s="123"/>
      <c r="C21" s="128">
        <v>43</v>
      </c>
      <c r="D21" s="128">
        <v>105</v>
      </c>
      <c r="E21" s="129">
        <f t="shared" si="2"/>
        <v>62</v>
      </c>
      <c r="F21" s="129"/>
      <c r="G21" s="129"/>
      <c r="H21" s="129"/>
      <c r="I21" s="129"/>
      <c r="J21" s="129"/>
      <c r="K21" s="129"/>
      <c r="L21" s="125">
        <v>40</v>
      </c>
      <c r="M21" s="125">
        <v>40</v>
      </c>
      <c r="N21" s="130" t="str">
        <f t="shared" si="1"/>
        <v>Fail</v>
      </c>
      <c r="O21" s="121">
        <v>64</v>
      </c>
      <c r="P21" s="121" t="s">
        <v>54</v>
      </c>
      <c r="Q21" s="127"/>
    </row>
    <row r="22" spans="1:17" ht="12.75" customHeight="1">
      <c r="A22" s="123">
        <v>41820</v>
      </c>
      <c r="B22" s="123"/>
      <c r="C22" s="128">
        <v>3</v>
      </c>
      <c r="D22" s="128">
        <v>67</v>
      </c>
      <c r="E22" s="129">
        <f t="shared" si="2"/>
        <v>64</v>
      </c>
      <c r="F22" s="129"/>
      <c r="G22" s="129"/>
      <c r="H22" s="129"/>
      <c r="I22" s="129"/>
      <c r="J22" s="129"/>
      <c r="K22" s="129"/>
      <c r="L22" s="125">
        <v>40</v>
      </c>
      <c r="M22" s="125">
        <v>40</v>
      </c>
      <c r="N22" s="130" t="str">
        <f t="shared" si="1"/>
        <v>Fail</v>
      </c>
      <c r="O22" s="121">
        <v>1400</v>
      </c>
      <c r="P22" s="121" t="s">
        <v>55</v>
      </c>
      <c r="Q22" s="127"/>
    </row>
    <row r="23" spans="1:17" ht="12.75" customHeight="1">
      <c r="A23" s="123">
        <v>42002</v>
      </c>
      <c r="B23" s="123"/>
      <c r="C23" s="128">
        <v>2</v>
      </c>
      <c r="D23" s="128">
        <v>741</v>
      </c>
      <c r="E23" s="129">
        <f t="shared" si="2"/>
        <v>739</v>
      </c>
      <c r="F23" s="129"/>
      <c r="G23" s="129"/>
      <c r="H23" s="129"/>
      <c r="I23" s="129"/>
      <c r="J23" s="129"/>
      <c r="K23" s="129"/>
      <c r="L23" s="125">
        <v>40</v>
      </c>
      <c r="M23" s="125">
        <v>40</v>
      </c>
      <c r="N23" s="130" t="str">
        <f t="shared" si="1"/>
        <v>Fail</v>
      </c>
      <c r="O23" s="121">
        <v>102</v>
      </c>
      <c r="P23" s="121" t="s">
        <v>55</v>
      </c>
      <c r="Q23" s="127"/>
    </row>
    <row r="24" spans="1:17" ht="12.75" customHeight="1">
      <c r="A24" s="123">
        <v>42028</v>
      </c>
      <c r="B24" s="123"/>
      <c r="C24" s="128">
        <v>1</v>
      </c>
      <c r="D24" s="128">
        <v>141</v>
      </c>
      <c r="E24" s="129">
        <f t="shared" si="2"/>
        <v>140</v>
      </c>
      <c r="F24" s="129"/>
      <c r="G24" s="129"/>
      <c r="H24" s="129"/>
      <c r="I24" s="129"/>
      <c r="J24" s="129"/>
      <c r="K24" s="129"/>
      <c r="L24" s="125">
        <v>40</v>
      </c>
      <c r="M24" s="125">
        <v>40</v>
      </c>
      <c r="N24" s="130" t="str">
        <f t="shared" si="1"/>
        <v>Fail</v>
      </c>
      <c r="O24" s="121">
        <v>1428</v>
      </c>
      <c r="P24" s="121" t="s">
        <v>55</v>
      </c>
      <c r="Q24" s="127"/>
    </row>
    <row r="25" spans="1:17" ht="12.75" customHeight="1">
      <c r="A25" s="123">
        <v>42080</v>
      </c>
      <c r="B25" s="123"/>
      <c r="C25" s="128">
        <v>44</v>
      </c>
      <c r="D25" s="128">
        <v>198</v>
      </c>
      <c r="E25" s="129">
        <f t="shared" si="2"/>
        <v>154</v>
      </c>
      <c r="F25" s="129"/>
      <c r="G25" s="129"/>
      <c r="H25" s="129"/>
      <c r="I25" s="129"/>
      <c r="J25" s="129"/>
      <c r="K25" s="129"/>
      <c r="L25" s="125">
        <v>40</v>
      </c>
      <c r="M25" s="125">
        <v>40</v>
      </c>
      <c r="N25" s="130" t="str">
        <f t="shared" si="1"/>
        <v>Fail</v>
      </c>
      <c r="O25" s="121">
        <v>1400</v>
      </c>
      <c r="P25" s="121" t="s">
        <v>55</v>
      </c>
      <c r="Q25" s="127"/>
    </row>
    <row r="26" spans="1:17" ht="12.75" customHeight="1">
      <c r="A26" s="123">
        <v>42149</v>
      </c>
      <c r="B26" s="123"/>
      <c r="C26" s="128">
        <v>6</v>
      </c>
      <c r="D26" s="128">
        <v>75</v>
      </c>
      <c r="E26" s="129">
        <f t="shared" si="2"/>
        <v>69</v>
      </c>
      <c r="F26" s="129"/>
      <c r="G26" s="129"/>
      <c r="H26" s="129"/>
      <c r="I26" s="129"/>
      <c r="J26" s="129"/>
      <c r="K26" s="129"/>
      <c r="L26" s="125">
        <v>40</v>
      </c>
      <c r="M26" s="125">
        <v>40</v>
      </c>
      <c r="N26" s="130" t="str">
        <f t="shared" si="1"/>
        <v>Fail</v>
      </c>
      <c r="O26" s="121">
        <v>1159</v>
      </c>
      <c r="P26" s="121" t="s">
        <v>56</v>
      </c>
      <c r="Q26" s="127"/>
    </row>
    <row r="27" spans="1:17" ht="12.75" customHeight="1">
      <c r="A27" s="123">
        <v>42172</v>
      </c>
      <c r="B27" s="123"/>
      <c r="C27" s="128">
        <v>0</v>
      </c>
      <c r="D27" s="128">
        <v>48</v>
      </c>
      <c r="E27" s="129">
        <f t="shared" si="2"/>
        <v>48</v>
      </c>
      <c r="F27" s="129"/>
      <c r="G27" s="129"/>
      <c r="H27" s="129"/>
      <c r="I27" s="129"/>
      <c r="J27" s="129"/>
      <c r="K27" s="129"/>
      <c r="L27" s="125">
        <v>40</v>
      </c>
      <c r="M27" s="125">
        <v>40</v>
      </c>
      <c r="N27" s="130" t="str">
        <f t="shared" si="1"/>
        <v>Fail</v>
      </c>
      <c r="O27" s="121">
        <v>1159</v>
      </c>
      <c r="P27" s="121" t="s">
        <v>55</v>
      </c>
      <c r="Q27" s="127"/>
    </row>
    <row r="28" spans="1:17" ht="12.75" customHeight="1">
      <c r="A28" s="123">
        <v>42275</v>
      </c>
      <c r="B28" s="123"/>
      <c r="C28" s="128">
        <v>33</v>
      </c>
      <c r="D28" s="128">
        <v>115</v>
      </c>
      <c r="E28" s="129">
        <f t="shared" si="2"/>
        <v>82</v>
      </c>
      <c r="F28" s="129"/>
      <c r="G28" s="129"/>
      <c r="H28" s="129"/>
      <c r="I28" s="129"/>
      <c r="J28" s="129"/>
      <c r="K28" s="129"/>
      <c r="L28" s="125">
        <v>40</v>
      </c>
      <c r="M28" s="125">
        <v>40</v>
      </c>
      <c r="N28" s="130" t="str">
        <f t="shared" si="1"/>
        <v>Fail</v>
      </c>
      <c r="O28" s="121">
        <v>1428</v>
      </c>
      <c r="P28" s="121" t="s">
        <v>57</v>
      </c>
      <c r="Q28" s="127"/>
    </row>
    <row r="29" spans="1:17" ht="12.75" customHeight="1">
      <c r="A29" s="123">
        <v>42293</v>
      </c>
      <c r="B29" s="123" t="s">
        <v>564</v>
      </c>
      <c r="C29" s="128">
        <v>2</v>
      </c>
      <c r="D29" s="128">
        <v>100</v>
      </c>
      <c r="E29" s="129">
        <f t="shared" si="2"/>
        <v>98</v>
      </c>
      <c r="F29" s="129"/>
      <c r="G29" s="129"/>
      <c r="H29" s="129"/>
      <c r="I29" s="129"/>
      <c r="J29" s="129"/>
      <c r="K29" s="129"/>
      <c r="L29" s="125">
        <v>40</v>
      </c>
      <c r="M29" s="125">
        <v>40</v>
      </c>
      <c r="N29" s="130" t="str">
        <f t="shared" si="1"/>
        <v>Fail</v>
      </c>
      <c r="O29" s="121">
        <v>1159</v>
      </c>
      <c r="P29" s="121" t="s">
        <v>603</v>
      </c>
      <c r="Q29" s="127"/>
    </row>
    <row r="30" spans="1:17" ht="12.75" customHeight="1">
      <c r="A30" s="123">
        <v>42293</v>
      </c>
      <c r="B30" s="123" t="s">
        <v>564</v>
      </c>
      <c r="C30" s="128">
        <v>5</v>
      </c>
      <c r="D30" s="128">
        <v>447</v>
      </c>
      <c r="E30" s="129">
        <f t="shared" si="2"/>
        <v>442</v>
      </c>
      <c r="F30" s="129"/>
      <c r="G30" s="129"/>
      <c r="H30" s="129"/>
      <c r="I30" s="129"/>
      <c r="J30" s="129"/>
      <c r="K30" s="129"/>
      <c r="L30" s="125">
        <v>40</v>
      </c>
      <c r="M30" s="125">
        <v>40</v>
      </c>
      <c r="N30" s="130" t="str">
        <f t="shared" si="1"/>
        <v>Fail</v>
      </c>
      <c r="O30" s="121">
        <v>1159</v>
      </c>
      <c r="P30" s="121" t="s">
        <v>604</v>
      </c>
      <c r="Q30" s="127"/>
    </row>
    <row r="31" spans="1:17" ht="12.75" customHeight="1">
      <c r="A31" s="123">
        <v>42305</v>
      </c>
      <c r="B31" s="123"/>
      <c r="C31" s="128">
        <v>4</v>
      </c>
      <c r="D31" s="128">
        <v>67</v>
      </c>
      <c r="E31" s="129">
        <f t="shared" si="2"/>
        <v>63</v>
      </c>
      <c r="F31" s="129"/>
      <c r="G31" s="129"/>
      <c r="H31" s="129"/>
      <c r="I31" s="129"/>
      <c r="J31" s="129"/>
      <c r="K31" s="129"/>
      <c r="L31" s="125">
        <v>40</v>
      </c>
      <c r="M31" s="125">
        <v>40</v>
      </c>
      <c r="N31" s="130" t="str">
        <f t="shared" si="1"/>
        <v>Fail</v>
      </c>
      <c r="O31" s="127" t="s">
        <v>58</v>
      </c>
      <c r="P31" s="127"/>
      <c r="Q31" s="127"/>
    </row>
    <row r="32" spans="1:17" ht="12.75" customHeight="1">
      <c r="A32" s="123">
        <v>42404</v>
      </c>
      <c r="B32" s="123"/>
      <c r="C32" s="128">
        <v>24</v>
      </c>
      <c r="D32" s="128">
        <v>64</v>
      </c>
      <c r="E32" s="129">
        <f t="shared" si="2"/>
        <v>40</v>
      </c>
      <c r="F32" s="129"/>
      <c r="G32" s="129"/>
      <c r="H32" s="129"/>
      <c r="I32" s="129"/>
      <c r="J32" s="129"/>
      <c r="K32" s="129"/>
      <c r="L32" s="125">
        <v>40</v>
      </c>
      <c r="M32" s="125">
        <v>40</v>
      </c>
      <c r="N32" s="130" t="str">
        <f t="shared" si="1"/>
        <v>Pass</v>
      </c>
      <c r="O32" s="121">
        <v>1428</v>
      </c>
      <c r="P32" s="121" t="s">
        <v>57</v>
      </c>
      <c r="Q32" s="127"/>
    </row>
    <row r="33" spans="1:17" ht="12.75" customHeight="1">
      <c r="A33" s="123">
        <v>42417</v>
      </c>
      <c r="B33" s="123"/>
      <c r="C33" s="128">
        <v>2</v>
      </c>
      <c r="D33" s="128">
        <v>96</v>
      </c>
      <c r="E33" s="129">
        <f t="shared" si="2"/>
        <v>94</v>
      </c>
      <c r="F33" s="129"/>
      <c r="G33" s="129"/>
      <c r="H33" s="129"/>
      <c r="I33" s="129"/>
      <c r="J33" s="129"/>
      <c r="K33" s="129"/>
      <c r="L33" s="125">
        <v>40</v>
      </c>
      <c r="M33" s="125">
        <v>40</v>
      </c>
      <c r="N33" s="130" t="str">
        <f t="shared" si="1"/>
        <v>Fail</v>
      </c>
      <c r="O33" s="121">
        <v>1159</v>
      </c>
      <c r="P33" s="121" t="s">
        <v>59</v>
      </c>
      <c r="Q33" s="127"/>
    </row>
    <row r="34" spans="1:17" ht="12.75" customHeight="1">
      <c r="A34" s="123">
        <v>42417</v>
      </c>
      <c r="B34" s="123"/>
      <c r="C34" s="128">
        <v>1</v>
      </c>
      <c r="D34" s="128">
        <v>35</v>
      </c>
      <c r="E34" s="129">
        <f t="shared" si="2"/>
        <v>34</v>
      </c>
      <c r="F34" s="129"/>
      <c r="G34" s="129"/>
      <c r="H34" s="129"/>
      <c r="I34" s="129"/>
      <c r="J34" s="129"/>
      <c r="K34" s="129"/>
      <c r="L34" s="125">
        <v>40</v>
      </c>
      <c r="M34" s="125">
        <v>40</v>
      </c>
      <c r="N34" s="130" t="str">
        <f t="shared" si="1"/>
        <v>Pass</v>
      </c>
      <c r="O34" s="121">
        <v>1159</v>
      </c>
      <c r="P34" s="121" t="s">
        <v>60</v>
      </c>
      <c r="Q34" s="127"/>
    </row>
    <row r="35" spans="1:17" ht="12.75" customHeight="1">
      <c r="A35" s="123">
        <v>42445</v>
      </c>
      <c r="B35" s="123"/>
      <c r="C35" s="128">
        <v>9</v>
      </c>
      <c r="D35" s="128">
        <v>42</v>
      </c>
      <c r="E35" s="129">
        <f t="shared" si="2"/>
        <v>33</v>
      </c>
      <c r="F35" s="129"/>
      <c r="G35" s="129"/>
      <c r="H35" s="129"/>
      <c r="I35" s="129"/>
      <c r="J35" s="129"/>
      <c r="K35" s="129"/>
      <c r="L35" s="125">
        <v>40</v>
      </c>
      <c r="M35" s="125">
        <v>40</v>
      </c>
      <c r="N35" s="130" t="str">
        <f t="shared" si="1"/>
        <v>Pass</v>
      </c>
      <c r="O35" s="121">
        <v>102</v>
      </c>
      <c r="P35" s="121" t="s">
        <v>57</v>
      </c>
      <c r="Q35" s="127"/>
    </row>
    <row r="36" spans="1:17" ht="12.75" customHeight="1">
      <c r="A36" s="123">
        <v>42465</v>
      </c>
      <c r="B36" s="123"/>
      <c r="C36" s="128">
        <v>16</v>
      </c>
      <c r="D36" s="128">
        <v>204</v>
      </c>
      <c r="E36" s="129">
        <f t="shared" si="2"/>
        <v>188</v>
      </c>
      <c r="F36" s="129"/>
      <c r="G36" s="129"/>
      <c r="H36" s="129"/>
      <c r="I36" s="129"/>
      <c r="J36" s="129"/>
      <c r="K36" s="129"/>
      <c r="L36" s="129">
        <v>40</v>
      </c>
      <c r="M36" s="129">
        <v>40</v>
      </c>
      <c r="N36" s="130" t="str">
        <f t="shared" si="1"/>
        <v>Fail</v>
      </c>
      <c r="O36" s="121">
        <v>1159</v>
      </c>
      <c r="P36" s="121" t="s">
        <v>61</v>
      </c>
      <c r="Q36" s="127"/>
    </row>
    <row r="37" spans="1:17" ht="12.75" customHeight="1">
      <c r="A37" s="123">
        <v>42465</v>
      </c>
      <c r="B37" s="123"/>
      <c r="C37" s="128">
        <v>2</v>
      </c>
      <c r="D37" s="128">
        <v>24</v>
      </c>
      <c r="E37" s="129">
        <f t="shared" si="2"/>
        <v>22</v>
      </c>
      <c r="F37" s="129"/>
      <c r="G37" s="129"/>
      <c r="H37" s="129"/>
      <c r="I37" s="129"/>
      <c r="J37" s="129"/>
      <c r="K37" s="129"/>
      <c r="L37" s="129">
        <v>40</v>
      </c>
      <c r="M37" s="129">
        <v>40</v>
      </c>
      <c r="N37" s="130" t="str">
        <f t="shared" si="1"/>
        <v>Pass</v>
      </c>
      <c r="O37" s="121">
        <v>1159</v>
      </c>
      <c r="P37" s="121" t="s">
        <v>62</v>
      </c>
      <c r="Q37" s="127"/>
    </row>
    <row r="38" spans="1:17" ht="12.75" customHeight="1">
      <c r="A38" s="123">
        <v>42475</v>
      </c>
      <c r="B38" s="123"/>
      <c r="C38" s="128">
        <v>7</v>
      </c>
      <c r="D38" s="128">
        <v>86</v>
      </c>
      <c r="E38" s="129">
        <f t="shared" si="2"/>
        <v>79</v>
      </c>
      <c r="F38" s="129"/>
      <c r="G38" s="129"/>
      <c r="H38" s="129"/>
      <c r="I38" s="129"/>
      <c r="J38" s="129"/>
      <c r="K38" s="129"/>
      <c r="L38" s="125">
        <v>40</v>
      </c>
      <c r="M38" s="125">
        <v>40</v>
      </c>
      <c r="N38" s="130" t="str">
        <f t="shared" si="1"/>
        <v>Fail</v>
      </c>
      <c r="O38" s="121">
        <v>1159</v>
      </c>
      <c r="P38" s="121" t="s">
        <v>63</v>
      </c>
      <c r="Q38" s="127"/>
    </row>
    <row r="39" spans="1:17" ht="12.75" customHeight="1">
      <c r="A39" s="123">
        <v>42478</v>
      </c>
      <c r="B39" s="123"/>
      <c r="C39" s="128">
        <v>6</v>
      </c>
      <c r="D39" s="128">
        <v>42</v>
      </c>
      <c r="E39" s="129">
        <f t="shared" si="2"/>
        <v>36</v>
      </c>
      <c r="F39" s="129"/>
      <c r="G39" s="129"/>
      <c r="H39" s="129"/>
      <c r="I39" s="129"/>
      <c r="J39" s="129"/>
      <c r="K39" s="129"/>
      <c r="L39" s="125">
        <v>40</v>
      </c>
      <c r="M39" s="125">
        <v>40</v>
      </c>
      <c r="N39" s="130" t="str">
        <f t="shared" si="1"/>
        <v>Pass</v>
      </c>
      <c r="O39" s="121">
        <v>1159</v>
      </c>
      <c r="P39" s="121" t="s">
        <v>64</v>
      </c>
      <c r="Q39" s="127"/>
    </row>
    <row r="40" spans="1:17" ht="12.75" customHeight="1">
      <c r="A40" s="123">
        <v>42487</v>
      </c>
      <c r="B40" s="123"/>
      <c r="C40" s="128">
        <v>5</v>
      </c>
      <c r="D40" s="128">
        <v>179</v>
      </c>
      <c r="E40" s="129">
        <f t="shared" si="2"/>
        <v>174</v>
      </c>
      <c r="F40" s="129"/>
      <c r="G40" s="129"/>
      <c r="H40" s="129"/>
      <c r="I40" s="129"/>
      <c r="J40" s="129"/>
      <c r="K40" s="129"/>
      <c r="L40" s="129">
        <v>40</v>
      </c>
      <c r="M40" s="129">
        <v>40</v>
      </c>
      <c r="N40" s="130" t="str">
        <f t="shared" si="1"/>
        <v>Fail</v>
      </c>
      <c r="O40" s="121">
        <v>1159</v>
      </c>
      <c r="P40" s="121" t="s">
        <v>65</v>
      </c>
      <c r="Q40" s="127"/>
    </row>
    <row r="41" spans="1:17" ht="12.75" customHeight="1">
      <c r="A41" s="123">
        <v>42487</v>
      </c>
      <c r="B41" s="123"/>
      <c r="C41" s="128">
        <v>26</v>
      </c>
      <c r="D41" s="128">
        <v>115</v>
      </c>
      <c r="E41" s="129">
        <f t="shared" si="2"/>
        <v>89</v>
      </c>
      <c r="F41" s="129"/>
      <c r="G41" s="129"/>
      <c r="H41" s="129"/>
      <c r="I41" s="129"/>
      <c r="J41" s="129"/>
      <c r="K41" s="129"/>
      <c r="L41" s="125">
        <v>40</v>
      </c>
      <c r="M41" s="125">
        <v>40</v>
      </c>
      <c r="N41" s="130" t="str">
        <f t="shared" si="1"/>
        <v>Fail</v>
      </c>
      <c r="O41" s="121">
        <v>1159</v>
      </c>
      <c r="P41" s="121" t="s">
        <v>66</v>
      </c>
      <c r="Q41" s="127"/>
    </row>
    <row r="42" spans="1:17" ht="12.75" customHeight="1">
      <c r="A42" s="123">
        <v>42487</v>
      </c>
      <c r="B42" s="123"/>
      <c r="C42" s="128">
        <v>5</v>
      </c>
      <c r="D42" s="128">
        <v>54</v>
      </c>
      <c r="E42" s="129">
        <f t="shared" si="2"/>
        <v>49</v>
      </c>
      <c r="F42" s="129"/>
      <c r="G42" s="129"/>
      <c r="H42" s="129"/>
      <c r="I42" s="129"/>
      <c r="J42" s="129"/>
      <c r="K42" s="129"/>
      <c r="L42" s="125">
        <v>40</v>
      </c>
      <c r="M42" s="125">
        <v>40</v>
      </c>
      <c r="N42" s="130" t="str">
        <f t="shared" si="1"/>
        <v>Fail</v>
      </c>
      <c r="O42" s="121">
        <v>1159</v>
      </c>
      <c r="P42" s="121" t="s">
        <v>67</v>
      </c>
      <c r="Q42" s="127"/>
    </row>
    <row r="43" spans="1:17" ht="12.75" customHeight="1">
      <c r="A43" s="123">
        <v>42526</v>
      </c>
      <c r="B43" s="123"/>
      <c r="C43" s="128">
        <v>14</v>
      </c>
      <c r="D43" s="128">
        <v>28</v>
      </c>
      <c r="E43" s="129">
        <f t="shared" si="2"/>
        <v>14</v>
      </c>
      <c r="F43" s="129"/>
      <c r="G43" s="129"/>
      <c r="H43" s="129"/>
      <c r="I43" s="129"/>
      <c r="J43" s="129"/>
      <c r="K43" s="129"/>
      <c r="L43" s="129">
        <v>40</v>
      </c>
      <c r="M43" s="129">
        <v>40</v>
      </c>
      <c r="N43" s="130" t="str">
        <f t="shared" si="1"/>
        <v>Pass</v>
      </c>
      <c r="O43" s="121">
        <v>1428</v>
      </c>
      <c r="P43" s="127"/>
      <c r="Q43" s="127"/>
    </row>
    <row r="44" spans="1:17" ht="12.75" customHeight="1">
      <c r="A44" s="123">
        <v>42542</v>
      </c>
      <c r="B44" s="123"/>
      <c r="C44" s="128">
        <v>1</v>
      </c>
      <c r="D44" s="128">
        <v>27</v>
      </c>
      <c r="E44" s="129">
        <f t="shared" si="2"/>
        <v>26</v>
      </c>
      <c r="F44" s="129"/>
      <c r="G44" s="129"/>
      <c r="H44" s="129"/>
      <c r="I44" s="129"/>
      <c r="J44" s="129"/>
      <c r="K44" s="129"/>
      <c r="L44" s="129">
        <v>40</v>
      </c>
      <c r="M44" s="129">
        <v>40</v>
      </c>
      <c r="N44" s="130" t="str">
        <f t="shared" si="1"/>
        <v>Pass</v>
      </c>
      <c r="O44" s="121">
        <v>1400</v>
      </c>
      <c r="P44" s="127" t="s">
        <v>57</v>
      </c>
      <c r="Q44" s="127"/>
    </row>
    <row r="45" spans="1:17" ht="12.75" customHeight="1">
      <c r="A45" s="123">
        <v>42545</v>
      </c>
      <c r="B45" s="123"/>
      <c r="C45" s="128">
        <v>14</v>
      </c>
      <c r="D45" s="128">
        <v>32</v>
      </c>
      <c r="E45" s="129">
        <f t="shared" si="2"/>
        <v>18</v>
      </c>
      <c r="F45" s="129"/>
      <c r="G45" s="129"/>
      <c r="H45" s="129"/>
      <c r="I45" s="129"/>
      <c r="J45" s="129"/>
      <c r="K45" s="129"/>
      <c r="L45" s="129">
        <v>40</v>
      </c>
      <c r="M45" s="129">
        <v>40</v>
      </c>
      <c r="N45" s="130" t="str">
        <f t="shared" si="1"/>
        <v>Pass</v>
      </c>
      <c r="O45" s="121">
        <v>1335</v>
      </c>
      <c r="P45" s="127" t="s">
        <v>57</v>
      </c>
      <c r="Q45" s="127"/>
    </row>
    <row r="46" spans="1:17" ht="12.75" customHeight="1">
      <c r="A46" s="123">
        <v>42555</v>
      </c>
      <c r="B46" s="123"/>
      <c r="C46" s="128">
        <v>6</v>
      </c>
      <c r="D46" s="128">
        <v>39</v>
      </c>
      <c r="E46" s="129">
        <f t="shared" si="2"/>
        <v>33</v>
      </c>
      <c r="F46" s="129"/>
      <c r="G46" s="129"/>
      <c r="H46" s="129"/>
      <c r="I46" s="129"/>
      <c r="J46" s="129"/>
      <c r="K46" s="129"/>
      <c r="L46" s="129">
        <v>40</v>
      </c>
      <c r="M46" s="129">
        <v>40</v>
      </c>
      <c r="N46" s="130" t="str">
        <f>IF(E46="","",IF(E46&lt;=40,"Pass","Fail"))</f>
        <v>Pass</v>
      </c>
      <c r="O46" s="121">
        <v>1400</v>
      </c>
      <c r="P46" s="127" t="s">
        <v>57</v>
      </c>
      <c r="Q46" s="127"/>
    </row>
    <row r="47" spans="1:17" ht="12.75" customHeight="1">
      <c r="A47" s="123">
        <v>42564</v>
      </c>
      <c r="B47" s="123"/>
      <c r="C47" s="128">
        <v>4</v>
      </c>
      <c r="D47" s="128">
        <v>35</v>
      </c>
      <c r="E47" s="129">
        <f t="shared" si="2"/>
        <v>31</v>
      </c>
      <c r="F47" s="129"/>
      <c r="G47" s="129"/>
      <c r="H47" s="129"/>
      <c r="I47" s="129"/>
      <c r="J47" s="129"/>
      <c r="K47" s="129"/>
      <c r="L47" s="129">
        <v>40</v>
      </c>
      <c r="M47" s="129">
        <v>40</v>
      </c>
      <c r="N47" s="130" t="str">
        <f t="shared" si="1"/>
        <v>Pass</v>
      </c>
      <c r="O47" s="121">
        <v>1159</v>
      </c>
      <c r="P47" s="127" t="s">
        <v>57</v>
      </c>
      <c r="Q47" s="127"/>
    </row>
    <row r="48" spans="1:17" ht="12.75" customHeight="1">
      <c r="A48" s="123">
        <v>42577</v>
      </c>
      <c r="B48" s="123"/>
      <c r="C48" s="128">
        <v>3</v>
      </c>
      <c r="D48" s="128">
        <v>2</v>
      </c>
      <c r="E48" s="129">
        <f t="shared" si="2"/>
        <v>-1</v>
      </c>
      <c r="F48" s="129"/>
      <c r="G48" s="129"/>
      <c r="H48" s="129"/>
      <c r="I48" s="129"/>
      <c r="J48" s="129"/>
      <c r="K48" s="129"/>
      <c r="L48" s="129">
        <v>40</v>
      </c>
      <c r="M48" s="129">
        <v>40</v>
      </c>
      <c r="N48" s="130" t="str">
        <f t="shared" si="1"/>
        <v>Pass</v>
      </c>
      <c r="O48" s="121">
        <v>1335</v>
      </c>
      <c r="P48" s="127" t="s">
        <v>57</v>
      </c>
      <c r="Q48" s="127"/>
    </row>
    <row r="49" spans="1:17" ht="12.75" customHeight="1">
      <c r="A49" s="123">
        <v>42590</v>
      </c>
      <c r="B49" s="123"/>
      <c r="C49" s="128">
        <v>2</v>
      </c>
      <c r="D49" s="128">
        <v>71</v>
      </c>
      <c r="E49" s="129">
        <f t="shared" si="2"/>
        <v>69</v>
      </c>
      <c r="F49" s="129"/>
      <c r="G49" s="129"/>
      <c r="H49" s="129"/>
      <c r="I49" s="129"/>
      <c r="J49" s="129"/>
      <c r="K49" s="129"/>
      <c r="L49" s="129">
        <v>40</v>
      </c>
      <c r="M49" s="129">
        <v>40</v>
      </c>
      <c r="N49" s="130" t="str">
        <f t="shared" si="1"/>
        <v>Fail</v>
      </c>
      <c r="O49" s="121">
        <v>1159</v>
      </c>
      <c r="P49" s="121" t="s">
        <v>68</v>
      </c>
      <c r="Q49" s="127"/>
    </row>
    <row r="50" spans="1:17" ht="12.75" customHeight="1">
      <c r="A50" s="123">
        <v>42590</v>
      </c>
      <c r="B50" s="123"/>
      <c r="C50" s="128">
        <v>3</v>
      </c>
      <c r="D50" s="128">
        <v>30</v>
      </c>
      <c r="E50" s="129">
        <f t="shared" si="2"/>
        <v>27</v>
      </c>
      <c r="F50" s="129"/>
      <c r="G50" s="129"/>
      <c r="H50" s="129"/>
      <c r="I50" s="129"/>
      <c r="J50" s="129"/>
      <c r="K50" s="129"/>
      <c r="L50" s="129">
        <v>40</v>
      </c>
      <c r="M50" s="129">
        <v>40</v>
      </c>
      <c r="N50" s="130" t="str">
        <f t="shared" si="1"/>
        <v>Pass</v>
      </c>
      <c r="O50" s="121">
        <v>1159</v>
      </c>
      <c r="P50" s="121" t="s">
        <v>69</v>
      </c>
      <c r="Q50" s="127"/>
    </row>
    <row r="51" spans="1:17" ht="12.75" customHeight="1">
      <c r="A51" s="123">
        <v>42593</v>
      </c>
      <c r="B51" s="123"/>
      <c r="C51" s="128">
        <v>3</v>
      </c>
      <c r="D51" s="128">
        <v>23</v>
      </c>
      <c r="E51" s="129">
        <f t="shared" si="2"/>
        <v>20</v>
      </c>
      <c r="F51" s="129"/>
      <c r="G51" s="129"/>
      <c r="H51" s="129"/>
      <c r="I51" s="129"/>
      <c r="J51" s="129"/>
      <c r="K51" s="129"/>
      <c r="L51" s="129">
        <v>40</v>
      </c>
      <c r="M51" s="129">
        <v>40</v>
      </c>
      <c r="N51" s="130" t="str">
        <f t="shared" si="1"/>
        <v>Pass</v>
      </c>
      <c r="O51" s="121">
        <v>1159</v>
      </c>
      <c r="P51" s="121" t="s">
        <v>70</v>
      </c>
      <c r="Q51" s="127"/>
    </row>
    <row r="52" spans="1:17" ht="12.75" customHeight="1">
      <c r="A52" s="123">
        <v>42614</v>
      </c>
      <c r="B52" s="123"/>
      <c r="C52" s="128">
        <v>1</v>
      </c>
      <c r="D52" s="127"/>
      <c r="E52" s="129">
        <f t="shared" si="2"/>
        <v>-1</v>
      </c>
      <c r="F52" s="129"/>
      <c r="G52" s="129"/>
      <c r="H52" s="129"/>
      <c r="I52" s="129"/>
      <c r="J52" s="129"/>
      <c r="K52" s="129"/>
      <c r="L52" s="129">
        <v>40</v>
      </c>
      <c r="M52" s="129">
        <v>40</v>
      </c>
      <c r="N52" s="130" t="str">
        <f t="shared" si="1"/>
        <v>Pass</v>
      </c>
      <c r="O52" s="121">
        <v>1159</v>
      </c>
      <c r="P52" s="121" t="s">
        <v>71</v>
      </c>
      <c r="Q52" s="127"/>
    </row>
    <row r="53" spans="1:17" ht="12.75" customHeight="1">
      <c r="A53" s="123">
        <v>42614</v>
      </c>
      <c r="B53" s="123"/>
      <c r="C53" s="128">
        <v>0</v>
      </c>
      <c r="D53" s="128">
        <v>31</v>
      </c>
      <c r="E53" s="129">
        <f t="shared" si="2"/>
        <v>31</v>
      </c>
      <c r="F53" s="129"/>
      <c r="G53" s="129"/>
      <c r="H53" s="129"/>
      <c r="I53" s="129"/>
      <c r="J53" s="129"/>
      <c r="K53" s="129"/>
      <c r="L53" s="129">
        <v>40</v>
      </c>
      <c r="M53" s="129">
        <v>40</v>
      </c>
      <c r="N53" s="130" t="str">
        <f t="shared" si="1"/>
        <v>Pass</v>
      </c>
      <c r="O53" s="121">
        <v>1159</v>
      </c>
      <c r="P53" s="121" t="s">
        <v>72</v>
      </c>
      <c r="Q53" s="127"/>
    </row>
    <row r="54" spans="1:17" ht="12.75" customHeight="1">
      <c r="A54" s="123">
        <v>42630</v>
      </c>
      <c r="B54" s="123"/>
      <c r="C54" s="128">
        <v>4</v>
      </c>
      <c r="D54" s="128">
        <v>32</v>
      </c>
      <c r="E54" s="129">
        <f t="shared" si="2"/>
        <v>28</v>
      </c>
      <c r="F54" s="129"/>
      <c r="G54" s="129"/>
      <c r="H54" s="129"/>
      <c r="I54" s="129"/>
      <c r="J54" s="129"/>
      <c r="K54" s="129"/>
      <c r="L54" s="129">
        <v>40</v>
      </c>
      <c r="M54" s="129">
        <v>40</v>
      </c>
      <c r="N54" s="130" t="str">
        <f t="shared" si="1"/>
        <v>Pass</v>
      </c>
      <c r="O54" s="121">
        <v>1159</v>
      </c>
      <c r="P54" s="121" t="s">
        <v>73</v>
      </c>
      <c r="Q54" s="127"/>
    </row>
    <row r="55" spans="1:17" ht="12.75" customHeight="1">
      <c r="A55" s="123">
        <v>42641</v>
      </c>
      <c r="B55" s="123"/>
      <c r="C55" s="128">
        <v>28</v>
      </c>
      <c r="D55" s="128">
        <v>56</v>
      </c>
      <c r="E55" s="129">
        <f t="shared" si="2"/>
        <v>28</v>
      </c>
      <c r="F55" s="129"/>
      <c r="G55" s="129"/>
      <c r="H55" s="129"/>
      <c r="I55" s="129"/>
      <c r="J55" s="129"/>
      <c r="K55" s="129"/>
      <c r="L55" s="129">
        <v>40</v>
      </c>
      <c r="M55" s="129">
        <v>40</v>
      </c>
      <c r="N55" s="130" t="str">
        <f t="shared" si="1"/>
        <v>Pass</v>
      </c>
      <c r="O55" s="121">
        <v>1400</v>
      </c>
      <c r="P55" s="127" t="s">
        <v>57</v>
      </c>
      <c r="Q55" s="127"/>
    </row>
    <row r="56" spans="1:17" ht="12.75" customHeight="1">
      <c r="A56" s="123">
        <v>42647</v>
      </c>
      <c r="B56" s="123"/>
      <c r="C56" s="128">
        <v>3</v>
      </c>
      <c r="D56" s="128">
        <v>29</v>
      </c>
      <c r="E56" s="129">
        <f t="shared" si="2"/>
        <v>26</v>
      </c>
      <c r="F56" s="129"/>
      <c r="G56" s="129"/>
      <c r="H56" s="129"/>
      <c r="I56" s="129"/>
      <c r="J56" s="129"/>
      <c r="K56" s="129"/>
      <c r="L56" s="129">
        <v>40</v>
      </c>
      <c r="M56" s="129">
        <v>40</v>
      </c>
      <c r="N56" s="130" t="str">
        <f t="shared" si="1"/>
        <v>Pass</v>
      </c>
      <c r="O56" s="121">
        <v>1400</v>
      </c>
      <c r="P56" s="121" t="s">
        <v>74</v>
      </c>
      <c r="Q56" s="127"/>
    </row>
    <row r="57" spans="1:17" ht="12.75" customHeight="1">
      <c r="A57" s="123">
        <v>42656</v>
      </c>
      <c r="B57" s="123"/>
      <c r="C57" s="128">
        <v>2</v>
      </c>
      <c r="D57" s="128">
        <v>38</v>
      </c>
      <c r="E57" s="129">
        <f t="shared" si="2"/>
        <v>36</v>
      </c>
      <c r="F57" s="129"/>
      <c r="G57" s="129"/>
      <c r="H57" s="129"/>
      <c r="I57" s="129"/>
      <c r="J57" s="129"/>
      <c r="K57" s="129"/>
      <c r="L57" s="129">
        <v>40</v>
      </c>
      <c r="M57" s="129">
        <v>40</v>
      </c>
      <c r="N57" s="130" t="str">
        <f t="shared" si="1"/>
        <v>Pass</v>
      </c>
      <c r="O57" s="121">
        <v>1400</v>
      </c>
      <c r="P57" s="121" t="s">
        <v>75</v>
      </c>
      <c r="Q57" s="127"/>
    </row>
    <row r="58" spans="1:17" ht="12.75" customHeight="1">
      <c r="A58" s="123">
        <v>42668</v>
      </c>
      <c r="B58" s="123"/>
      <c r="C58" s="128">
        <v>43</v>
      </c>
      <c r="D58" s="128">
        <v>70</v>
      </c>
      <c r="E58" s="129">
        <f t="shared" si="2"/>
        <v>27</v>
      </c>
      <c r="F58" s="129"/>
      <c r="G58" s="129"/>
      <c r="H58" s="129"/>
      <c r="I58" s="129"/>
      <c r="J58" s="129"/>
      <c r="K58" s="129"/>
      <c r="L58" s="129">
        <v>40</v>
      </c>
      <c r="M58" s="129">
        <v>40</v>
      </c>
      <c r="N58" s="130" t="str">
        <f t="shared" si="1"/>
        <v>Pass</v>
      </c>
      <c r="O58" s="121">
        <v>1400</v>
      </c>
      <c r="P58" s="127" t="s">
        <v>57</v>
      </c>
      <c r="Q58" s="127"/>
    </row>
    <row r="59" spans="1:17" ht="12.75" customHeight="1">
      <c r="A59" s="123">
        <v>42674</v>
      </c>
      <c r="B59" s="123"/>
      <c r="C59" s="128">
        <v>1</v>
      </c>
      <c r="D59" s="128">
        <v>29</v>
      </c>
      <c r="E59" s="129">
        <f t="shared" si="2"/>
        <v>28</v>
      </c>
      <c r="F59" s="129"/>
      <c r="G59" s="129"/>
      <c r="H59" s="129"/>
      <c r="I59" s="129"/>
      <c r="J59" s="129"/>
      <c r="K59" s="129"/>
      <c r="L59" s="129">
        <v>40</v>
      </c>
      <c r="M59" s="129">
        <v>40</v>
      </c>
      <c r="N59" s="130" t="str">
        <f t="shared" si="1"/>
        <v>Pass</v>
      </c>
      <c r="O59" s="121">
        <v>1400</v>
      </c>
      <c r="P59" s="127" t="s">
        <v>57</v>
      </c>
      <c r="Q59" s="127"/>
    </row>
    <row r="60" spans="1:17" ht="12.75" customHeight="1">
      <c r="A60" s="123">
        <v>42682</v>
      </c>
      <c r="B60" s="123"/>
      <c r="C60" s="128">
        <v>1</v>
      </c>
      <c r="D60" s="128">
        <v>18</v>
      </c>
      <c r="E60" s="129">
        <f t="shared" si="2"/>
        <v>17</v>
      </c>
      <c r="F60" s="129"/>
      <c r="G60" s="129"/>
      <c r="H60" s="129"/>
      <c r="I60" s="129"/>
      <c r="J60" s="129"/>
      <c r="K60" s="129"/>
      <c r="L60" s="129">
        <v>40</v>
      </c>
      <c r="M60" s="129">
        <v>40</v>
      </c>
      <c r="N60" s="130" t="str">
        <f t="shared" si="1"/>
        <v>Pass</v>
      </c>
      <c r="O60" s="121">
        <v>1428</v>
      </c>
      <c r="P60" s="127"/>
      <c r="Q60" s="127"/>
    </row>
    <row r="61" spans="1:17" ht="12.75" customHeight="1">
      <c r="A61" s="123">
        <v>42689</v>
      </c>
      <c r="B61" s="123"/>
      <c r="C61" s="128">
        <v>1</v>
      </c>
      <c r="D61" s="128">
        <v>68</v>
      </c>
      <c r="E61" s="129">
        <f t="shared" si="2"/>
        <v>67</v>
      </c>
      <c r="F61" s="129"/>
      <c r="G61" s="129"/>
      <c r="H61" s="129"/>
      <c r="I61" s="129"/>
      <c r="J61" s="129"/>
      <c r="K61" s="129"/>
      <c r="L61" s="129">
        <v>40</v>
      </c>
      <c r="M61" s="129">
        <v>40</v>
      </c>
      <c r="N61" s="130" t="str">
        <f t="shared" si="1"/>
        <v>Fail</v>
      </c>
      <c r="O61" s="121">
        <v>1159</v>
      </c>
      <c r="P61" s="121" t="s">
        <v>76</v>
      </c>
      <c r="Q61" s="127"/>
    </row>
    <row r="62" spans="1:17" ht="12.75" customHeight="1">
      <c r="A62" s="123">
        <v>42689</v>
      </c>
      <c r="B62" s="123"/>
      <c r="C62" s="128">
        <v>2</v>
      </c>
      <c r="D62" s="128">
        <v>27</v>
      </c>
      <c r="E62" s="129">
        <f t="shared" si="2"/>
        <v>25</v>
      </c>
      <c r="F62" s="129"/>
      <c r="G62" s="129"/>
      <c r="H62" s="129"/>
      <c r="I62" s="129"/>
      <c r="J62" s="129"/>
      <c r="K62" s="129"/>
      <c r="L62" s="129">
        <v>40</v>
      </c>
      <c r="M62" s="129">
        <v>40</v>
      </c>
      <c r="N62" s="130" t="str">
        <f>IF(E62="","",IF(E62&lt;=40,"Pass","Fail"))</f>
        <v>Pass</v>
      </c>
      <c r="O62" s="121">
        <v>1400</v>
      </c>
      <c r="P62" s="121" t="s">
        <v>77</v>
      </c>
      <c r="Q62" s="127"/>
    </row>
    <row r="63" spans="1:17" ht="12.75" customHeight="1">
      <c r="A63" s="123">
        <v>42692</v>
      </c>
      <c r="B63" s="123"/>
      <c r="C63" s="128">
        <v>21</v>
      </c>
      <c r="D63" s="128">
        <v>4</v>
      </c>
      <c r="E63" s="129">
        <f t="shared" si="2"/>
        <v>-17</v>
      </c>
      <c r="F63" s="129"/>
      <c r="G63" s="129"/>
      <c r="H63" s="129"/>
      <c r="I63" s="129"/>
      <c r="J63" s="129"/>
      <c r="K63" s="129"/>
      <c r="L63" s="129">
        <v>40</v>
      </c>
      <c r="M63" s="129">
        <v>40</v>
      </c>
      <c r="N63" s="130" t="str">
        <f t="shared" si="1"/>
        <v>Pass</v>
      </c>
      <c r="O63" s="121">
        <v>1335</v>
      </c>
      <c r="P63" s="121" t="s">
        <v>57</v>
      </c>
      <c r="Q63" s="127"/>
    </row>
    <row r="64" spans="1:17" ht="12.75" customHeight="1">
      <c r="A64" s="123">
        <v>42697</v>
      </c>
      <c r="B64" s="123"/>
      <c r="C64" s="128">
        <v>5</v>
      </c>
      <c r="D64" s="128">
        <v>42</v>
      </c>
      <c r="E64" s="129">
        <f t="shared" si="2"/>
        <v>37</v>
      </c>
      <c r="F64" s="129"/>
      <c r="G64" s="129"/>
      <c r="H64" s="129"/>
      <c r="I64" s="129"/>
      <c r="J64" s="129"/>
      <c r="K64" s="129"/>
      <c r="L64" s="129">
        <v>40</v>
      </c>
      <c r="M64" s="129">
        <v>40</v>
      </c>
      <c r="N64" s="130" t="str">
        <f t="shared" si="1"/>
        <v>Pass</v>
      </c>
      <c r="O64" s="121">
        <v>1335</v>
      </c>
      <c r="P64" s="121" t="s">
        <v>57</v>
      </c>
      <c r="Q64" s="127"/>
    </row>
    <row r="65" spans="1:17" ht="12.75" customHeight="1">
      <c r="A65" s="123">
        <v>42706</v>
      </c>
      <c r="B65" s="123"/>
      <c r="C65" s="128">
        <v>27</v>
      </c>
      <c r="D65" s="128">
        <v>45</v>
      </c>
      <c r="E65" s="129">
        <f t="shared" si="2"/>
        <v>18</v>
      </c>
      <c r="F65" s="129"/>
      <c r="G65" s="129"/>
      <c r="H65" s="129"/>
      <c r="I65" s="129"/>
      <c r="J65" s="129"/>
      <c r="K65" s="129"/>
      <c r="L65" s="129">
        <v>40</v>
      </c>
      <c r="M65" s="129">
        <v>40</v>
      </c>
      <c r="N65" s="130" t="str">
        <f>IF(E65="","",IF(E65&lt;=40,"Pass","Fail"))</f>
        <v>Pass</v>
      </c>
      <c r="O65" s="121">
        <v>1335</v>
      </c>
      <c r="P65" s="121" t="s">
        <v>78</v>
      </c>
      <c r="Q65" s="127"/>
    </row>
    <row r="66" spans="1:17" ht="12.75" customHeight="1">
      <c r="A66" s="123">
        <v>42709</v>
      </c>
      <c r="B66" s="123"/>
      <c r="C66" s="128">
        <v>10</v>
      </c>
      <c r="D66" s="128">
        <v>20</v>
      </c>
      <c r="E66" s="129">
        <f t="shared" si="2"/>
        <v>10</v>
      </c>
      <c r="F66" s="129"/>
      <c r="G66" s="129"/>
      <c r="H66" s="129"/>
      <c r="I66" s="129"/>
      <c r="J66" s="129"/>
      <c r="K66" s="129"/>
      <c r="L66" s="129">
        <v>40</v>
      </c>
      <c r="M66" s="129">
        <v>40</v>
      </c>
      <c r="N66" s="130" t="str">
        <f>IF(E66="","",IF(E66&lt;=40,"Pass","Fail"))</f>
        <v>Pass</v>
      </c>
      <c r="O66" s="121">
        <v>102</v>
      </c>
      <c r="P66" s="121" t="s">
        <v>57</v>
      </c>
      <c r="Q66" s="127"/>
    </row>
    <row r="67" spans="1:17" ht="12.75" customHeight="1">
      <c r="A67" s="123">
        <v>42714</v>
      </c>
      <c r="B67" s="123"/>
      <c r="C67" s="128">
        <v>1</v>
      </c>
      <c r="D67" s="128">
        <v>68</v>
      </c>
      <c r="E67" s="129">
        <f t="shared" si="2"/>
        <v>67</v>
      </c>
      <c r="F67" s="129"/>
      <c r="G67" s="129"/>
      <c r="H67" s="129"/>
      <c r="I67" s="129"/>
      <c r="J67" s="129"/>
      <c r="K67" s="129"/>
      <c r="L67" s="129">
        <v>40</v>
      </c>
      <c r="M67" s="129">
        <v>40</v>
      </c>
      <c r="N67" s="130" t="str">
        <f>IF(E67="","",IF(E67&lt;=40,"Pass","Fail"))</f>
        <v>Fail</v>
      </c>
      <c r="O67" s="121">
        <v>64</v>
      </c>
      <c r="P67" s="121" t="s">
        <v>57</v>
      </c>
      <c r="Q67" s="127"/>
    </row>
    <row r="68" spans="1:17" ht="12.75" customHeight="1">
      <c r="A68" s="123">
        <v>42714</v>
      </c>
      <c r="B68" s="123"/>
      <c r="C68" s="128">
        <v>2</v>
      </c>
      <c r="D68" s="128">
        <v>37</v>
      </c>
      <c r="E68" s="129">
        <f t="shared" si="2"/>
        <v>35</v>
      </c>
      <c r="F68" s="129"/>
      <c r="G68" s="129"/>
      <c r="H68" s="129"/>
      <c r="I68" s="129"/>
      <c r="J68" s="129"/>
      <c r="K68" s="129"/>
      <c r="L68" s="129">
        <v>40</v>
      </c>
      <c r="M68" s="129">
        <v>40</v>
      </c>
      <c r="N68" s="130" t="str">
        <f>IF(E68="","",IF(E68&lt;=40,"Pass","Fail"))</f>
        <v>Pass</v>
      </c>
      <c r="O68" s="121">
        <v>64</v>
      </c>
      <c r="P68" s="121" t="s">
        <v>57</v>
      </c>
      <c r="Q68" s="127"/>
    </row>
    <row r="69" spans="1:17" ht="12.75" customHeight="1">
      <c r="A69" s="123">
        <v>42723</v>
      </c>
      <c r="B69" s="123"/>
      <c r="C69" s="128">
        <v>82</v>
      </c>
      <c r="D69" s="128">
        <v>115</v>
      </c>
      <c r="E69" s="129">
        <f t="shared" si="2"/>
        <v>33</v>
      </c>
      <c r="F69" s="129"/>
      <c r="G69" s="129"/>
      <c r="H69" s="129"/>
      <c r="I69" s="129"/>
      <c r="J69" s="129"/>
      <c r="K69" s="129"/>
      <c r="L69" s="129">
        <v>40</v>
      </c>
      <c r="M69" s="129">
        <v>40</v>
      </c>
      <c r="N69" s="130" t="str">
        <f>IF(E69="","",IF(E69&lt;=40,"Pass","Fail"))</f>
        <v>Pass</v>
      </c>
      <c r="O69" s="121">
        <v>1428</v>
      </c>
      <c r="P69" s="121" t="s">
        <v>57</v>
      </c>
      <c r="Q69" s="127"/>
    </row>
    <row r="70" spans="1:17" ht="12.75" customHeight="1">
      <c r="A70" s="123">
        <v>42727</v>
      </c>
      <c r="B70" s="123"/>
      <c r="C70" s="128">
        <v>1</v>
      </c>
      <c r="D70" s="128">
        <v>135</v>
      </c>
      <c r="E70" s="129">
        <f t="shared" si="2"/>
        <v>134</v>
      </c>
      <c r="F70" s="129"/>
      <c r="G70" s="129"/>
      <c r="H70" s="129"/>
      <c r="I70" s="129"/>
      <c r="J70" s="129"/>
      <c r="K70" s="129"/>
      <c r="L70" s="129">
        <v>40</v>
      </c>
      <c r="M70" s="129">
        <v>40</v>
      </c>
      <c r="N70" s="130" t="str">
        <f t="shared" ref="N70:N127" si="3">IF(E70="","",IF(E70&lt;=40,"Pass","Fail"))</f>
        <v>Fail</v>
      </c>
      <c r="O70" s="121">
        <v>1428</v>
      </c>
      <c r="P70" s="121" t="s">
        <v>57</v>
      </c>
      <c r="Q70" s="127"/>
    </row>
    <row r="71" spans="1:17" ht="12.75" customHeight="1">
      <c r="A71" s="123">
        <v>42727</v>
      </c>
      <c r="B71" s="123"/>
      <c r="C71" s="128">
        <v>2</v>
      </c>
      <c r="D71" s="128">
        <v>8</v>
      </c>
      <c r="E71" s="129">
        <f t="shared" si="2"/>
        <v>6</v>
      </c>
      <c r="F71" s="129"/>
      <c r="G71" s="129"/>
      <c r="H71" s="129"/>
      <c r="I71" s="129"/>
      <c r="J71" s="129"/>
      <c r="K71" s="129"/>
      <c r="L71" s="129">
        <v>40</v>
      </c>
      <c r="M71" s="129">
        <v>40</v>
      </c>
      <c r="N71" s="130" t="str">
        <f t="shared" si="3"/>
        <v>Pass</v>
      </c>
      <c r="O71" s="121">
        <v>1428</v>
      </c>
      <c r="P71" s="121" t="s">
        <v>57</v>
      </c>
      <c r="Q71" s="127"/>
    </row>
    <row r="72" spans="1:17" ht="12.75" customHeight="1">
      <c r="A72" s="123">
        <v>42732</v>
      </c>
      <c r="B72" s="123"/>
      <c r="C72" s="128">
        <v>0</v>
      </c>
      <c r="D72" s="128">
        <v>23</v>
      </c>
      <c r="E72" s="129">
        <f t="shared" si="2"/>
        <v>23</v>
      </c>
      <c r="F72" s="129"/>
      <c r="G72" s="129"/>
      <c r="H72" s="129"/>
      <c r="I72" s="129"/>
      <c r="J72" s="129"/>
      <c r="K72" s="129"/>
      <c r="L72" s="129">
        <v>40</v>
      </c>
      <c r="M72" s="129">
        <v>40</v>
      </c>
      <c r="N72" s="130" t="str">
        <f t="shared" si="3"/>
        <v>Pass</v>
      </c>
      <c r="O72" s="121">
        <v>1335</v>
      </c>
      <c r="P72" s="121" t="s">
        <v>57</v>
      </c>
      <c r="Q72" s="121"/>
    </row>
    <row r="73" spans="1:17" ht="12.75" customHeight="1">
      <c r="A73" s="123">
        <v>42739</v>
      </c>
      <c r="B73" s="123"/>
      <c r="C73" s="128">
        <v>2</v>
      </c>
      <c r="D73" s="128">
        <v>21</v>
      </c>
      <c r="E73" s="129">
        <f t="shared" si="2"/>
        <v>19</v>
      </c>
      <c r="F73" s="129"/>
      <c r="G73" s="129"/>
      <c r="H73" s="129"/>
      <c r="I73" s="129"/>
      <c r="J73" s="129"/>
      <c r="K73" s="129"/>
      <c r="L73" s="129">
        <v>40</v>
      </c>
      <c r="M73" s="129">
        <v>40</v>
      </c>
      <c r="N73" s="130" t="str">
        <f t="shared" si="3"/>
        <v>Pass</v>
      </c>
      <c r="O73" s="121">
        <v>1335</v>
      </c>
      <c r="P73" s="121" t="s">
        <v>57</v>
      </c>
      <c r="Q73" s="127"/>
    </row>
    <row r="74" spans="1:17" ht="12.75" customHeight="1">
      <c r="A74" s="123">
        <v>42746</v>
      </c>
      <c r="B74" s="123"/>
      <c r="C74" s="128">
        <v>5</v>
      </c>
      <c r="D74" s="128">
        <v>122</v>
      </c>
      <c r="E74" s="129">
        <f t="shared" si="2"/>
        <v>117</v>
      </c>
      <c r="F74" s="129"/>
      <c r="G74" s="129"/>
      <c r="H74" s="129"/>
      <c r="I74" s="129"/>
      <c r="J74" s="129"/>
      <c r="K74" s="129"/>
      <c r="L74" s="129">
        <v>40</v>
      </c>
      <c r="M74" s="129">
        <v>40</v>
      </c>
      <c r="N74" s="130" t="str">
        <f t="shared" si="3"/>
        <v>Fail</v>
      </c>
      <c r="O74" s="121">
        <v>1159</v>
      </c>
      <c r="P74" s="121" t="s">
        <v>79</v>
      </c>
      <c r="Q74" s="127"/>
    </row>
    <row r="75" spans="1:17" ht="12.75" customHeight="1">
      <c r="A75" s="123">
        <v>42746</v>
      </c>
      <c r="B75" s="123"/>
      <c r="C75" s="128">
        <v>0</v>
      </c>
      <c r="D75" s="128">
        <v>48</v>
      </c>
      <c r="E75" s="129">
        <f t="shared" ref="E75:E127" si="4">IF(((C75="")*AND(D75="")),"",D75-C75)</f>
        <v>48</v>
      </c>
      <c r="F75" s="129"/>
      <c r="G75" s="129"/>
      <c r="H75" s="129"/>
      <c r="I75" s="129"/>
      <c r="J75" s="129"/>
      <c r="K75" s="129"/>
      <c r="L75" s="129">
        <v>40</v>
      </c>
      <c r="M75" s="129">
        <v>40</v>
      </c>
      <c r="N75" s="130" t="str">
        <f t="shared" si="3"/>
        <v>Fail</v>
      </c>
      <c r="O75" s="121">
        <v>1159</v>
      </c>
      <c r="P75" s="121" t="s">
        <v>80</v>
      </c>
      <c r="Q75" s="127"/>
    </row>
    <row r="76" spans="1:17" ht="12.75" customHeight="1">
      <c r="A76" s="123">
        <v>42746</v>
      </c>
      <c r="B76" s="123"/>
      <c r="C76" s="128">
        <v>3</v>
      </c>
      <c r="D76" s="128">
        <v>78</v>
      </c>
      <c r="E76" s="129">
        <f t="shared" si="4"/>
        <v>75</v>
      </c>
      <c r="F76" s="129"/>
      <c r="G76" s="129"/>
      <c r="H76" s="129"/>
      <c r="I76" s="129"/>
      <c r="J76" s="129"/>
      <c r="K76" s="129"/>
      <c r="L76" s="129">
        <v>40</v>
      </c>
      <c r="M76" s="129">
        <v>40</v>
      </c>
      <c r="N76" s="130" t="str">
        <f t="shared" si="3"/>
        <v>Fail</v>
      </c>
      <c r="O76" s="121">
        <v>1159</v>
      </c>
      <c r="P76" s="121" t="s">
        <v>81</v>
      </c>
      <c r="Q76" s="127"/>
    </row>
    <row r="77" spans="1:17" ht="12.75" customHeight="1">
      <c r="A77" s="123">
        <v>42746</v>
      </c>
      <c r="B77" s="123"/>
      <c r="C77" s="128">
        <v>5</v>
      </c>
      <c r="D77" s="128">
        <v>36</v>
      </c>
      <c r="E77" s="129">
        <f t="shared" si="4"/>
        <v>31</v>
      </c>
      <c r="F77" s="129"/>
      <c r="G77" s="129"/>
      <c r="H77" s="129"/>
      <c r="I77" s="129"/>
      <c r="J77" s="129"/>
      <c r="K77" s="129"/>
      <c r="L77" s="129">
        <v>40</v>
      </c>
      <c r="M77" s="129">
        <v>40</v>
      </c>
      <c r="N77" s="130" t="str">
        <f t="shared" si="3"/>
        <v>Pass</v>
      </c>
      <c r="O77" s="121">
        <v>1159</v>
      </c>
      <c r="P77" s="121" t="s">
        <v>82</v>
      </c>
      <c r="Q77" s="127"/>
    </row>
    <row r="78" spans="1:17" ht="12.75" customHeight="1">
      <c r="A78" s="123">
        <v>42750</v>
      </c>
      <c r="B78" s="123"/>
      <c r="C78" s="128">
        <v>3</v>
      </c>
      <c r="D78" s="128">
        <v>33</v>
      </c>
      <c r="E78" s="129">
        <f t="shared" si="4"/>
        <v>30</v>
      </c>
      <c r="F78" s="129"/>
      <c r="G78" s="129"/>
      <c r="H78" s="129"/>
      <c r="I78" s="129"/>
      <c r="J78" s="129"/>
      <c r="K78" s="129"/>
      <c r="L78" s="129">
        <v>40</v>
      </c>
      <c r="M78" s="129">
        <v>40</v>
      </c>
      <c r="N78" s="130" t="str">
        <f t="shared" si="3"/>
        <v>Pass</v>
      </c>
      <c r="O78" s="121">
        <v>1159</v>
      </c>
      <c r="P78" s="121" t="s">
        <v>83</v>
      </c>
      <c r="Q78" s="127"/>
    </row>
    <row r="79" spans="1:17" ht="12.75" customHeight="1">
      <c r="A79" s="123">
        <v>42773</v>
      </c>
      <c r="B79" s="123"/>
      <c r="C79" s="128">
        <v>5</v>
      </c>
      <c r="D79" s="128">
        <v>38</v>
      </c>
      <c r="E79" s="129">
        <f t="shared" si="4"/>
        <v>33</v>
      </c>
      <c r="F79" s="129"/>
      <c r="G79" s="129"/>
      <c r="H79" s="129"/>
      <c r="I79" s="129"/>
      <c r="J79" s="129"/>
      <c r="K79" s="129"/>
      <c r="L79" s="129">
        <v>40</v>
      </c>
      <c r="M79" s="129">
        <v>40</v>
      </c>
      <c r="N79" s="130" t="str">
        <f t="shared" si="3"/>
        <v>Pass</v>
      </c>
      <c r="O79" s="121">
        <v>1400</v>
      </c>
      <c r="P79" s="121" t="s">
        <v>84</v>
      </c>
      <c r="Q79" s="127"/>
    </row>
    <row r="80" spans="1:17" ht="12.75" customHeight="1">
      <c r="A80" s="123">
        <v>42792</v>
      </c>
      <c r="B80" s="123"/>
      <c r="C80" s="128">
        <v>16</v>
      </c>
      <c r="D80" s="128">
        <v>49</v>
      </c>
      <c r="E80" s="129">
        <f t="shared" si="4"/>
        <v>33</v>
      </c>
      <c r="F80" s="129"/>
      <c r="G80" s="129"/>
      <c r="H80" s="129"/>
      <c r="I80" s="129"/>
      <c r="J80" s="129"/>
      <c r="K80" s="129"/>
      <c r="L80" s="129">
        <v>40</v>
      </c>
      <c r="M80" s="129">
        <v>40</v>
      </c>
      <c r="N80" s="130" t="str">
        <f t="shared" si="3"/>
        <v>Pass</v>
      </c>
      <c r="O80" s="127">
        <v>1159</v>
      </c>
      <c r="P80" s="127"/>
      <c r="Q80" s="127"/>
    </row>
    <row r="81" spans="1:17" ht="12.75" customHeight="1">
      <c r="A81" s="123">
        <v>42836</v>
      </c>
      <c r="B81" s="123"/>
      <c r="C81" s="128">
        <v>2</v>
      </c>
      <c r="D81" s="128">
        <v>127</v>
      </c>
      <c r="E81" s="129">
        <f t="shared" si="4"/>
        <v>125</v>
      </c>
      <c r="F81" s="129"/>
      <c r="G81" s="129"/>
      <c r="H81" s="129"/>
      <c r="I81" s="129"/>
      <c r="J81" s="129"/>
      <c r="K81" s="129"/>
      <c r="L81" s="129">
        <v>40</v>
      </c>
      <c r="M81" s="129">
        <v>40</v>
      </c>
      <c r="N81" s="130" t="str">
        <f t="shared" si="3"/>
        <v>Fail</v>
      </c>
      <c r="O81" s="121">
        <v>1400</v>
      </c>
      <c r="P81" s="127" t="s">
        <v>85</v>
      </c>
      <c r="Q81" s="127"/>
    </row>
    <row r="82" spans="1:17" ht="12.75" customHeight="1">
      <c r="A82" s="123">
        <v>42845</v>
      </c>
      <c r="B82" s="123"/>
      <c r="C82" s="128">
        <v>3</v>
      </c>
      <c r="D82" s="128">
        <v>200</v>
      </c>
      <c r="E82" s="129">
        <f t="shared" si="4"/>
        <v>197</v>
      </c>
      <c r="F82" s="129"/>
      <c r="G82" s="129"/>
      <c r="H82" s="129"/>
      <c r="I82" s="129"/>
      <c r="J82" s="129"/>
      <c r="K82" s="129"/>
      <c r="L82" s="129">
        <v>40</v>
      </c>
      <c r="M82" s="129">
        <v>40</v>
      </c>
      <c r="N82" s="130" t="str">
        <f t="shared" si="3"/>
        <v>Fail</v>
      </c>
      <c r="O82" s="121">
        <v>1335</v>
      </c>
      <c r="P82" s="121" t="s">
        <v>86</v>
      </c>
      <c r="Q82" s="127"/>
    </row>
    <row r="83" spans="1:17" ht="12.75" customHeight="1">
      <c r="A83" s="123">
        <v>42849</v>
      </c>
      <c r="B83" s="123"/>
      <c r="C83" s="128">
        <v>23</v>
      </c>
      <c r="D83" s="128">
        <v>186</v>
      </c>
      <c r="E83" s="129">
        <f t="shared" si="4"/>
        <v>163</v>
      </c>
      <c r="F83" s="129"/>
      <c r="G83" s="129"/>
      <c r="H83" s="129"/>
      <c r="I83" s="129"/>
      <c r="J83" s="129"/>
      <c r="K83" s="129"/>
      <c r="L83" s="129">
        <v>40</v>
      </c>
      <c r="M83" s="129">
        <v>40</v>
      </c>
      <c r="N83" s="130" t="str">
        <f t="shared" si="3"/>
        <v>Fail</v>
      </c>
      <c r="O83" s="121">
        <v>64</v>
      </c>
      <c r="P83" s="121" t="s">
        <v>87</v>
      </c>
      <c r="Q83" s="127"/>
    </row>
    <row r="84" spans="1:17" ht="12.75" customHeight="1">
      <c r="A84" s="123">
        <v>42905</v>
      </c>
      <c r="B84" s="123"/>
      <c r="C84" s="128">
        <v>3</v>
      </c>
      <c r="D84" s="128">
        <v>72</v>
      </c>
      <c r="E84" s="129">
        <f t="shared" si="4"/>
        <v>69</v>
      </c>
      <c r="F84" s="129"/>
      <c r="G84" s="129"/>
      <c r="H84" s="129"/>
      <c r="I84" s="129"/>
      <c r="J84" s="129"/>
      <c r="K84" s="129"/>
      <c r="L84" s="129">
        <v>40</v>
      </c>
      <c r="M84" s="129">
        <v>40</v>
      </c>
      <c r="N84" s="130" t="str">
        <f t="shared" si="3"/>
        <v>Fail</v>
      </c>
      <c r="O84" s="121">
        <v>1159</v>
      </c>
      <c r="P84" s="121" t="s">
        <v>88</v>
      </c>
      <c r="Q84" s="127"/>
    </row>
    <row r="85" spans="1:17" ht="12.75" customHeight="1">
      <c r="A85" s="123">
        <v>42905</v>
      </c>
      <c r="B85" s="123"/>
      <c r="C85" s="128">
        <v>9</v>
      </c>
      <c r="D85" s="128">
        <v>24</v>
      </c>
      <c r="E85" s="129">
        <f t="shared" si="4"/>
        <v>15</v>
      </c>
      <c r="F85" s="129"/>
      <c r="G85" s="129"/>
      <c r="H85" s="129"/>
      <c r="I85" s="129"/>
      <c r="J85" s="129"/>
      <c r="K85" s="129"/>
      <c r="L85" s="129">
        <v>40</v>
      </c>
      <c r="M85" s="129">
        <v>40</v>
      </c>
      <c r="N85" s="130" t="str">
        <f t="shared" si="3"/>
        <v>Pass</v>
      </c>
      <c r="O85" s="121">
        <v>1159</v>
      </c>
      <c r="P85" s="121" t="s">
        <v>89</v>
      </c>
      <c r="Q85" s="127"/>
    </row>
    <row r="86" spans="1:17" ht="12.75" customHeight="1">
      <c r="A86" s="123">
        <v>42912</v>
      </c>
      <c r="B86" s="123"/>
      <c r="C86" s="128">
        <v>3</v>
      </c>
      <c r="D86" s="128">
        <v>90</v>
      </c>
      <c r="E86" s="129">
        <f t="shared" si="4"/>
        <v>87</v>
      </c>
      <c r="F86" s="129"/>
      <c r="G86" s="129"/>
      <c r="H86" s="129"/>
      <c r="I86" s="129"/>
      <c r="J86" s="129"/>
      <c r="K86" s="129"/>
      <c r="L86" s="129">
        <v>40</v>
      </c>
      <c r="M86" s="129">
        <v>40</v>
      </c>
      <c r="N86" s="130" t="str">
        <f t="shared" si="3"/>
        <v>Fail</v>
      </c>
      <c r="O86" s="121">
        <v>1159</v>
      </c>
      <c r="P86" s="121" t="s">
        <v>90</v>
      </c>
      <c r="Q86" s="127"/>
    </row>
    <row r="87" spans="1:17" ht="12.75" customHeight="1">
      <c r="A87" s="123">
        <v>42912</v>
      </c>
      <c r="B87" s="123"/>
      <c r="C87" s="128">
        <v>5</v>
      </c>
      <c r="D87" s="128">
        <v>40</v>
      </c>
      <c r="E87" s="129">
        <f t="shared" si="4"/>
        <v>35</v>
      </c>
      <c r="F87" s="129"/>
      <c r="G87" s="129"/>
      <c r="H87" s="129"/>
      <c r="I87" s="129"/>
      <c r="J87" s="129"/>
      <c r="K87" s="129"/>
      <c r="L87" s="129">
        <v>40</v>
      </c>
      <c r="M87" s="129">
        <v>40</v>
      </c>
      <c r="N87" s="130" t="str">
        <f t="shared" si="3"/>
        <v>Pass</v>
      </c>
      <c r="O87" s="121">
        <v>1159</v>
      </c>
      <c r="P87" s="121" t="s">
        <v>90</v>
      </c>
      <c r="Q87" s="127"/>
    </row>
    <row r="88" spans="1:17" ht="12.75" customHeight="1">
      <c r="A88" s="123">
        <v>42916</v>
      </c>
      <c r="B88" s="123"/>
      <c r="C88" s="128">
        <v>6</v>
      </c>
      <c r="D88" s="128">
        <v>39</v>
      </c>
      <c r="E88" s="129">
        <f t="shared" si="4"/>
        <v>33</v>
      </c>
      <c r="F88" s="129"/>
      <c r="G88" s="129"/>
      <c r="H88" s="129"/>
      <c r="I88" s="129"/>
      <c r="J88" s="129"/>
      <c r="K88" s="129"/>
      <c r="L88" s="129">
        <v>40</v>
      </c>
      <c r="M88" s="129">
        <v>40</v>
      </c>
      <c r="N88" s="130" t="str">
        <f t="shared" si="3"/>
        <v>Pass</v>
      </c>
      <c r="O88" s="121">
        <v>102</v>
      </c>
      <c r="P88" s="127" t="s">
        <v>85</v>
      </c>
      <c r="Q88" s="127"/>
    </row>
    <row r="89" spans="1:17" ht="12.75" customHeight="1">
      <c r="A89" s="123">
        <v>42922</v>
      </c>
      <c r="B89" s="123"/>
      <c r="C89" s="128">
        <v>9</v>
      </c>
      <c r="D89" s="128">
        <v>39</v>
      </c>
      <c r="E89" s="129">
        <f t="shared" si="4"/>
        <v>30</v>
      </c>
      <c r="F89" s="129"/>
      <c r="G89" s="129"/>
      <c r="H89" s="129"/>
      <c r="I89" s="129"/>
      <c r="J89" s="129"/>
      <c r="K89" s="129"/>
      <c r="L89" s="129">
        <v>40</v>
      </c>
      <c r="M89" s="129">
        <v>40</v>
      </c>
      <c r="N89" s="130" t="str">
        <f t="shared" si="3"/>
        <v>Pass</v>
      </c>
      <c r="O89" s="121">
        <v>102</v>
      </c>
      <c r="P89" s="127" t="s">
        <v>85</v>
      </c>
      <c r="Q89" s="127"/>
    </row>
    <row r="90" spans="1:17" ht="12.75" customHeight="1">
      <c r="A90" s="123">
        <v>42930</v>
      </c>
      <c r="B90" s="123"/>
      <c r="C90" s="128">
        <v>1</v>
      </c>
      <c r="D90" s="128">
        <v>43</v>
      </c>
      <c r="E90" s="129">
        <f t="shared" si="4"/>
        <v>42</v>
      </c>
      <c r="F90" s="129"/>
      <c r="G90" s="129"/>
      <c r="H90" s="129"/>
      <c r="I90" s="129"/>
      <c r="J90" s="129"/>
      <c r="K90" s="129"/>
      <c r="L90" s="129">
        <v>40</v>
      </c>
      <c r="M90" s="129">
        <v>40</v>
      </c>
      <c r="N90" s="130" t="str">
        <f t="shared" si="3"/>
        <v>Fail</v>
      </c>
      <c r="O90" s="121">
        <v>102</v>
      </c>
      <c r="P90" s="121" t="s">
        <v>91</v>
      </c>
      <c r="Q90" s="127"/>
    </row>
    <row r="91" spans="1:17" ht="12.75" customHeight="1">
      <c r="A91" s="123">
        <v>42930</v>
      </c>
      <c r="B91" s="123"/>
      <c r="C91" s="128">
        <v>2</v>
      </c>
      <c r="D91" s="128">
        <v>13</v>
      </c>
      <c r="E91" s="129">
        <f t="shared" si="4"/>
        <v>11</v>
      </c>
      <c r="F91" s="129"/>
      <c r="G91" s="129"/>
      <c r="H91" s="129"/>
      <c r="I91" s="129"/>
      <c r="J91" s="129"/>
      <c r="K91" s="129"/>
      <c r="L91" s="129">
        <v>40</v>
      </c>
      <c r="M91" s="129">
        <v>40</v>
      </c>
      <c r="N91" s="130" t="str">
        <f t="shared" si="3"/>
        <v>Pass</v>
      </c>
      <c r="O91" s="121">
        <v>102</v>
      </c>
      <c r="P91" s="121" t="s">
        <v>92</v>
      </c>
      <c r="Q91" s="127"/>
    </row>
    <row r="92" spans="1:17" ht="12.75" customHeight="1">
      <c r="A92" s="123">
        <v>42936</v>
      </c>
      <c r="B92" s="123"/>
      <c r="C92" s="128">
        <v>7</v>
      </c>
      <c r="D92" s="128">
        <v>78</v>
      </c>
      <c r="E92" s="129">
        <f t="shared" si="4"/>
        <v>71</v>
      </c>
      <c r="F92" s="129"/>
      <c r="G92" s="129"/>
      <c r="H92" s="129"/>
      <c r="I92" s="129"/>
      <c r="J92" s="129"/>
      <c r="K92" s="129"/>
      <c r="L92" s="129">
        <v>40</v>
      </c>
      <c r="M92" s="129">
        <v>40</v>
      </c>
      <c r="N92" s="130" t="str">
        <f t="shared" si="3"/>
        <v>Fail</v>
      </c>
      <c r="O92" s="121">
        <v>121</v>
      </c>
      <c r="P92" s="121" t="s">
        <v>93</v>
      </c>
      <c r="Q92" s="127"/>
    </row>
    <row r="93" spans="1:17" ht="12.75" customHeight="1">
      <c r="A93" s="123">
        <v>42936</v>
      </c>
      <c r="B93" s="123"/>
      <c r="C93" s="128">
        <v>3</v>
      </c>
      <c r="D93" s="128">
        <v>32</v>
      </c>
      <c r="E93" s="129">
        <f t="shared" si="4"/>
        <v>29</v>
      </c>
      <c r="F93" s="129"/>
      <c r="G93" s="129"/>
      <c r="H93" s="129"/>
      <c r="I93" s="129"/>
      <c r="J93" s="129"/>
      <c r="K93" s="129"/>
      <c r="L93" s="129">
        <v>40</v>
      </c>
      <c r="M93" s="129">
        <v>40</v>
      </c>
      <c r="N93" s="130" t="str">
        <f t="shared" si="3"/>
        <v>Pass</v>
      </c>
      <c r="O93" s="121">
        <v>121</v>
      </c>
      <c r="P93" s="121" t="s">
        <v>94</v>
      </c>
      <c r="Q93" s="127"/>
    </row>
    <row r="94" spans="1:17" ht="12.75" customHeight="1">
      <c r="A94" s="123">
        <v>42941</v>
      </c>
      <c r="B94" s="123"/>
      <c r="C94" s="128">
        <v>13</v>
      </c>
      <c r="D94" s="128">
        <v>62</v>
      </c>
      <c r="E94" s="129">
        <f t="shared" si="4"/>
        <v>49</v>
      </c>
      <c r="F94" s="129"/>
      <c r="G94" s="129"/>
      <c r="H94" s="129"/>
      <c r="I94" s="129"/>
      <c r="J94" s="129"/>
      <c r="K94" s="129"/>
      <c r="L94" s="129">
        <v>40</v>
      </c>
      <c r="M94" s="129">
        <v>40</v>
      </c>
      <c r="N94" s="130" t="str">
        <f t="shared" si="3"/>
        <v>Fail</v>
      </c>
      <c r="O94" s="121">
        <v>1159</v>
      </c>
      <c r="P94" s="121" t="s">
        <v>95</v>
      </c>
      <c r="Q94" s="127"/>
    </row>
    <row r="95" spans="1:17" ht="12.75" customHeight="1">
      <c r="A95" s="123">
        <v>42941</v>
      </c>
      <c r="B95" s="123"/>
      <c r="C95" s="128">
        <v>17</v>
      </c>
      <c r="D95" s="128">
        <v>56</v>
      </c>
      <c r="E95" s="129">
        <f t="shared" si="4"/>
        <v>39</v>
      </c>
      <c r="F95" s="129"/>
      <c r="G95" s="129"/>
      <c r="H95" s="129"/>
      <c r="I95" s="129"/>
      <c r="J95" s="129"/>
      <c r="K95" s="129"/>
      <c r="L95" s="129">
        <v>40</v>
      </c>
      <c r="M95" s="129">
        <v>40</v>
      </c>
      <c r="N95" s="130" t="str">
        <f t="shared" si="3"/>
        <v>Pass</v>
      </c>
      <c r="O95" s="121">
        <v>1159</v>
      </c>
      <c r="P95" s="121" t="s">
        <v>96</v>
      </c>
      <c r="Q95" s="127"/>
    </row>
    <row r="96" spans="1:17" ht="12.75" customHeight="1">
      <c r="A96" s="123">
        <v>42945</v>
      </c>
      <c r="B96" s="123"/>
      <c r="C96" s="128">
        <v>3</v>
      </c>
      <c r="D96" s="128">
        <v>14</v>
      </c>
      <c r="E96" s="129">
        <f t="shared" si="4"/>
        <v>11</v>
      </c>
      <c r="F96" s="129"/>
      <c r="G96" s="129"/>
      <c r="H96" s="129"/>
      <c r="I96" s="129"/>
      <c r="J96" s="129"/>
      <c r="K96" s="129"/>
      <c r="L96" s="129">
        <v>40</v>
      </c>
      <c r="M96" s="129">
        <v>40</v>
      </c>
      <c r="N96" s="130" t="str">
        <f t="shared" si="3"/>
        <v>Pass</v>
      </c>
      <c r="O96" s="121">
        <v>102</v>
      </c>
      <c r="P96" s="121" t="s">
        <v>97</v>
      </c>
      <c r="Q96" s="127"/>
    </row>
    <row r="97" spans="1:17" ht="12.75" customHeight="1">
      <c r="A97" s="123">
        <v>42951</v>
      </c>
      <c r="B97" s="123"/>
      <c r="C97" s="124">
        <v>16</v>
      </c>
      <c r="D97" s="124">
        <v>53</v>
      </c>
      <c r="E97" s="125">
        <f t="shared" si="4"/>
        <v>37</v>
      </c>
      <c r="F97" s="125"/>
      <c r="G97" s="125"/>
      <c r="H97" s="125"/>
      <c r="I97" s="125"/>
      <c r="J97" s="125"/>
      <c r="K97" s="125"/>
      <c r="L97" s="125">
        <v>40</v>
      </c>
      <c r="M97" s="125">
        <v>40</v>
      </c>
      <c r="N97" s="126" t="str">
        <f t="shared" si="3"/>
        <v>Pass</v>
      </c>
      <c r="O97" s="120">
        <v>1159</v>
      </c>
      <c r="P97" s="120" t="s">
        <v>98</v>
      </c>
      <c r="Q97" s="127"/>
    </row>
    <row r="98" spans="1:17" ht="12.75" customHeight="1">
      <c r="A98" s="123">
        <v>42959</v>
      </c>
      <c r="B98" s="123"/>
      <c r="C98" s="124">
        <v>16</v>
      </c>
      <c r="D98" s="124">
        <v>55</v>
      </c>
      <c r="E98" s="125">
        <f t="shared" si="4"/>
        <v>39</v>
      </c>
      <c r="F98" s="125"/>
      <c r="G98" s="125"/>
      <c r="H98" s="125"/>
      <c r="I98" s="125"/>
      <c r="J98" s="125"/>
      <c r="K98" s="125"/>
      <c r="L98" s="125">
        <v>40</v>
      </c>
      <c r="M98" s="125">
        <v>40</v>
      </c>
      <c r="N98" s="126" t="str">
        <f t="shared" si="3"/>
        <v>Pass</v>
      </c>
      <c r="O98" s="120">
        <v>102</v>
      </c>
      <c r="P98" s="120" t="s">
        <v>99</v>
      </c>
      <c r="Q98" s="127"/>
    </row>
    <row r="99" spans="1:17" ht="12.75" customHeight="1">
      <c r="A99" s="123">
        <v>42968</v>
      </c>
      <c r="B99" s="123"/>
      <c r="C99" s="124">
        <v>4</v>
      </c>
      <c r="D99" s="124">
        <v>239</v>
      </c>
      <c r="E99" s="125">
        <f t="shared" si="4"/>
        <v>235</v>
      </c>
      <c r="F99" s="125"/>
      <c r="G99" s="125"/>
      <c r="H99" s="125"/>
      <c r="I99" s="125"/>
      <c r="J99" s="125"/>
      <c r="K99" s="125"/>
      <c r="L99" s="125">
        <v>40</v>
      </c>
      <c r="M99" s="125">
        <v>40</v>
      </c>
      <c r="N99" s="126" t="str">
        <f t="shared" si="3"/>
        <v>Fail</v>
      </c>
      <c r="O99" s="120">
        <v>1159</v>
      </c>
      <c r="P99" s="120" t="s">
        <v>100</v>
      </c>
      <c r="Q99" s="127"/>
    </row>
    <row r="100" spans="1:17" ht="12.75" customHeight="1">
      <c r="A100" s="123">
        <v>42968</v>
      </c>
      <c r="B100" s="123"/>
      <c r="C100" s="124">
        <v>36</v>
      </c>
      <c r="D100" s="124">
        <v>231</v>
      </c>
      <c r="E100" s="125">
        <f t="shared" si="4"/>
        <v>195</v>
      </c>
      <c r="F100" s="125"/>
      <c r="G100" s="125"/>
      <c r="H100" s="125"/>
      <c r="I100" s="125"/>
      <c r="J100" s="125"/>
      <c r="K100" s="125"/>
      <c r="L100" s="125">
        <v>40</v>
      </c>
      <c r="M100" s="125">
        <v>40</v>
      </c>
      <c r="N100" s="126" t="str">
        <f t="shared" si="3"/>
        <v>Fail</v>
      </c>
      <c r="O100" s="120">
        <v>1159</v>
      </c>
      <c r="P100" s="120" t="s">
        <v>101</v>
      </c>
      <c r="Q100" s="127"/>
    </row>
    <row r="101" spans="1:17" ht="12.75" customHeight="1">
      <c r="A101" s="123">
        <v>42969</v>
      </c>
      <c r="B101" s="123"/>
      <c r="C101" s="124">
        <v>5</v>
      </c>
      <c r="D101" s="124">
        <v>216</v>
      </c>
      <c r="E101" s="125">
        <f t="shared" si="4"/>
        <v>211</v>
      </c>
      <c r="F101" s="125"/>
      <c r="G101" s="125"/>
      <c r="H101" s="125"/>
      <c r="I101" s="125"/>
      <c r="J101" s="125"/>
      <c r="K101" s="125"/>
      <c r="L101" s="125">
        <v>40</v>
      </c>
      <c r="M101" s="125">
        <v>40</v>
      </c>
      <c r="N101" s="126" t="str">
        <f t="shared" si="3"/>
        <v>Fail</v>
      </c>
      <c r="O101" s="120">
        <v>1159</v>
      </c>
      <c r="P101" s="120" t="s">
        <v>102</v>
      </c>
      <c r="Q101" s="127"/>
    </row>
    <row r="102" spans="1:17" ht="12.75" customHeight="1">
      <c r="A102" s="123">
        <v>42970</v>
      </c>
      <c r="B102" s="123"/>
      <c r="C102" s="124">
        <v>6</v>
      </c>
      <c r="D102" s="124">
        <v>84</v>
      </c>
      <c r="E102" s="125">
        <f t="shared" si="4"/>
        <v>78</v>
      </c>
      <c r="F102" s="125"/>
      <c r="G102" s="125"/>
      <c r="H102" s="125"/>
      <c r="I102" s="125"/>
      <c r="J102" s="125"/>
      <c r="K102" s="125"/>
      <c r="L102" s="125">
        <v>40</v>
      </c>
      <c r="M102" s="125">
        <v>40</v>
      </c>
      <c r="N102" s="126" t="str">
        <f t="shared" si="3"/>
        <v>Fail</v>
      </c>
      <c r="O102" s="120">
        <v>1534</v>
      </c>
      <c r="P102" s="120" t="s">
        <v>103</v>
      </c>
      <c r="Q102" s="127"/>
    </row>
    <row r="103" spans="1:17" ht="12.75" customHeight="1">
      <c r="A103" s="123">
        <v>42970</v>
      </c>
      <c r="B103" s="123"/>
      <c r="C103" s="124">
        <v>3</v>
      </c>
      <c r="D103" s="124">
        <v>29</v>
      </c>
      <c r="E103" s="125">
        <f t="shared" si="4"/>
        <v>26</v>
      </c>
      <c r="F103" s="125"/>
      <c r="G103" s="125"/>
      <c r="H103" s="125"/>
      <c r="I103" s="125"/>
      <c r="J103" s="125"/>
      <c r="K103" s="125"/>
      <c r="L103" s="125">
        <v>40</v>
      </c>
      <c r="M103" s="125">
        <v>40</v>
      </c>
      <c r="N103" s="126" t="str">
        <f t="shared" si="3"/>
        <v>Pass</v>
      </c>
      <c r="O103" s="120">
        <v>1534</v>
      </c>
      <c r="P103" s="120" t="s">
        <v>104</v>
      </c>
      <c r="Q103" s="127"/>
    </row>
    <row r="104" spans="1:17" ht="12.75" customHeight="1">
      <c r="A104" s="123">
        <v>42976</v>
      </c>
      <c r="B104" s="123"/>
      <c r="C104" s="124">
        <v>1</v>
      </c>
      <c r="D104" s="124">
        <v>12</v>
      </c>
      <c r="E104" s="125">
        <f t="shared" si="4"/>
        <v>11</v>
      </c>
      <c r="F104" s="125"/>
      <c r="G104" s="125"/>
      <c r="H104" s="125"/>
      <c r="I104" s="125"/>
      <c r="J104" s="125"/>
      <c r="K104" s="125"/>
      <c r="L104" s="125">
        <v>40</v>
      </c>
      <c r="M104" s="125">
        <v>40</v>
      </c>
      <c r="N104" s="126" t="str">
        <f t="shared" si="3"/>
        <v>Pass</v>
      </c>
      <c r="O104" s="120">
        <v>1428</v>
      </c>
      <c r="P104" s="120"/>
      <c r="Q104" s="127"/>
    </row>
    <row r="105" spans="1:17" ht="12.75" customHeight="1">
      <c r="A105" s="123">
        <v>42981</v>
      </c>
      <c r="B105" s="123"/>
      <c r="C105" s="124">
        <v>8</v>
      </c>
      <c r="D105" s="124">
        <v>115</v>
      </c>
      <c r="E105" s="125">
        <f t="shared" si="4"/>
        <v>107</v>
      </c>
      <c r="F105" s="125"/>
      <c r="G105" s="125"/>
      <c r="H105" s="125"/>
      <c r="I105" s="125"/>
      <c r="J105" s="125"/>
      <c r="K105" s="125"/>
      <c r="L105" s="125">
        <v>40</v>
      </c>
      <c r="M105" s="125">
        <v>40</v>
      </c>
      <c r="N105" s="126" t="str">
        <f t="shared" si="3"/>
        <v>Fail</v>
      </c>
      <c r="O105" s="120">
        <v>1159</v>
      </c>
      <c r="P105" s="120" t="s">
        <v>105</v>
      </c>
      <c r="Q105" s="127"/>
    </row>
    <row r="106" spans="1:17" ht="12.75" customHeight="1">
      <c r="A106" s="123">
        <v>42981</v>
      </c>
      <c r="B106" s="123"/>
      <c r="C106" s="124">
        <v>6</v>
      </c>
      <c r="D106" s="124">
        <v>89</v>
      </c>
      <c r="E106" s="125">
        <f t="shared" si="4"/>
        <v>83</v>
      </c>
      <c r="F106" s="125"/>
      <c r="G106" s="125"/>
      <c r="H106" s="125"/>
      <c r="I106" s="125"/>
      <c r="J106" s="125"/>
      <c r="K106" s="125"/>
      <c r="L106" s="125">
        <v>40</v>
      </c>
      <c r="M106" s="125">
        <v>40</v>
      </c>
      <c r="N106" s="126" t="str">
        <f t="shared" si="3"/>
        <v>Fail</v>
      </c>
      <c r="O106" s="120">
        <v>1159</v>
      </c>
      <c r="P106" s="120" t="s">
        <v>106</v>
      </c>
      <c r="Q106" s="127"/>
    </row>
    <row r="107" spans="1:17" ht="12.75" customHeight="1">
      <c r="A107" s="123">
        <v>42981</v>
      </c>
      <c r="B107" s="123"/>
      <c r="C107" s="124">
        <v>11</v>
      </c>
      <c r="D107" s="124">
        <v>153</v>
      </c>
      <c r="E107" s="125">
        <f t="shared" si="4"/>
        <v>142</v>
      </c>
      <c r="F107" s="125"/>
      <c r="G107" s="125"/>
      <c r="H107" s="125"/>
      <c r="I107" s="125"/>
      <c r="J107" s="125"/>
      <c r="K107" s="125"/>
      <c r="L107" s="125">
        <v>40</v>
      </c>
      <c r="M107" s="125">
        <v>40</v>
      </c>
      <c r="N107" s="126" t="str">
        <f t="shared" si="3"/>
        <v>Fail</v>
      </c>
      <c r="O107" s="120">
        <v>1159</v>
      </c>
      <c r="P107" s="120" t="s">
        <v>107</v>
      </c>
      <c r="Q107" s="127"/>
    </row>
    <row r="108" spans="1:17" ht="12.75" customHeight="1">
      <c r="A108" s="123">
        <v>42981</v>
      </c>
      <c r="B108" s="123"/>
      <c r="C108" s="124">
        <v>7</v>
      </c>
      <c r="D108" s="124">
        <v>146</v>
      </c>
      <c r="E108" s="125">
        <f t="shared" si="4"/>
        <v>139</v>
      </c>
      <c r="F108" s="125"/>
      <c r="G108" s="125"/>
      <c r="H108" s="125"/>
      <c r="I108" s="125"/>
      <c r="J108" s="125"/>
      <c r="K108" s="125"/>
      <c r="L108" s="125">
        <v>40</v>
      </c>
      <c r="M108" s="125">
        <v>40</v>
      </c>
      <c r="N108" s="126" t="str">
        <f t="shared" si="3"/>
        <v>Fail</v>
      </c>
      <c r="O108" s="120">
        <v>1159</v>
      </c>
      <c r="P108" s="120" t="s">
        <v>108</v>
      </c>
      <c r="Q108" s="127"/>
    </row>
    <row r="109" spans="1:17" ht="12.75" customHeight="1">
      <c r="A109" s="123">
        <v>42981</v>
      </c>
      <c r="B109" s="123"/>
      <c r="C109" s="124">
        <v>15</v>
      </c>
      <c r="D109" s="124">
        <v>136</v>
      </c>
      <c r="E109" s="125">
        <f t="shared" si="4"/>
        <v>121</v>
      </c>
      <c r="F109" s="125"/>
      <c r="G109" s="125"/>
      <c r="H109" s="125"/>
      <c r="I109" s="125"/>
      <c r="J109" s="125"/>
      <c r="K109" s="125"/>
      <c r="L109" s="125">
        <v>40</v>
      </c>
      <c r="M109" s="125">
        <v>40</v>
      </c>
      <c r="N109" s="126" t="str">
        <f t="shared" si="3"/>
        <v>Fail</v>
      </c>
      <c r="O109" s="120">
        <v>1159</v>
      </c>
      <c r="P109" s="120" t="s">
        <v>109</v>
      </c>
      <c r="Q109" s="127"/>
    </row>
    <row r="110" spans="1:17" ht="12.75" customHeight="1">
      <c r="A110" s="123">
        <v>42981</v>
      </c>
      <c r="B110" s="123"/>
      <c r="C110" s="124">
        <v>4</v>
      </c>
      <c r="D110" s="124">
        <v>126</v>
      </c>
      <c r="E110" s="125">
        <f t="shared" si="4"/>
        <v>122</v>
      </c>
      <c r="F110" s="125"/>
      <c r="G110" s="125"/>
      <c r="H110" s="125"/>
      <c r="I110" s="125"/>
      <c r="J110" s="125"/>
      <c r="K110" s="125"/>
      <c r="L110" s="125">
        <v>40</v>
      </c>
      <c r="M110" s="125">
        <v>40</v>
      </c>
      <c r="N110" s="126" t="str">
        <f t="shared" si="3"/>
        <v>Fail</v>
      </c>
      <c r="O110" s="120">
        <v>1159</v>
      </c>
      <c r="P110" s="120" t="s">
        <v>110</v>
      </c>
      <c r="Q110" s="127"/>
    </row>
    <row r="111" spans="1:17" ht="12.75" customHeight="1">
      <c r="A111" s="123">
        <v>42981</v>
      </c>
      <c r="B111" s="123"/>
      <c r="C111" s="124">
        <v>7</v>
      </c>
      <c r="D111" s="124">
        <v>260</v>
      </c>
      <c r="E111" s="125">
        <f t="shared" si="4"/>
        <v>253</v>
      </c>
      <c r="F111" s="125"/>
      <c r="G111" s="125"/>
      <c r="H111" s="125"/>
      <c r="I111" s="125"/>
      <c r="J111" s="125"/>
      <c r="K111" s="125"/>
      <c r="L111" s="125">
        <v>40</v>
      </c>
      <c r="M111" s="125">
        <v>40</v>
      </c>
      <c r="N111" s="126" t="str">
        <f t="shared" si="3"/>
        <v>Fail</v>
      </c>
      <c r="O111" s="120">
        <v>1159</v>
      </c>
      <c r="P111" s="120" t="s">
        <v>111</v>
      </c>
      <c r="Q111" s="127"/>
    </row>
    <row r="112" spans="1:17" ht="12.75" customHeight="1">
      <c r="A112" s="123">
        <v>42981</v>
      </c>
      <c r="B112" s="123"/>
      <c r="C112" s="124">
        <v>10</v>
      </c>
      <c r="D112" s="124">
        <v>46</v>
      </c>
      <c r="E112" s="125">
        <f t="shared" si="4"/>
        <v>36</v>
      </c>
      <c r="F112" s="125"/>
      <c r="G112" s="125"/>
      <c r="H112" s="125"/>
      <c r="I112" s="125"/>
      <c r="J112" s="125"/>
      <c r="K112" s="125"/>
      <c r="L112" s="125">
        <v>40</v>
      </c>
      <c r="M112" s="125">
        <v>40</v>
      </c>
      <c r="N112" s="126" t="str">
        <f t="shared" si="3"/>
        <v>Pass</v>
      </c>
      <c r="O112" s="120">
        <v>1159</v>
      </c>
      <c r="P112" s="120" t="s">
        <v>112</v>
      </c>
      <c r="Q112" s="127"/>
    </row>
    <row r="113" spans="1:17" ht="12.75" customHeight="1">
      <c r="A113" s="123">
        <v>42261</v>
      </c>
      <c r="B113" s="123"/>
      <c r="C113" s="124">
        <v>37</v>
      </c>
      <c r="D113" s="124">
        <v>129</v>
      </c>
      <c r="E113" s="125">
        <f t="shared" si="4"/>
        <v>92</v>
      </c>
      <c r="F113" s="125"/>
      <c r="G113" s="125"/>
      <c r="H113" s="125"/>
      <c r="I113" s="125"/>
      <c r="J113" s="125"/>
      <c r="K113" s="125"/>
      <c r="L113" s="125">
        <v>40</v>
      </c>
      <c r="M113" s="125">
        <v>40</v>
      </c>
      <c r="N113" s="126" t="str">
        <f t="shared" si="3"/>
        <v>Fail</v>
      </c>
      <c r="O113" s="120">
        <v>121</v>
      </c>
      <c r="P113" s="120"/>
      <c r="Q113" s="127"/>
    </row>
    <row r="114" spans="1:17" ht="12.75" customHeight="1">
      <c r="A114" s="123">
        <v>42261</v>
      </c>
      <c r="B114" s="123"/>
      <c r="C114" s="124">
        <v>24</v>
      </c>
      <c r="D114" s="124">
        <v>119</v>
      </c>
      <c r="E114" s="125">
        <f t="shared" si="4"/>
        <v>95</v>
      </c>
      <c r="F114" s="125"/>
      <c r="G114" s="125"/>
      <c r="H114" s="125"/>
      <c r="I114" s="125"/>
      <c r="J114" s="125"/>
      <c r="K114" s="125"/>
      <c r="L114" s="125">
        <v>40</v>
      </c>
      <c r="M114" s="125">
        <v>40</v>
      </c>
      <c r="N114" s="126" t="str">
        <f t="shared" si="3"/>
        <v>Fail</v>
      </c>
      <c r="O114" s="120">
        <v>121</v>
      </c>
      <c r="P114" s="120"/>
      <c r="Q114" s="127"/>
    </row>
    <row r="115" spans="1:17" ht="12.75" customHeight="1">
      <c r="A115" s="123">
        <v>42997</v>
      </c>
      <c r="B115" s="123"/>
      <c r="C115" s="124">
        <v>1</v>
      </c>
      <c r="D115" s="124">
        <v>30</v>
      </c>
      <c r="E115" s="125">
        <f t="shared" si="4"/>
        <v>29</v>
      </c>
      <c r="F115" s="125"/>
      <c r="G115" s="125"/>
      <c r="H115" s="125"/>
      <c r="I115" s="125"/>
      <c r="J115" s="125"/>
      <c r="K115" s="125"/>
      <c r="L115" s="125">
        <v>40</v>
      </c>
      <c r="M115" s="125">
        <v>40</v>
      </c>
      <c r="N115" s="126" t="str">
        <f t="shared" si="3"/>
        <v>Pass</v>
      </c>
      <c r="O115" s="120">
        <v>1335</v>
      </c>
      <c r="P115" s="120" t="s">
        <v>301</v>
      </c>
      <c r="Q115" s="127"/>
    </row>
    <row r="116" spans="1:17" ht="12.75" customHeight="1">
      <c r="A116" s="123">
        <v>43004</v>
      </c>
      <c r="B116" s="123"/>
      <c r="C116" s="124">
        <v>4</v>
      </c>
      <c r="D116" s="124">
        <v>65</v>
      </c>
      <c r="E116" s="125">
        <f t="shared" si="4"/>
        <v>61</v>
      </c>
      <c r="F116" s="125"/>
      <c r="G116" s="125"/>
      <c r="H116" s="125"/>
      <c r="I116" s="125"/>
      <c r="J116" s="125"/>
      <c r="K116" s="125"/>
      <c r="L116" s="125">
        <v>40</v>
      </c>
      <c r="M116" s="125">
        <v>40</v>
      </c>
      <c r="N116" s="126" t="str">
        <f t="shared" si="3"/>
        <v>Fail</v>
      </c>
      <c r="O116" s="120">
        <v>121</v>
      </c>
      <c r="P116" s="120" t="s">
        <v>113</v>
      </c>
      <c r="Q116" s="127"/>
    </row>
    <row r="117" spans="1:17" ht="12.75" customHeight="1">
      <c r="A117" s="123">
        <v>43004</v>
      </c>
      <c r="B117" s="123"/>
      <c r="C117" s="124">
        <v>3</v>
      </c>
      <c r="D117" s="124">
        <v>114</v>
      </c>
      <c r="E117" s="125">
        <f t="shared" si="4"/>
        <v>111</v>
      </c>
      <c r="F117" s="125"/>
      <c r="G117" s="125"/>
      <c r="H117" s="125"/>
      <c r="I117" s="125"/>
      <c r="J117" s="125"/>
      <c r="K117" s="125"/>
      <c r="L117" s="125">
        <v>40</v>
      </c>
      <c r="M117" s="125">
        <v>40</v>
      </c>
      <c r="N117" s="126" t="str">
        <f t="shared" si="3"/>
        <v>Fail</v>
      </c>
      <c r="O117" s="120">
        <v>121</v>
      </c>
      <c r="P117" s="120" t="s">
        <v>114</v>
      </c>
      <c r="Q117" s="127"/>
    </row>
    <row r="118" spans="1:17" ht="12.75" customHeight="1">
      <c r="A118" s="123">
        <v>43005</v>
      </c>
      <c r="B118" s="123"/>
      <c r="C118" s="124">
        <v>10</v>
      </c>
      <c r="D118" s="124">
        <v>54</v>
      </c>
      <c r="E118" s="125">
        <f t="shared" si="4"/>
        <v>44</v>
      </c>
      <c r="F118" s="125"/>
      <c r="G118" s="125"/>
      <c r="H118" s="125"/>
      <c r="I118" s="125"/>
      <c r="J118" s="125"/>
      <c r="K118" s="125"/>
      <c r="L118" s="125">
        <v>40</v>
      </c>
      <c r="M118" s="125">
        <v>40</v>
      </c>
      <c r="N118" s="126" t="str">
        <f t="shared" si="3"/>
        <v>Fail</v>
      </c>
      <c r="O118" s="120">
        <v>121</v>
      </c>
      <c r="P118" s="120" t="s">
        <v>115</v>
      </c>
      <c r="Q118" s="127"/>
    </row>
    <row r="119" spans="1:17" ht="12.75" customHeight="1">
      <c r="A119" s="123">
        <v>43006</v>
      </c>
      <c r="B119" s="123"/>
      <c r="C119" s="124">
        <v>6</v>
      </c>
      <c r="D119" s="124">
        <v>23</v>
      </c>
      <c r="E119" s="125">
        <f t="shared" si="4"/>
        <v>17</v>
      </c>
      <c r="F119" s="125"/>
      <c r="G119" s="125"/>
      <c r="H119" s="125"/>
      <c r="I119" s="125"/>
      <c r="J119" s="125"/>
      <c r="K119" s="125"/>
      <c r="L119" s="125">
        <v>40</v>
      </c>
      <c r="M119" s="125">
        <v>40</v>
      </c>
      <c r="N119" s="126" t="str">
        <f t="shared" si="3"/>
        <v>Pass</v>
      </c>
      <c r="O119" s="120">
        <v>121</v>
      </c>
      <c r="P119" s="120" t="s">
        <v>85</v>
      </c>
      <c r="Q119" s="127"/>
    </row>
    <row r="120" spans="1:17" ht="12.75" customHeight="1">
      <c r="A120" s="123">
        <v>43011</v>
      </c>
      <c r="B120" s="123"/>
      <c r="C120" s="124">
        <v>9</v>
      </c>
      <c r="D120" s="124">
        <v>37</v>
      </c>
      <c r="E120" s="125">
        <f t="shared" si="4"/>
        <v>28</v>
      </c>
      <c r="F120" s="125"/>
      <c r="G120" s="125"/>
      <c r="H120" s="125"/>
      <c r="I120" s="125"/>
      <c r="J120" s="125"/>
      <c r="K120" s="125"/>
      <c r="L120" s="125">
        <v>40</v>
      </c>
      <c r="M120" s="125">
        <v>40</v>
      </c>
      <c r="N120" s="126" t="str">
        <f t="shared" si="3"/>
        <v>Pass</v>
      </c>
      <c r="O120" s="120">
        <v>1428</v>
      </c>
      <c r="P120" s="120"/>
      <c r="Q120" s="127"/>
    </row>
    <row r="121" spans="1:17" ht="12.75" customHeight="1">
      <c r="A121" s="123">
        <v>43018</v>
      </c>
      <c r="B121" s="123"/>
      <c r="C121" s="124">
        <v>11</v>
      </c>
      <c r="D121" s="124">
        <v>21</v>
      </c>
      <c r="E121" s="125">
        <f t="shared" si="4"/>
        <v>10</v>
      </c>
      <c r="F121" s="125"/>
      <c r="G121" s="125"/>
      <c r="H121" s="125"/>
      <c r="I121" s="125"/>
      <c r="J121" s="125"/>
      <c r="K121" s="125"/>
      <c r="L121" s="125">
        <v>40</v>
      </c>
      <c r="M121" s="125">
        <v>40</v>
      </c>
      <c r="N121" s="126" t="str">
        <f t="shared" si="3"/>
        <v>Pass</v>
      </c>
      <c r="O121" s="120">
        <v>1428</v>
      </c>
      <c r="P121" s="120"/>
      <c r="Q121" s="127"/>
    </row>
    <row r="122" spans="1:17" ht="12.75" customHeight="1">
      <c r="A122" s="123">
        <v>43025</v>
      </c>
      <c r="B122" s="123"/>
      <c r="C122" s="124">
        <v>37</v>
      </c>
      <c r="D122" s="124">
        <v>85</v>
      </c>
      <c r="E122" s="125">
        <f t="shared" si="4"/>
        <v>48</v>
      </c>
      <c r="F122" s="125"/>
      <c r="G122" s="125"/>
      <c r="H122" s="125"/>
      <c r="I122" s="125"/>
      <c r="J122" s="125"/>
      <c r="K122" s="125"/>
      <c r="L122" s="125">
        <v>40</v>
      </c>
      <c r="M122" s="125">
        <v>40</v>
      </c>
      <c r="N122" s="126" t="str">
        <f t="shared" si="3"/>
        <v>Fail</v>
      </c>
      <c r="O122" s="120">
        <v>102</v>
      </c>
      <c r="P122" s="120" t="s">
        <v>116</v>
      </c>
      <c r="Q122" s="127"/>
    </row>
    <row r="123" spans="1:17" ht="12.75" customHeight="1">
      <c r="A123" s="123">
        <v>43025</v>
      </c>
      <c r="B123" s="123"/>
      <c r="C123" s="124">
        <v>4</v>
      </c>
      <c r="D123" s="124">
        <v>54</v>
      </c>
      <c r="E123" s="125">
        <f t="shared" si="4"/>
        <v>50</v>
      </c>
      <c r="F123" s="125"/>
      <c r="G123" s="125"/>
      <c r="H123" s="125"/>
      <c r="I123" s="125"/>
      <c r="J123" s="125"/>
      <c r="K123" s="125"/>
      <c r="L123" s="125">
        <v>40</v>
      </c>
      <c r="M123" s="125">
        <v>40</v>
      </c>
      <c r="N123" s="126" t="str">
        <f t="shared" si="3"/>
        <v>Fail</v>
      </c>
      <c r="O123" s="120">
        <v>102</v>
      </c>
      <c r="P123" s="120" t="s">
        <v>117</v>
      </c>
      <c r="Q123" s="127"/>
    </row>
    <row r="124" spans="1:17" ht="12.75" customHeight="1">
      <c r="A124" s="123">
        <v>43026</v>
      </c>
      <c r="B124" s="123"/>
      <c r="C124" s="128">
        <v>7</v>
      </c>
      <c r="D124" s="128">
        <v>60</v>
      </c>
      <c r="E124" s="129">
        <f t="shared" si="4"/>
        <v>53</v>
      </c>
      <c r="F124" s="129"/>
      <c r="G124" s="129"/>
      <c r="H124" s="129"/>
      <c r="I124" s="129"/>
      <c r="J124" s="129"/>
      <c r="K124" s="129"/>
      <c r="L124" s="129">
        <v>40</v>
      </c>
      <c r="M124" s="129">
        <v>40</v>
      </c>
      <c r="N124" s="126" t="str">
        <f t="shared" si="3"/>
        <v>Fail</v>
      </c>
      <c r="O124" s="121">
        <v>1335</v>
      </c>
      <c r="P124" s="120" t="s">
        <v>118</v>
      </c>
      <c r="Q124" s="127"/>
    </row>
    <row r="125" spans="1:17" ht="12.75" customHeight="1">
      <c r="A125" s="123">
        <v>43026</v>
      </c>
      <c r="B125" s="123"/>
      <c r="C125" s="128">
        <v>5</v>
      </c>
      <c r="D125" s="128">
        <v>65</v>
      </c>
      <c r="E125" s="129">
        <f t="shared" si="4"/>
        <v>60</v>
      </c>
      <c r="F125" s="129"/>
      <c r="G125" s="129"/>
      <c r="H125" s="129"/>
      <c r="I125" s="129"/>
      <c r="J125" s="129"/>
      <c r="K125" s="129"/>
      <c r="L125" s="129">
        <v>40</v>
      </c>
      <c r="M125" s="129">
        <v>40</v>
      </c>
      <c r="N125" s="126" t="str">
        <f t="shared" si="3"/>
        <v>Fail</v>
      </c>
      <c r="O125" s="121">
        <v>1335</v>
      </c>
      <c r="P125" s="120" t="s">
        <v>119</v>
      </c>
      <c r="Q125" s="127"/>
    </row>
    <row r="126" spans="1:17" ht="12.75" customHeight="1">
      <c r="A126" s="123">
        <v>43031</v>
      </c>
      <c r="B126" s="123"/>
      <c r="C126" s="128">
        <v>20</v>
      </c>
      <c r="D126" s="128">
        <v>67</v>
      </c>
      <c r="E126" s="129">
        <f t="shared" si="4"/>
        <v>47</v>
      </c>
      <c r="F126" s="129"/>
      <c r="G126" s="129"/>
      <c r="H126" s="129"/>
      <c r="I126" s="129"/>
      <c r="J126" s="129"/>
      <c r="K126" s="129"/>
      <c r="L126" s="129">
        <v>40</v>
      </c>
      <c r="M126" s="129">
        <v>40</v>
      </c>
      <c r="N126" s="126" t="str">
        <f t="shared" si="3"/>
        <v>Fail</v>
      </c>
      <c r="O126" s="121">
        <v>1159</v>
      </c>
      <c r="P126" s="120" t="s">
        <v>120</v>
      </c>
      <c r="Q126" s="127"/>
    </row>
    <row r="127" spans="1:17" ht="12.75" customHeight="1">
      <c r="A127" s="123">
        <v>43031</v>
      </c>
      <c r="B127" s="123"/>
      <c r="C127" s="128">
        <v>1</v>
      </c>
      <c r="D127" s="128">
        <v>50</v>
      </c>
      <c r="E127" s="129">
        <f t="shared" si="4"/>
        <v>49</v>
      </c>
      <c r="F127" s="129"/>
      <c r="G127" s="129"/>
      <c r="H127" s="129"/>
      <c r="I127" s="129"/>
      <c r="J127" s="129"/>
      <c r="K127" s="129"/>
      <c r="L127" s="129">
        <v>40</v>
      </c>
      <c r="M127" s="129">
        <v>40</v>
      </c>
      <c r="N127" s="126" t="str">
        <f t="shared" si="3"/>
        <v>Fail</v>
      </c>
      <c r="O127" s="121">
        <v>1159</v>
      </c>
      <c r="P127" s="120" t="s">
        <v>121</v>
      </c>
      <c r="Q127" s="127"/>
    </row>
    <row r="128" spans="1:17" ht="12.75" customHeight="1">
      <c r="A128" s="123">
        <v>43031</v>
      </c>
      <c r="B128" s="123"/>
      <c r="C128" s="128">
        <v>3</v>
      </c>
      <c r="D128" s="128">
        <v>27</v>
      </c>
      <c r="E128" s="129">
        <f>IF(((C128="")*AND(D128="")),"",D128-C128)</f>
        <v>24</v>
      </c>
      <c r="F128" s="129"/>
      <c r="G128" s="129"/>
      <c r="H128" s="129"/>
      <c r="I128" s="129"/>
      <c r="J128" s="129"/>
      <c r="K128" s="129"/>
      <c r="L128" s="129">
        <v>40</v>
      </c>
      <c r="M128" s="129">
        <v>40</v>
      </c>
      <c r="N128" s="126" t="str">
        <f>IF(E128="","",IF(E128&lt;=40,"Pass","Fail"))</f>
        <v>Pass</v>
      </c>
      <c r="O128" s="121">
        <v>1534</v>
      </c>
      <c r="P128" s="120" t="s">
        <v>122</v>
      </c>
      <c r="Q128" s="127"/>
    </row>
    <row r="129" spans="1:17" ht="12.75" customHeight="1">
      <c r="A129" s="123">
        <v>43039</v>
      </c>
      <c r="B129" s="123"/>
      <c r="C129" s="128">
        <v>26</v>
      </c>
      <c r="D129" s="128">
        <v>79</v>
      </c>
      <c r="E129" s="129">
        <f>IF(((C129="")*AND(D129="")),"",D129-C129)</f>
        <v>53</v>
      </c>
      <c r="F129" s="129"/>
      <c r="G129" s="129"/>
      <c r="H129" s="129"/>
      <c r="I129" s="129"/>
      <c r="J129" s="129"/>
      <c r="K129" s="129"/>
      <c r="L129" s="129">
        <v>40</v>
      </c>
      <c r="M129" s="129">
        <v>40</v>
      </c>
      <c r="N129" s="126" t="str">
        <f>IF(E129="","",IF(E129&lt;=40,"Pass","Fail"))</f>
        <v>Fail</v>
      </c>
      <c r="O129" s="121">
        <v>1428</v>
      </c>
      <c r="P129" s="120" t="s">
        <v>123</v>
      </c>
      <c r="Q129" s="127"/>
    </row>
    <row r="130" spans="1:17" ht="12.75" customHeight="1">
      <c r="A130" s="123">
        <v>43039</v>
      </c>
      <c r="B130" s="123"/>
      <c r="C130" s="128">
        <v>6</v>
      </c>
      <c r="D130" s="128">
        <v>140</v>
      </c>
      <c r="E130" s="129">
        <f>IF(((C130="")*AND(D130="")),"",D130-C130)</f>
        <v>134</v>
      </c>
      <c r="F130" s="129"/>
      <c r="G130" s="129"/>
      <c r="H130" s="129"/>
      <c r="I130" s="129"/>
      <c r="J130" s="129"/>
      <c r="K130" s="129"/>
      <c r="L130" s="129">
        <v>40</v>
      </c>
      <c r="M130" s="129">
        <v>40</v>
      </c>
      <c r="N130" s="126" t="str">
        <f>IF(E130="","",IF(E130&lt;=40,"Pass","Fail"))</f>
        <v>Fail</v>
      </c>
      <c r="O130" s="121">
        <v>1428</v>
      </c>
      <c r="P130" s="120" t="s">
        <v>124</v>
      </c>
      <c r="Q130" s="127"/>
    </row>
    <row r="131" spans="1:17" ht="12.75" customHeight="1">
      <c r="A131" s="123">
        <v>43039</v>
      </c>
      <c r="B131" s="123"/>
      <c r="C131" s="128">
        <v>8</v>
      </c>
      <c r="D131" s="128">
        <v>59</v>
      </c>
      <c r="E131" s="129">
        <f>IF(((C131="")*AND(D131="")),"",D131-C131)</f>
        <v>51</v>
      </c>
      <c r="F131" s="129"/>
      <c r="G131" s="129"/>
      <c r="H131" s="129"/>
      <c r="I131" s="129"/>
      <c r="J131" s="129"/>
      <c r="K131" s="129"/>
      <c r="L131" s="129">
        <v>40</v>
      </c>
      <c r="M131" s="129">
        <v>40</v>
      </c>
      <c r="N131" s="126" t="str">
        <f>IF(E131="","",IF(E131&lt;=40,"Pass","Fail"))</f>
        <v>Fail</v>
      </c>
      <c r="O131" s="121">
        <v>1335</v>
      </c>
      <c r="P131" s="120" t="s">
        <v>125</v>
      </c>
      <c r="Q131" s="127"/>
    </row>
    <row r="132" spans="1:17" ht="12.75" customHeight="1">
      <c r="A132" s="123">
        <v>43039</v>
      </c>
      <c r="B132" s="123"/>
      <c r="C132" s="128">
        <v>3</v>
      </c>
      <c r="D132" s="128">
        <v>383</v>
      </c>
      <c r="E132" s="129">
        <f t="shared" ref="E132:E196" si="5">IF(((C132="")*AND(D132="")),"",D132-C132)</f>
        <v>380</v>
      </c>
      <c r="F132" s="129"/>
      <c r="G132" s="129"/>
      <c r="H132" s="129"/>
      <c r="I132" s="129"/>
      <c r="J132" s="129"/>
      <c r="K132" s="129"/>
      <c r="L132" s="129">
        <v>40</v>
      </c>
      <c r="M132" s="129">
        <v>40</v>
      </c>
      <c r="N132" s="126" t="str">
        <f t="shared" ref="N132:N196" si="6">IF(E132="","",IF(E132&lt;=40,"Pass","Fail"))</f>
        <v>Fail</v>
      </c>
      <c r="O132" s="121">
        <v>1335</v>
      </c>
      <c r="P132" s="120" t="s">
        <v>126</v>
      </c>
      <c r="Q132" s="127"/>
    </row>
    <row r="133" spans="1:17" ht="12.75" customHeight="1">
      <c r="A133" s="123">
        <v>43040</v>
      </c>
      <c r="B133" s="123"/>
      <c r="C133" s="128">
        <v>10</v>
      </c>
      <c r="D133" s="128">
        <v>106</v>
      </c>
      <c r="E133" s="129">
        <f t="shared" si="5"/>
        <v>96</v>
      </c>
      <c r="F133" s="129"/>
      <c r="G133" s="129"/>
      <c r="H133" s="129"/>
      <c r="I133" s="129"/>
      <c r="J133" s="129"/>
      <c r="K133" s="129"/>
      <c r="L133" s="129">
        <v>40</v>
      </c>
      <c r="M133" s="129">
        <v>40</v>
      </c>
      <c r="N133" s="126" t="str">
        <f t="shared" si="6"/>
        <v>Fail</v>
      </c>
      <c r="O133" s="121">
        <v>121</v>
      </c>
      <c r="P133" s="120" t="s">
        <v>127</v>
      </c>
      <c r="Q133" s="127"/>
    </row>
    <row r="134" spans="1:17" ht="12.75" customHeight="1">
      <c r="A134" s="123">
        <v>43040</v>
      </c>
      <c r="B134" s="123"/>
      <c r="C134" s="128">
        <v>3</v>
      </c>
      <c r="D134" s="128">
        <v>48</v>
      </c>
      <c r="E134" s="129">
        <f t="shared" si="5"/>
        <v>45</v>
      </c>
      <c r="F134" s="129"/>
      <c r="G134" s="129"/>
      <c r="H134" s="129"/>
      <c r="I134" s="129"/>
      <c r="J134" s="129"/>
      <c r="K134" s="129"/>
      <c r="L134" s="129">
        <v>40</v>
      </c>
      <c r="M134" s="129">
        <v>40</v>
      </c>
      <c r="N134" s="126" t="str">
        <f t="shared" si="6"/>
        <v>Fail</v>
      </c>
      <c r="O134" s="121">
        <v>121</v>
      </c>
      <c r="P134" s="120" t="s">
        <v>128</v>
      </c>
      <c r="Q134" s="127"/>
    </row>
    <row r="135" spans="1:17" ht="12.75" customHeight="1">
      <c r="A135" s="123">
        <v>43040</v>
      </c>
      <c r="B135" s="123"/>
      <c r="C135" s="128">
        <v>8</v>
      </c>
      <c r="D135" s="128">
        <v>136</v>
      </c>
      <c r="E135" s="129">
        <f t="shared" si="5"/>
        <v>128</v>
      </c>
      <c r="F135" s="129"/>
      <c r="G135" s="129"/>
      <c r="H135" s="129"/>
      <c r="I135" s="129"/>
      <c r="J135" s="129"/>
      <c r="K135" s="129"/>
      <c r="L135" s="129">
        <v>40</v>
      </c>
      <c r="M135" s="129">
        <v>40</v>
      </c>
      <c r="N135" s="126" t="str">
        <f t="shared" si="6"/>
        <v>Fail</v>
      </c>
      <c r="O135" s="121">
        <v>102</v>
      </c>
      <c r="P135" s="120" t="s">
        <v>129</v>
      </c>
      <c r="Q135" s="127"/>
    </row>
    <row r="136" spans="1:17" ht="12.75" customHeight="1">
      <c r="A136" s="123">
        <v>43040</v>
      </c>
      <c r="B136" s="123"/>
      <c r="C136" s="128">
        <v>6</v>
      </c>
      <c r="D136" s="128">
        <v>91</v>
      </c>
      <c r="E136" s="129">
        <f t="shared" si="5"/>
        <v>85</v>
      </c>
      <c r="F136" s="129"/>
      <c r="G136" s="129"/>
      <c r="H136" s="129"/>
      <c r="I136" s="129"/>
      <c r="J136" s="129"/>
      <c r="K136" s="129"/>
      <c r="L136" s="129">
        <v>40</v>
      </c>
      <c r="M136" s="129">
        <v>40</v>
      </c>
      <c r="N136" s="126" t="str">
        <f>IF(E136="","",IF(E136&lt;=40,"Pass","Fail"))</f>
        <v>Fail</v>
      </c>
      <c r="O136" s="121">
        <v>102</v>
      </c>
      <c r="P136" s="120" t="s">
        <v>130</v>
      </c>
      <c r="Q136" s="127"/>
    </row>
    <row r="137" spans="1:17" ht="12.75" customHeight="1">
      <c r="A137" s="123">
        <v>43045</v>
      </c>
      <c r="B137" s="123"/>
      <c r="C137" s="128">
        <v>7</v>
      </c>
      <c r="D137" s="128">
        <v>68</v>
      </c>
      <c r="E137" s="129">
        <f t="shared" si="5"/>
        <v>61</v>
      </c>
      <c r="F137" s="129"/>
      <c r="G137" s="129"/>
      <c r="H137" s="129"/>
      <c r="I137" s="129"/>
      <c r="J137" s="129"/>
      <c r="K137" s="129"/>
      <c r="L137" s="129">
        <v>40</v>
      </c>
      <c r="M137" s="129">
        <v>40</v>
      </c>
      <c r="N137" s="126" t="str">
        <f t="shared" si="6"/>
        <v>Fail</v>
      </c>
      <c r="O137" s="121">
        <v>1159</v>
      </c>
      <c r="P137" s="120" t="s">
        <v>131</v>
      </c>
      <c r="Q137" s="127"/>
    </row>
    <row r="138" spans="1:17" ht="12.75" customHeight="1">
      <c r="A138" s="123">
        <v>43047</v>
      </c>
      <c r="B138" s="123"/>
      <c r="C138" s="128">
        <v>4</v>
      </c>
      <c r="D138" s="128">
        <v>34</v>
      </c>
      <c r="E138" s="129">
        <f t="shared" si="5"/>
        <v>30</v>
      </c>
      <c r="F138" s="129"/>
      <c r="G138" s="129"/>
      <c r="H138" s="129"/>
      <c r="I138" s="129"/>
      <c r="J138" s="129"/>
      <c r="K138" s="129"/>
      <c r="L138" s="129">
        <v>40</v>
      </c>
      <c r="M138" s="129">
        <v>40</v>
      </c>
      <c r="N138" s="126" t="str">
        <f t="shared" si="6"/>
        <v>Pass</v>
      </c>
      <c r="O138" s="121">
        <v>102</v>
      </c>
      <c r="P138" s="120" t="s">
        <v>57</v>
      </c>
      <c r="Q138" s="127"/>
    </row>
    <row r="139" spans="1:17" ht="12.75" customHeight="1">
      <c r="A139" s="123">
        <v>43053</v>
      </c>
      <c r="B139" s="123"/>
      <c r="C139" s="128">
        <v>25</v>
      </c>
      <c r="D139" s="128">
        <v>79</v>
      </c>
      <c r="E139" s="129">
        <f t="shared" si="5"/>
        <v>54</v>
      </c>
      <c r="F139" s="129"/>
      <c r="G139" s="129"/>
      <c r="H139" s="129"/>
      <c r="I139" s="129"/>
      <c r="J139" s="129"/>
      <c r="K139" s="129"/>
      <c r="L139" s="129">
        <v>40</v>
      </c>
      <c r="M139" s="129">
        <v>40</v>
      </c>
      <c r="N139" s="126" t="str">
        <f t="shared" si="6"/>
        <v>Fail</v>
      </c>
      <c r="O139" s="121">
        <v>1159</v>
      </c>
      <c r="P139" s="120" t="s">
        <v>130</v>
      </c>
      <c r="Q139" s="127"/>
    </row>
    <row r="140" spans="1:17" ht="12.75" customHeight="1">
      <c r="A140" s="123">
        <v>43054</v>
      </c>
      <c r="B140" s="123"/>
      <c r="C140" s="128">
        <v>5</v>
      </c>
      <c r="D140" s="128">
        <v>85</v>
      </c>
      <c r="E140" s="129">
        <f t="shared" si="5"/>
        <v>80</v>
      </c>
      <c r="F140" s="129"/>
      <c r="G140" s="129"/>
      <c r="H140" s="129"/>
      <c r="I140" s="129"/>
      <c r="J140" s="129"/>
      <c r="K140" s="129"/>
      <c r="L140" s="129">
        <v>40</v>
      </c>
      <c r="M140" s="129">
        <v>40</v>
      </c>
      <c r="N140" s="126" t="str">
        <f t="shared" si="6"/>
        <v>Fail</v>
      </c>
      <c r="O140" s="121">
        <v>1159</v>
      </c>
      <c r="P140" s="120" t="s">
        <v>130</v>
      </c>
      <c r="Q140" s="127"/>
    </row>
    <row r="141" spans="1:17" ht="12.75" customHeight="1">
      <c r="A141" s="123">
        <v>43055</v>
      </c>
      <c r="B141" s="123"/>
      <c r="C141" s="128">
        <v>3</v>
      </c>
      <c r="D141" s="128">
        <v>73</v>
      </c>
      <c r="E141" s="129">
        <f t="shared" si="5"/>
        <v>70</v>
      </c>
      <c r="F141" s="129"/>
      <c r="G141" s="129"/>
      <c r="H141" s="129"/>
      <c r="I141" s="129"/>
      <c r="J141" s="129"/>
      <c r="K141" s="129"/>
      <c r="L141" s="129">
        <v>40</v>
      </c>
      <c r="M141" s="129">
        <v>40</v>
      </c>
      <c r="N141" s="126" t="str">
        <f t="shared" si="6"/>
        <v>Fail</v>
      </c>
      <c r="O141" s="121">
        <v>102</v>
      </c>
      <c r="P141" s="120" t="s">
        <v>132</v>
      </c>
      <c r="Q141" s="127"/>
    </row>
    <row r="142" spans="1:17" ht="12.75" customHeight="1">
      <c r="A142" s="123">
        <v>43055</v>
      </c>
      <c r="B142" s="123"/>
      <c r="C142" s="128">
        <v>1</v>
      </c>
      <c r="D142" s="128">
        <v>1</v>
      </c>
      <c r="E142" s="129">
        <f t="shared" si="5"/>
        <v>0</v>
      </c>
      <c r="F142" s="129"/>
      <c r="G142" s="129"/>
      <c r="H142" s="129"/>
      <c r="I142" s="129"/>
      <c r="J142" s="129"/>
      <c r="K142" s="129"/>
      <c r="L142" s="129">
        <v>40</v>
      </c>
      <c r="M142" s="129">
        <v>40</v>
      </c>
      <c r="N142" s="126" t="str">
        <f t="shared" si="6"/>
        <v>Pass</v>
      </c>
      <c r="O142" s="121">
        <v>102</v>
      </c>
      <c r="P142" s="120" t="s">
        <v>133</v>
      </c>
      <c r="Q142" s="127"/>
    </row>
    <row r="143" spans="1:17" ht="12.75" customHeight="1">
      <c r="A143" s="123">
        <v>43063</v>
      </c>
      <c r="B143" s="123"/>
      <c r="C143" s="128">
        <v>5</v>
      </c>
      <c r="D143" s="128">
        <v>56</v>
      </c>
      <c r="E143" s="129">
        <f t="shared" si="5"/>
        <v>51</v>
      </c>
      <c r="F143" s="129"/>
      <c r="G143" s="129"/>
      <c r="H143" s="129"/>
      <c r="I143" s="129"/>
      <c r="J143" s="129"/>
      <c r="K143" s="129"/>
      <c r="L143" s="129">
        <v>40</v>
      </c>
      <c r="M143" s="129">
        <v>40</v>
      </c>
      <c r="N143" s="126" t="str">
        <f t="shared" si="6"/>
        <v>Fail</v>
      </c>
      <c r="O143" s="121">
        <v>121</v>
      </c>
      <c r="P143" s="120" t="s">
        <v>134</v>
      </c>
      <c r="Q143" s="127"/>
    </row>
    <row r="144" spans="1:17" ht="12.75" customHeight="1">
      <c r="A144" s="123">
        <v>43063</v>
      </c>
      <c r="B144" s="123"/>
      <c r="C144" s="128">
        <v>5</v>
      </c>
      <c r="D144" s="128">
        <v>56</v>
      </c>
      <c r="E144" s="129">
        <f>IF(((C144="")*AND(D144="")),"",D144-C144)</f>
        <v>51</v>
      </c>
      <c r="F144" s="129"/>
      <c r="G144" s="129"/>
      <c r="H144" s="129"/>
      <c r="I144" s="129"/>
      <c r="J144" s="129"/>
      <c r="K144" s="129"/>
      <c r="L144" s="129">
        <v>40</v>
      </c>
      <c r="M144" s="129">
        <v>40</v>
      </c>
      <c r="N144" s="126" t="str">
        <f>IF(E144="","",IF(E144&lt;=40,"Pass","Fail"))</f>
        <v>Fail</v>
      </c>
      <c r="O144" s="121">
        <v>121</v>
      </c>
      <c r="P144" s="120" t="s">
        <v>85</v>
      </c>
      <c r="Q144" s="127"/>
    </row>
    <row r="145" spans="1:17" ht="12.75" customHeight="1">
      <c r="A145" s="123">
        <v>43075</v>
      </c>
      <c r="B145" s="123"/>
      <c r="C145" s="128">
        <v>15</v>
      </c>
      <c r="D145" s="128">
        <v>359</v>
      </c>
      <c r="E145" s="129">
        <f t="shared" si="5"/>
        <v>344</v>
      </c>
      <c r="F145" s="129"/>
      <c r="G145" s="129"/>
      <c r="H145" s="129"/>
      <c r="I145" s="129"/>
      <c r="J145" s="129"/>
      <c r="K145" s="129"/>
      <c r="L145" s="129">
        <v>40</v>
      </c>
      <c r="M145" s="129">
        <v>40</v>
      </c>
      <c r="N145" s="126" t="str">
        <f t="shared" si="6"/>
        <v>Fail</v>
      </c>
      <c r="O145" s="121">
        <v>102</v>
      </c>
      <c r="P145" s="120" t="s">
        <v>135</v>
      </c>
      <c r="Q145" s="127"/>
    </row>
    <row r="146" spans="1:17" ht="12.75" customHeight="1">
      <c r="A146" s="123">
        <v>43075</v>
      </c>
      <c r="B146" s="123"/>
      <c r="C146" s="128">
        <v>6</v>
      </c>
      <c r="D146" s="128">
        <v>223</v>
      </c>
      <c r="E146" s="129">
        <f t="shared" si="5"/>
        <v>217</v>
      </c>
      <c r="F146" s="129"/>
      <c r="G146" s="129"/>
      <c r="H146" s="129"/>
      <c r="I146" s="129"/>
      <c r="J146" s="129"/>
      <c r="K146" s="129"/>
      <c r="L146" s="129">
        <v>40</v>
      </c>
      <c r="M146" s="129">
        <v>40</v>
      </c>
      <c r="N146" s="126" t="str">
        <f t="shared" si="6"/>
        <v>Fail</v>
      </c>
      <c r="O146" s="121">
        <v>102</v>
      </c>
      <c r="P146" s="120" t="s">
        <v>136</v>
      </c>
      <c r="Q146" s="132"/>
    </row>
    <row r="147" spans="1:17" ht="12.75" customHeight="1">
      <c r="A147" s="123">
        <v>43076</v>
      </c>
      <c r="B147" s="123"/>
      <c r="C147" s="128">
        <v>9</v>
      </c>
      <c r="D147" s="128">
        <v>153</v>
      </c>
      <c r="E147" s="129">
        <f>IF(((C147="")*AND(D147="")),"",D147-C147)</f>
        <v>144</v>
      </c>
      <c r="F147" s="129"/>
      <c r="G147" s="129"/>
      <c r="H147" s="129"/>
      <c r="I147" s="129"/>
      <c r="J147" s="129"/>
      <c r="K147" s="129"/>
      <c r="L147" s="129">
        <v>40</v>
      </c>
      <c r="M147" s="129">
        <v>40</v>
      </c>
      <c r="N147" s="126" t="str">
        <f>IF(E147="","",IF(E147&lt;=40,"Pass","Fail"))</f>
        <v>Fail</v>
      </c>
      <c r="O147" s="121">
        <v>102</v>
      </c>
      <c r="P147" s="120"/>
      <c r="Q147" s="132"/>
    </row>
    <row r="148" spans="1:17" ht="12.75" customHeight="1">
      <c r="A148" s="123">
        <v>43080</v>
      </c>
      <c r="B148" s="123"/>
      <c r="C148" s="128">
        <v>5</v>
      </c>
      <c r="D148" s="128">
        <v>93</v>
      </c>
      <c r="E148" s="129">
        <f t="shared" si="5"/>
        <v>88</v>
      </c>
      <c r="F148" s="129"/>
      <c r="G148" s="129"/>
      <c r="H148" s="129"/>
      <c r="I148" s="129"/>
      <c r="J148" s="129"/>
      <c r="K148" s="129"/>
      <c r="L148" s="129">
        <v>40</v>
      </c>
      <c r="M148" s="129">
        <v>40</v>
      </c>
      <c r="N148" s="126" t="str">
        <f t="shared" si="6"/>
        <v>Fail</v>
      </c>
      <c r="O148" s="121">
        <v>102</v>
      </c>
      <c r="P148" s="120"/>
      <c r="Q148" s="127"/>
    </row>
    <row r="149" spans="1:17" ht="12.75" customHeight="1">
      <c r="A149" s="123">
        <v>43091</v>
      </c>
      <c r="B149" s="123"/>
      <c r="C149" s="128">
        <v>4</v>
      </c>
      <c r="D149" s="128">
        <v>96</v>
      </c>
      <c r="E149" s="129">
        <f t="shared" si="5"/>
        <v>92</v>
      </c>
      <c r="F149" s="129"/>
      <c r="G149" s="129"/>
      <c r="H149" s="129"/>
      <c r="I149" s="129"/>
      <c r="J149" s="129"/>
      <c r="K149" s="129"/>
      <c r="L149" s="129">
        <v>40</v>
      </c>
      <c r="M149" s="129">
        <v>40</v>
      </c>
      <c r="N149" s="126" t="str">
        <f t="shared" si="6"/>
        <v>Fail</v>
      </c>
      <c r="O149" s="121">
        <v>121</v>
      </c>
      <c r="P149" s="120"/>
      <c r="Q149" s="127"/>
    </row>
    <row r="150" spans="1:17" ht="12.75" customHeight="1">
      <c r="A150" s="123">
        <v>43091</v>
      </c>
      <c r="B150" s="123"/>
      <c r="C150" s="128">
        <v>11</v>
      </c>
      <c r="D150" s="128">
        <v>54</v>
      </c>
      <c r="E150" s="129">
        <f t="shared" si="5"/>
        <v>43</v>
      </c>
      <c r="F150" s="129"/>
      <c r="G150" s="129"/>
      <c r="H150" s="129"/>
      <c r="I150" s="129"/>
      <c r="J150" s="129"/>
      <c r="K150" s="129"/>
      <c r="L150" s="129">
        <v>40</v>
      </c>
      <c r="M150" s="129">
        <v>40</v>
      </c>
      <c r="N150" s="126" t="str">
        <f t="shared" si="6"/>
        <v>Fail</v>
      </c>
      <c r="O150" s="121">
        <v>1428</v>
      </c>
      <c r="P150" s="120" t="s">
        <v>137</v>
      </c>
      <c r="Q150" s="127"/>
    </row>
    <row r="151" spans="1:17" ht="12.75" customHeight="1">
      <c r="A151" s="123">
        <v>43092</v>
      </c>
      <c r="B151" s="123"/>
      <c r="C151" s="128">
        <v>3</v>
      </c>
      <c r="D151" s="128">
        <v>51</v>
      </c>
      <c r="E151" s="129">
        <f t="shared" si="5"/>
        <v>48</v>
      </c>
      <c r="F151" s="129"/>
      <c r="G151" s="129"/>
      <c r="H151" s="129"/>
      <c r="I151" s="129"/>
      <c r="J151" s="129"/>
      <c r="K151" s="129"/>
      <c r="L151" s="129">
        <v>40</v>
      </c>
      <c r="M151" s="129">
        <v>40</v>
      </c>
      <c r="N151" s="126" t="str">
        <f t="shared" si="6"/>
        <v>Fail</v>
      </c>
      <c r="O151" s="121">
        <v>1159</v>
      </c>
      <c r="P151" s="120" t="s">
        <v>138</v>
      </c>
      <c r="Q151" s="127"/>
    </row>
    <row r="152" spans="1:17" ht="12.75" customHeight="1">
      <c r="A152" s="123">
        <v>43092</v>
      </c>
      <c r="B152" s="123"/>
      <c r="C152" s="128">
        <v>3</v>
      </c>
      <c r="D152" s="128">
        <v>57</v>
      </c>
      <c r="E152" s="129">
        <f t="shared" si="5"/>
        <v>54</v>
      </c>
      <c r="F152" s="129"/>
      <c r="G152" s="129"/>
      <c r="H152" s="129"/>
      <c r="I152" s="129"/>
      <c r="J152" s="129"/>
      <c r="K152" s="129"/>
      <c r="L152" s="129">
        <v>40</v>
      </c>
      <c r="M152" s="129">
        <v>40</v>
      </c>
      <c r="N152" s="126" t="str">
        <f t="shared" si="6"/>
        <v>Fail</v>
      </c>
      <c r="O152" s="121">
        <v>1159</v>
      </c>
      <c r="P152" s="120"/>
      <c r="Q152" s="127"/>
    </row>
    <row r="153" spans="1:17" ht="12.75" customHeight="1">
      <c r="A153" s="123">
        <v>43096</v>
      </c>
      <c r="B153" s="123"/>
      <c r="C153" s="128">
        <v>14</v>
      </c>
      <c r="D153" s="128">
        <v>31</v>
      </c>
      <c r="E153" s="129">
        <f t="shared" si="5"/>
        <v>17</v>
      </c>
      <c r="F153" s="129"/>
      <c r="G153" s="129"/>
      <c r="H153" s="129"/>
      <c r="I153" s="129"/>
      <c r="J153" s="129"/>
      <c r="K153" s="129"/>
      <c r="L153" s="129">
        <v>40</v>
      </c>
      <c r="M153" s="129">
        <v>40</v>
      </c>
      <c r="N153" s="126" t="str">
        <f t="shared" si="6"/>
        <v>Pass</v>
      </c>
      <c r="O153" s="121">
        <v>1428</v>
      </c>
      <c r="P153" s="120"/>
      <c r="Q153" s="127"/>
    </row>
    <row r="154" spans="1:17" ht="12.75" customHeight="1">
      <c r="A154" s="123">
        <v>43105</v>
      </c>
      <c r="B154" s="123"/>
      <c r="C154" s="128">
        <v>9</v>
      </c>
      <c r="D154" s="128">
        <v>43</v>
      </c>
      <c r="E154" s="129">
        <f>IF(((C154="")*AND(D154="")),"",D154-C154)</f>
        <v>34</v>
      </c>
      <c r="F154" s="129"/>
      <c r="G154" s="129"/>
      <c r="H154" s="129"/>
      <c r="I154" s="129"/>
      <c r="J154" s="129"/>
      <c r="K154" s="129"/>
      <c r="L154" s="129">
        <v>40</v>
      </c>
      <c r="M154" s="129">
        <v>40</v>
      </c>
      <c r="N154" s="126" t="str">
        <f>IF(E154="","",IF(E154&lt;=40,"Pass","Fail"))</f>
        <v>Pass</v>
      </c>
      <c r="O154" s="121">
        <v>64</v>
      </c>
      <c r="P154" s="120"/>
      <c r="Q154" s="127"/>
    </row>
    <row r="155" spans="1:17" ht="12.75" customHeight="1">
      <c r="A155" s="123">
        <v>43105</v>
      </c>
      <c r="B155" s="123"/>
      <c r="C155" s="128">
        <v>3</v>
      </c>
      <c r="D155" s="128">
        <v>28</v>
      </c>
      <c r="E155" s="129">
        <f t="shared" si="5"/>
        <v>25</v>
      </c>
      <c r="F155" s="129"/>
      <c r="G155" s="129"/>
      <c r="H155" s="129"/>
      <c r="I155" s="129"/>
      <c r="J155" s="129"/>
      <c r="K155" s="129"/>
      <c r="L155" s="129">
        <v>40</v>
      </c>
      <c r="M155" s="129">
        <v>40</v>
      </c>
      <c r="N155" s="126" t="str">
        <f t="shared" si="6"/>
        <v>Pass</v>
      </c>
      <c r="O155" s="121">
        <v>1335</v>
      </c>
      <c r="P155" s="120"/>
      <c r="Q155" s="127"/>
    </row>
    <row r="156" spans="1:17" ht="12.75" customHeight="1">
      <c r="A156" s="123">
        <v>43108</v>
      </c>
      <c r="B156" s="123"/>
      <c r="C156" s="128">
        <v>9</v>
      </c>
      <c r="D156" s="128">
        <v>33</v>
      </c>
      <c r="E156" s="129">
        <f t="shared" si="5"/>
        <v>24</v>
      </c>
      <c r="F156" s="129"/>
      <c r="G156" s="129"/>
      <c r="H156" s="129"/>
      <c r="I156" s="129"/>
      <c r="J156" s="129"/>
      <c r="K156" s="129"/>
      <c r="L156" s="129">
        <v>40</v>
      </c>
      <c r="M156" s="129">
        <v>40</v>
      </c>
      <c r="N156" s="126" t="str">
        <f t="shared" si="6"/>
        <v>Pass</v>
      </c>
      <c r="O156" s="121">
        <v>1335</v>
      </c>
      <c r="P156" s="120" t="s">
        <v>139</v>
      </c>
      <c r="Q156" s="127"/>
    </row>
    <row r="157" spans="1:17" ht="12.75" customHeight="1">
      <c r="A157" s="123">
        <v>43114</v>
      </c>
      <c r="B157" s="123"/>
      <c r="C157" s="128">
        <v>10</v>
      </c>
      <c r="D157" s="128">
        <v>95</v>
      </c>
      <c r="E157" s="129">
        <f t="shared" si="5"/>
        <v>85</v>
      </c>
      <c r="F157" s="129"/>
      <c r="G157" s="129"/>
      <c r="H157" s="129"/>
      <c r="I157" s="129"/>
      <c r="J157" s="129"/>
      <c r="K157" s="129"/>
      <c r="L157" s="129">
        <v>40</v>
      </c>
      <c r="M157" s="129">
        <v>40</v>
      </c>
      <c r="N157" s="126" t="str">
        <f t="shared" si="6"/>
        <v>Fail</v>
      </c>
      <c r="O157" s="121">
        <v>1335</v>
      </c>
      <c r="P157" s="120" t="s">
        <v>140</v>
      </c>
      <c r="Q157" s="127"/>
    </row>
    <row r="158" spans="1:17" ht="12.75" customHeight="1">
      <c r="A158" s="123">
        <v>43119</v>
      </c>
      <c r="B158" s="123"/>
      <c r="C158" s="128">
        <v>5</v>
      </c>
      <c r="D158" s="128">
        <v>29</v>
      </c>
      <c r="E158" s="129">
        <f t="shared" si="5"/>
        <v>24</v>
      </c>
      <c r="F158" s="129"/>
      <c r="G158" s="129"/>
      <c r="H158" s="129"/>
      <c r="I158" s="129"/>
      <c r="J158" s="129"/>
      <c r="K158" s="129"/>
      <c r="L158" s="129">
        <v>40</v>
      </c>
      <c r="M158" s="129">
        <v>40</v>
      </c>
      <c r="N158" s="126" t="str">
        <f t="shared" si="6"/>
        <v>Pass</v>
      </c>
      <c r="O158" s="121">
        <v>1519</v>
      </c>
      <c r="P158" s="120" t="s">
        <v>141</v>
      </c>
      <c r="Q158" s="127"/>
    </row>
    <row r="159" spans="1:17" ht="12.75" customHeight="1">
      <c r="A159" s="123">
        <v>43125</v>
      </c>
      <c r="B159" s="123"/>
      <c r="C159" s="128">
        <v>27</v>
      </c>
      <c r="D159" s="128">
        <v>44</v>
      </c>
      <c r="E159" s="129">
        <f t="shared" si="5"/>
        <v>17</v>
      </c>
      <c r="F159" s="129"/>
      <c r="G159" s="129"/>
      <c r="H159" s="129"/>
      <c r="I159" s="129"/>
      <c r="J159" s="129"/>
      <c r="K159" s="129"/>
      <c r="L159" s="129">
        <v>40</v>
      </c>
      <c r="M159" s="129">
        <v>40</v>
      </c>
      <c r="N159" s="126" t="str">
        <f t="shared" si="6"/>
        <v>Pass</v>
      </c>
      <c r="O159" s="121">
        <v>1428</v>
      </c>
      <c r="P159" s="120"/>
      <c r="Q159" s="127"/>
    </row>
    <row r="160" spans="1:17" ht="12.75" customHeight="1">
      <c r="A160" s="123">
        <v>43129</v>
      </c>
      <c r="B160" s="123"/>
      <c r="C160" s="128">
        <v>2</v>
      </c>
      <c r="D160" s="128">
        <v>26</v>
      </c>
      <c r="E160" s="129">
        <f t="shared" si="5"/>
        <v>24</v>
      </c>
      <c r="F160" s="129"/>
      <c r="G160" s="129"/>
      <c r="H160" s="129"/>
      <c r="I160" s="129"/>
      <c r="J160" s="129"/>
      <c r="K160" s="129"/>
      <c r="L160" s="129">
        <v>40</v>
      </c>
      <c r="M160" s="129">
        <v>40</v>
      </c>
      <c r="N160" s="126" t="str">
        <f t="shared" si="6"/>
        <v>Pass</v>
      </c>
      <c r="O160" s="121">
        <v>121</v>
      </c>
      <c r="P160" s="120" t="s">
        <v>142</v>
      </c>
      <c r="Q160" s="127"/>
    </row>
    <row r="161" spans="1:17" ht="12.75" customHeight="1">
      <c r="A161" s="123">
        <v>43135</v>
      </c>
      <c r="B161" s="123"/>
      <c r="C161" s="128">
        <v>11</v>
      </c>
      <c r="D161" s="128">
        <v>53</v>
      </c>
      <c r="E161" s="129">
        <f t="shared" si="5"/>
        <v>42</v>
      </c>
      <c r="F161" s="129"/>
      <c r="G161" s="129"/>
      <c r="H161" s="129"/>
      <c r="I161" s="129"/>
      <c r="J161" s="129"/>
      <c r="K161" s="129"/>
      <c r="L161" s="129">
        <v>40</v>
      </c>
      <c r="M161" s="129">
        <v>40</v>
      </c>
      <c r="N161" s="126" t="str">
        <f t="shared" si="6"/>
        <v>Fail</v>
      </c>
      <c r="O161" s="121">
        <v>1335</v>
      </c>
      <c r="P161" s="120" t="s">
        <v>143</v>
      </c>
      <c r="Q161" s="127"/>
    </row>
    <row r="162" spans="1:17" ht="12.75" customHeight="1">
      <c r="A162" s="123">
        <v>43140</v>
      </c>
      <c r="B162" s="123"/>
      <c r="C162" s="128">
        <v>5</v>
      </c>
      <c r="D162" s="128">
        <v>69</v>
      </c>
      <c r="E162" s="129">
        <f t="shared" si="5"/>
        <v>64</v>
      </c>
      <c r="F162" s="129"/>
      <c r="G162" s="129"/>
      <c r="H162" s="129"/>
      <c r="I162" s="129"/>
      <c r="J162" s="129"/>
      <c r="K162" s="129"/>
      <c r="L162" s="129">
        <v>40</v>
      </c>
      <c r="M162" s="129">
        <v>40</v>
      </c>
      <c r="N162" s="126" t="str">
        <f t="shared" si="6"/>
        <v>Fail</v>
      </c>
      <c r="O162" s="121">
        <v>1159</v>
      </c>
      <c r="P162" s="120"/>
      <c r="Q162" s="127"/>
    </row>
    <row r="163" spans="1:17" ht="12.75" customHeight="1">
      <c r="A163" s="123">
        <v>43140</v>
      </c>
      <c r="B163" s="123"/>
      <c r="C163" s="128">
        <v>4</v>
      </c>
      <c r="D163" s="128">
        <v>38</v>
      </c>
      <c r="E163" s="129">
        <f t="shared" si="5"/>
        <v>34</v>
      </c>
      <c r="F163" s="129"/>
      <c r="G163" s="129"/>
      <c r="H163" s="129"/>
      <c r="I163" s="129"/>
      <c r="J163" s="129"/>
      <c r="K163" s="129"/>
      <c r="L163" s="129">
        <v>40</v>
      </c>
      <c r="M163" s="129">
        <v>40</v>
      </c>
      <c r="N163" s="126" t="str">
        <f t="shared" si="6"/>
        <v>Pass</v>
      </c>
      <c r="O163" s="121">
        <v>1428</v>
      </c>
      <c r="P163" s="120" t="s">
        <v>144</v>
      </c>
      <c r="Q163" s="127"/>
    </row>
    <row r="164" spans="1:17" ht="12.75" customHeight="1">
      <c r="A164" s="123">
        <v>43140</v>
      </c>
      <c r="B164" s="123"/>
      <c r="C164" s="128">
        <v>1</v>
      </c>
      <c r="D164" s="128">
        <v>7</v>
      </c>
      <c r="E164" s="129">
        <f>IF(((C164="")*AND(D164="")),"",D164-C164)</f>
        <v>6</v>
      </c>
      <c r="F164" s="129"/>
      <c r="G164" s="129"/>
      <c r="H164" s="129"/>
      <c r="I164" s="129"/>
      <c r="J164" s="129"/>
      <c r="K164" s="129"/>
      <c r="L164" s="129">
        <v>40</v>
      </c>
      <c r="M164" s="129">
        <v>40</v>
      </c>
      <c r="N164" s="126" t="str">
        <f>IF(E164="","",IF(E164&lt;=40,"Pass","Fail"))</f>
        <v>Pass</v>
      </c>
      <c r="O164" s="121">
        <v>1428</v>
      </c>
      <c r="P164" s="120"/>
      <c r="Q164" s="127"/>
    </row>
    <row r="165" spans="1:17" ht="12.75" customHeight="1">
      <c r="A165" s="123">
        <v>43140</v>
      </c>
      <c r="B165" s="123"/>
      <c r="C165" s="128">
        <v>4</v>
      </c>
      <c r="D165" s="128">
        <v>218</v>
      </c>
      <c r="E165" s="129">
        <f>IF(((C165="")*AND(D165="")),"",D165-C165)</f>
        <v>214</v>
      </c>
      <c r="F165" s="129"/>
      <c r="G165" s="129"/>
      <c r="H165" s="129"/>
      <c r="I165" s="129"/>
      <c r="J165" s="129"/>
      <c r="K165" s="129"/>
      <c r="L165" s="129">
        <v>40</v>
      </c>
      <c r="M165" s="129">
        <v>40</v>
      </c>
      <c r="N165" s="126" t="str">
        <f>IF(E165="","",IF(E165&lt;=40,"Pass","Fail"))</f>
        <v>Fail</v>
      </c>
      <c r="O165" s="121">
        <v>102</v>
      </c>
      <c r="P165" s="120" t="s">
        <v>145</v>
      </c>
      <c r="Q165" s="127"/>
    </row>
    <row r="166" spans="1:17" ht="12.75" customHeight="1">
      <c r="A166" s="123">
        <v>43198</v>
      </c>
      <c r="B166" s="123"/>
      <c r="C166" s="128">
        <v>3</v>
      </c>
      <c r="D166" s="128">
        <v>76</v>
      </c>
      <c r="E166" s="129">
        <f t="shared" si="5"/>
        <v>73</v>
      </c>
      <c r="F166" s="129"/>
      <c r="G166" s="129"/>
      <c r="H166" s="129"/>
      <c r="I166" s="129"/>
      <c r="J166" s="129"/>
      <c r="K166" s="129"/>
      <c r="L166" s="129">
        <v>40</v>
      </c>
      <c r="M166" s="129">
        <v>40</v>
      </c>
      <c r="N166" s="126" t="str">
        <f t="shared" si="6"/>
        <v>Fail</v>
      </c>
      <c r="O166" s="121"/>
      <c r="P166" s="120"/>
      <c r="Q166" s="127"/>
    </row>
    <row r="167" spans="1:17" ht="12.75" customHeight="1">
      <c r="A167" s="123">
        <v>43294</v>
      </c>
      <c r="B167" s="123"/>
      <c r="C167" s="128">
        <v>5</v>
      </c>
      <c r="D167" s="128">
        <v>47</v>
      </c>
      <c r="E167" s="129">
        <f t="shared" si="5"/>
        <v>42</v>
      </c>
      <c r="F167" s="129"/>
      <c r="G167" s="129"/>
      <c r="H167" s="129"/>
      <c r="I167" s="129"/>
      <c r="J167" s="129"/>
      <c r="K167" s="129"/>
      <c r="L167" s="129">
        <v>40</v>
      </c>
      <c r="M167" s="129">
        <v>40</v>
      </c>
      <c r="N167" s="126" t="str">
        <f t="shared" si="6"/>
        <v>Fail</v>
      </c>
      <c r="O167" s="121">
        <v>1335</v>
      </c>
      <c r="P167" s="120"/>
      <c r="Q167" s="127"/>
    </row>
    <row r="168" spans="1:17" ht="12.75" customHeight="1">
      <c r="A168" s="123">
        <v>43296</v>
      </c>
      <c r="B168" s="123"/>
      <c r="C168" s="128">
        <v>35</v>
      </c>
      <c r="D168" s="128">
        <v>68</v>
      </c>
      <c r="E168" s="129">
        <f t="shared" si="5"/>
        <v>33</v>
      </c>
      <c r="F168" s="129"/>
      <c r="G168" s="129"/>
      <c r="H168" s="129"/>
      <c r="I168" s="129"/>
      <c r="J168" s="129"/>
      <c r="K168" s="129"/>
      <c r="L168" s="129">
        <v>40</v>
      </c>
      <c r="M168" s="129">
        <v>40</v>
      </c>
      <c r="N168" s="126" t="str">
        <f t="shared" si="6"/>
        <v>Pass</v>
      </c>
      <c r="O168" s="121">
        <v>74</v>
      </c>
      <c r="P168" s="120"/>
      <c r="Q168" s="127"/>
    </row>
    <row r="169" spans="1:17" ht="12.75" customHeight="1">
      <c r="A169" s="123">
        <v>43297</v>
      </c>
      <c r="B169" s="123"/>
      <c r="C169" s="128">
        <v>14</v>
      </c>
      <c r="D169" s="128">
        <v>54</v>
      </c>
      <c r="E169" s="129">
        <f t="shared" si="5"/>
        <v>40</v>
      </c>
      <c r="F169" s="129"/>
      <c r="G169" s="129"/>
      <c r="H169" s="129"/>
      <c r="I169" s="129"/>
      <c r="J169" s="129"/>
      <c r="K169" s="129"/>
      <c r="L169" s="129">
        <v>40</v>
      </c>
      <c r="M169" s="129">
        <v>40</v>
      </c>
      <c r="N169" s="126" t="str">
        <f t="shared" si="6"/>
        <v>Pass</v>
      </c>
      <c r="O169" s="121">
        <v>1159</v>
      </c>
      <c r="P169" s="120" t="s">
        <v>146</v>
      </c>
      <c r="Q169" s="120" t="s">
        <v>147</v>
      </c>
    </row>
    <row r="170" spans="1:17" ht="12.75" customHeight="1">
      <c r="A170" s="123">
        <v>43297</v>
      </c>
      <c r="B170" s="123"/>
      <c r="C170" s="128">
        <v>23</v>
      </c>
      <c r="D170" s="128">
        <v>40</v>
      </c>
      <c r="E170" s="129">
        <f t="shared" si="5"/>
        <v>17</v>
      </c>
      <c r="F170" s="129"/>
      <c r="G170" s="129"/>
      <c r="H170" s="129"/>
      <c r="I170" s="129"/>
      <c r="J170" s="129"/>
      <c r="K170" s="129"/>
      <c r="L170" s="129">
        <v>40</v>
      </c>
      <c r="M170" s="129">
        <v>40</v>
      </c>
      <c r="N170" s="126" t="str">
        <f t="shared" si="6"/>
        <v>Pass</v>
      </c>
      <c r="O170" s="121">
        <v>1159</v>
      </c>
      <c r="P170" s="120"/>
      <c r="Q170" s="127"/>
    </row>
    <row r="171" spans="1:17" ht="12.75" customHeight="1">
      <c r="A171" s="123">
        <v>43304</v>
      </c>
      <c r="B171" s="123"/>
      <c r="C171" s="128">
        <v>23</v>
      </c>
      <c r="D171" s="128">
        <v>29</v>
      </c>
      <c r="E171" s="129">
        <f t="shared" si="5"/>
        <v>6</v>
      </c>
      <c r="F171" s="129"/>
      <c r="G171" s="129"/>
      <c r="H171" s="129"/>
      <c r="I171" s="129"/>
      <c r="J171" s="129"/>
      <c r="K171" s="129"/>
      <c r="L171" s="129">
        <v>40</v>
      </c>
      <c r="M171" s="129">
        <v>40</v>
      </c>
      <c r="N171" s="126" t="str">
        <f t="shared" si="6"/>
        <v>Pass</v>
      </c>
      <c r="O171" s="121">
        <v>121</v>
      </c>
      <c r="P171" s="120" t="s">
        <v>148</v>
      </c>
      <c r="Q171" s="127"/>
    </row>
    <row r="172" spans="1:17" ht="12.75" customHeight="1">
      <c r="A172" s="123">
        <v>43304</v>
      </c>
      <c r="B172" s="123"/>
      <c r="C172" s="128">
        <v>17</v>
      </c>
      <c r="D172" s="128">
        <v>34</v>
      </c>
      <c r="E172" s="129">
        <f t="shared" si="5"/>
        <v>17</v>
      </c>
      <c r="F172" s="129"/>
      <c r="G172" s="129"/>
      <c r="H172" s="129"/>
      <c r="I172" s="129"/>
      <c r="J172" s="129"/>
      <c r="K172" s="129"/>
      <c r="L172" s="129">
        <v>40</v>
      </c>
      <c r="M172" s="129">
        <v>40</v>
      </c>
      <c r="N172" s="126" t="str">
        <f t="shared" si="6"/>
        <v>Pass</v>
      </c>
      <c r="O172" s="121">
        <v>121</v>
      </c>
      <c r="P172" s="120" t="s">
        <v>149</v>
      </c>
      <c r="Q172" s="127"/>
    </row>
    <row r="173" spans="1:17" ht="13.7" customHeight="1">
      <c r="A173" s="123">
        <v>43305</v>
      </c>
      <c r="B173" s="123"/>
      <c r="C173" s="128">
        <v>24</v>
      </c>
      <c r="D173" s="128">
        <v>127</v>
      </c>
      <c r="E173" s="129">
        <f t="shared" si="5"/>
        <v>103</v>
      </c>
      <c r="F173" s="129"/>
      <c r="G173" s="129"/>
      <c r="H173" s="129"/>
      <c r="I173" s="129"/>
      <c r="J173" s="129"/>
      <c r="K173" s="129"/>
      <c r="L173" s="129">
        <v>40</v>
      </c>
      <c r="M173" s="129">
        <v>40</v>
      </c>
      <c r="N173" s="126" t="str">
        <f t="shared" si="6"/>
        <v>Fail</v>
      </c>
      <c r="O173" s="121">
        <v>74</v>
      </c>
      <c r="P173" s="120"/>
      <c r="Q173" s="124" t="s">
        <v>150</v>
      </c>
    </row>
    <row r="174" spans="1:17" ht="13.7" customHeight="1">
      <c r="A174" s="123">
        <v>43305</v>
      </c>
      <c r="B174" s="123"/>
      <c r="C174" s="128">
        <v>25</v>
      </c>
      <c r="D174" s="128">
        <v>57</v>
      </c>
      <c r="E174" s="129">
        <f>IF(((C174="")*AND(D174="")),"",D174-C174)</f>
        <v>32</v>
      </c>
      <c r="F174" s="129"/>
      <c r="G174" s="129"/>
      <c r="H174" s="129"/>
      <c r="I174" s="129"/>
      <c r="J174" s="129"/>
      <c r="K174" s="129"/>
      <c r="L174" s="129">
        <v>40</v>
      </c>
      <c r="M174" s="129">
        <v>40</v>
      </c>
      <c r="N174" s="126" t="str">
        <f>IF(E174="","",IF(E174&lt;=40,"Pass","Fail"))</f>
        <v>Pass</v>
      </c>
      <c r="O174" s="121">
        <v>1335</v>
      </c>
      <c r="P174" s="120" t="s">
        <v>151</v>
      </c>
      <c r="Q174" s="124" t="s">
        <v>150</v>
      </c>
    </row>
    <row r="175" spans="1:17" ht="12.75" customHeight="1">
      <c r="A175" s="123">
        <v>43307</v>
      </c>
      <c r="B175" s="123"/>
      <c r="C175" s="128">
        <v>51</v>
      </c>
      <c r="D175" s="128">
        <v>66</v>
      </c>
      <c r="E175" s="129">
        <f t="shared" si="5"/>
        <v>15</v>
      </c>
      <c r="F175" s="129"/>
      <c r="G175" s="129"/>
      <c r="H175" s="129"/>
      <c r="I175" s="129"/>
      <c r="J175" s="129"/>
      <c r="K175" s="129"/>
      <c r="L175" s="129">
        <v>40</v>
      </c>
      <c r="M175" s="129">
        <v>40</v>
      </c>
      <c r="N175" s="126" t="str">
        <f t="shared" si="6"/>
        <v>Pass</v>
      </c>
      <c r="O175" s="121">
        <v>121</v>
      </c>
      <c r="P175" s="120" t="s">
        <v>152</v>
      </c>
      <c r="Q175" s="127"/>
    </row>
    <row r="176" spans="1:17" ht="12.75" customHeight="1">
      <c r="A176" s="123">
        <v>43307</v>
      </c>
      <c r="B176" s="123"/>
      <c r="C176" s="128">
        <v>47</v>
      </c>
      <c r="D176" s="128">
        <v>59</v>
      </c>
      <c r="E176" s="129">
        <f t="shared" si="5"/>
        <v>12</v>
      </c>
      <c r="F176" s="129"/>
      <c r="G176" s="129"/>
      <c r="H176" s="129"/>
      <c r="I176" s="129"/>
      <c r="J176" s="129"/>
      <c r="K176" s="129"/>
      <c r="L176" s="129">
        <v>40</v>
      </c>
      <c r="M176" s="129">
        <v>40</v>
      </c>
      <c r="N176" s="126" t="str">
        <f t="shared" si="6"/>
        <v>Pass</v>
      </c>
      <c r="O176" s="121">
        <v>121</v>
      </c>
      <c r="P176" s="120" t="s">
        <v>153</v>
      </c>
      <c r="Q176" s="127"/>
    </row>
    <row r="177" spans="1:17" ht="12.75" customHeight="1">
      <c r="A177" s="123">
        <v>43311</v>
      </c>
      <c r="B177" s="123"/>
      <c r="C177" s="128">
        <v>13</v>
      </c>
      <c r="D177" s="128">
        <v>65</v>
      </c>
      <c r="E177" s="129">
        <f t="shared" si="5"/>
        <v>52</v>
      </c>
      <c r="F177" s="129"/>
      <c r="G177" s="129"/>
      <c r="H177" s="129"/>
      <c r="I177" s="129"/>
      <c r="J177" s="129"/>
      <c r="K177" s="129"/>
      <c r="L177" s="129">
        <v>40</v>
      </c>
      <c r="M177" s="129">
        <v>40</v>
      </c>
      <c r="N177" s="126" t="str">
        <f t="shared" si="6"/>
        <v>Fail</v>
      </c>
      <c r="O177" s="121">
        <v>1428</v>
      </c>
      <c r="P177" s="120"/>
      <c r="Q177" s="127"/>
    </row>
    <row r="178" spans="1:17" ht="12.75" customHeight="1">
      <c r="A178" s="123">
        <v>43311</v>
      </c>
      <c r="B178" s="123"/>
      <c r="C178" s="128">
        <v>45</v>
      </c>
      <c r="D178" s="128">
        <v>60</v>
      </c>
      <c r="E178" s="129">
        <f t="shared" si="5"/>
        <v>15</v>
      </c>
      <c r="F178" s="129"/>
      <c r="G178" s="129"/>
      <c r="H178" s="129"/>
      <c r="I178" s="129"/>
      <c r="J178" s="129"/>
      <c r="K178" s="129"/>
      <c r="L178" s="129">
        <v>40</v>
      </c>
      <c r="M178" s="129">
        <v>40</v>
      </c>
      <c r="N178" s="126" t="str">
        <f t="shared" si="6"/>
        <v>Pass</v>
      </c>
      <c r="O178" s="121">
        <v>1428</v>
      </c>
      <c r="P178" s="120"/>
      <c r="Q178" s="127"/>
    </row>
    <row r="179" spans="1:17" ht="12.75" customHeight="1">
      <c r="A179" s="123">
        <v>43319</v>
      </c>
      <c r="B179" s="123"/>
      <c r="C179" s="128">
        <v>1</v>
      </c>
      <c r="D179" s="128">
        <v>27</v>
      </c>
      <c r="E179" s="129">
        <f t="shared" si="5"/>
        <v>26</v>
      </c>
      <c r="F179" s="129"/>
      <c r="G179" s="129"/>
      <c r="H179" s="129"/>
      <c r="I179" s="129"/>
      <c r="J179" s="129"/>
      <c r="K179" s="129"/>
      <c r="L179" s="129">
        <v>40</v>
      </c>
      <c r="M179" s="129">
        <v>40</v>
      </c>
      <c r="N179" s="126" t="str">
        <f t="shared" si="6"/>
        <v>Pass</v>
      </c>
      <c r="O179" s="121">
        <v>1340</v>
      </c>
      <c r="P179" s="120"/>
      <c r="Q179" s="127"/>
    </row>
    <row r="180" spans="1:17" ht="12.75" customHeight="1">
      <c r="A180" s="123">
        <v>43336</v>
      </c>
      <c r="B180" s="123"/>
      <c r="C180" s="128">
        <v>17</v>
      </c>
      <c r="D180" s="128">
        <v>171</v>
      </c>
      <c r="E180" s="129">
        <f t="shared" si="5"/>
        <v>154</v>
      </c>
      <c r="F180" s="129"/>
      <c r="G180" s="129"/>
      <c r="H180" s="129"/>
      <c r="I180" s="129"/>
      <c r="J180" s="129"/>
      <c r="K180" s="129"/>
      <c r="L180" s="129">
        <v>40</v>
      </c>
      <c r="M180" s="129">
        <v>40</v>
      </c>
      <c r="N180" s="126" t="str">
        <f t="shared" si="6"/>
        <v>Fail</v>
      </c>
      <c r="O180" s="121">
        <v>1340</v>
      </c>
      <c r="P180" s="120"/>
      <c r="Q180" s="127"/>
    </row>
    <row r="181" spans="1:17" ht="12.75" customHeight="1">
      <c r="A181" s="123">
        <v>43336</v>
      </c>
      <c r="B181" s="123"/>
      <c r="C181" s="128">
        <v>15</v>
      </c>
      <c r="D181" s="128">
        <v>53</v>
      </c>
      <c r="E181" s="129">
        <f t="shared" si="5"/>
        <v>38</v>
      </c>
      <c r="F181" s="129"/>
      <c r="G181" s="129"/>
      <c r="H181" s="129"/>
      <c r="I181" s="129"/>
      <c r="J181" s="129"/>
      <c r="K181" s="129"/>
      <c r="L181" s="129">
        <v>40</v>
      </c>
      <c r="M181" s="129">
        <v>40</v>
      </c>
      <c r="N181" s="126" t="str">
        <f t="shared" si="6"/>
        <v>Pass</v>
      </c>
      <c r="O181" s="121">
        <v>1519</v>
      </c>
      <c r="P181" s="120"/>
      <c r="Q181" s="127"/>
    </row>
    <row r="182" spans="1:17" ht="12.75" customHeight="1">
      <c r="A182" s="123">
        <v>43347</v>
      </c>
      <c r="B182" s="123"/>
      <c r="C182" s="128">
        <v>19</v>
      </c>
      <c r="D182" s="128">
        <v>140</v>
      </c>
      <c r="E182" s="129">
        <f t="shared" si="5"/>
        <v>121</v>
      </c>
      <c r="F182" s="129"/>
      <c r="G182" s="129"/>
      <c r="H182" s="129"/>
      <c r="I182" s="129"/>
      <c r="J182" s="129"/>
      <c r="K182" s="129"/>
      <c r="L182" s="129">
        <v>40</v>
      </c>
      <c r="M182" s="129">
        <v>40</v>
      </c>
      <c r="N182" s="126" t="str">
        <f t="shared" si="6"/>
        <v>Fail</v>
      </c>
      <c r="O182" s="121">
        <v>1335</v>
      </c>
      <c r="P182" s="120" t="s">
        <v>154</v>
      </c>
      <c r="Q182" s="127"/>
    </row>
    <row r="183" spans="1:17" ht="12.75" customHeight="1">
      <c r="A183" s="123">
        <v>43347</v>
      </c>
      <c r="B183" s="123"/>
      <c r="C183" s="128">
        <v>23</v>
      </c>
      <c r="D183" s="128">
        <v>121</v>
      </c>
      <c r="E183" s="129">
        <f t="shared" si="5"/>
        <v>98</v>
      </c>
      <c r="F183" s="129"/>
      <c r="G183" s="129"/>
      <c r="H183" s="129"/>
      <c r="I183" s="129"/>
      <c r="J183" s="129"/>
      <c r="K183" s="129"/>
      <c r="L183" s="129">
        <v>40</v>
      </c>
      <c r="M183" s="129">
        <v>40</v>
      </c>
      <c r="N183" s="126" t="str">
        <f t="shared" si="6"/>
        <v>Fail</v>
      </c>
      <c r="O183" s="121">
        <v>1335</v>
      </c>
      <c r="P183" s="120" t="s">
        <v>155</v>
      </c>
      <c r="Q183" s="127"/>
    </row>
    <row r="184" spans="1:17" ht="12.75" customHeight="1">
      <c r="A184" s="123">
        <v>43350</v>
      </c>
      <c r="B184" s="123"/>
      <c r="C184" s="128">
        <v>20</v>
      </c>
      <c r="D184" s="128">
        <v>99</v>
      </c>
      <c r="E184" s="129">
        <f t="shared" si="5"/>
        <v>79</v>
      </c>
      <c r="F184" s="129"/>
      <c r="G184" s="129"/>
      <c r="H184" s="129"/>
      <c r="I184" s="129"/>
      <c r="J184" s="129"/>
      <c r="K184" s="129"/>
      <c r="L184" s="129">
        <v>40</v>
      </c>
      <c r="M184" s="129">
        <v>40</v>
      </c>
      <c r="N184" s="126" t="str">
        <f t="shared" si="6"/>
        <v>Fail</v>
      </c>
      <c r="O184" s="121">
        <v>1335</v>
      </c>
      <c r="P184" s="120" t="s">
        <v>156</v>
      </c>
      <c r="Q184" s="127"/>
    </row>
    <row r="185" spans="1:17" ht="12.75" customHeight="1">
      <c r="A185" s="123">
        <v>43350</v>
      </c>
      <c r="B185" s="123"/>
      <c r="C185" s="128">
        <v>9</v>
      </c>
      <c r="D185" s="128">
        <v>69</v>
      </c>
      <c r="E185" s="129">
        <f t="shared" si="5"/>
        <v>60</v>
      </c>
      <c r="F185" s="129"/>
      <c r="G185" s="129"/>
      <c r="H185" s="129"/>
      <c r="I185" s="129"/>
      <c r="J185" s="129"/>
      <c r="K185" s="129"/>
      <c r="L185" s="129">
        <v>40</v>
      </c>
      <c r="M185" s="129">
        <v>40</v>
      </c>
      <c r="N185" s="126" t="str">
        <f t="shared" si="6"/>
        <v>Fail</v>
      </c>
      <c r="O185" s="121">
        <v>1335</v>
      </c>
      <c r="P185" s="120" t="s">
        <v>157</v>
      </c>
      <c r="Q185" s="127"/>
    </row>
    <row r="186" spans="1:17" ht="12.75" customHeight="1">
      <c r="A186" s="123">
        <v>43350</v>
      </c>
      <c r="B186" s="123"/>
      <c r="C186" s="128">
        <v>22</v>
      </c>
      <c r="D186" s="128">
        <v>71</v>
      </c>
      <c r="E186" s="129">
        <f t="shared" si="5"/>
        <v>49</v>
      </c>
      <c r="F186" s="129"/>
      <c r="G186" s="129"/>
      <c r="H186" s="129"/>
      <c r="I186" s="129"/>
      <c r="J186" s="129"/>
      <c r="K186" s="129"/>
      <c r="L186" s="129">
        <v>40</v>
      </c>
      <c r="M186" s="129">
        <v>40</v>
      </c>
      <c r="N186" s="126" t="str">
        <f t="shared" si="6"/>
        <v>Fail</v>
      </c>
      <c r="O186" s="121">
        <v>1335</v>
      </c>
      <c r="P186" s="120" t="s">
        <v>158</v>
      </c>
      <c r="Q186" s="127"/>
    </row>
    <row r="187" spans="1:17" ht="12.75" customHeight="1">
      <c r="A187" s="123">
        <v>43350</v>
      </c>
      <c r="B187" s="123"/>
      <c r="C187" s="128">
        <v>11</v>
      </c>
      <c r="D187" s="128">
        <v>49</v>
      </c>
      <c r="E187" s="129">
        <f t="shared" si="5"/>
        <v>38</v>
      </c>
      <c r="F187" s="129"/>
      <c r="G187" s="129"/>
      <c r="H187" s="129"/>
      <c r="I187" s="129"/>
      <c r="J187" s="129"/>
      <c r="K187" s="129"/>
      <c r="L187" s="129">
        <v>40</v>
      </c>
      <c r="M187" s="129">
        <v>40</v>
      </c>
      <c r="N187" s="126" t="str">
        <f t="shared" si="6"/>
        <v>Pass</v>
      </c>
      <c r="O187" s="121">
        <v>1335</v>
      </c>
      <c r="P187" s="120" t="s">
        <v>159</v>
      </c>
      <c r="Q187" s="127"/>
    </row>
    <row r="188" spans="1:17" ht="12.75" customHeight="1">
      <c r="A188" s="123">
        <v>43354</v>
      </c>
      <c r="B188" s="123"/>
      <c r="C188" s="128">
        <v>18</v>
      </c>
      <c r="D188" s="128">
        <v>53</v>
      </c>
      <c r="E188" s="129">
        <v>35</v>
      </c>
      <c r="F188" s="129"/>
      <c r="G188" s="129"/>
      <c r="H188" s="129"/>
      <c r="I188" s="129"/>
      <c r="J188" s="129"/>
      <c r="K188" s="129"/>
      <c r="L188" s="129">
        <v>40</v>
      </c>
      <c r="M188" s="129">
        <v>40</v>
      </c>
      <c r="N188" s="126" t="str">
        <f t="shared" si="6"/>
        <v>Pass</v>
      </c>
      <c r="O188" s="121">
        <v>121</v>
      </c>
      <c r="P188" s="120"/>
      <c r="Q188" s="127"/>
    </row>
    <row r="189" spans="1:17" ht="12.75" customHeight="1">
      <c r="A189" s="123">
        <v>43356</v>
      </c>
      <c r="B189" s="123"/>
      <c r="C189" s="128">
        <v>9</v>
      </c>
      <c r="D189" s="128">
        <v>30</v>
      </c>
      <c r="E189" s="129">
        <f t="shared" si="5"/>
        <v>21</v>
      </c>
      <c r="F189" s="129"/>
      <c r="G189" s="129"/>
      <c r="H189" s="129"/>
      <c r="I189" s="129"/>
      <c r="J189" s="129"/>
      <c r="K189" s="129"/>
      <c r="L189" s="129">
        <v>40</v>
      </c>
      <c r="M189" s="129">
        <v>40</v>
      </c>
      <c r="N189" s="126" t="str">
        <f t="shared" si="6"/>
        <v>Pass</v>
      </c>
      <c r="O189" s="121">
        <v>1335</v>
      </c>
      <c r="P189" s="120"/>
      <c r="Q189" s="127" t="s">
        <v>160</v>
      </c>
    </row>
    <row r="190" spans="1:17" ht="12.75" customHeight="1">
      <c r="A190" s="123">
        <v>43361</v>
      </c>
      <c r="B190" s="123"/>
      <c r="C190" s="128">
        <v>18</v>
      </c>
      <c r="D190" s="128">
        <v>75</v>
      </c>
      <c r="E190" s="129">
        <f t="shared" si="5"/>
        <v>57</v>
      </c>
      <c r="F190" s="129"/>
      <c r="G190" s="129"/>
      <c r="H190" s="129"/>
      <c r="I190" s="129"/>
      <c r="J190" s="129"/>
      <c r="K190" s="129"/>
      <c r="L190" s="129">
        <v>40</v>
      </c>
      <c r="M190" s="129">
        <v>40</v>
      </c>
      <c r="N190" s="126" t="str">
        <f t="shared" si="6"/>
        <v>Fail</v>
      </c>
      <c r="O190" s="121">
        <v>1340</v>
      </c>
      <c r="P190" s="120"/>
      <c r="Q190" s="127"/>
    </row>
    <row r="191" spans="1:17" ht="12.75" customHeight="1">
      <c r="A191" s="123">
        <v>43362</v>
      </c>
      <c r="B191" s="123"/>
      <c r="C191" s="128">
        <v>41</v>
      </c>
      <c r="D191" s="128">
        <v>59</v>
      </c>
      <c r="E191" s="129">
        <f t="shared" si="5"/>
        <v>18</v>
      </c>
      <c r="F191" s="129"/>
      <c r="G191" s="129"/>
      <c r="H191" s="129"/>
      <c r="I191" s="129"/>
      <c r="J191" s="129"/>
      <c r="K191" s="129"/>
      <c r="L191" s="129">
        <v>40</v>
      </c>
      <c r="M191" s="129">
        <v>40</v>
      </c>
      <c r="N191" s="126" t="str">
        <f t="shared" si="6"/>
        <v>Pass</v>
      </c>
      <c r="O191" s="121" t="s">
        <v>161</v>
      </c>
      <c r="P191" s="120" t="s">
        <v>162</v>
      </c>
      <c r="Q191" s="127"/>
    </row>
    <row r="192" spans="1:17" ht="12.75" customHeight="1">
      <c r="A192" s="123">
        <v>43368</v>
      </c>
      <c r="B192" s="123"/>
      <c r="C192" s="128">
        <v>12</v>
      </c>
      <c r="D192" s="128">
        <v>34</v>
      </c>
      <c r="E192" s="129">
        <f t="shared" si="5"/>
        <v>22</v>
      </c>
      <c r="F192" s="129"/>
      <c r="G192" s="129"/>
      <c r="H192" s="129"/>
      <c r="I192" s="129"/>
      <c r="J192" s="129"/>
      <c r="K192" s="129"/>
      <c r="L192" s="129">
        <v>40</v>
      </c>
      <c r="M192" s="129">
        <v>40</v>
      </c>
      <c r="N192" s="126" t="str">
        <f t="shared" si="6"/>
        <v>Pass</v>
      </c>
      <c r="O192" s="121">
        <v>1335</v>
      </c>
      <c r="P192" s="120"/>
      <c r="Q192" s="127"/>
    </row>
    <row r="193" spans="1:17" ht="12.75" customHeight="1">
      <c r="A193" s="123">
        <v>43370</v>
      </c>
      <c r="B193" s="123"/>
      <c r="C193" s="128">
        <v>16</v>
      </c>
      <c r="D193" s="128">
        <v>216</v>
      </c>
      <c r="E193" s="129">
        <f t="shared" si="5"/>
        <v>200</v>
      </c>
      <c r="F193" s="129"/>
      <c r="G193" s="129"/>
      <c r="H193" s="129"/>
      <c r="I193" s="129"/>
      <c r="J193" s="129"/>
      <c r="K193" s="129"/>
      <c r="L193" s="129">
        <v>40</v>
      </c>
      <c r="M193" s="129">
        <v>40</v>
      </c>
      <c r="N193" s="126" t="str">
        <f t="shared" si="6"/>
        <v>Fail</v>
      </c>
      <c r="O193" s="121">
        <v>1340</v>
      </c>
      <c r="P193" s="120"/>
      <c r="Q193" s="127"/>
    </row>
    <row r="194" spans="1:17" ht="12.75" customHeight="1">
      <c r="A194" s="123">
        <v>43371</v>
      </c>
      <c r="B194" s="123"/>
      <c r="C194" s="128">
        <v>11</v>
      </c>
      <c r="D194" s="128">
        <v>171</v>
      </c>
      <c r="E194" s="129">
        <f t="shared" si="5"/>
        <v>160</v>
      </c>
      <c r="F194" s="129"/>
      <c r="G194" s="129"/>
      <c r="H194" s="129"/>
      <c r="I194" s="129"/>
      <c r="J194" s="129"/>
      <c r="K194" s="129"/>
      <c r="L194" s="129">
        <v>40</v>
      </c>
      <c r="M194" s="129">
        <v>40</v>
      </c>
      <c r="N194" s="126" t="str">
        <f t="shared" si="6"/>
        <v>Fail</v>
      </c>
      <c r="O194" s="121">
        <v>1340</v>
      </c>
      <c r="P194" s="120"/>
      <c r="Q194" s="127"/>
    </row>
    <row r="195" spans="1:17" ht="12.75" customHeight="1">
      <c r="A195" s="123">
        <v>43376</v>
      </c>
      <c r="B195" s="123"/>
      <c r="C195" s="128">
        <v>12</v>
      </c>
      <c r="D195" s="128">
        <v>213</v>
      </c>
      <c r="E195" s="129">
        <f t="shared" si="5"/>
        <v>201</v>
      </c>
      <c r="F195" s="129"/>
      <c r="G195" s="129"/>
      <c r="H195" s="129"/>
      <c r="I195" s="129"/>
      <c r="J195" s="129"/>
      <c r="K195" s="129"/>
      <c r="L195" s="129">
        <v>40</v>
      </c>
      <c r="M195" s="129">
        <v>40</v>
      </c>
      <c r="N195" s="126" t="str">
        <f t="shared" si="6"/>
        <v>Fail</v>
      </c>
      <c r="O195" s="121">
        <v>1340</v>
      </c>
      <c r="P195" s="120"/>
      <c r="Q195" s="127"/>
    </row>
    <row r="196" spans="1:17" ht="12.75" customHeight="1">
      <c r="A196" s="123">
        <v>43376</v>
      </c>
      <c r="B196" s="123"/>
      <c r="C196" s="128">
        <v>18</v>
      </c>
      <c r="D196" s="128">
        <v>69</v>
      </c>
      <c r="E196" s="129">
        <f t="shared" si="5"/>
        <v>51</v>
      </c>
      <c r="F196" s="129"/>
      <c r="G196" s="129"/>
      <c r="H196" s="129"/>
      <c r="I196" s="129"/>
      <c r="J196" s="129"/>
      <c r="K196" s="129"/>
      <c r="L196" s="129">
        <v>40</v>
      </c>
      <c r="M196" s="129">
        <v>40</v>
      </c>
      <c r="N196" s="126" t="str">
        <f t="shared" si="6"/>
        <v>Fail</v>
      </c>
      <c r="O196" s="121">
        <v>1340</v>
      </c>
      <c r="P196" s="120"/>
      <c r="Q196" s="127"/>
    </row>
    <row r="197" spans="1:17" ht="12.75" customHeight="1">
      <c r="A197" s="123">
        <v>43378</v>
      </c>
      <c r="B197" s="123"/>
      <c r="C197" s="128">
        <v>10</v>
      </c>
      <c r="D197" s="128">
        <v>80</v>
      </c>
      <c r="E197" s="129">
        <f t="shared" ref="E197:E242" si="7">IF(((C197="")*AND(D197="")),"",D197-C197)</f>
        <v>70</v>
      </c>
      <c r="F197" s="129"/>
      <c r="G197" s="129"/>
      <c r="H197" s="129"/>
      <c r="I197" s="129"/>
      <c r="J197" s="129"/>
      <c r="K197" s="129"/>
      <c r="L197" s="129">
        <v>40</v>
      </c>
      <c r="M197" s="129">
        <v>40</v>
      </c>
      <c r="N197" s="126" t="str">
        <f t="shared" ref="N197:N241" si="8">IF(E197="","",IF(E197&lt;=40,"Pass","Fail"))</f>
        <v>Fail</v>
      </c>
      <c r="O197" s="121">
        <v>1340</v>
      </c>
      <c r="P197" s="120"/>
      <c r="Q197" s="127"/>
    </row>
    <row r="198" spans="1:17" ht="12.75" customHeight="1">
      <c r="A198" s="123">
        <v>43378</v>
      </c>
      <c r="B198" s="123"/>
      <c r="C198" s="128">
        <v>4</v>
      </c>
      <c r="D198" s="128">
        <v>19</v>
      </c>
      <c r="E198" s="129">
        <f t="shared" si="7"/>
        <v>15</v>
      </c>
      <c r="F198" s="129"/>
      <c r="G198" s="129"/>
      <c r="H198" s="129"/>
      <c r="I198" s="129"/>
      <c r="J198" s="129"/>
      <c r="K198" s="129"/>
      <c r="L198" s="129">
        <v>40</v>
      </c>
      <c r="M198" s="129">
        <v>40</v>
      </c>
      <c r="N198" s="126" t="str">
        <f t="shared" si="8"/>
        <v>Pass</v>
      </c>
      <c r="O198" s="121">
        <v>1340</v>
      </c>
      <c r="P198" s="120"/>
      <c r="Q198" s="127"/>
    </row>
    <row r="199" spans="1:17" ht="12.75" customHeight="1">
      <c r="A199" s="123">
        <v>43382</v>
      </c>
      <c r="B199" s="123"/>
      <c r="C199" s="128">
        <v>20</v>
      </c>
      <c r="D199" s="128">
        <v>24</v>
      </c>
      <c r="E199" s="129">
        <f t="shared" si="7"/>
        <v>4</v>
      </c>
      <c r="F199" s="129"/>
      <c r="G199" s="129"/>
      <c r="H199" s="129"/>
      <c r="I199" s="129"/>
      <c r="J199" s="129"/>
      <c r="K199" s="129"/>
      <c r="L199" s="129">
        <v>40</v>
      </c>
      <c r="M199" s="129">
        <v>40</v>
      </c>
      <c r="N199" s="126" t="str">
        <f t="shared" si="8"/>
        <v>Pass</v>
      </c>
      <c r="O199" s="121">
        <v>1340</v>
      </c>
      <c r="P199" s="120"/>
      <c r="Q199" s="127"/>
    </row>
    <row r="200" spans="1:17" ht="12.75" customHeight="1">
      <c r="A200" s="123">
        <v>43391</v>
      </c>
      <c r="B200" s="123"/>
      <c r="C200" s="128">
        <v>32</v>
      </c>
      <c r="D200" s="128">
        <v>238</v>
      </c>
      <c r="E200" s="129">
        <f t="shared" si="7"/>
        <v>206</v>
      </c>
      <c r="F200" s="129"/>
      <c r="G200" s="129"/>
      <c r="H200" s="129"/>
      <c r="I200" s="129"/>
      <c r="J200" s="129"/>
      <c r="K200" s="129"/>
      <c r="L200" s="129">
        <v>40</v>
      </c>
      <c r="M200" s="129">
        <v>40</v>
      </c>
      <c r="N200" s="126" t="str">
        <f t="shared" si="8"/>
        <v>Fail</v>
      </c>
      <c r="O200" s="121">
        <v>1159</v>
      </c>
      <c r="P200" s="120" t="s">
        <v>163</v>
      </c>
      <c r="Q200" s="127"/>
    </row>
    <row r="201" spans="1:17" ht="12.75" customHeight="1">
      <c r="A201" s="123">
        <v>43391</v>
      </c>
      <c r="B201" s="123"/>
      <c r="C201" s="128">
        <v>6</v>
      </c>
      <c r="D201" s="128">
        <v>54</v>
      </c>
      <c r="E201" s="129">
        <f t="shared" si="7"/>
        <v>48</v>
      </c>
      <c r="F201" s="129"/>
      <c r="G201" s="129"/>
      <c r="H201" s="129"/>
      <c r="I201" s="129"/>
      <c r="J201" s="129"/>
      <c r="K201" s="129"/>
      <c r="L201" s="129">
        <v>40</v>
      </c>
      <c r="M201" s="129">
        <v>40</v>
      </c>
      <c r="N201" s="126" t="str">
        <f t="shared" si="8"/>
        <v>Fail</v>
      </c>
      <c r="O201" s="121">
        <v>1159</v>
      </c>
      <c r="P201" s="120" t="s">
        <v>164</v>
      </c>
      <c r="Q201" s="127"/>
    </row>
    <row r="202" spans="1:17" ht="12.75" customHeight="1">
      <c r="A202" s="123">
        <v>43396</v>
      </c>
      <c r="B202" s="123"/>
      <c r="C202" s="128">
        <v>17</v>
      </c>
      <c r="D202" s="128">
        <v>53</v>
      </c>
      <c r="E202" s="129">
        <f t="shared" si="7"/>
        <v>36</v>
      </c>
      <c r="F202" s="129"/>
      <c r="G202" s="129"/>
      <c r="H202" s="129"/>
      <c r="I202" s="129"/>
      <c r="J202" s="129"/>
      <c r="K202" s="129"/>
      <c r="L202" s="129">
        <v>40</v>
      </c>
      <c r="M202" s="129">
        <v>40</v>
      </c>
      <c r="N202" s="126" t="str">
        <f t="shared" si="8"/>
        <v>Pass</v>
      </c>
      <c r="O202" s="121">
        <v>1159</v>
      </c>
      <c r="P202" s="120" t="s">
        <v>165</v>
      </c>
      <c r="Q202" s="127"/>
    </row>
    <row r="203" spans="1:17" ht="12.75" customHeight="1">
      <c r="A203" s="123">
        <v>43403</v>
      </c>
      <c r="B203" s="123"/>
      <c r="C203" s="128">
        <v>10</v>
      </c>
      <c r="D203" s="128">
        <v>70</v>
      </c>
      <c r="E203" s="129">
        <f t="shared" si="7"/>
        <v>60</v>
      </c>
      <c r="F203" s="129"/>
      <c r="G203" s="129"/>
      <c r="H203" s="129"/>
      <c r="I203" s="129"/>
      <c r="J203" s="129"/>
      <c r="K203" s="129"/>
      <c r="L203" s="129">
        <v>40</v>
      </c>
      <c r="M203" s="129">
        <v>40</v>
      </c>
      <c r="N203" s="126" t="str">
        <f t="shared" si="8"/>
        <v>Fail</v>
      </c>
      <c r="O203" s="121">
        <v>1335</v>
      </c>
      <c r="P203" s="120" t="s">
        <v>166</v>
      </c>
      <c r="Q203" s="127"/>
    </row>
    <row r="204" spans="1:17" ht="12.75" customHeight="1">
      <c r="A204" s="123">
        <v>43403</v>
      </c>
      <c r="B204" s="123"/>
      <c r="C204" s="128">
        <v>13</v>
      </c>
      <c r="D204" s="128">
        <v>61</v>
      </c>
      <c r="E204" s="129">
        <f t="shared" si="7"/>
        <v>48</v>
      </c>
      <c r="F204" s="129"/>
      <c r="G204" s="129"/>
      <c r="H204" s="129"/>
      <c r="I204" s="129"/>
      <c r="J204" s="129"/>
      <c r="K204" s="129"/>
      <c r="L204" s="129">
        <v>40</v>
      </c>
      <c r="M204" s="129">
        <v>40</v>
      </c>
      <c r="N204" s="130" t="str">
        <f t="shared" si="8"/>
        <v>Fail</v>
      </c>
      <c r="O204" s="121">
        <v>1335</v>
      </c>
      <c r="P204" s="120" t="s">
        <v>167</v>
      </c>
      <c r="Q204" s="127"/>
    </row>
    <row r="205" spans="1:17" ht="12.75" customHeight="1">
      <c r="A205" s="123">
        <v>43403</v>
      </c>
      <c r="B205" s="123"/>
      <c r="C205" s="128">
        <v>13</v>
      </c>
      <c r="D205" s="128">
        <v>27</v>
      </c>
      <c r="E205" s="129">
        <f t="shared" si="7"/>
        <v>14</v>
      </c>
      <c r="F205" s="129"/>
      <c r="G205" s="129"/>
      <c r="H205" s="129"/>
      <c r="I205" s="129"/>
      <c r="J205" s="129"/>
      <c r="K205" s="129"/>
      <c r="L205" s="129">
        <v>40</v>
      </c>
      <c r="M205" s="129">
        <v>40</v>
      </c>
      <c r="N205" s="130" t="str">
        <f t="shared" si="8"/>
        <v>Pass</v>
      </c>
      <c r="O205" s="121">
        <v>1335</v>
      </c>
      <c r="P205" s="120" t="s">
        <v>168</v>
      </c>
      <c r="Q205" s="127"/>
    </row>
    <row r="206" spans="1:17" ht="12.75" customHeight="1">
      <c r="A206" s="123">
        <v>43409</v>
      </c>
      <c r="B206" s="123"/>
      <c r="C206" s="128">
        <v>22</v>
      </c>
      <c r="D206" s="128">
        <v>37</v>
      </c>
      <c r="E206" s="129">
        <f t="shared" si="7"/>
        <v>15</v>
      </c>
      <c r="F206" s="129"/>
      <c r="G206" s="129"/>
      <c r="H206" s="129"/>
      <c r="I206" s="129"/>
      <c r="J206" s="129"/>
      <c r="K206" s="129"/>
      <c r="L206" s="129">
        <v>40</v>
      </c>
      <c r="M206" s="129">
        <v>40</v>
      </c>
      <c r="N206" s="130" t="str">
        <f t="shared" si="8"/>
        <v>Pass</v>
      </c>
      <c r="O206" s="121">
        <v>1340</v>
      </c>
      <c r="P206" s="127"/>
      <c r="Q206" s="127"/>
    </row>
    <row r="207" spans="1:17" ht="12.75" customHeight="1">
      <c r="A207" s="123">
        <v>43424</v>
      </c>
      <c r="B207" s="123"/>
      <c r="C207" s="128">
        <v>58</v>
      </c>
      <c r="D207" s="128">
        <v>204</v>
      </c>
      <c r="E207" s="129">
        <f t="shared" si="7"/>
        <v>146</v>
      </c>
      <c r="F207" s="129"/>
      <c r="G207" s="129"/>
      <c r="H207" s="129"/>
      <c r="I207" s="129"/>
      <c r="J207" s="129"/>
      <c r="K207" s="129"/>
      <c r="L207" s="129">
        <v>40</v>
      </c>
      <c r="M207" s="129">
        <v>40</v>
      </c>
      <c r="N207" s="130" t="str">
        <f t="shared" si="8"/>
        <v>Fail</v>
      </c>
      <c r="O207" s="121">
        <v>121</v>
      </c>
      <c r="P207" s="120" t="s">
        <v>169</v>
      </c>
      <c r="Q207" s="127"/>
    </row>
    <row r="208" spans="1:17" ht="12.75" customHeight="1">
      <c r="A208" s="123">
        <v>43424</v>
      </c>
      <c r="B208" s="123"/>
      <c r="C208" s="128">
        <v>24</v>
      </c>
      <c r="D208" s="128">
        <v>343</v>
      </c>
      <c r="E208" s="129">
        <f t="shared" si="7"/>
        <v>319</v>
      </c>
      <c r="F208" s="129"/>
      <c r="G208" s="129"/>
      <c r="H208" s="129"/>
      <c r="I208" s="129"/>
      <c r="J208" s="129"/>
      <c r="K208" s="129"/>
      <c r="L208" s="129">
        <v>40</v>
      </c>
      <c r="M208" s="129">
        <v>40</v>
      </c>
      <c r="N208" s="130" t="str">
        <f t="shared" si="8"/>
        <v>Fail</v>
      </c>
      <c r="O208" s="121">
        <v>121</v>
      </c>
      <c r="P208" s="120" t="s">
        <v>170</v>
      </c>
      <c r="Q208" s="127"/>
    </row>
    <row r="209" spans="1:17" ht="12.75" customHeight="1">
      <c r="A209" s="123">
        <v>43424</v>
      </c>
      <c r="B209" s="123"/>
      <c r="C209" s="128">
        <v>13</v>
      </c>
      <c r="D209" s="128">
        <v>568</v>
      </c>
      <c r="E209" s="129">
        <f t="shared" si="7"/>
        <v>555</v>
      </c>
      <c r="F209" s="129"/>
      <c r="G209" s="129"/>
      <c r="H209" s="129"/>
      <c r="I209" s="129"/>
      <c r="J209" s="129"/>
      <c r="K209" s="129"/>
      <c r="L209" s="129">
        <v>40</v>
      </c>
      <c r="M209" s="129">
        <v>40</v>
      </c>
      <c r="N209" s="130" t="str">
        <f t="shared" si="8"/>
        <v>Fail</v>
      </c>
      <c r="O209" s="121">
        <v>64</v>
      </c>
      <c r="P209" s="120"/>
      <c r="Q209" s="127"/>
    </row>
    <row r="210" spans="1:17" ht="12.75" customHeight="1">
      <c r="A210" s="123">
        <v>43424</v>
      </c>
      <c r="B210" s="123"/>
      <c r="C210" s="128">
        <v>18</v>
      </c>
      <c r="D210" s="128">
        <v>36</v>
      </c>
      <c r="E210" s="129">
        <f t="shared" si="7"/>
        <v>18</v>
      </c>
      <c r="F210" s="129"/>
      <c r="G210" s="129"/>
      <c r="H210" s="129"/>
      <c r="I210" s="129"/>
      <c r="J210" s="129"/>
      <c r="K210" s="129"/>
      <c r="L210" s="129">
        <v>40</v>
      </c>
      <c r="M210" s="129">
        <v>40</v>
      </c>
      <c r="N210" s="130" t="str">
        <f t="shared" si="8"/>
        <v>Pass</v>
      </c>
      <c r="O210" s="121">
        <v>121</v>
      </c>
      <c r="P210" s="120" t="s">
        <v>171</v>
      </c>
      <c r="Q210" s="127"/>
    </row>
    <row r="211" spans="1:17" ht="12.75" customHeight="1">
      <c r="A211" s="123">
        <v>43430</v>
      </c>
      <c r="B211" s="123"/>
      <c r="C211" s="128">
        <v>23</v>
      </c>
      <c r="D211" s="128">
        <v>249</v>
      </c>
      <c r="E211" s="129">
        <f t="shared" si="7"/>
        <v>226</v>
      </c>
      <c r="F211" s="129"/>
      <c r="G211" s="129"/>
      <c r="H211" s="129"/>
      <c r="I211" s="129"/>
      <c r="J211" s="129"/>
      <c r="K211" s="129"/>
      <c r="L211" s="129">
        <v>40</v>
      </c>
      <c r="M211" s="129">
        <v>40</v>
      </c>
      <c r="N211" s="130" t="str">
        <f t="shared" si="8"/>
        <v>Fail</v>
      </c>
      <c r="O211" s="121">
        <v>1428</v>
      </c>
      <c r="P211" s="120"/>
      <c r="Q211" s="127"/>
    </row>
    <row r="212" spans="1:17" ht="12.75" customHeight="1">
      <c r="A212" s="123">
        <v>43430</v>
      </c>
      <c r="B212" s="123"/>
      <c r="C212" s="128">
        <v>28</v>
      </c>
      <c r="D212" s="128">
        <v>479</v>
      </c>
      <c r="E212" s="129">
        <f t="shared" si="7"/>
        <v>451</v>
      </c>
      <c r="F212" s="129"/>
      <c r="G212" s="129"/>
      <c r="H212" s="129"/>
      <c r="I212" s="129"/>
      <c r="J212" s="129"/>
      <c r="K212" s="129"/>
      <c r="L212" s="129">
        <v>40</v>
      </c>
      <c r="M212" s="129">
        <v>40</v>
      </c>
      <c r="N212" s="130" t="str">
        <f t="shared" si="8"/>
        <v>Fail</v>
      </c>
      <c r="O212" s="121">
        <v>1428</v>
      </c>
      <c r="P212" s="120" t="s">
        <v>171</v>
      </c>
      <c r="Q212" s="127"/>
    </row>
    <row r="213" spans="1:17" ht="12.75" customHeight="1">
      <c r="A213" s="123">
        <v>43432</v>
      </c>
      <c r="B213" s="123"/>
      <c r="C213" s="128">
        <v>39</v>
      </c>
      <c r="D213" s="128">
        <v>287</v>
      </c>
      <c r="E213" s="129">
        <f t="shared" si="7"/>
        <v>248</v>
      </c>
      <c r="F213" s="129"/>
      <c r="G213" s="129"/>
      <c r="H213" s="129"/>
      <c r="I213" s="129"/>
      <c r="J213" s="129"/>
      <c r="K213" s="129"/>
      <c r="L213" s="129">
        <v>40</v>
      </c>
      <c r="M213" s="129">
        <v>40</v>
      </c>
      <c r="N213" s="130" t="str">
        <f t="shared" si="8"/>
        <v>Fail</v>
      </c>
      <c r="O213" s="121">
        <v>74</v>
      </c>
      <c r="P213" s="127"/>
      <c r="Q213" s="127"/>
    </row>
    <row r="214" spans="1:17" ht="12.75" customHeight="1">
      <c r="A214" s="123">
        <v>43434</v>
      </c>
      <c r="B214" s="123"/>
      <c r="C214" s="128">
        <v>36</v>
      </c>
      <c r="D214" s="128">
        <v>65</v>
      </c>
      <c r="E214" s="129">
        <f t="shared" si="7"/>
        <v>29</v>
      </c>
      <c r="F214" s="129"/>
      <c r="G214" s="129"/>
      <c r="H214" s="129"/>
      <c r="I214" s="129"/>
      <c r="J214" s="129"/>
      <c r="K214" s="129"/>
      <c r="L214" s="129">
        <v>40</v>
      </c>
      <c r="M214" s="129">
        <v>40</v>
      </c>
      <c r="N214" s="130" t="str">
        <f t="shared" si="8"/>
        <v>Pass</v>
      </c>
      <c r="O214" s="121">
        <v>64</v>
      </c>
      <c r="P214" s="127"/>
      <c r="Q214" s="127"/>
    </row>
    <row r="215" spans="1:17" ht="12.75" customHeight="1">
      <c r="A215" s="123">
        <v>43445</v>
      </c>
      <c r="B215" s="123"/>
      <c r="C215" s="128">
        <v>6</v>
      </c>
      <c r="D215" s="128">
        <v>15</v>
      </c>
      <c r="E215" s="129">
        <f t="shared" si="7"/>
        <v>9</v>
      </c>
      <c r="F215" s="129"/>
      <c r="G215" s="129"/>
      <c r="H215" s="129"/>
      <c r="I215" s="129"/>
      <c r="J215" s="129"/>
      <c r="K215" s="129"/>
      <c r="L215" s="129">
        <v>40</v>
      </c>
      <c r="M215" s="129">
        <v>40</v>
      </c>
      <c r="N215" s="130" t="str">
        <f t="shared" si="8"/>
        <v>Pass</v>
      </c>
      <c r="O215" s="121">
        <v>1340</v>
      </c>
      <c r="P215" s="127" t="s">
        <v>172</v>
      </c>
      <c r="Q215" s="127"/>
    </row>
    <row r="216" spans="1:17" ht="12.75" customHeight="1">
      <c r="A216" s="123">
        <v>43476</v>
      </c>
      <c r="B216" s="123"/>
      <c r="C216" s="128">
        <v>23</v>
      </c>
      <c r="D216" s="128">
        <v>208</v>
      </c>
      <c r="E216" s="129">
        <f t="shared" si="7"/>
        <v>185</v>
      </c>
      <c r="F216" s="129"/>
      <c r="G216" s="129"/>
      <c r="H216" s="129"/>
      <c r="I216" s="129"/>
      <c r="J216" s="129"/>
      <c r="K216" s="129"/>
      <c r="L216" s="129">
        <v>40</v>
      </c>
      <c r="M216" s="129">
        <v>40</v>
      </c>
      <c r="N216" s="130" t="str">
        <f t="shared" si="8"/>
        <v>Fail</v>
      </c>
      <c r="O216" s="121">
        <v>1335</v>
      </c>
      <c r="P216" s="120" t="s">
        <v>173</v>
      </c>
      <c r="Q216" s="127"/>
    </row>
    <row r="217" spans="1:17" ht="12.75" customHeight="1">
      <c r="A217" s="123">
        <v>43476</v>
      </c>
      <c r="B217" s="123"/>
      <c r="C217" s="128">
        <v>24</v>
      </c>
      <c r="D217" s="128">
        <v>50</v>
      </c>
      <c r="E217" s="129">
        <f t="shared" si="7"/>
        <v>26</v>
      </c>
      <c r="F217" s="129"/>
      <c r="G217" s="129"/>
      <c r="H217" s="129"/>
      <c r="I217" s="129"/>
      <c r="J217" s="129"/>
      <c r="K217" s="129"/>
      <c r="L217" s="129">
        <v>40</v>
      </c>
      <c r="M217" s="129">
        <v>40</v>
      </c>
      <c r="N217" s="130" t="str">
        <f t="shared" si="8"/>
        <v>Pass</v>
      </c>
      <c r="O217" s="121">
        <v>1335</v>
      </c>
      <c r="P217" s="120" t="s">
        <v>174</v>
      </c>
      <c r="Q217" s="127"/>
    </row>
    <row r="218" spans="1:17" ht="12.75" customHeight="1">
      <c r="A218" s="123">
        <v>43480</v>
      </c>
      <c r="B218" s="123"/>
      <c r="C218" s="128">
        <v>24</v>
      </c>
      <c r="D218" s="128">
        <v>2</v>
      </c>
      <c r="E218" s="129">
        <f t="shared" si="7"/>
        <v>-22</v>
      </c>
      <c r="F218" s="129"/>
      <c r="G218" s="129"/>
      <c r="H218" s="129"/>
      <c r="I218" s="129"/>
      <c r="J218" s="129"/>
      <c r="K218" s="129"/>
      <c r="L218" s="129">
        <v>40</v>
      </c>
      <c r="M218" s="129">
        <v>40</v>
      </c>
      <c r="N218" s="130" t="str">
        <f t="shared" si="8"/>
        <v>Pass</v>
      </c>
      <c r="O218" s="121">
        <v>1336</v>
      </c>
      <c r="P218" s="121" t="s">
        <v>175</v>
      </c>
      <c r="Q218" s="127"/>
    </row>
    <row r="219" spans="1:17" ht="12.75" customHeight="1">
      <c r="A219" s="123">
        <v>43481</v>
      </c>
      <c r="B219" s="123"/>
      <c r="C219" s="128">
        <v>11</v>
      </c>
      <c r="D219" s="128">
        <v>139</v>
      </c>
      <c r="E219" s="129">
        <f t="shared" si="7"/>
        <v>128</v>
      </c>
      <c r="F219" s="129"/>
      <c r="G219" s="129"/>
      <c r="H219" s="129"/>
      <c r="I219" s="129"/>
      <c r="J219" s="129"/>
      <c r="K219" s="129"/>
      <c r="L219" s="129">
        <v>40</v>
      </c>
      <c r="M219" s="129">
        <v>40</v>
      </c>
      <c r="N219" s="130" t="str">
        <f t="shared" si="8"/>
        <v>Fail</v>
      </c>
      <c r="O219" s="121" t="s">
        <v>176</v>
      </c>
      <c r="P219" s="120"/>
      <c r="Q219" s="127"/>
    </row>
    <row r="220" spans="1:17" ht="12.75" customHeight="1">
      <c r="A220" s="123">
        <v>43481</v>
      </c>
      <c r="B220" s="123"/>
      <c r="C220" s="128">
        <v>2</v>
      </c>
      <c r="D220" s="128">
        <v>38</v>
      </c>
      <c r="E220" s="129">
        <f t="shared" si="7"/>
        <v>36</v>
      </c>
      <c r="F220" s="129"/>
      <c r="G220" s="129"/>
      <c r="H220" s="129"/>
      <c r="I220" s="129"/>
      <c r="J220" s="129"/>
      <c r="K220" s="129"/>
      <c r="L220" s="129">
        <v>40</v>
      </c>
      <c r="M220" s="129">
        <v>40</v>
      </c>
      <c r="N220" s="130" t="str">
        <f t="shared" si="8"/>
        <v>Pass</v>
      </c>
      <c r="O220" s="121">
        <v>1159</v>
      </c>
      <c r="P220" s="120" t="s">
        <v>177</v>
      </c>
      <c r="Q220" s="127"/>
    </row>
    <row r="221" spans="1:17" ht="12.75" customHeight="1">
      <c r="A221" s="123">
        <v>43481</v>
      </c>
      <c r="B221" s="123"/>
      <c r="C221" s="128">
        <v>8</v>
      </c>
      <c r="D221" s="128">
        <v>34</v>
      </c>
      <c r="E221" s="129">
        <f t="shared" si="7"/>
        <v>26</v>
      </c>
      <c r="F221" s="129"/>
      <c r="G221" s="129"/>
      <c r="H221" s="129"/>
      <c r="I221" s="129"/>
      <c r="J221" s="129"/>
      <c r="K221" s="129"/>
      <c r="L221" s="129">
        <v>40</v>
      </c>
      <c r="M221" s="129">
        <v>40</v>
      </c>
      <c r="N221" s="130" t="str">
        <f t="shared" si="8"/>
        <v>Pass</v>
      </c>
      <c r="O221" s="121">
        <v>1340</v>
      </c>
      <c r="P221" s="121" t="s">
        <v>57</v>
      </c>
      <c r="Q221" s="127"/>
    </row>
    <row r="222" spans="1:17" ht="12.75" customHeight="1">
      <c r="A222" s="123">
        <v>43488</v>
      </c>
      <c r="B222" s="123"/>
      <c r="C222" s="128">
        <v>12</v>
      </c>
      <c r="D222" s="128">
        <v>32</v>
      </c>
      <c r="E222" s="129">
        <f t="shared" si="7"/>
        <v>20</v>
      </c>
      <c r="F222" s="129"/>
      <c r="G222" s="129"/>
      <c r="H222" s="129"/>
      <c r="I222" s="129"/>
      <c r="J222" s="129"/>
      <c r="K222" s="129"/>
      <c r="L222" s="129">
        <v>40</v>
      </c>
      <c r="M222" s="129">
        <v>40</v>
      </c>
      <c r="N222" s="130" t="str">
        <f t="shared" si="8"/>
        <v>Pass</v>
      </c>
      <c r="O222" s="121">
        <v>1159</v>
      </c>
      <c r="P222" s="120" t="s">
        <v>178</v>
      </c>
      <c r="Q222" s="127"/>
    </row>
    <row r="223" spans="1:17" ht="12.75" customHeight="1">
      <c r="A223" s="123">
        <v>43493</v>
      </c>
      <c r="B223" s="123"/>
      <c r="C223" s="128">
        <v>22</v>
      </c>
      <c r="D223" s="128">
        <v>109</v>
      </c>
      <c r="E223" s="129">
        <f t="shared" si="7"/>
        <v>87</v>
      </c>
      <c r="F223" s="129"/>
      <c r="G223" s="129"/>
      <c r="H223" s="129"/>
      <c r="I223" s="129"/>
      <c r="J223" s="129"/>
      <c r="K223" s="129"/>
      <c r="L223" s="129">
        <v>40</v>
      </c>
      <c r="M223" s="129">
        <v>40</v>
      </c>
      <c r="N223" s="130" t="str">
        <f t="shared" si="8"/>
        <v>Fail</v>
      </c>
      <c r="O223" s="121">
        <v>1159</v>
      </c>
      <c r="P223" s="120" t="s">
        <v>178</v>
      </c>
      <c r="Q223" s="120"/>
    </row>
    <row r="224" spans="1:17" ht="12.75" customHeight="1">
      <c r="A224" s="123">
        <v>43493</v>
      </c>
      <c r="B224" s="123"/>
      <c r="C224" s="128">
        <v>32</v>
      </c>
      <c r="D224" s="128">
        <v>293</v>
      </c>
      <c r="E224" s="129">
        <f t="shared" si="7"/>
        <v>261</v>
      </c>
      <c r="F224" s="129"/>
      <c r="G224" s="129"/>
      <c r="H224" s="129"/>
      <c r="I224" s="129"/>
      <c r="J224" s="129"/>
      <c r="K224" s="129"/>
      <c r="L224" s="129">
        <v>40</v>
      </c>
      <c r="M224" s="129">
        <v>40</v>
      </c>
      <c r="N224" s="130" t="str">
        <f t="shared" si="8"/>
        <v>Fail</v>
      </c>
      <c r="O224" s="121">
        <v>64</v>
      </c>
      <c r="P224" s="120" t="s">
        <v>315</v>
      </c>
      <c r="Q224" s="120" t="s">
        <v>316</v>
      </c>
    </row>
    <row r="225" spans="1:17" ht="12.75" customHeight="1">
      <c r="A225" s="123">
        <v>43494</v>
      </c>
      <c r="B225" s="123"/>
      <c r="C225" s="128">
        <v>9</v>
      </c>
      <c r="D225" s="128">
        <v>17</v>
      </c>
      <c r="E225" s="129">
        <f t="shared" si="7"/>
        <v>8</v>
      </c>
      <c r="F225" s="129"/>
      <c r="G225" s="129"/>
      <c r="H225" s="129"/>
      <c r="I225" s="129"/>
      <c r="J225" s="129"/>
      <c r="K225" s="129"/>
      <c r="L225" s="129">
        <v>40</v>
      </c>
      <c r="M225" s="129">
        <v>40</v>
      </c>
      <c r="N225" s="130" t="str">
        <f t="shared" si="8"/>
        <v>Pass</v>
      </c>
      <c r="O225" s="121">
        <v>1335</v>
      </c>
      <c r="P225" s="120" t="s">
        <v>180</v>
      </c>
      <c r="Q225" s="120"/>
    </row>
    <row r="226" spans="1:17" ht="12.75" customHeight="1">
      <c r="A226" s="123">
        <v>43494</v>
      </c>
      <c r="B226" s="123"/>
      <c r="C226" s="128">
        <v>7</v>
      </c>
      <c r="D226" s="128">
        <v>13</v>
      </c>
      <c r="E226" s="129">
        <f t="shared" si="7"/>
        <v>6</v>
      </c>
      <c r="F226" s="129"/>
      <c r="G226" s="129"/>
      <c r="H226" s="129"/>
      <c r="I226" s="129"/>
      <c r="J226" s="129"/>
      <c r="K226" s="129"/>
      <c r="L226" s="129">
        <v>40</v>
      </c>
      <c r="M226" s="129">
        <v>40</v>
      </c>
      <c r="N226" s="130" t="str">
        <f t="shared" si="8"/>
        <v>Pass</v>
      </c>
      <c r="O226" s="121">
        <v>1335</v>
      </c>
      <c r="P226" s="120" t="s">
        <v>181</v>
      </c>
      <c r="Q226" s="120"/>
    </row>
    <row r="227" spans="1:17" ht="12.75" customHeight="1">
      <c r="A227" s="123">
        <v>43501</v>
      </c>
      <c r="B227" s="123"/>
      <c r="C227" s="128">
        <v>37</v>
      </c>
      <c r="D227" s="128">
        <v>70</v>
      </c>
      <c r="E227" s="129">
        <f t="shared" si="7"/>
        <v>33</v>
      </c>
      <c r="F227" s="129"/>
      <c r="G227" s="129"/>
      <c r="H227" s="129"/>
      <c r="I227" s="129"/>
      <c r="J227" s="129"/>
      <c r="K227" s="129"/>
      <c r="L227" s="129">
        <v>40</v>
      </c>
      <c r="M227" s="129">
        <v>40</v>
      </c>
      <c r="N227" s="130" t="str">
        <f t="shared" si="8"/>
        <v>Pass</v>
      </c>
      <c r="O227" s="121">
        <v>1159</v>
      </c>
      <c r="P227" s="120" t="s">
        <v>182</v>
      </c>
      <c r="Q227" s="127"/>
    </row>
    <row r="228" spans="1:17" ht="12.75" customHeight="1">
      <c r="A228" s="123">
        <v>43507</v>
      </c>
      <c r="B228" s="123"/>
      <c r="C228" s="128">
        <v>25</v>
      </c>
      <c r="D228" s="128">
        <v>111</v>
      </c>
      <c r="E228" s="129">
        <f t="shared" si="7"/>
        <v>86</v>
      </c>
      <c r="F228" s="129"/>
      <c r="G228" s="129"/>
      <c r="H228" s="129"/>
      <c r="I228" s="129"/>
      <c r="J228" s="129"/>
      <c r="K228" s="129"/>
      <c r="L228" s="129">
        <v>40</v>
      </c>
      <c r="M228" s="129">
        <v>40</v>
      </c>
      <c r="N228" s="130" t="str">
        <f t="shared" si="8"/>
        <v>Fail</v>
      </c>
      <c r="O228" s="121">
        <v>1335</v>
      </c>
      <c r="P228" s="120" t="s">
        <v>183</v>
      </c>
      <c r="Q228" s="127"/>
    </row>
    <row r="229" spans="1:17" ht="12.75" customHeight="1">
      <c r="A229" s="123">
        <v>43507</v>
      </c>
      <c r="B229" s="123"/>
      <c r="C229" s="128">
        <v>18</v>
      </c>
      <c r="D229" s="128">
        <v>62</v>
      </c>
      <c r="E229" s="129">
        <f t="shared" si="7"/>
        <v>44</v>
      </c>
      <c r="F229" s="129"/>
      <c r="G229" s="129"/>
      <c r="H229" s="129"/>
      <c r="I229" s="129"/>
      <c r="J229" s="129"/>
      <c r="K229" s="129"/>
      <c r="L229" s="129">
        <v>40</v>
      </c>
      <c r="M229" s="129">
        <v>40</v>
      </c>
      <c r="N229" s="130" t="str">
        <f t="shared" si="8"/>
        <v>Fail</v>
      </c>
      <c r="O229" s="121">
        <v>1335</v>
      </c>
      <c r="P229" s="120" t="s">
        <v>184</v>
      </c>
      <c r="Q229" s="127"/>
    </row>
    <row r="230" spans="1:17" ht="12.75" customHeight="1">
      <c r="A230" s="123">
        <v>43507</v>
      </c>
      <c r="B230" s="123"/>
      <c r="C230" s="128">
        <v>32</v>
      </c>
      <c r="D230" s="128">
        <v>221</v>
      </c>
      <c r="E230" s="129">
        <f t="shared" si="7"/>
        <v>189</v>
      </c>
      <c r="F230" s="129"/>
      <c r="G230" s="129"/>
      <c r="H230" s="129"/>
      <c r="I230" s="129"/>
      <c r="J230" s="129"/>
      <c r="K230" s="129"/>
      <c r="L230" s="129">
        <v>40</v>
      </c>
      <c r="M230" s="129">
        <v>40</v>
      </c>
      <c r="N230" s="130" t="str">
        <f t="shared" si="8"/>
        <v>Fail</v>
      </c>
      <c r="O230" s="121">
        <v>1335</v>
      </c>
      <c r="P230" s="120" t="s">
        <v>185</v>
      </c>
      <c r="Q230" s="127"/>
    </row>
    <row r="231" spans="1:17" ht="12.75" customHeight="1">
      <c r="A231" s="123">
        <v>43507</v>
      </c>
      <c r="B231" s="123"/>
      <c r="C231" s="128">
        <v>17</v>
      </c>
      <c r="D231" s="128">
        <v>74</v>
      </c>
      <c r="E231" s="129">
        <f t="shared" si="7"/>
        <v>57</v>
      </c>
      <c r="F231" s="129"/>
      <c r="G231" s="129"/>
      <c r="H231" s="129"/>
      <c r="I231" s="129"/>
      <c r="J231" s="129"/>
      <c r="K231" s="129"/>
      <c r="L231" s="129">
        <v>40</v>
      </c>
      <c r="M231" s="129">
        <v>40</v>
      </c>
      <c r="N231" s="130" t="str">
        <f t="shared" si="8"/>
        <v>Fail</v>
      </c>
      <c r="O231" s="121">
        <v>1335</v>
      </c>
      <c r="P231" s="120" t="s">
        <v>186</v>
      </c>
      <c r="Q231" s="127"/>
    </row>
    <row r="232" spans="1:17" ht="12.75" customHeight="1">
      <c r="A232" s="123">
        <v>43507</v>
      </c>
      <c r="B232" s="123"/>
      <c r="C232" s="128">
        <v>11</v>
      </c>
      <c r="D232" s="128">
        <v>21</v>
      </c>
      <c r="E232" s="129">
        <f t="shared" si="7"/>
        <v>10</v>
      </c>
      <c r="F232" s="129"/>
      <c r="G232" s="129"/>
      <c r="H232" s="129"/>
      <c r="I232" s="129"/>
      <c r="J232" s="129"/>
      <c r="K232" s="129"/>
      <c r="L232" s="129">
        <v>40</v>
      </c>
      <c r="M232" s="129">
        <v>40</v>
      </c>
      <c r="N232" s="130" t="str">
        <f t="shared" si="8"/>
        <v>Pass</v>
      </c>
      <c r="O232" s="121">
        <v>1335</v>
      </c>
      <c r="P232" s="120" t="s">
        <v>187</v>
      </c>
      <c r="Q232" s="127"/>
    </row>
    <row r="233" spans="1:17" ht="12.75" customHeight="1">
      <c r="A233" s="123">
        <v>43514</v>
      </c>
      <c r="B233" s="123"/>
      <c r="C233" s="128">
        <v>17</v>
      </c>
      <c r="D233" s="128">
        <v>233</v>
      </c>
      <c r="E233" s="129">
        <f t="shared" si="7"/>
        <v>216</v>
      </c>
      <c r="F233" s="129"/>
      <c r="G233" s="129"/>
      <c r="H233" s="129"/>
      <c r="I233" s="129"/>
      <c r="J233" s="129"/>
      <c r="K233" s="129"/>
      <c r="L233" s="129">
        <v>40</v>
      </c>
      <c r="M233" s="129">
        <v>40</v>
      </c>
      <c r="N233" s="130" t="str">
        <f t="shared" si="8"/>
        <v>Fail</v>
      </c>
      <c r="O233" s="121">
        <v>1340</v>
      </c>
      <c r="P233" s="121" t="s">
        <v>57</v>
      </c>
      <c r="Q233" s="127"/>
    </row>
    <row r="234" spans="1:17" ht="12.75" customHeight="1">
      <c r="A234" s="123">
        <v>43514</v>
      </c>
      <c r="B234" s="123"/>
      <c r="C234" s="128">
        <v>9</v>
      </c>
      <c r="D234" s="128">
        <v>78</v>
      </c>
      <c r="E234" s="129">
        <f t="shared" si="7"/>
        <v>69</v>
      </c>
      <c r="F234" s="129"/>
      <c r="G234" s="129"/>
      <c r="H234" s="129"/>
      <c r="I234" s="129"/>
      <c r="J234" s="129"/>
      <c r="K234" s="129"/>
      <c r="L234" s="129">
        <v>40</v>
      </c>
      <c r="M234" s="129">
        <v>40</v>
      </c>
      <c r="N234" s="130" t="str">
        <f t="shared" si="8"/>
        <v>Fail</v>
      </c>
      <c r="O234" s="121">
        <v>1340</v>
      </c>
      <c r="P234" s="121" t="s">
        <v>57</v>
      </c>
      <c r="Q234" s="127"/>
    </row>
    <row r="235" spans="1:17" ht="12.75" customHeight="1">
      <c r="A235" s="123">
        <v>43514</v>
      </c>
      <c r="B235" s="123"/>
      <c r="C235" s="128">
        <v>13</v>
      </c>
      <c r="D235" s="128">
        <v>90</v>
      </c>
      <c r="E235" s="129">
        <f t="shared" si="7"/>
        <v>77</v>
      </c>
      <c r="F235" s="129"/>
      <c r="G235" s="129"/>
      <c r="H235" s="129"/>
      <c r="I235" s="129"/>
      <c r="J235" s="129"/>
      <c r="K235" s="129"/>
      <c r="L235" s="129">
        <v>40</v>
      </c>
      <c r="M235" s="129">
        <v>40</v>
      </c>
      <c r="N235" s="130" t="str">
        <f t="shared" si="8"/>
        <v>Fail</v>
      </c>
      <c r="O235" s="121">
        <v>1340</v>
      </c>
      <c r="P235" s="121" t="s">
        <v>57</v>
      </c>
      <c r="Q235" s="127"/>
    </row>
    <row r="236" spans="1:17" ht="12.75" customHeight="1">
      <c r="A236" s="123">
        <v>43515</v>
      </c>
      <c r="B236" s="123"/>
      <c r="C236" s="128">
        <v>10</v>
      </c>
      <c r="D236" s="128">
        <v>55</v>
      </c>
      <c r="E236" s="129">
        <f t="shared" si="7"/>
        <v>45</v>
      </c>
      <c r="F236" s="129"/>
      <c r="G236" s="129"/>
      <c r="H236" s="129"/>
      <c r="I236" s="129"/>
      <c r="J236" s="129"/>
      <c r="K236" s="129"/>
      <c r="L236" s="129">
        <v>40</v>
      </c>
      <c r="M236" s="129">
        <v>40</v>
      </c>
      <c r="N236" s="130" t="str">
        <f t="shared" si="8"/>
        <v>Fail</v>
      </c>
      <c r="O236" s="121">
        <v>1340</v>
      </c>
      <c r="P236" s="121" t="s">
        <v>57</v>
      </c>
      <c r="Q236" s="127"/>
    </row>
    <row r="237" spans="1:17" ht="12.75" customHeight="1">
      <c r="A237" s="123">
        <v>43515</v>
      </c>
      <c r="B237" s="123"/>
      <c r="C237" s="128">
        <v>16</v>
      </c>
      <c r="D237" s="128">
        <v>75</v>
      </c>
      <c r="E237" s="129">
        <f t="shared" si="7"/>
        <v>59</v>
      </c>
      <c r="F237" s="129"/>
      <c r="G237" s="129"/>
      <c r="H237" s="129"/>
      <c r="I237" s="129"/>
      <c r="J237" s="129"/>
      <c r="K237" s="129"/>
      <c r="L237" s="129">
        <v>40</v>
      </c>
      <c r="M237" s="129">
        <v>40</v>
      </c>
      <c r="N237" s="130" t="str">
        <f t="shared" si="8"/>
        <v>Fail</v>
      </c>
      <c r="O237" s="121">
        <v>1340</v>
      </c>
      <c r="P237" s="121" t="s">
        <v>57</v>
      </c>
      <c r="Q237" s="127"/>
    </row>
    <row r="238" spans="1:17" ht="12.75" customHeight="1">
      <c r="A238" s="123">
        <v>43515</v>
      </c>
      <c r="B238" s="123"/>
      <c r="C238" s="128">
        <v>9</v>
      </c>
      <c r="D238" s="128">
        <v>19</v>
      </c>
      <c r="E238" s="129">
        <f t="shared" si="7"/>
        <v>10</v>
      </c>
      <c r="F238" s="129"/>
      <c r="G238" s="129"/>
      <c r="H238" s="129"/>
      <c r="I238" s="129"/>
      <c r="J238" s="129"/>
      <c r="K238" s="129"/>
      <c r="L238" s="129">
        <v>40</v>
      </c>
      <c r="M238" s="129">
        <v>40</v>
      </c>
      <c r="N238" s="130" t="str">
        <f t="shared" si="8"/>
        <v>Pass</v>
      </c>
      <c r="O238" s="121">
        <v>1159</v>
      </c>
      <c r="P238" s="120" t="s">
        <v>188</v>
      </c>
      <c r="Q238" s="127"/>
    </row>
    <row r="239" spans="1:17" ht="12.75" customHeight="1">
      <c r="A239" s="123">
        <v>43515</v>
      </c>
      <c r="B239" s="123"/>
      <c r="C239" s="128">
        <v>19</v>
      </c>
      <c r="D239" s="128">
        <v>46</v>
      </c>
      <c r="E239" s="129">
        <f t="shared" si="7"/>
        <v>27</v>
      </c>
      <c r="F239" s="129"/>
      <c r="G239" s="129"/>
      <c r="H239" s="129"/>
      <c r="I239" s="129"/>
      <c r="J239" s="129"/>
      <c r="K239" s="129"/>
      <c r="L239" s="129">
        <v>40</v>
      </c>
      <c r="M239" s="129">
        <v>40</v>
      </c>
      <c r="N239" s="130" t="str">
        <f t="shared" si="8"/>
        <v>Pass</v>
      </c>
      <c r="O239" s="121">
        <v>1159</v>
      </c>
      <c r="P239" s="120" t="s">
        <v>189</v>
      </c>
      <c r="Q239" s="127"/>
    </row>
    <row r="240" spans="1:17" ht="12.75" customHeight="1">
      <c r="A240" s="123">
        <v>43517</v>
      </c>
      <c r="B240" s="123"/>
      <c r="C240" s="128">
        <v>6</v>
      </c>
      <c r="D240" s="128">
        <v>37</v>
      </c>
      <c r="E240" s="129">
        <f t="shared" si="7"/>
        <v>31</v>
      </c>
      <c r="F240" s="129"/>
      <c r="G240" s="129"/>
      <c r="H240" s="129"/>
      <c r="I240" s="129"/>
      <c r="J240" s="129"/>
      <c r="K240" s="129"/>
      <c r="L240" s="129">
        <v>40</v>
      </c>
      <c r="M240" s="129">
        <v>40</v>
      </c>
      <c r="N240" s="130" t="str">
        <f t="shared" si="8"/>
        <v>Pass</v>
      </c>
      <c r="O240" s="121">
        <v>1340</v>
      </c>
      <c r="P240" s="120">
        <v>0</v>
      </c>
      <c r="Q240" s="127"/>
    </row>
    <row r="241" spans="1:17" ht="12.75" customHeight="1">
      <c r="A241" s="123">
        <v>43521</v>
      </c>
      <c r="B241" s="123"/>
      <c r="C241" s="128">
        <v>14</v>
      </c>
      <c r="D241" s="128">
        <v>53</v>
      </c>
      <c r="E241" s="129">
        <f t="shared" si="7"/>
        <v>39</v>
      </c>
      <c r="F241" s="129"/>
      <c r="G241" s="129"/>
      <c r="H241" s="129"/>
      <c r="I241" s="129"/>
      <c r="J241" s="129"/>
      <c r="K241" s="129"/>
      <c r="L241" s="129">
        <v>40</v>
      </c>
      <c r="M241" s="129">
        <v>40</v>
      </c>
      <c r="N241" s="130" t="str">
        <f t="shared" si="8"/>
        <v>Pass</v>
      </c>
      <c r="O241" s="121">
        <v>1335</v>
      </c>
      <c r="P241" s="120" t="s">
        <v>190</v>
      </c>
      <c r="Q241" s="127"/>
    </row>
    <row r="242" spans="1:17" ht="12.75" customHeight="1">
      <c r="A242" s="123">
        <v>43524</v>
      </c>
      <c r="B242" s="123"/>
      <c r="C242" s="128">
        <v>8</v>
      </c>
      <c r="D242" s="128">
        <v>222</v>
      </c>
      <c r="E242" s="129">
        <f t="shared" si="7"/>
        <v>214</v>
      </c>
      <c r="F242" s="129"/>
      <c r="G242" s="129"/>
      <c r="H242" s="129"/>
      <c r="I242" s="129"/>
      <c r="J242" s="129"/>
      <c r="K242" s="129"/>
      <c r="L242" s="129">
        <v>40</v>
      </c>
      <c r="M242" s="129">
        <v>40</v>
      </c>
      <c r="N242" s="130" t="s">
        <v>191</v>
      </c>
      <c r="O242" s="121">
        <v>1335</v>
      </c>
      <c r="P242" s="120" t="s">
        <v>192</v>
      </c>
      <c r="Q242" s="127"/>
    </row>
    <row r="243" spans="1:17" ht="12.75" customHeight="1">
      <c r="A243" s="123">
        <v>43528</v>
      </c>
      <c r="B243" s="123"/>
      <c r="C243" s="128">
        <v>14</v>
      </c>
      <c r="D243" s="128">
        <v>33</v>
      </c>
      <c r="E243" s="129">
        <f>IF(((C243="")*AND(D243="")),"",D243-C243)</f>
        <v>19</v>
      </c>
      <c r="F243" s="129"/>
      <c r="G243" s="129"/>
      <c r="H243" s="129"/>
      <c r="I243" s="129"/>
      <c r="J243" s="129"/>
      <c r="K243" s="129"/>
      <c r="L243" s="129">
        <v>40</v>
      </c>
      <c r="M243" s="129">
        <v>40</v>
      </c>
      <c r="N243" s="130" t="str">
        <f>IF(E243="","",IF(E243&lt;=40,"Pass","Fail"))</f>
        <v>Pass</v>
      </c>
      <c r="O243" s="121">
        <v>74</v>
      </c>
      <c r="P243" s="127"/>
      <c r="Q243" s="127"/>
    </row>
    <row r="244" spans="1:17" ht="12.75" customHeight="1">
      <c r="A244" s="123">
        <v>43535</v>
      </c>
      <c r="B244" s="123"/>
      <c r="C244" s="128">
        <v>10</v>
      </c>
      <c r="D244" s="128">
        <v>78</v>
      </c>
      <c r="E244" s="129">
        <f>IF(((C244="")*AND(D244="")),"",D244-C244)</f>
        <v>68</v>
      </c>
      <c r="F244" s="129"/>
      <c r="G244" s="129"/>
      <c r="H244" s="129"/>
      <c r="I244" s="129"/>
      <c r="J244" s="129"/>
      <c r="K244" s="129"/>
      <c r="L244" s="129">
        <v>40</v>
      </c>
      <c r="M244" s="129">
        <v>40</v>
      </c>
      <c r="N244" s="130" t="str">
        <f>IF(E244="","",IF(E244&lt;=40,"Pass","Fail"))</f>
        <v>Fail</v>
      </c>
      <c r="O244" s="121">
        <v>1534</v>
      </c>
      <c r="P244" s="127"/>
      <c r="Q244" s="127"/>
    </row>
    <row r="245" spans="1:17" ht="12.75" customHeight="1">
      <c r="A245" s="123">
        <v>43535</v>
      </c>
      <c r="B245" s="123"/>
      <c r="C245" s="128">
        <v>15</v>
      </c>
      <c r="D245" s="128">
        <v>39</v>
      </c>
      <c r="E245" s="129">
        <f>IF(((C245="")*AND(D245="")),"",D245-C245)</f>
        <v>24</v>
      </c>
      <c r="F245" s="129"/>
      <c r="G245" s="129"/>
      <c r="H245" s="129"/>
      <c r="I245" s="129"/>
      <c r="J245" s="129"/>
      <c r="K245" s="129"/>
      <c r="L245" s="129">
        <v>40</v>
      </c>
      <c r="M245" s="129">
        <v>40</v>
      </c>
      <c r="N245" s="130" t="str">
        <f>IF(E245="","",IF(E245&lt;=40,"Pass","Fail"))</f>
        <v>Pass</v>
      </c>
      <c r="O245" s="121">
        <v>1428</v>
      </c>
      <c r="P245" s="127"/>
      <c r="Q245" s="127"/>
    </row>
    <row r="246" spans="1:17" ht="12.75" customHeight="1">
      <c r="A246" s="123">
        <v>43538</v>
      </c>
      <c r="B246" s="123"/>
      <c r="C246" s="128">
        <v>6</v>
      </c>
      <c r="D246" s="128">
        <v>38</v>
      </c>
      <c r="E246" s="129">
        <f>IF(((C246="")*AND(D246="")),"",D246-C246)</f>
        <v>32</v>
      </c>
      <c r="F246" s="129"/>
      <c r="G246" s="129"/>
      <c r="H246" s="129"/>
      <c r="I246" s="129"/>
      <c r="J246" s="129"/>
      <c r="K246" s="129"/>
      <c r="L246" s="129">
        <v>40</v>
      </c>
      <c r="M246" s="129">
        <v>40</v>
      </c>
      <c r="N246" s="130" t="str">
        <f>IF(E246="","",IF(E246&lt;=40,"Pass","Fail"))</f>
        <v>Pass</v>
      </c>
      <c r="O246" s="121">
        <v>121</v>
      </c>
      <c r="P246" s="127"/>
      <c r="Q246" s="127"/>
    </row>
    <row r="247" spans="1:17" ht="12.75" customHeight="1">
      <c r="A247" s="123">
        <v>43546</v>
      </c>
      <c r="B247" s="123"/>
      <c r="C247" s="128">
        <v>29</v>
      </c>
      <c r="D247" s="128">
        <v>48</v>
      </c>
      <c r="E247" s="129">
        <f>IF(((C247="")*AND(D247="")),"",D247-C247)</f>
        <v>19</v>
      </c>
      <c r="F247" s="129"/>
      <c r="G247" s="129"/>
      <c r="H247" s="129"/>
      <c r="I247" s="129"/>
      <c r="J247" s="129"/>
      <c r="K247" s="129"/>
      <c r="L247" s="129">
        <v>40</v>
      </c>
      <c r="M247" s="129">
        <v>40</v>
      </c>
      <c r="N247" s="130" t="str">
        <f>IF(E247="","",IF(E247&lt;=40,"Pass","Fail"))</f>
        <v>Pass</v>
      </c>
      <c r="O247" s="121">
        <v>1340</v>
      </c>
      <c r="P247" s="127"/>
      <c r="Q247" s="127"/>
    </row>
    <row r="248" spans="1:17" ht="12.75" customHeight="1">
      <c r="A248" s="123">
        <v>43549</v>
      </c>
      <c r="B248" s="123"/>
      <c r="C248" s="128">
        <v>6</v>
      </c>
      <c r="D248" s="128">
        <v>222</v>
      </c>
      <c r="E248" s="129">
        <v>356</v>
      </c>
      <c r="F248" s="129"/>
      <c r="G248" s="129"/>
      <c r="H248" s="129"/>
      <c r="I248" s="129"/>
      <c r="J248" s="129"/>
      <c r="K248" s="129"/>
      <c r="L248" s="129">
        <v>40</v>
      </c>
      <c r="M248" s="129">
        <v>40</v>
      </c>
      <c r="N248" s="130" t="s">
        <v>191</v>
      </c>
      <c r="O248" s="121">
        <v>1159</v>
      </c>
      <c r="P248" s="120"/>
      <c r="Q248" s="127"/>
    </row>
    <row r="249" spans="1:17" ht="12.75" customHeight="1">
      <c r="A249" s="123">
        <v>43551</v>
      </c>
      <c r="B249" s="123"/>
      <c r="C249" s="128">
        <v>7</v>
      </c>
      <c r="D249" s="128">
        <v>41</v>
      </c>
      <c r="E249" s="129">
        <f t="shared" ref="E249:E259" si="9">IF(((C249="")*AND(D249="")),"",D249-C249)</f>
        <v>34</v>
      </c>
      <c r="F249" s="129"/>
      <c r="G249" s="129"/>
      <c r="H249" s="129"/>
      <c r="I249" s="129"/>
      <c r="J249" s="129"/>
      <c r="K249" s="129"/>
      <c r="L249" s="129">
        <v>40</v>
      </c>
      <c r="M249" s="129">
        <v>40</v>
      </c>
      <c r="N249" s="130" t="str">
        <f t="shared" ref="N249:N259" si="10">IF(E249="","",IF(E249&lt;=40,"Pass","Fail"))</f>
        <v>Pass</v>
      </c>
      <c r="O249" s="121">
        <v>1159</v>
      </c>
      <c r="P249" s="127" t="s">
        <v>193</v>
      </c>
      <c r="Q249" s="127"/>
    </row>
    <row r="250" spans="1:17" ht="12.75" customHeight="1">
      <c r="A250" s="123">
        <v>43556</v>
      </c>
      <c r="B250" s="123"/>
      <c r="C250" s="128">
        <v>39</v>
      </c>
      <c r="D250" s="128">
        <v>271</v>
      </c>
      <c r="E250" s="129">
        <f t="shared" si="9"/>
        <v>232</v>
      </c>
      <c r="F250" s="129"/>
      <c r="G250" s="129"/>
      <c r="H250" s="129"/>
      <c r="I250" s="129"/>
      <c r="J250" s="129"/>
      <c r="K250" s="129"/>
      <c r="L250" s="129">
        <v>40</v>
      </c>
      <c r="M250" s="129">
        <v>40</v>
      </c>
      <c r="N250" s="130" t="str">
        <f t="shared" si="10"/>
        <v>Fail</v>
      </c>
      <c r="O250" s="121">
        <v>1159</v>
      </c>
      <c r="P250" s="127" t="s">
        <v>193</v>
      </c>
      <c r="Q250" s="127"/>
    </row>
    <row r="251" spans="1:17" ht="12.75" customHeight="1">
      <c r="A251" s="123">
        <v>43559</v>
      </c>
      <c r="B251" s="123"/>
      <c r="C251" s="128">
        <v>23</v>
      </c>
      <c r="D251" s="128">
        <v>311</v>
      </c>
      <c r="E251" s="129">
        <f t="shared" si="9"/>
        <v>288</v>
      </c>
      <c r="F251" s="129"/>
      <c r="G251" s="129"/>
      <c r="H251" s="129"/>
      <c r="I251" s="129"/>
      <c r="J251" s="129"/>
      <c r="K251" s="129"/>
      <c r="L251" s="129">
        <v>40</v>
      </c>
      <c r="M251" s="129">
        <v>40</v>
      </c>
      <c r="N251" s="130" t="str">
        <f t="shared" si="10"/>
        <v>Fail</v>
      </c>
      <c r="O251" s="121">
        <v>121</v>
      </c>
      <c r="P251" s="127"/>
      <c r="Q251" s="127"/>
    </row>
    <row r="252" spans="1:17" ht="12.75" customHeight="1">
      <c r="A252" s="123">
        <v>43560</v>
      </c>
      <c r="B252" s="123"/>
      <c r="C252" s="128">
        <v>6</v>
      </c>
      <c r="D252" s="128">
        <v>29</v>
      </c>
      <c r="E252" s="129">
        <f t="shared" si="9"/>
        <v>23</v>
      </c>
      <c r="F252" s="129"/>
      <c r="G252" s="129"/>
      <c r="H252" s="129"/>
      <c r="I252" s="129"/>
      <c r="J252" s="129"/>
      <c r="K252" s="129"/>
      <c r="L252" s="129">
        <v>40</v>
      </c>
      <c r="M252" s="129">
        <v>40</v>
      </c>
      <c r="N252" s="130" t="str">
        <f t="shared" si="10"/>
        <v>Pass</v>
      </c>
      <c r="O252" s="121">
        <v>1340</v>
      </c>
      <c r="P252" s="151"/>
      <c r="Q252" s="133" t="s">
        <v>194</v>
      </c>
    </row>
    <row r="253" spans="1:17" ht="12.75" customHeight="1">
      <c r="A253" s="123">
        <v>43560</v>
      </c>
      <c r="B253" s="123"/>
      <c r="C253" s="128">
        <v>4</v>
      </c>
      <c r="D253" s="128">
        <v>5</v>
      </c>
      <c r="E253" s="129">
        <f t="shared" si="9"/>
        <v>1</v>
      </c>
      <c r="F253" s="129"/>
      <c r="G253" s="129"/>
      <c r="H253" s="129"/>
      <c r="I253" s="129"/>
      <c r="J253" s="129"/>
      <c r="K253" s="129"/>
      <c r="L253" s="129">
        <v>40</v>
      </c>
      <c r="M253" s="129">
        <v>40</v>
      </c>
      <c r="N253" s="130" t="str">
        <f t="shared" si="10"/>
        <v>Pass</v>
      </c>
      <c r="O253" s="121">
        <v>1340</v>
      </c>
      <c r="P253" s="151"/>
      <c r="Q253" s="133" t="s">
        <v>194</v>
      </c>
    </row>
    <row r="254" spans="1:17" ht="12.75" customHeight="1">
      <c r="A254" s="123">
        <v>43564</v>
      </c>
      <c r="B254" s="123"/>
      <c r="C254" s="128">
        <v>10</v>
      </c>
      <c r="D254" s="128">
        <v>23</v>
      </c>
      <c r="E254" s="129">
        <f t="shared" si="9"/>
        <v>13</v>
      </c>
      <c r="F254" s="129"/>
      <c r="G254" s="129"/>
      <c r="H254" s="129"/>
      <c r="I254" s="129"/>
      <c r="J254" s="129"/>
      <c r="K254" s="129"/>
      <c r="L254" s="129">
        <v>40</v>
      </c>
      <c r="M254" s="129">
        <v>40</v>
      </c>
      <c r="N254" s="130" t="str">
        <f t="shared" si="10"/>
        <v>Pass</v>
      </c>
      <c r="O254" s="121">
        <v>1428</v>
      </c>
      <c r="P254" s="127"/>
      <c r="Q254" s="127"/>
    </row>
    <row r="255" spans="1:17" ht="12.75" customHeight="1">
      <c r="A255" s="123">
        <v>43568</v>
      </c>
      <c r="B255" s="123"/>
      <c r="C255" s="128">
        <v>20</v>
      </c>
      <c r="D255" s="128">
        <v>169</v>
      </c>
      <c r="E255" s="129">
        <f t="shared" si="9"/>
        <v>149</v>
      </c>
      <c r="F255" s="129"/>
      <c r="G255" s="129"/>
      <c r="H255" s="129"/>
      <c r="I255" s="129"/>
      <c r="J255" s="129"/>
      <c r="K255" s="129"/>
      <c r="L255" s="129">
        <v>40</v>
      </c>
      <c r="M255" s="129">
        <v>40</v>
      </c>
      <c r="N255" s="130" t="str">
        <f t="shared" si="10"/>
        <v>Fail</v>
      </c>
      <c r="O255" s="121">
        <v>1428</v>
      </c>
      <c r="P255" s="127"/>
      <c r="Q255" s="127"/>
    </row>
    <row r="256" spans="1:17" ht="12.75" customHeight="1">
      <c r="A256" s="123">
        <v>43568</v>
      </c>
      <c r="B256" s="123"/>
      <c r="C256" s="128">
        <v>16</v>
      </c>
      <c r="D256" s="128">
        <v>54</v>
      </c>
      <c r="E256" s="129">
        <f t="shared" si="9"/>
        <v>38</v>
      </c>
      <c r="F256" s="129"/>
      <c r="G256" s="129"/>
      <c r="H256" s="129"/>
      <c r="I256" s="129"/>
      <c r="J256" s="129"/>
      <c r="K256" s="129"/>
      <c r="L256" s="129">
        <v>40</v>
      </c>
      <c r="M256" s="129">
        <v>40</v>
      </c>
      <c r="N256" s="130" t="str">
        <f t="shared" si="10"/>
        <v>Pass</v>
      </c>
      <c r="O256" s="121">
        <v>1428</v>
      </c>
      <c r="P256" s="127"/>
      <c r="Q256" s="127"/>
    </row>
    <row r="257" spans="1:18" ht="12.75" customHeight="1">
      <c r="A257" s="123">
        <v>43578</v>
      </c>
      <c r="B257" s="123"/>
      <c r="C257" s="128">
        <v>14</v>
      </c>
      <c r="D257" s="128">
        <v>27</v>
      </c>
      <c r="E257" s="129">
        <f t="shared" si="9"/>
        <v>13</v>
      </c>
      <c r="F257" s="129"/>
      <c r="G257" s="129"/>
      <c r="H257" s="129"/>
      <c r="I257" s="129"/>
      <c r="J257" s="129"/>
      <c r="K257" s="129"/>
      <c r="L257" s="129">
        <v>40</v>
      </c>
      <c r="M257" s="129">
        <v>40</v>
      </c>
      <c r="N257" s="130" t="str">
        <f t="shared" si="10"/>
        <v>Pass</v>
      </c>
      <c r="O257" s="121">
        <v>1340</v>
      </c>
      <c r="P257" s="127"/>
      <c r="Q257" s="127"/>
    </row>
    <row r="258" spans="1:18" ht="12.75" customHeight="1">
      <c r="A258" s="123">
        <v>43580</v>
      </c>
      <c r="B258" s="123"/>
      <c r="C258" s="128">
        <v>20</v>
      </c>
      <c r="D258" s="128">
        <v>53</v>
      </c>
      <c r="E258" s="129">
        <f t="shared" si="9"/>
        <v>33</v>
      </c>
      <c r="F258" s="129"/>
      <c r="G258" s="129"/>
      <c r="H258" s="129"/>
      <c r="I258" s="129"/>
      <c r="J258" s="129"/>
      <c r="K258" s="129"/>
      <c r="L258" s="129">
        <v>40</v>
      </c>
      <c r="M258" s="129">
        <v>40</v>
      </c>
      <c r="N258" s="130" t="str">
        <f t="shared" si="10"/>
        <v>Pass</v>
      </c>
      <c r="O258" s="121">
        <v>1159</v>
      </c>
      <c r="P258" s="120" t="s">
        <v>196</v>
      </c>
      <c r="Q258" s="127"/>
    </row>
    <row r="259" spans="1:18" ht="12.75" customHeight="1">
      <c r="A259" s="123">
        <v>43592</v>
      </c>
      <c r="B259" s="123"/>
      <c r="C259" s="146">
        <v>26</v>
      </c>
      <c r="D259" s="146">
        <v>27</v>
      </c>
      <c r="E259" s="154">
        <f t="shared" si="9"/>
        <v>1</v>
      </c>
      <c r="F259" s="154"/>
      <c r="G259" s="154"/>
      <c r="H259" s="154"/>
      <c r="I259" s="154"/>
      <c r="J259" s="154"/>
      <c r="K259" s="154"/>
      <c r="L259" s="154">
        <v>40</v>
      </c>
      <c r="M259" s="154">
        <v>40</v>
      </c>
      <c r="N259" s="155" t="str">
        <f t="shared" si="10"/>
        <v>Pass</v>
      </c>
      <c r="O259" s="147">
        <v>1335</v>
      </c>
      <c r="P259" s="143" t="s">
        <v>317</v>
      </c>
      <c r="Q259" s="148"/>
    </row>
    <row r="260" spans="1:18" ht="12.75" customHeight="1">
      <c r="A260" s="123">
        <v>43599</v>
      </c>
      <c r="B260" s="123"/>
      <c r="C260" s="146">
        <v>14</v>
      </c>
      <c r="D260" s="146">
        <v>1</v>
      </c>
      <c r="E260" s="154">
        <f t="shared" ref="E260:E266" si="11">IF(((C260="")*AND(D260="")),"",D260-C260)</f>
        <v>-13</v>
      </c>
      <c r="F260" s="154"/>
      <c r="G260" s="154"/>
      <c r="H260" s="154"/>
      <c r="I260" s="154"/>
      <c r="J260" s="154"/>
      <c r="K260" s="154"/>
      <c r="L260" s="154">
        <v>40</v>
      </c>
      <c r="M260" s="154">
        <v>40</v>
      </c>
      <c r="N260" s="155" t="str">
        <f t="shared" ref="N260:N267" si="12">IF(E260="","",IF(E260&lt;=40,"Pass","Fail"))</f>
        <v>Pass</v>
      </c>
      <c r="O260" s="147">
        <v>102</v>
      </c>
      <c r="P260" s="143" t="s">
        <v>318</v>
      </c>
      <c r="Q260" s="148"/>
    </row>
    <row r="261" spans="1:18" ht="12.75" customHeight="1">
      <c r="A261" s="123">
        <v>43601</v>
      </c>
      <c r="B261" s="123"/>
      <c r="C261" s="146">
        <v>10</v>
      </c>
      <c r="D261" s="146">
        <v>193</v>
      </c>
      <c r="E261" s="154">
        <f t="shared" si="11"/>
        <v>183</v>
      </c>
      <c r="F261" s="154"/>
      <c r="G261" s="154"/>
      <c r="H261" s="154"/>
      <c r="I261" s="154"/>
      <c r="J261" s="154"/>
      <c r="K261" s="154"/>
      <c r="L261" s="154">
        <v>40</v>
      </c>
      <c r="M261" s="154">
        <v>40</v>
      </c>
      <c r="N261" s="155" t="str">
        <f t="shared" si="12"/>
        <v>Fail</v>
      </c>
      <c r="O261" s="147">
        <v>1335</v>
      </c>
      <c r="P261" s="143" t="s">
        <v>319</v>
      </c>
      <c r="Q261" s="156" t="s">
        <v>320</v>
      </c>
      <c r="R261" s="145"/>
    </row>
    <row r="262" spans="1:18" ht="12.75" customHeight="1">
      <c r="A262" s="123">
        <v>43601</v>
      </c>
      <c r="B262" s="123"/>
      <c r="C262" s="146">
        <v>12</v>
      </c>
      <c r="D262" s="146">
        <v>13</v>
      </c>
      <c r="E262" s="154">
        <f t="shared" si="11"/>
        <v>1</v>
      </c>
      <c r="F262" s="154"/>
      <c r="G262" s="154"/>
      <c r="H262" s="154"/>
      <c r="I262" s="154"/>
      <c r="J262" s="154"/>
      <c r="K262" s="154"/>
      <c r="L262" s="154">
        <v>40</v>
      </c>
      <c r="M262" s="154">
        <v>40</v>
      </c>
      <c r="N262" s="155" t="str">
        <f t="shared" si="12"/>
        <v>Pass</v>
      </c>
      <c r="O262" s="147">
        <v>1335</v>
      </c>
      <c r="P262" s="143" t="s">
        <v>321</v>
      </c>
      <c r="Q262" s="148"/>
    </row>
    <row r="263" spans="1:18" ht="12.75" customHeight="1">
      <c r="A263" s="123">
        <v>43605</v>
      </c>
      <c r="B263" s="123"/>
      <c r="C263" s="146">
        <v>15</v>
      </c>
      <c r="D263" s="146">
        <v>40</v>
      </c>
      <c r="E263" s="154">
        <f t="shared" si="11"/>
        <v>25</v>
      </c>
      <c r="F263" s="154"/>
      <c r="G263" s="154"/>
      <c r="H263" s="154"/>
      <c r="I263" s="154"/>
      <c r="J263" s="154"/>
      <c r="K263" s="154"/>
      <c r="L263" s="154">
        <v>40</v>
      </c>
      <c r="M263" s="154">
        <v>40</v>
      </c>
      <c r="N263" s="155" t="str">
        <f t="shared" si="12"/>
        <v>Pass</v>
      </c>
      <c r="O263" s="147">
        <v>1340</v>
      </c>
      <c r="P263" s="143" t="s">
        <v>322</v>
      </c>
      <c r="Q263" s="148"/>
    </row>
    <row r="264" spans="1:18">
      <c r="A264" s="123">
        <v>43611</v>
      </c>
      <c r="B264" s="123"/>
      <c r="C264" s="146">
        <v>14</v>
      </c>
      <c r="D264" s="146">
        <v>78</v>
      </c>
      <c r="E264" s="154">
        <f t="shared" si="11"/>
        <v>64</v>
      </c>
      <c r="F264" s="154"/>
      <c r="G264" s="154"/>
      <c r="H264" s="154"/>
      <c r="I264" s="154"/>
      <c r="J264" s="154"/>
      <c r="K264" s="154"/>
      <c r="L264" s="154">
        <v>40</v>
      </c>
      <c r="M264" s="154">
        <v>40</v>
      </c>
      <c r="N264" s="155" t="str">
        <f t="shared" si="12"/>
        <v>Fail</v>
      </c>
      <c r="O264" s="147">
        <v>1335</v>
      </c>
      <c r="P264" s="185" t="s">
        <v>337</v>
      </c>
    </row>
    <row r="265" spans="1:18">
      <c r="A265" s="123">
        <v>43612</v>
      </c>
      <c r="B265" s="123"/>
      <c r="C265" s="146">
        <v>14</v>
      </c>
      <c r="D265" s="146">
        <v>52</v>
      </c>
      <c r="E265" s="154">
        <f t="shared" si="11"/>
        <v>38</v>
      </c>
      <c r="F265" s="154"/>
      <c r="G265" s="154"/>
      <c r="H265" s="154"/>
      <c r="I265" s="154"/>
      <c r="J265" s="154"/>
      <c r="K265" s="154"/>
      <c r="L265" s="154">
        <v>40</v>
      </c>
      <c r="M265" s="154">
        <v>40</v>
      </c>
      <c r="N265" s="155" t="str">
        <f t="shared" si="12"/>
        <v>Pass</v>
      </c>
      <c r="O265" s="147">
        <v>1340</v>
      </c>
      <c r="P265" s="185" t="s">
        <v>338</v>
      </c>
      <c r="Q265" s="123"/>
    </row>
    <row r="266" spans="1:18">
      <c r="A266" s="123">
        <v>43616</v>
      </c>
      <c r="B266" s="123"/>
      <c r="C266" s="146">
        <v>17</v>
      </c>
      <c r="D266" s="146">
        <v>40</v>
      </c>
      <c r="E266" s="154">
        <f t="shared" si="11"/>
        <v>23</v>
      </c>
      <c r="F266" s="154"/>
      <c r="G266" s="154"/>
      <c r="H266" s="154"/>
      <c r="I266" s="154"/>
      <c r="J266" s="154"/>
      <c r="K266" s="154"/>
      <c r="L266" s="154">
        <v>40</v>
      </c>
      <c r="M266" s="154">
        <v>40</v>
      </c>
      <c r="N266" s="155" t="str">
        <f t="shared" si="12"/>
        <v>Pass</v>
      </c>
      <c r="O266" s="147">
        <v>1340</v>
      </c>
      <c r="P266" s="185" t="s">
        <v>340</v>
      </c>
      <c r="Q266" s="123"/>
    </row>
    <row r="267" spans="1:18">
      <c r="A267" s="123">
        <v>43629</v>
      </c>
      <c r="B267" s="123"/>
      <c r="C267" s="146">
        <v>17</v>
      </c>
      <c r="D267" s="146">
        <v>38</v>
      </c>
      <c r="E267" s="154">
        <f t="shared" ref="E267:E272" si="13">IF(((C267="")*AND(D267="")),"",D267-C267)</f>
        <v>21</v>
      </c>
      <c r="F267" s="154"/>
      <c r="G267" s="154"/>
      <c r="H267" s="154"/>
      <c r="I267" s="154"/>
      <c r="J267" s="154"/>
      <c r="K267" s="154"/>
      <c r="L267" s="154">
        <v>40</v>
      </c>
      <c r="M267" s="154">
        <v>40</v>
      </c>
      <c r="N267" s="155" t="str">
        <f t="shared" si="12"/>
        <v>Pass</v>
      </c>
      <c r="O267" s="147">
        <v>1340</v>
      </c>
      <c r="P267" s="185" t="s">
        <v>342</v>
      </c>
      <c r="Q267" s="123"/>
    </row>
    <row r="268" spans="1:18">
      <c r="A268" s="123">
        <v>43633</v>
      </c>
      <c r="B268" s="123"/>
      <c r="C268" s="146">
        <v>1</v>
      </c>
      <c r="D268" s="146">
        <v>31</v>
      </c>
      <c r="E268" s="154">
        <f t="shared" si="13"/>
        <v>30</v>
      </c>
      <c r="F268" s="154"/>
      <c r="G268" s="154"/>
      <c r="H268" s="154"/>
      <c r="I268" s="154"/>
      <c r="J268" s="154"/>
      <c r="K268" s="154"/>
      <c r="L268" s="154">
        <v>40</v>
      </c>
      <c r="M268" s="154">
        <v>40</v>
      </c>
      <c r="N268" s="155" t="str">
        <f t="shared" ref="N268:N273" si="14">IF(E268="","",IF(E268&lt;=40,"Pass","Fail"))</f>
        <v>Pass</v>
      </c>
      <c r="O268" s="147">
        <v>1159</v>
      </c>
      <c r="P268" s="185" t="s">
        <v>344</v>
      </c>
      <c r="Q268" s="123" t="s">
        <v>345</v>
      </c>
    </row>
    <row r="269" spans="1:18">
      <c r="A269" s="123">
        <v>43638</v>
      </c>
      <c r="B269" s="123"/>
      <c r="C269" s="146">
        <v>2</v>
      </c>
      <c r="D269" s="146">
        <v>102</v>
      </c>
      <c r="E269" s="154">
        <f t="shared" si="13"/>
        <v>100</v>
      </c>
      <c r="F269" s="154"/>
      <c r="G269" s="154"/>
      <c r="H269" s="154"/>
      <c r="I269" s="154"/>
      <c r="J269" s="154"/>
      <c r="K269" s="154"/>
      <c r="L269" s="154">
        <v>40</v>
      </c>
      <c r="M269" s="154">
        <v>40</v>
      </c>
      <c r="N269" s="155" t="str">
        <f t="shared" si="14"/>
        <v>Fail</v>
      </c>
      <c r="O269" s="147">
        <v>102</v>
      </c>
      <c r="P269" s="185" t="s">
        <v>348</v>
      </c>
      <c r="Q269" s="123"/>
    </row>
    <row r="270" spans="1:18">
      <c r="A270" s="123">
        <v>43638</v>
      </c>
      <c r="B270" s="123"/>
      <c r="C270" s="146">
        <v>3</v>
      </c>
      <c r="D270" s="146">
        <v>33</v>
      </c>
      <c r="E270" s="154">
        <f t="shared" si="13"/>
        <v>30</v>
      </c>
      <c r="F270" s="154"/>
      <c r="G270" s="154"/>
      <c r="H270" s="154"/>
      <c r="I270" s="154"/>
      <c r="J270" s="154"/>
      <c r="K270" s="154"/>
      <c r="L270" s="154">
        <v>40</v>
      </c>
      <c r="M270" s="154">
        <v>40</v>
      </c>
      <c r="N270" s="155" t="str">
        <f t="shared" si="14"/>
        <v>Pass</v>
      </c>
      <c r="O270" s="147">
        <v>102</v>
      </c>
      <c r="P270" s="185" t="s">
        <v>349</v>
      </c>
      <c r="Q270" s="123" t="s">
        <v>347</v>
      </c>
    </row>
    <row r="271" spans="1:18">
      <c r="A271" s="123">
        <v>43642</v>
      </c>
      <c r="B271" s="123"/>
      <c r="C271" s="146">
        <v>43</v>
      </c>
      <c r="D271" s="146">
        <v>78</v>
      </c>
      <c r="E271" s="154">
        <f t="shared" si="13"/>
        <v>35</v>
      </c>
      <c r="F271" s="154"/>
      <c r="G271" s="154"/>
      <c r="H271" s="154"/>
      <c r="I271" s="154"/>
      <c r="J271" s="154"/>
      <c r="K271" s="154"/>
      <c r="L271" s="154">
        <v>40</v>
      </c>
      <c r="M271" s="154">
        <v>40</v>
      </c>
      <c r="N271" s="155" t="str">
        <f t="shared" si="14"/>
        <v>Pass</v>
      </c>
      <c r="O271" s="147">
        <v>1428</v>
      </c>
      <c r="P271" s="186" t="s">
        <v>349</v>
      </c>
      <c r="Q271" s="123" t="s">
        <v>347</v>
      </c>
    </row>
    <row r="272" spans="1:18">
      <c r="A272" s="123">
        <v>43648</v>
      </c>
      <c r="B272" s="123"/>
      <c r="C272" s="146">
        <v>17</v>
      </c>
      <c r="D272" s="146">
        <v>43</v>
      </c>
      <c r="E272" s="154">
        <f t="shared" si="13"/>
        <v>26</v>
      </c>
      <c r="F272" s="154"/>
      <c r="G272" s="154"/>
      <c r="H272" s="154"/>
      <c r="I272" s="154"/>
      <c r="J272" s="154"/>
      <c r="K272" s="154"/>
      <c r="L272" s="154">
        <v>40</v>
      </c>
      <c r="M272" s="154">
        <v>40</v>
      </c>
      <c r="N272" s="155" t="str">
        <f t="shared" si="14"/>
        <v>Pass</v>
      </c>
      <c r="O272" s="147">
        <v>1340</v>
      </c>
      <c r="P272" s="187" t="s">
        <v>352</v>
      </c>
      <c r="Q272" s="123"/>
    </row>
    <row r="273" spans="1:17">
      <c r="A273" s="123">
        <v>43654</v>
      </c>
      <c r="B273" s="123"/>
      <c r="C273" s="146">
        <v>20</v>
      </c>
      <c r="D273" s="146">
        <v>60</v>
      </c>
      <c r="E273" s="154">
        <v>0</v>
      </c>
      <c r="F273" s="154"/>
      <c r="G273" s="154"/>
      <c r="H273" s="154"/>
      <c r="I273" s="154"/>
      <c r="J273" s="154"/>
      <c r="K273" s="154"/>
      <c r="L273" s="154">
        <v>40</v>
      </c>
      <c r="M273" s="154">
        <v>40</v>
      </c>
      <c r="N273" s="155" t="str">
        <f t="shared" si="14"/>
        <v>Pass</v>
      </c>
      <c r="O273" s="147">
        <v>64</v>
      </c>
      <c r="P273" s="187"/>
      <c r="Q273" s="123"/>
    </row>
    <row r="274" spans="1:17">
      <c r="A274" s="123">
        <v>43657</v>
      </c>
      <c r="B274" s="123"/>
      <c r="C274" s="146">
        <v>15</v>
      </c>
      <c r="D274" s="146">
        <v>26</v>
      </c>
      <c r="E274" s="154">
        <f t="shared" ref="E274:E335" si="15">IF(((C274="")*AND(D274="")),"",D274-C274)</f>
        <v>11</v>
      </c>
      <c r="F274" s="154"/>
      <c r="G274" s="154"/>
      <c r="H274" s="154"/>
      <c r="I274" s="154"/>
      <c r="J274" s="154"/>
      <c r="K274" s="154"/>
      <c r="L274" s="154">
        <v>40</v>
      </c>
      <c r="M274" s="154">
        <v>40</v>
      </c>
      <c r="N274" s="155" t="str">
        <f t="shared" ref="N274:N335" si="16">IF(E274="","",IF(E274&lt;=40,"Pass","Fail"))</f>
        <v>Pass</v>
      </c>
      <c r="O274" s="147">
        <v>64</v>
      </c>
      <c r="P274" s="187"/>
      <c r="Q274" s="123"/>
    </row>
    <row r="275" spans="1:17">
      <c r="A275" s="123">
        <v>43661</v>
      </c>
      <c r="B275" s="123"/>
      <c r="C275" s="146">
        <v>20</v>
      </c>
      <c r="D275" s="146">
        <v>619</v>
      </c>
      <c r="E275" s="154">
        <f t="shared" si="15"/>
        <v>599</v>
      </c>
      <c r="F275" s="154"/>
      <c r="G275" s="154"/>
      <c r="H275" s="154"/>
      <c r="I275" s="154"/>
      <c r="J275" s="154"/>
      <c r="K275" s="154"/>
      <c r="L275" s="154">
        <v>40</v>
      </c>
      <c r="M275" s="154">
        <v>40</v>
      </c>
      <c r="N275" s="155" t="str">
        <f t="shared" si="16"/>
        <v>Fail</v>
      </c>
      <c r="O275" s="147">
        <v>1159</v>
      </c>
      <c r="P275" s="188" t="s">
        <v>355</v>
      </c>
      <c r="Q275" s="123"/>
    </row>
    <row r="276" spans="1:17">
      <c r="A276" s="123">
        <v>43661</v>
      </c>
      <c r="B276" s="123"/>
      <c r="C276" s="146">
        <v>12</v>
      </c>
      <c r="D276" s="146">
        <v>51</v>
      </c>
      <c r="E276" s="154">
        <f t="shared" si="15"/>
        <v>39</v>
      </c>
      <c r="F276" s="154"/>
      <c r="G276" s="154"/>
      <c r="H276" s="154"/>
      <c r="I276" s="154"/>
      <c r="J276" s="154"/>
      <c r="K276" s="154"/>
      <c r="L276" s="154">
        <v>40</v>
      </c>
      <c r="M276" s="154">
        <v>40</v>
      </c>
      <c r="N276" s="155" t="str">
        <f t="shared" si="16"/>
        <v>Pass</v>
      </c>
      <c r="O276" s="147">
        <v>1159</v>
      </c>
      <c r="P276" s="188" t="s">
        <v>356</v>
      </c>
      <c r="Q276" s="123"/>
    </row>
    <row r="277" spans="1:17">
      <c r="A277" s="123">
        <v>43661</v>
      </c>
      <c r="B277" s="123"/>
      <c r="C277" s="146">
        <v>10</v>
      </c>
      <c r="D277" s="146">
        <v>20</v>
      </c>
      <c r="E277" s="154">
        <f t="shared" si="15"/>
        <v>10</v>
      </c>
      <c r="F277" s="154"/>
      <c r="G277" s="154"/>
      <c r="H277" s="154"/>
      <c r="I277" s="154"/>
      <c r="J277" s="154"/>
      <c r="K277" s="154"/>
      <c r="L277" s="154">
        <v>40</v>
      </c>
      <c r="M277" s="154">
        <v>40</v>
      </c>
      <c r="N277" s="155" t="str">
        <f t="shared" si="16"/>
        <v>Pass</v>
      </c>
      <c r="O277" s="147">
        <v>1159</v>
      </c>
      <c r="P277" s="188" t="s">
        <v>357</v>
      </c>
      <c r="Q277" s="123"/>
    </row>
    <row r="278" spans="1:17">
      <c r="A278" s="123">
        <v>43668</v>
      </c>
      <c r="B278" s="123"/>
      <c r="C278" s="146">
        <v>22</v>
      </c>
      <c r="D278" s="146">
        <v>366</v>
      </c>
      <c r="E278" s="154">
        <f t="shared" si="15"/>
        <v>344</v>
      </c>
      <c r="F278" s="154"/>
      <c r="G278" s="154"/>
      <c r="H278" s="154"/>
      <c r="I278" s="154"/>
      <c r="J278" s="154"/>
      <c r="K278" s="154"/>
      <c r="L278" s="154">
        <v>40</v>
      </c>
      <c r="M278" s="154">
        <v>40</v>
      </c>
      <c r="N278" s="155" t="str">
        <f t="shared" si="16"/>
        <v>Fail</v>
      </c>
      <c r="O278" s="147">
        <v>1340</v>
      </c>
      <c r="P278" s="189" t="s">
        <v>359</v>
      </c>
      <c r="Q278" s="123"/>
    </row>
    <row r="279" spans="1:17">
      <c r="A279" s="123">
        <v>43671</v>
      </c>
      <c r="B279" s="123"/>
      <c r="C279" s="146">
        <v>6</v>
      </c>
      <c r="D279" s="146">
        <v>60</v>
      </c>
      <c r="E279" s="154">
        <f t="shared" si="15"/>
        <v>54</v>
      </c>
      <c r="F279" s="154"/>
      <c r="G279" s="154"/>
      <c r="H279" s="154"/>
      <c r="I279" s="154"/>
      <c r="J279" s="154"/>
      <c r="K279" s="154"/>
      <c r="L279" s="154">
        <v>40</v>
      </c>
      <c r="M279" s="154">
        <v>40</v>
      </c>
      <c r="N279" s="155" t="str">
        <f t="shared" si="16"/>
        <v>Fail</v>
      </c>
      <c r="O279" s="147">
        <v>1335</v>
      </c>
      <c r="P279" s="190" t="s">
        <v>360</v>
      </c>
      <c r="Q279" s="123"/>
    </row>
    <row r="280" spans="1:17">
      <c r="A280" s="123">
        <v>43672</v>
      </c>
      <c r="B280" s="123"/>
      <c r="C280" s="146">
        <v>4</v>
      </c>
      <c r="D280" s="146">
        <v>39</v>
      </c>
      <c r="E280" s="154">
        <f t="shared" si="15"/>
        <v>35</v>
      </c>
      <c r="F280" s="154"/>
      <c r="G280" s="154"/>
      <c r="H280" s="154"/>
      <c r="I280" s="154"/>
      <c r="J280" s="154"/>
      <c r="K280" s="154"/>
      <c r="L280" s="154">
        <v>40</v>
      </c>
      <c r="M280" s="154">
        <v>40</v>
      </c>
      <c r="N280" s="155" t="str">
        <f t="shared" si="16"/>
        <v>Pass</v>
      </c>
      <c r="O280" s="147">
        <v>1340</v>
      </c>
      <c r="P280" s="191" t="s">
        <v>361</v>
      </c>
      <c r="Q280" s="123"/>
    </row>
    <row r="281" spans="1:17">
      <c r="A281" s="123">
        <v>43676</v>
      </c>
      <c r="B281" s="123"/>
      <c r="C281" s="146">
        <v>6</v>
      </c>
      <c r="D281" s="146">
        <v>64</v>
      </c>
      <c r="E281" s="154">
        <f t="shared" si="15"/>
        <v>58</v>
      </c>
      <c r="F281" s="154"/>
      <c r="G281" s="154"/>
      <c r="H281" s="154"/>
      <c r="I281" s="154"/>
      <c r="J281" s="154"/>
      <c r="K281" s="154"/>
      <c r="L281" s="154">
        <v>40</v>
      </c>
      <c r="M281" s="154">
        <v>40</v>
      </c>
      <c r="N281" s="155" t="str">
        <f t="shared" si="16"/>
        <v>Fail</v>
      </c>
      <c r="O281" s="147">
        <v>1159</v>
      </c>
      <c r="P281" s="192" t="s">
        <v>362</v>
      </c>
      <c r="Q281" s="123"/>
    </row>
    <row r="282" spans="1:17">
      <c r="A282" s="123">
        <v>43676</v>
      </c>
      <c r="B282" s="123"/>
      <c r="C282" s="146">
        <v>9</v>
      </c>
      <c r="D282" s="146">
        <v>124</v>
      </c>
      <c r="E282" s="154">
        <f>IF(((C282="")*AND(D282="")),"",D282-C282)</f>
        <v>115</v>
      </c>
      <c r="F282" s="154"/>
      <c r="G282" s="154"/>
      <c r="H282" s="154"/>
      <c r="I282" s="154"/>
      <c r="J282" s="154"/>
      <c r="K282" s="154"/>
      <c r="L282" s="154">
        <v>40</v>
      </c>
      <c r="M282" s="154">
        <v>40</v>
      </c>
      <c r="N282" s="155" t="str">
        <f>IF(E282="","",IF(E282&lt;=40,"Pass","Fail"))</f>
        <v>Fail</v>
      </c>
      <c r="O282" s="147">
        <v>1159</v>
      </c>
      <c r="P282" s="192" t="s">
        <v>363</v>
      </c>
      <c r="Q282" s="123"/>
    </row>
    <row r="283" spans="1:17">
      <c r="A283" s="123">
        <v>43677</v>
      </c>
      <c r="B283" s="123"/>
      <c r="C283" s="146">
        <v>7</v>
      </c>
      <c r="D283" s="146">
        <v>30</v>
      </c>
      <c r="E283" s="154">
        <f>IF(((C283="")*AND(D283="")),"",D283-C283)</f>
        <v>23</v>
      </c>
      <c r="F283" s="154"/>
      <c r="G283" s="154"/>
      <c r="H283" s="154"/>
      <c r="I283" s="154"/>
      <c r="J283" s="154"/>
      <c r="K283" s="154"/>
      <c r="L283" s="154">
        <v>40</v>
      </c>
      <c r="M283" s="154">
        <v>40</v>
      </c>
      <c r="N283" s="155" t="str">
        <f>IF(E283="","",IF(E283&lt;=40,"Pass","Fail"))</f>
        <v>Pass</v>
      </c>
      <c r="O283" s="147">
        <v>1335</v>
      </c>
      <c r="P283" s="193" t="s">
        <v>364</v>
      </c>
      <c r="Q283" s="123"/>
    </row>
    <row r="284" spans="1:17">
      <c r="A284" s="123">
        <v>43693</v>
      </c>
      <c r="B284" s="123"/>
      <c r="C284" s="146">
        <v>6</v>
      </c>
      <c r="D284" s="146">
        <v>122</v>
      </c>
      <c r="E284" s="154">
        <f t="shared" si="15"/>
        <v>116</v>
      </c>
      <c r="F284" s="154"/>
      <c r="G284" s="154"/>
      <c r="H284" s="154"/>
      <c r="I284" s="154"/>
      <c r="J284" s="154"/>
      <c r="K284" s="154"/>
      <c r="L284" s="154">
        <v>40</v>
      </c>
      <c r="M284" s="154">
        <v>40</v>
      </c>
      <c r="N284" s="155" t="str">
        <f t="shared" si="16"/>
        <v>Fail</v>
      </c>
      <c r="O284" s="147">
        <v>1335</v>
      </c>
      <c r="P284" s="194" t="s">
        <v>366</v>
      </c>
      <c r="Q284" s="123"/>
    </row>
    <row r="285" spans="1:17">
      <c r="A285" s="123">
        <v>43693</v>
      </c>
      <c r="B285" s="123"/>
      <c r="C285" s="146">
        <v>6</v>
      </c>
      <c r="D285" s="146">
        <v>308</v>
      </c>
      <c r="E285" s="154">
        <f>IF(((C285="")*AND(D285="")),"",D285-C285)</f>
        <v>302</v>
      </c>
      <c r="F285" s="154"/>
      <c r="G285" s="154"/>
      <c r="H285" s="154"/>
      <c r="I285" s="154"/>
      <c r="J285" s="154"/>
      <c r="K285" s="154"/>
      <c r="L285" s="154">
        <v>40</v>
      </c>
      <c r="M285" s="154">
        <v>40</v>
      </c>
      <c r="N285" s="155" t="str">
        <f>IF(E285="","",IF(E285&lt;=40,"Pass","Fail"))</f>
        <v>Fail</v>
      </c>
      <c r="O285" s="147">
        <v>1335</v>
      </c>
      <c r="P285" s="194" t="s">
        <v>367</v>
      </c>
      <c r="Q285" s="123"/>
    </row>
    <row r="286" spans="1:17">
      <c r="A286" s="123">
        <v>43693</v>
      </c>
      <c r="B286" s="123"/>
      <c r="C286" s="146">
        <v>8</v>
      </c>
      <c r="D286" s="146">
        <v>83</v>
      </c>
      <c r="E286" s="154">
        <f>IF(((C286="")*AND(D286="")),"",D286-C286)</f>
        <v>75</v>
      </c>
      <c r="F286" s="154"/>
      <c r="G286" s="154"/>
      <c r="H286" s="154"/>
      <c r="I286" s="154"/>
      <c r="J286" s="154"/>
      <c r="K286" s="154"/>
      <c r="L286" s="154">
        <v>40</v>
      </c>
      <c r="M286" s="154">
        <v>40</v>
      </c>
      <c r="N286" s="155" t="str">
        <f>IF(E286="","",IF(E286&lt;=40,"Pass","Fail"))</f>
        <v>Fail</v>
      </c>
      <c r="O286" s="147">
        <v>1335</v>
      </c>
      <c r="P286" s="194" t="s">
        <v>368</v>
      </c>
      <c r="Q286" s="123"/>
    </row>
    <row r="287" spans="1:17">
      <c r="A287" s="123">
        <v>43695</v>
      </c>
      <c r="B287" s="123"/>
      <c r="C287" s="146">
        <v>3</v>
      </c>
      <c r="D287" s="146">
        <v>28</v>
      </c>
      <c r="E287" s="154">
        <f t="shared" si="15"/>
        <v>25</v>
      </c>
      <c r="F287" s="154"/>
      <c r="G287" s="154"/>
      <c r="H287" s="154"/>
      <c r="I287" s="154"/>
      <c r="J287" s="154"/>
      <c r="K287" s="154"/>
      <c r="L287" s="154">
        <v>40</v>
      </c>
      <c r="M287" s="154">
        <v>40</v>
      </c>
      <c r="N287" s="155" t="str">
        <f t="shared" si="16"/>
        <v>Pass</v>
      </c>
      <c r="O287" s="147">
        <v>64</v>
      </c>
      <c r="P287" s="187"/>
      <c r="Q287" s="123" t="s">
        <v>369</v>
      </c>
    </row>
    <row r="288" spans="1:17">
      <c r="A288" s="123">
        <v>43696</v>
      </c>
      <c r="B288" s="123"/>
      <c r="C288" s="146">
        <v>1</v>
      </c>
      <c r="D288" s="146">
        <v>13</v>
      </c>
      <c r="E288" s="154">
        <f t="shared" si="15"/>
        <v>12</v>
      </c>
      <c r="F288" s="154"/>
      <c r="G288" s="154"/>
      <c r="H288" s="154"/>
      <c r="I288" s="154"/>
      <c r="J288" s="154"/>
      <c r="K288" s="154"/>
      <c r="L288" s="154">
        <v>40</v>
      </c>
      <c r="M288" s="154">
        <v>40</v>
      </c>
      <c r="N288" s="155" t="str">
        <f t="shared" si="16"/>
        <v>Pass</v>
      </c>
      <c r="O288" s="147" t="s">
        <v>215</v>
      </c>
      <c r="P288" s="195" t="s">
        <v>371</v>
      </c>
      <c r="Q288" s="123"/>
    </row>
    <row r="289" spans="1:17">
      <c r="A289" s="123">
        <v>43700</v>
      </c>
      <c r="B289" s="123"/>
      <c r="C289" s="146">
        <v>10</v>
      </c>
      <c r="D289" s="146">
        <v>20</v>
      </c>
      <c r="E289" s="154">
        <f t="shared" si="15"/>
        <v>10</v>
      </c>
      <c r="F289" s="154"/>
      <c r="G289" s="154"/>
      <c r="H289" s="154"/>
      <c r="I289" s="154"/>
      <c r="J289" s="154"/>
      <c r="K289" s="154"/>
      <c r="L289" s="154">
        <v>40</v>
      </c>
      <c r="M289" s="154">
        <v>40</v>
      </c>
      <c r="N289" s="155" t="str">
        <f t="shared" si="16"/>
        <v>Pass</v>
      </c>
      <c r="O289" s="147">
        <v>1340</v>
      </c>
      <c r="P289" s="196" t="s">
        <v>376</v>
      </c>
      <c r="Q289" s="123"/>
    </row>
    <row r="290" spans="1:17">
      <c r="A290" s="123">
        <v>43704</v>
      </c>
      <c r="B290" s="123"/>
      <c r="C290" s="146">
        <v>18</v>
      </c>
      <c r="D290" s="146">
        <v>57</v>
      </c>
      <c r="E290" s="154">
        <f t="shared" si="15"/>
        <v>39</v>
      </c>
      <c r="F290" s="154"/>
      <c r="G290" s="154"/>
      <c r="H290" s="154"/>
      <c r="I290" s="154"/>
      <c r="J290" s="154"/>
      <c r="K290" s="154"/>
      <c r="L290" s="154">
        <v>40</v>
      </c>
      <c r="M290" s="154">
        <v>40</v>
      </c>
      <c r="N290" s="155" t="str">
        <f t="shared" si="16"/>
        <v>Pass</v>
      </c>
      <c r="O290" s="147">
        <v>1159</v>
      </c>
      <c r="P290" s="197" t="s">
        <v>378</v>
      </c>
      <c r="Q290" s="123"/>
    </row>
    <row r="291" spans="1:17">
      <c r="A291" s="123">
        <v>43709</v>
      </c>
      <c r="B291" s="123"/>
      <c r="C291" s="146">
        <v>14</v>
      </c>
      <c r="D291" s="146">
        <v>52</v>
      </c>
      <c r="E291" s="154">
        <f t="shared" si="15"/>
        <v>38</v>
      </c>
      <c r="F291" s="154"/>
      <c r="G291" s="154"/>
      <c r="H291" s="154"/>
      <c r="I291" s="154"/>
      <c r="J291" s="154"/>
      <c r="K291" s="154"/>
      <c r="L291" s="154">
        <v>40</v>
      </c>
      <c r="M291" s="154">
        <v>40</v>
      </c>
      <c r="N291" s="155" t="str">
        <f t="shared" si="16"/>
        <v>Pass</v>
      </c>
      <c r="O291" s="147">
        <v>1428</v>
      </c>
      <c r="P291" s="198" t="s">
        <v>381</v>
      </c>
      <c r="Q291" s="123"/>
    </row>
    <row r="292" spans="1:17">
      <c r="A292" s="123">
        <v>43714</v>
      </c>
      <c r="B292" s="123"/>
      <c r="C292" s="146">
        <v>74</v>
      </c>
      <c r="D292" s="146">
        <v>115</v>
      </c>
      <c r="E292" s="154">
        <f t="shared" si="15"/>
        <v>41</v>
      </c>
      <c r="F292" s="154"/>
      <c r="G292" s="154"/>
      <c r="H292" s="154"/>
      <c r="I292" s="154"/>
      <c r="J292" s="154"/>
      <c r="K292" s="154"/>
      <c r="L292" s="154">
        <v>40</v>
      </c>
      <c r="M292" s="154">
        <v>40</v>
      </c>
      <c r="N292" s="155" t="str">
        <f t="shared" si="16"/>
        <v>Fail</v>
      </c>
      <c r="O292" s="147">
        <v>1428</v>
      </c>
      <c r="P292" s="199" t="s">
        <v>382</v>
      </c>
      <c r="Q292" s="123"/>
    </row>
    <row r="293" spans="1:17">
      <c r="A293" s="123">
        <v>43714</v>
      </c>
      <c r="B293" s="123"/>
      <c r="C293" s="146">
        <v>16</v>
      </c>
      <c r="D293" s="146">
        <v>29</v>
      </c>
      <c r="E293" s="154">
        <f t="shared" si="15"/>
        <v>13</v>
      </c>
      <c r="F293" s="154"/>
      <c r="G293" s="154"/>
      <c r="H293" s="154"/>
      <c r="I293" s="154"/>
      <c r="J293" s="154"/>
      <c r="K293" s="154"/>
      <c r="L293" s="154">
        <v>40</v>
      </c>
      <c r="M293" s="154">
        <v>40</v>
      </c>
      <c r="N293" s="155" t="str">
        <f t="shared" si="16"/>
        <v>Pass</v>
      </c>
      <c r="O293" s="147">
        <v>1428</v>
      </c>
      <c r="P293" s="199" t="s">
        <v>384</v>
      </c>
      <c r="Q293" s="123"/>
    </row>
    <row r="294" spans="1:17">
      <c r="A294" s="123">
        <v>43719</v>
      </c>
      <c r="B294" s="123"/>
      <c r="C294" s="146">
        <v>16</v>
      </c>
      <c r="D294" s="146">
        <v>66</v>
      </c>
      <c r="E294" s="154">
        <f t="shared" si="15"/>
        <v>50</v>
      </c>
      <c r="F294" s="154"/>
      <c r="G294" s="154"/>
      <c r="H294" s="154"/>
      <c r="I294" s="154"/>
      <c r="J294" s="154"/>
      <c r="K294" s="154"/>
      <c r="L294" s="154">
        <v>40</v>
      </c>
      <c r="M294" s="154">
        <v>40</v>
      </c>
      <c r="N294" s="155" t="str">
        <f t="shared" si="16"/>
        <v>Fail</v>
      </c>
      <c r="O294" s="147">
        <v>1335</v>
      </c>
      <c r="P294" s="200" t="s">
        <v>386</v>
      </c>
      <c r="Q294" s="123"/>
    </row>
    <row r="295" spans="1:17">
      <c r="A295" s="123">
        <v>43719</v>
      </c>
      <c r="B295" s="123"/>
      <c r="C295" s="146">
        <v>10</v>
      </c>
      <c r="D295" s="146">
        <v>18</v>
      </c>
      <c r="E295" s="154">
        <f t="shared" si="15"/>
        <v>8</v>
      </c>
      <c r="F295" s="154"/>
      <c r="G295" s="154"/>
      <c r="H295" s="154"/>
      <c r="I295" s="154"/>
      <c r="J295" s="154"/>
      <c r="K295" s="154"/>
      <c r="L295" s="154">
        <v>40</v>
      </c>
      <c r="M295" s="154">
        <v>40</v>
      </c>
      <c r="N295" s="155" t="str">
        <f t="shared" si="16"/>
        <v>Pass</v>
      </c>
      <c r="O295" s="147">
        <v>1335</v>
      </c>
      <c r="P295" s="200" t="s">
        <v>385</v>
      </c>
      <c r="Q295" s="123"/>
    </row>
    <row r="296" spans="1:17">
      <c r="A296" s="123">
        <v>43724</v>
      </c>
      <c r="B296" s="123"/>
      <c r="C296" s="146">
        <v>5</v>
      </c>
      <c r="D296" s="146">
        <v>768</v>
      </c>
      <c r="E296" s="154">
        <f>IF(((C296="")*AND(D296="")),"",D296-C296)</f>
        <v>763</v>
      </c>
      <c r="F296" s="154"/>
      <c r="G296" s="154"/>
      <c r="H296" s="154"/>
      <c r="I296" s="154"/>
      <c r="J296" s="154"/>
      <c r="K296" s="154"/>
      <c r="L296" s="154">
        <v>40</v>
      </c>
      <c r="M296" s="154">
        <v>40</v>
      </c>
      <c r="N296" s="155" t="str">
        <f>IF(E296="","",IF(E296&lt;=40,"Pass","Fail"))</f>
        <v>Fail</v>
      </c>
      <c r="O296" s="147">
        <v>1159</v>
      </c>
      <c r="P296" s="201" t="s">
        <v>388</v>
      </c>
      <c r="Q296" s="123"/>
    </row>
    <row r="297" spans="1:17">
      <c r="A297" s="123">
        <v>43725</v>
      </c>
      <c r="B297" s="123"/>
      <c r="C297" s="146">
        <v>4</v>
      </c>
      <c r="D297" s="146">
        <v>800</v>
      </c>
      <c r="E297" s="154">
        <f t="shared" si="15"/>
        <v>796</v>
      </c>
      <c r="F297" s="154"/>
      <c r="G297" s="154"/>
      <c r="H297" s="154"/>
      <c r="I297" s="154"/>
      <c r="J297" s="154"/>
      <c r="K297" s="154"/>
      <c r="L297" s="154">
        <v>40</v>
      </c>
      <c r="M297" s="154">
        <v>40</v>
      </c>
      <c r="N297" s="155" t="str">
        <f t="shared" si="16"/>
        <v>Fail</v>
      </c>
      <c r="O297" s="147">
        <v>1340</v>
      </c>
      <c r="P297" s="187"/>
      <c r="Q297" s="123"/>
    </row>
    <row r="298" spans="1:17">
      <c r="A298" s="123">
        <v>43725</v>
      </c>
      <c r="B298" s="123"/>
      <c r="C298" s="146">
        <v>18</v>
      </c>
      <c r="D298" s="146">
        <v>800</v>
      </c>
      <c r="E298" s="154">
        <f t="shared" si="15"/>
        <v>782</v>
      </c>
      <c r="F298" s="154"/>
      <c r="G298" s="154"/>
      <c r="H298" s="154"/>
      <c r="I298" s="154"/>
      <c r="J298" s="154"/>
      <c r="K298" s="154"/>
      <c r="L298" s="154">
        <v>40</v>
      </c>
      <c r="M298" s="154">
        <v>40</v>
      </c>
      <c r="N298" s="155" t="str">
        <f t="shared" si="16"/>
        <v>Fail</v>
      </c>
      <c r="O298" s="147">
        <v>64</v>
      </c>
      <c r="P298" s="187"/>
      <c r="Q298" s="123"/>
    </row>
    <row r="299" spans="1:17">
      <c r="A299" s="123">
        <v>43725</v>
      </c>
      <c r="B299" s="123"/>
      <c r="C299" s="146">
        <v>3</v>
      </c>
      <c r="D299" s="146">
        <v>10</v>
      </c>
      <c r="E299" s="154">
        <f t="shared" si="15"/>
        <v>7</v>
      </c>
      <c r="F299" s="154"/>
      <c r="G299" s="154"/>
      <c r="H299" s="154"/>
      <c r="I299" s="154"/>
      <c r="J299" s="154"/>
      <c r="K299" s="154"/>
      <c r="L299" s="154">
        <v>40</v>
      </c>
      <c r="M299" s="154">
        <v>40</v>
      </c>
      <c r="N299" s="155" t="str">
        <f t="shared" si="16"/>
        <v>Pass</v>
      </c>
      <c r="O299" s="147">
        <v>1340</v>
      </c>
      <c r="P299" s="187"/>
      <c r="Q299" s="123"/>
    </row>
    <row r="300" spans="1:17">
      <c r="A300" s="123">
        <v>43733</v>
      </c>
      <c r="B300" s="123"/>
      <c r="C300" s="146">
        <v>6</v>
      </c>
      <c r="D300" s="146">
        <v>340</v>
      </c>
      <c r="E300" s="154">
        <f t="shared" si="15"/>
        <v>334</v>
      </c>
      <c r="F300" s="154"/>
      <c r="G300" s="154"/>
      <c r="H300" s="154"/>
      <c r="I300" s="154"/>
      <c r="J300" s="154"/>
      <c r="K300" s="154"/>
      <c r="L300" s="154">
        <v>40</v>
      </c>
      <c r="M300" s="154">
        <v>40</v>
      </c>
      <c r="N300" s="155" t="str">
        <f t="shared" si="16"/>
        <v>Fail</v>
      </c>
      <c r="O300" s="147">
        <v>1335</v>
      </c>
      <c r="P300" s="187"/>
      <c r="Q300" s="123"/>
    </row>
    <row r="301" spans="1:17">
      <c r="A301" s="123">
        <v>43733</v>
      </c>
      <c r="B301" s="123"/>
      <c r="C301" s="146">
        <v>6</v>
      </c>
      <c r="D301" s="146">
        <v>476</v>
      </c>
      <c r="E301" s="154">
        <f t="shared" si="15"/>
        <v>470</v>
      </c>
      <c r="F301" s="154"/>
      <c r="G301" s="154"/>
      <c r="H301" s="154"/>
      <c r="I301" s="154"/>
      <c r="J301" s="154"/>
      <c r="K301" s="154"/>
      <c r="L301" s="154">
        <v>40</v>
      </c>
      <c r="M301" s="154">
        <v>40</v>
      </c>
      <c r="N301" s="155" t="str">
        <f t="shared" si="16"/>
        <v>Fail</v>
      </c>
      <c r="O301" s="147">
        <v>1428</v>
      </c>
      <c r="P301" s="187"/>
      <c r="Q301" s="123"/>
    </row>
    <row r="302" spans="1:17">
      <c r="A302" s="123">
        <v>43733</v>
      </c>
      <c r="B302" s="123"/>
      <c r="C302" s="146">
        <v>6</v>
      </c>
      <c r="D302" s="146">
        <v>626</v>
      </c>
      <c r="E302" s="154">
        <f t="shared" si="15"/>
        <v>620</v>
      </c>
      <c r="F302" s="154"/>
      <c r="G302" s="154"/>
      <c r="H302" s="154"/>
      <c r="I302" s="154"/>
      <c r="J302" s="154"/>
      <c r="K302" s="154"/>
      <c r="L302" s="154">
        <v>40</v>
      </c>
      <c r="M302" s="154">
        <v>40</v>
      </c>
      <c r="N302" s="155" t="str">
        <f t="shared" si="16"/>
        <v>Fail</v>
      </c>
      <c r="O302" s="147">
        <v>1428</v>
      </c>
      <c r="P302" s="187"/>
      <c r="Q302" s="123"/>
    </row>
    <row r="303" spans="1:17">
      <c r="A303" s="123">
        <v>43734</v>
      </c>
      <c r="B303" s="123"/>
      <c r="C303" s="146">
        <v>8</v>
      </c>
      <c r="D303" s="146">
        <v>30</v>
      </c>
      <c r="E303" s="154">
        <f t="shared" si="15"/>
        <v>22</v>
      </c>
      <c r="F303" s="154"/>
      <c r="G303" s="154"/>
      <c r="H303" s="154"/>
      <c r="I303" s="154"/>
      <c r="J303" s="154"/>
      <c r="K303" s="154"/>
      <c r="L303" s="154">
        <v>40</v>
      </c>
      <c r="M303" s="154">
        <v>40</v>
      </c>
      <c r="N303" s="155" t="str">
        <f t="shared" si="16"/>
        <v>Pass</v>
      </c>
      <c r="O303" s="147">
        <v>1428</v>
      </c>
      <c r="P303" s="202" t="s">
        <v>390</v>
      </c>
      <c r="Q303" s="123"/>
    </row>
    <row r="304" spans="1:17">
      <c r="A304" s="123">
        <v>43739</v>
      </c>
      <c r="B304" s="123"/>
      <c r="C304" s="146">
        <v>0</v>
      </c>
      <c r="D304" s="146">
        <v>27</v>
      </c>
      <c r="E304" s="154">
        <f t="shared" si="15"/>
        <v>27</v>
      </c>
      <c r="F304" s="154"/>
      <c r="G304" s="154"/>
      <c r="H304" s="154"/>
      <c r="I304" s="154"/>
      <c r="J304" s="154"/>
      <c r="K304" s="154"/>
      <c r="L304" s="154">
        <v>40</v>
      </c>
      <c r="M304" s="154">
        <v>40</v>
      </c>
      <c r="N304" s="155" t="str">
        <f t="shared" si="16"/>
        <v>Pass</v>
      </c>
      <c r="O304" s="147">
        <v>121</v>
      </c>
      <c r="P304" s="203" t="s">
        <v>392</v>
      </c>
      <c r="Q304" s="123"/>
    </row>
    <row r="305" spans="1:17">
      <c r="A305" s="123">
        <v>43745</v>
      </c>
      <c r="B305" s="123"/>
      <c r="C305" s="146">
        <v>5</v>
      </c>
      <c r="D305" s="146">
        <v>69</v>
      </c>
      <c r="E305" s="154">
        <f t="shared" si="15"/>
        <v>64</v>
      </c>
      <c r="F305" s="154"/>
      <c r="G305" s="154"/>
      <c r="H305" s="154"/>
      <c r="I305" s="154"/>
      <c r="J305" s="154"/>
      <c r="K305" s="154"/>
      <c r="L305" s="154">
        <v>40</v>
      </c>
      <c r="M305" s="154">
        <v>40</v>
      </c>
      <c r="N305" s="155" t="str">
        <f t="shared" si="16"/>
        <v>Fail</v>
      </c>
      <c r="O305" s="147">
        <v>1159</v>
      </c>
      <c r="P305" s="204" t="s">
        <v>394</v>
      </c>
      <c r="Q305" s="123"/>
    </row>
    <row r="306" spans="1:17">
      <c r="A306" s="123">
        <v>43745</v>
      </c>
      <c r="B306" s="123"/>
      <c r="C306" s="146">
        <v>9</v>
      </c>
      <c r="D306" s="146">
        <v>13</v>
      </c>
      <c r="E306" s="154">
        <f t="shared" si="15"/>
        <v>4</v>
      </c>
      <c r="F306" s="154"/>
      <c r="G306" s="154"/>
      <c r="H306" s="154"/>
      <c r="I306" s="154"/>
      <c r="J306" s="154"/>
      <c r="K306" s="154"/>
      <c r="L306" s="154">
        <v>40</v>
      </c>
      <c r="M306" s="154">
        <v>40</v>
      </c>
      <c r="N306" s="155" t="str">
        <f t="shared" si="16"/>
        <v>Pass</v>
      </c>
      <c r="O306" s="147">
        <v>1159</v>
      </c>
      <c r="P306" s="204" t="s">
        <v>395</v>
      </c>
      <c r="Q306" s="123"/>
    </row>
    <row r="307" spans="1:17">
      <c r="A307" s="123">
        <v>43754</v>
      </c>
      <c r="B307" s="123"/>
      <c r="C307" s="146">
        <v>14</v>
      </c>
      <c r="D307" s="146">
        <v>23</v>
      </c>
      <c r="E307" s="154">
        <f t="shared" si="15"/>
        <v>9</v>
      </c>
      <c r="F307" s="154"/>
      <c r="G307" s="154"/>
      <c r="H307" s="154"/>
      <c r="I307" s="154"/>
      <c r="J307" s="154"/>
      <c r="K307" s="154"/>
      <c r="L307" s="154">
        <v>40</v>
      </c>
      <c r="M307" s="154">
        <v>40</v>
      </c>
      <c r="N307" s="155" t="str">
        <f t="shared" si="16"/>
        <v>Pass</v>
      </c>
      <c r="O307" s="147">
        <v>1340</v>
      </c>
      <c r="P307" s="205" t="s">
        <v>397</v>
      </c>
      <c r="Q307" s="123"/>
    </row>
    <row r="308" spans="1:17">
      <c r="A308" s="123">
        <v>43787</v>
      </c>
      <c r="B308" s="123"/>
      <c r="C308" s="146">
        <v>3</v>
      </c>
      <c r="D308" s="146">
        <v>57</v>
      </c>
      <c r="E308" s="154">
        <f>IF(((C308="")*AND(D308="")),"",D308-C308)</f>
        <v>54</v>
      </c>
      <c r="F308" s="154"/>
      <c r="G308" s="154"/>
      <c r="H308" s="154"/>
      <c r="I308" s="154"/>
      <c r="J308" s="154"/>
      <c r="K308" s="154"/>
      <c r="L308" s="154">
        <v>40</v>
      </c>
      <c r="M308" s="154">
        <v>40</v>
      </c>
      <c r="N308" s="155" t="str">
        <f>IF(E308="","",IF(E308&lt;=40,"Pass","Fail"))</f>
        <v>Fail</v>
      </c>
      <c r="O308" s="147">
        <v>1159</v>
      </c>
      <c r="P308" s="206" t="s">
        <v>399</v>
      </c>
      <c r="Q308" s="123" t="s">
        <v>403</v>
      </c>
    </row>
    <row r="309" spans="1:17">
      <c r="A309" s="123">
        <v>43787</v>
      </c>
      <c r="B309" s="123"/>
      <c r="C309" s="146">
        <v>2</v>
      </c>
      <c r="D309" s="146">
        <v>40</v>
      </c>
      <c r="E309" s="154">
        <f t="shared" si="15"/>
        <v>38</v>
      </c>
      <c r="F309" s="154"/>
      <c r="G309" s="154"/>
      <c r="H309" s="154"/>
      <c r="I309" s="154"/>
      <c r="J309" s="154"/>
      <c r="K309" s="154"/>
      <c r="L309" s="154">
        <v>40</v>
      </c>
      <c r="M309" s="154">
        <v>40</v>
      </c>
      <c r="N309" s="155" t="str">
        <f t="shared" si="16"/>
        <v>Pass</v>
      </c>
      <c r="O309" s="147">
        <v>1159</v>
      </c>
      <c r="P309" s="206" t="s">
        <v>400</v>
      </c>
      <c r="Q309" s="123" t="s">
        <v>401</v>
      </c>
    </row>
    <row r="310" spans="1:17">
      <c r="A310" s="123">
        <v>43791</v>
      </c>
      <c r="B310" s="123"/>
      <c r="C310" s="146">
        <v>1</v>
      </c>
      <c r="D310" s="146">
        <v>40</v>
      </c>
      <c r="E310" s="154">
        <f t="shared" si="15"/>
        <v>39</v>
      </c>
      <c r="F310" s="154"/>
      <c r="G310" s="154"/>
      <c r="H310" s="154"/>
      <c r="I310" s="154"/>
      <c r="J310" s="154"/>
      <c r="K310" s="154"/>
      <c r="L310" s="154">
        <v>40</v>
      </c>
      <c r="M310" s="154">
        <v>40</v>
      </c>
      <c r="N310" s="155" t="str">
        <f t="shared" si="16"/>
        <v>Pass</v>
      </c>
      <c r="O310" s="147">
        <v>1335</v>
      </c>
      <c r="P310" s="207" t="s">
        <v>404</v>
      </c>
      <c r="Q310" s="123"/>
    </row>
    <row r="311" spans="1:17">
      <c r="A311" s="123">
        <v>43795</v>
      </c>
      <c r="B311" s="123"/>
      <c r="C311" s="146">
        <v>48</v>
      </c>
      <c r="D311" s="146">
        <v>978</v>
      </c>
      <c r="E311" s="154">
        <f t="shared" si="15"/>
        <v>930</v>
      </c>
      <c r="F311" s="154"/>
      <c r="G311" s="154"/>
      <c r="H311" s="154"/>
      <c r="I311" s="154"/>
      <c r="J311" s="154"/>
      <c r="K311" s="154"/>
      <c r="L311" s="154">
        <v>40</v>
      </c>
      <c r="M311" s="154">
        <v>40</v>
      </c>
      <c r="N311" s="155" t="str">
        <f t="shared" si="16"/>
        <v>Fail</v>
      </c>
      <c r="O311" s="147">
        <v>1428</v>
      </c>
      <c r="P311" s="208" t="s">
        <v>408</v>
      </c>
      <c r="Q311" s="123" t="s">
        <v>410</v>
      </c>
    </row>
    <row r="312" spans="1:17">
      <c r="A312" s="123">
        <v>43795</v>
      </c>
      <c r="B312" s="123"/>
      <c r="C312" s="146">
        <v>0</v>
      </c>
      <c r="D312" s="146">
        <v>41</v>
      </c>
      <c r="E312" s="154">
        <f t="shared" si="15"/>
        <v>41</v>
      </c>
      <c r="F312" s="154"/>
      <c r="G312" s="154"/>
      <c r="H312" s="154"/>
      <c r="I312" s="154"/>
      <c r="J312" s="154"/>
      <c r="K312" s="154"/>
      <c r="L312" s="154">
        <v>40</v>
      </c>
      <c r="M312" s="154">
        <v>40</v>
      </c>
      <c r="N312" s="155" t="str">
        <f t="shared" si="16"/>
        <v>Fail</v>
      </c>
      <c r="O312" s="147">
        <v>1428</v>
      </c>
      <c r="P312" s="208" t="s">
        <v>407</v>
      </c>
      <c r="Q312" s="123" t="s">
        <v>410</v>
      </c>
    </row>
    <row r="313" spans="1:17">
      <c r="A313" s="123">
        <v>43795</v>
      </c>
      <c r="B313" s="123"/>
      <c r="C313" s="146">
        <v>3</v>
      </c>
      <c r="D313" s="146">
        <v>48</v>
      </c>
      <c r="E313" s="154">
        <f t="shared" si="15"/>
        <v>45</v>
      </c>
      <c r="F313" s="154"/>
      <c r="G313" s="154"/>
      <c r="H313" s="154"/>
      <c r="I313" s="154"/>
      <c r="J313" s="154"/>
      <c r="K313" s="154"/>
      <c r="L313" s="154">
        <v>40</v>
      </c>
      <c r="M313" s="154">
        <v>40</v>
      </c>
      <c r="N313" s="155" t="str">
        <f t="shared" si="16"/>
        <v>Fail</v>
      </c>
      <c r="O313" s="147">
        <v>1428</v>
      </c>
      <c r="P313" s="208" t="s">
        <v>406</v>
      </c>
      <c r="Q313" s="123" t="s">
        <v>409</v>
      </c>
    </row>
    <row r="314" spans="1:17">
      <c r="A314" s="123">
        <v>43801</v>
      </c>
      <c r="B314" s="123"/>
      <c r="C314" s="146">
        <v>0</v>
      </c>
      <c r="D314" s="146">
        <v>37</v>
      </c>
      <c r="E314" s="154">
        <f>IF(((C314="")*AND(D314="")),"",D314-C314)</f>
        <v>37</v>
      </c>
      <c r="F314" s="154"/>
      <c r="G314" s="154"/>
      <c r="H314" s="154"/>
      <c r="I314" s="154"/>
      <c r="J314" s="154"/>
      <c r="K314" s="154"/>
      <c r="L314" s="154">
        <v>40</v>
      </c>
      <c r="M314" s="154">
        <v>40</v>
      </c>
      <c r="N314" s="155" t="str">
        <f>IF(E314="","",IF(E314&lt;=40,"Pass","Fail"))</f>
        <v>Pass</v>
      </c>
      <c r="O314" s="147">
        <v>1159</v>
      </c>
      <c r="P314" s="209" t="s">
        <v>411</v>
      </c>
      <c r="Q314" s="123" t="s">
        <v>413</v>
      </c>
    </row>
    <row r="315" spans="1:17">
      <c r="A315" s="123">
        <v>43805</v>
      </c>
      <c r="B315" s="123"/>
      <c r="C315" s="146">
        <v>2</v>
      </c>
      <c r="D315" s="146">
        <v>42</v>
      </c>
      <c r="E315" s="154">
        <f>IF(((C315="")*AND(D315="")),"",D315-C315)</f>
        <v>40</v>
      </c>
      <c r="F315" s="154"/>
      <c r="G315" s="154"/>
      <c r="H315" s="154"/>
      <c r="I315" s="154"/>
      <c r="J315" s="154"/>
      <c r="K315" s="154"/>
      <c r="L315" s="154">
        <v>40</v>
      </c>
      <c r="M315" s="154">
        <v>40</v>
      </c>
      <c r="N315" s="155" t="str">
        <f>IF(E315="","",IF(E315&lt;=40,"Pass","Fail"))</f>
        <v>Pass</v>
      </c>
      <c r="O315" s="147">
        <v>1159</v>
      </c>
      <c r="P315" s="210" t="s">
        <v>414</v>
      </c>
      <c r="Q315" s="123" t="s">
        <v>413</v>
      </c>
    </row>
    <row r="316" spans="1:17">
      <c r="A316" s="123">
        <v>43809</v>
      </c>
      <c r="B316" s="123"/>
      <c r="C316" s="146">
        <v>9</v>
      </c>
      <c r="D316" s="146">
        <v>23</v>
      </c>
      <c r="E316" s="154">
        <f>IF(((C316="")*AND(D316="")),"",D316-C316)</f>
        <v>14</v>
      </c>
      <c r="F316" s="154"/>
      <c r="G316" s="154"/>
      <c r="H316" s="154"/>
      <c r="I316" s="154"/>
      <c r="J316" s="154"/>
      <c r="K316" s="154"/>
      <c r="L316" s="154">
        <v>40</v>
      </c>
      <c r="M316" s="154">
        <v>40</v>
      </c>
      <c r="N316" s="155" t="str">
        <f>IF(E316="","",IF(E316&lt;=40,"Pass","Fail"))</f>
        <v>Pass</v>
      </c>
      <c r="O316" s="147">
        <v>1340</v>
      </c>
      <c r="P316" s="231" t="s">
        <v>419</v>
      </c>
    </row>
    <row r="317" spans="1:17">
      <c r="A317" s="123">
        <v>43814</v>
      </c>
      <c r="B317" s="123"/>
      <c r="C317" s="146">
        <v>8</v>
      </c>
      <c r="D317" s="146">
        <v>37</v>
      </c>
      <c r="E317" s="154">
        <f t="shared" si="15"/>
        <v>29</v>
      </c>
      <c r="F317" s="154"/>
      <c r="G317" s="154"/>
      <c r="H317" s="154"/>
      <c r="I317" s="154"/>
      <c r="J317" s="154"/>
      <c r="K317" s="154"/>
      <c r="L317" s="154">
        <v>40</v>
      </c>
      <c r="M317" s="154">
        <v>40</v>
      </c>
      <c r="N317" s="155" t="str">
        <f t="shared" si="16"/>
        <v>Pass</v>
      </c>
      <c r="O317" s="147">
        <v>1428</v>
      </c>
      <c r="P317" s="232" t="s">
        <v>420</v>
      </c>
      <c r="Q317" s="123"/>
    </row>
    <row r="318" spans="1:17">
      <c r="A318" s="123">
        <v>43818</v>
      </c>
      <c r="B318" s="123"/>
      <c r="C318" s="146">
        <v>1</v>
      </c>
      <c r="D318" s="146">
        <v>80</v>
      </c>
      <c r="E318" s="154">
        <f>IF(((C318="")*AND(D318="")),"",D318-C318)</f>
        <v>79</v>
      </c>
      <c r="F318" s="154"/>
      <c r="G318" s="154"/>
      <c r="H318" s="154"/>
      <c r="I318" s="154"/>
      <c r="J318" s="154"/>
      <c r="K318" s="154"/>
      <c r="L318" s="154">
        <v>40</v>
      </c>
      <c r="M318" s="154">
        <v>40</v>
      </c>
      <c r="N318" s="155" t="str">
        <f>IF(E318="","",IF(E318&lt;=40,"Pass","Fail"))</f>
        <v>Fail</v>
      </c>
      <c r="O318" s="147">
        <v>1159</v>
      </c>
      <c r="P318" s="233" t="s">
        <v>423</v>
      </c>
      <c r="Q318" s="123"/>
    </row>
    <row r="319" spans="1:17">
      <c r="A319" s="123">
        <v>43818</v>
      </c>
      <c r="B319" s="123"/>
      <c r="C319" s="146">
        <v>3</v>
      </c>
      <c r="D319" s="146">
        <v>131</v>
      </c>
      <c r="E319" s="154">
        <f t="shared" si="15"/>
        <v>128</v>
      </c>
      <c r="F319" s="154"/>
      <c r="G319" s="154"/>
      <c r="H319" s="154"/>
      <c r="I319" s="154"/>
      <c r="J319" s="154"/>
      <c r="K319" s="154"/>
      <c r="L319" s="154">
        <v>40</v>
      </c>
      <c r="M319" s="154">
        <v>40</v>
      </c>
      <c r="N319" s="155" t="str">
        <f t="shared" si="16"/>
        <v>Fail</v>
      </c>
      <c r="O319" s="147">
        <v>1335</v>
      </c>
      <c r="P319" s="233" t="s">
        <v>422</v>
      </c>
      <c r="Q319" s="123" t="s">
        <v>428</v>
      </c>
    </row>
    <row r="320" spans="1:17" ht="26.25">
      <c r="A320" s="123">
        <v>43819</v>
      </c>
      <c r="B320" s="123"/>
      <c r="C320" s="146">
        <v>3</v>
      </c>
      <c r="D320" s="146">
        <v>211</v>
      </c>
      <c r="E320" s="154">
        <f>IF(((C320="")*AND(D320="")),"",D320-C320)</f>
        <v>208</v>
      </c>
      <c r="F320" s="154"/>
      <c r="G320" s="154"/>
      <c r="H320" s="154"/>
      <c r="I320" s="154"/>
      <c r="J320" s="154"/>
      <c r="K320" s="154"/>
      <c r="L320" s="154">
        <v>40</v>
      </c>
      <c r="M320" s="154">
        <v>40</v>
      </c>
      <c r="N320" s="155" t="str">
        <f>IF(E320="","",IF(E320&lt;=40,"Pass","Fail"))</f>
        <v>Fail</v>
      </c>
      <c r="O320" s="147">
        <v>1159</v>
      </c>
      <c r="P320" s="234" t="s">
        <v>424</v>
      </c>
      <c r="Q320" s="240" t="s">
        <v>434</v>
      </c>
    </row>
    <row r="321" spans="1:17">
      <c r="A321" s="123">
        <v>43819</v>
      </c>
      <c r="B321" s="123"/>
      <c r="C321" s="146">
        <v>3</v>
      </c>
      <c r="D321" s="146">
        <v>155</v>
      </c>
      <c r="E321" s="154">
        <f t="shared" si="15"/>
        <v>152</v>
      </c>
      <c r="F321" s="154">
        <v>1</v>
      </c>
      <c r="G321" s="154">
        <v>29</v>
      </c>
      <c r="H321" s="154">
        <f>G321-F321</f>
        <v>28</v>
      </c>
      <c r="I321" s="154"/>
      <c r="J321" s="154"/>
      <c r="K321" s="154"/>
      <c r="L321" s="154">
        <v>40</v>
      </c>
      <c r="M321" s="154">
        <v>40</v>
      </c>
      <c r="N321" s="155" t="str">
        <f t="shared" si="16"/>
        <v>Fail</v>
      </c>
      <c r="O321" s="147">
        <v>1159</v>
      </c>
      <c r="P321" s="234" t="s">
        <v>425</v>
      </c>
      <c r="Q321" s="123" t="s">
        <v>605</v>
      </c>
    </row>
    <row r="322" spans="1:17">
      <c r="A322" s="123">
        <v>43819</v>
      </c>
      <c r="B322" s="123"/>
      <c r="C322" s="146">
        <v>1</v>
      </c>
      <c r="D322" s="146">
        <v>163</v>
      </c>
      <c r="E322" s="154">
        <f t="shared" si="15"/>
        <v>162</v>
      </c>
      <c r="F322" s="154">
        <v>0</v>
      </c>
      <c r="G322" s="154">
        <v>40</v>
      </c>
      <c r="H322" s="154">
        <f>G322-F322</f>
        <v>40</v>
      </c>
      <c r="I322" s="154"/>
      <c r="J322" s="154"/>
      <c r="K322" s="154"/>
      <c r="L322" s="154">
        <v>40</v>
      </c>
      <c r="M322" s="154">
        <v>40</v>
      </c>
      <c r="N322" s="155" t="str">
        <f t="shared" si="16"/>
        <v>Fail</v>
      </c>
      <c r="O322" s="147">
        <v>1159</v>
      </c>
      <c r="P322" s="234" t="s">
        <v>426</v>
      </c>
      <c r="Q322" s="123" t="s">
        <v>606</v>
      </c>
    </row>
    <row r="323" spans="1:17">
      <c r="A323" s="123">
        <v>43819</v>
      </c>
      <c r="B323" s="123"/>
      <c r="C323" s="146">
        <v>1</v>
      </c>
      <c r="D323" s="146">
        <v>122</v>
      </c>
      <c r="E323" s="154">
        <f t="shared" si="15"/>
        <v>121</v>
      </c>
      <c r="F323" s="154">
        <v>0</v>
      </c>
      <c r="G323" s="154">
        <v>38</v>
      </c>
      <c r="H323" s="154">
        <f>G323-F323</f>
        <v>38</v>
      </c>
      <c r="I323" s="154"/>
      <c r="J323" s="154"/>
      <c r="K323" s="154"/>
      <c r="L323" s="154">
        <v>40</v>
      </c>
      <c r="M323" s="154">
        <v>40</v>
      </c>
      <c r="N323" s="155" t="str">
        <f t="shared" si="16"/>
        <v>Fail</v>
      </c>
      <c r="O323" s="147">
        <v>1159</v>
      </c>
      <c r="P323" s="234" t="s">
        <v>427</v>
      </c>
      <c r="Q323" s="123" t="s">
        <v>607</v>
      </c>
    </row>
    <row r="324" spans="1:17">
      <c r="A324" s="123">
        <v>43820</v>
      </c>
      <c r="B324" s="123"/>
      <c r="C324" s="146">
        <v>2</v>
      </c>
      <c r="D324" s="146">
        <v>28</v>
      </c>
      <c r="E324" s="154">
        <f>IF(((C324="")*AND(D324="")),"",D324-C324)</f>
        <v>26</v>
      </c>
      <c r="F324" s="154">
        <v>1</v>
      </c>
      <c r="G324" s="154">
        <v>18</v>
      </c>
      <c r="H324" s="154">
        <f>G324-F324</f>
        <v>17</v>
      </c>
      <c r="I324" s="154">
        <v>1</v>
      </c>
      <c r="J324" s="154">
        <v>18</v>
      </c>
      <c r="K324" s="154">
        <f>J324-I324</f>
        <v>17</v>
      </c>
      <c r="L324" s="154">
        <v>40</v>
      </c>
      <c r="M324" s="154">
        <v>40</v>
      </c>
      <c r="N324" s="155" t="str">
        <f>IF(E324="","",IF(E324&lt;=40,"Pass","Fail"))</f>
        <v>Pass</v>
      </c>
      <c r="O324" s="147">
        <v>1159</v>
      </c>
      <c r="P324" s="235" t="s">
        <v>429</v>
      </c>
      <c r="Q324" s="123"/>
    </row>
    <row r="325" spans="1:17">
      <c r="A325" s="123">
        <v>43820</v>
      </c>
      <c r="B325" s="123"/>
      <c r="C325" s="146">
        <v>0</v>
      </c>
      <c r="D325" s="146">
        <v>13</v>
      </c>
      <c r="E325" s="154">
        <f>IF(((C325="")*AND(D325="")),"",D325-C325)</f>
        <v>13</v>
      </c>
      <c r="F325" s="154">
        <v>0</v>
      </c>
      <c r="G325" s="154">
        <v>8</v>
      </c>
      <c r="H325" s="154">
        <f>G325-F325</f>
        <v>8</v>
      </c>
      <c r="I325" s="154">
        <v>0</v>
      </c>
      <c r="J325" s="154">
        <v>8</v>
      </c>
      <c r="K325" s="154">
        <f>J325-I325</f>
        <v>8</v>
      </c>
      <c r="L325" s="154">
        <v>40</v>
      </c>
      <c r="M325" s="154">
        <v>40</v>
      </c>
      <c r="N325" s="155" t="str">
        <f>IF(E325="","",IF(E325&lt;=40,"Pass","Fail"))</f>
        <v>Pass</v>
      </c>
      <c r="O325" s="147">
        <v>1159</v>
      </c>
      <c r="P325" s="235" t="s">
        <v>430</v>
      </c>
      <c r="Q325" s="123"/>
    </row>
    <row r="326" spans="1:17">
      <c r="A326" s="123">
        <v>43824</v>
      </c>
      <c r="B326" s="123"/>
      <c r="C326" s="146">
        <v>4</v>
      </c>
      <c r="D326" s="146">
        <v>102</v>
      </c>
      <c r="E326" s="154">
        <f t="shared" si="15"/>
        <v>98</v>
      </c>
      <c r="F326" s="154"/>
      <c r="G326" s="154"/>
      <c r="H326" s="154"/>
      <c r="I326" s="154"/>
      <c r="J326" s="154"/>
      <c r="K326" s="154"/>
      <c r="L326" s="154">
        <v>40</v>
      </c>
      <c r="M326" s="154">
        <v>40</v>
      </c>
      <c r="N326" s="155" t="str">
        <f t="shared" si="16"/>
        <v>Fail</v>
      </c>
      <c r="O326" s="147">
        <v>1428</v>
      </c>
      <c r="P326" s="236" t="s">
        <v>431</v>
      </c>
      <c r="Q326" t="s">
        <v>432</v>
      </c>
    </row>
    <row r="327" spans="1:17">
      <c r="A327" s="123">
        <v>43825</v>
      </c>
      <c r="B327" s="123"/>
      <c r="C327" s="146">
        <v>4</v>
      </c>
      <c r="D327" s="146">
        <v>57</v>
      </c>
      <c r="E327" s="154">
        <f t="shared" si="15"/>
        <v>53</v>
      </c>
      <c r="F327" s="154">
        <v>1</v>
      </c>
      <c r="G327" s="154">
        <v>14</v>
      </c>
      <c r="H327" s="154">
        <f>G327-F327</f>
        <v>13</v>
      </c>
      <c r="I327" s="154">
        <v>0</v>
      </c>
      <c r="J327" s="154">
        <v>8</v>
      </c>
      <c r="K327" s="154">
        <f>J327-I327</f>
        <v>8</v>
      </c>
      <c r="L327" s="154">
        <v>40</v>
      </c>
      <c r="M327" s="154">
        <v>40</v>
      </c>
      <c r="N327" s="155" t="str">
        <f t="shared" si="16"/>
        <v>Fail</v>
      </c>
      <c r="O327" s="147">
        <v>74</v>
      </c>
      <c r="P327" s="237" t="s">
        <v>433</v>
      </c>
      <c r="Q327" s="123"/>
    </row>
    <row r="328" spans="1:17">
      <c r="A328" s="123">
        <v>43825</v>
      </c>
      <c r="B328" s="123"/>
      <c r="C328" s="146">
        <v>1</v>
      </c>
      <c r="D328" s="146">
        <v>44</v>
      </c>
      <c r="E328" s="154">
        <f>IF(((C328="")*AND(D328="")),"",D328-C328)</f>
        <v>43</v>
      </c>
      <c r="F328" s="154">
        <v>1</v>
      </c>
      <c r="G328" s="154">
        <v>6</v>
      </c>
      <c r="H328" s="154">
        <f>G328-F328</f>
        <v>5</v>
      </c>
      <c r="I328" s="154">
        <v>0</v>
      </c>
      <c r="J328" s="154">
        <v>8</v>
      </c>
      <c r="K328" s="154">
        <f>J328-I328</f>
        <v>8</v>
      </c>
      <c r="L328" s="154">
        <v>40</v>
      </c>
      <c r="M328" s="154">
        <v>40</v>
      </c>
      <c r="N328" s="155" t="str">
        <f>IF(E328="","",IF(E328&lt;=40,"Pass","Fail"))</f>
        <v>Fail</v>
      </c>
      <c r="O328" s="147">
        <v>74</v>
      </c>
      <c r="P328" s="238" t="s">
        <v>435</v>
      </c>
      <c r="Q328" s="123"/>
    </row>
    <row r="329" spans="1:17">
      <c r="A329" s="123">
        <v>43825</v>
      </c>
      <c r="B329" s="123"/>
      <c r="C329" s="146">
        <v>16</v>
      </c>
      <c r="D329" s="146">
        <v>20</v>
      </c>
      <c r="E329" s="154">
        <f>IF(((C329="")*AND(D329="")),"",D329-C329)</f>
        <v>4</v>
      </c>
      <c r="F329" s="154">
        <v>0</v>
      </c>
      <c r="G329" s="154">
        <v>1</v>
      </c>
      <c r="H329" s="154">
        <f>G329-F329</f>
        <v>1</v>
      </c>
      <c r="I329" s="154"/>
      <c r="J329" s="154"/>
      <c r="K329" s="154"/>
      <c r="L329" s="154">
        <v>40</v>
      </c>
      <c r="M329" s="154">
        <v>40</v>
      </c>
      <c r="N329" s="155" t="str">
        <f>IF(E329="","",IF(E329&lt;=40,"Pass","Fail"))</f>
        <v>Pass</v>
      </c>
      <c r="O329" s="147" t="s">
        <v>437</v>
      </c>
      <c r="P329" s="238" t="s">
        <v>436</v>
      </c>
      <c r="Q329" s="123"/>
    </row>
    <row r="330" spans="1:17">
      <c r="A330" s="123">
        <v>43825</v>
      </c>
      <c r="B330" s="123"/>
      <c r="C330" s="146">
        <v>2</v>
      </c>
      <c r="D330" s="146">
        <v>17</v>
      </c>
      <c r="E330" s="154">
        <f>IF(((C330="")*AND(D330="")),"",D330-C330)</f>
        <v>15</v>
      </c>
      <c r="F330" s="154">
        <v>5</v>
      </c>
      <c r="G330" s="154">
        <v>4</v>
      </c>
      <c r="H330" s="154">
        <f>G330-F330</f>
        <v>-1</v>
      </c>
      <c r="I330" s="154"/>
      <c r="J330" s="154"/>
      <c r="K330" s="154"/>
      <c r="L330" s="154">
        <v>40</v>
      </c>
      <c r="M330" s="154">
        <v>40</v>
      </c>
      <c r="N330" s="155" t="str">
        <f>IF(E330="","",IF(E330&lt;=40,"Pass","Fail"))</f>
        <v>Pass</v>
      </c>
      <c r="O330" s="147">
        <v>64</v>
      </c>
      <c r="P330" s="238" t="s">
        <v>438</v>
      </c>
      <c r="Q330" t="s">
        <v>439</v>
      </c>
    </row>
    <row r="331" spans="1:17">
      <c r="A331" s="123">
        <v>43832</v>
      </c>
      <c r="B331" s="123"/>
      <c r="C331" s="146">
        <v>2</v>
      </c>
      <c r="D331" s="146">
        <v>96</v>
      </c>
      <c r="E331" s="154">
        <f>IF(((C331="")*AND(D331="")),"",D331-C331)</f>
        <v>94</v>
      </c>
      <c r="F331" s="154"/>
      <c r="G331" s="154"/>
      <c r="H331" s="154"/>
      <c r="I331" s="154"/>
      <c r="J331" s="154"/>
      <c r="K331" s="154"/>
      <c r="L331" s="154">
        <v>40</v>
      </c>
      <c r="M331" s="154">
        <v>40</v>
      </c>
      <c r="N331" s="155" t="str">
        <f>IF(E331="","",IF(E331&lt;=40,"Pass","Fail"))</f>
        <v>Fail</v>
      </c>
      <c r="O331" s="147">
        <v>102</v>
      </c>
      <c r="P331" s="239" t="s">
        <v>440</v>
      </c>
      <c r="Q331" s="123"/>
    </row>
    <row r="332" spans="1:17">
      <c r="A332" s="123">
        <v>43833</v>
      </c>
      <c r="B332" s="123"/>
      <c r="C332" s="146">
        <v>2</v>
      </c>
      <c r="D332" s="146">
        <v>105</v>
      </c>
      <c r="E332" s="154">
        <f>IF(((C332="")*AND(D332="")),"",D332-C332)</f>
        <v>103</v>
      </c>
      <c r="F332" s="154"/>
      <c r="G332" s="154"/>
      <c r="H332" s="154"/>
      <c r="I332" s="154"/>
      <c r="J332" s="154"/>
      <c r="K332" s="154"/>
      <c r="L332" s="154">
        <v>40</v>
      </c>
      <c r="M332" s="154">
        <v>40</v>
      </c>
      <c r="N332" s="155" t="str">
        <f>IF(E332="","",IF(E332&lt;=40,"Pass","Fail"))</f>
        <v>Fail</v>
      </c>
      <c r="O332" s="147">
        <v>1159</v>
      </c>
      <c r="P332" s="241" t="s">
        <v>441</v>
      </c>
      <c r="Q332" s="123" t="s">
        <v>445</v>
      </c>
    </row>
    <row r="333" spans="1:17">
      <c r="A333" s="123">
        <v>43833</v>
      </c>
      <c r="B333" s="123"/>
      <c r="C333" s="146">
        <v>7</v>
      </c>
      <c r="D333" s="146">
        <v>44</v>
      </c>
      <c r="E333" s="154">
        <f t="shared" si="15"/>
        <v>37</v>
      </c>
      <c r="F333" s="154"/>
      <c r="G333" s="154"/>
      <c r="H333" s="154"/>
      <c r="I333" s="154"/>
      <c r="J333" s="154"/>
      <c r="K333" s="154"/>
      <c r="L333" s="154">
        <v>40</v>
      </c>
      <c r="M333" s="154">
        <v>40</v>
      </c>
      <c r="N333" s="155" t="str">
        <f t="shared" si="16"/>
        <v>Pass</v>
      </c>
      <c r="O333" s="147">
        <v>1428</v>
      </c>
      <c r="P333" s="242" t="s">
        <v>442</v>
      </c>
      <c r="Q333" s="123" t="s">
        <v>446</v>
      </c>
    </row>
    <row r="334" spans="1:17">
      <c r="A334" s="123">
        <v>43833</v>
      </c>
      <c r="B334" s="123"/>
      <c r="C334" s="146">
        <v>5</v>
      </c>
      <c r="D334" s="146">
        <v>11</v>
      </c>
      <c r="E334" s="154">
        <f t="shared" si="15"/>
        <v>6</v>
      </c>
      <c r="F334" s="154"/>
      <c r="G334" s="154"/>
      <c r="H334" s="154"/>
      <c r="I334" s="154"/>
      <c r="J334" s="154"/>
      <c r="K334" s="154"/>
      <c r="L334" s="154">
        <v>40</v>
      </c>
      <c r="M334" s="154">
        <v>40</v>
      </c>
      <c r="N334" s="155" t="str">
        <f t="shared" si="16"/>
        <v>Pass</v>
      </c>
      <c r="O334" s="147">
        <v>102</v>
      </c>
      <c r="P334" s="243" t="s">
        <v>444</v>
      </c>
      <c r="Q334" s="123" t="s">
        <v>443</v>
      </c>
    </row>
    <row r="335" spans="1:17">
      <c r="A335" s="123">
        <v>43838</v>
      </c>
      <c r="B335" s="123"/>
      <c r="C335" s="146">
        <v>4</v>
      </c>
      <c r="D335" s="146">
        <v>22</v>
      </c>
      <c r="E335" s="154">
        <f t="shared" si="15"/>
        <v>18</v>
      </c>
      <c r="F335" s="154"/>
      <c r="G335" s="154"/>
      <c r="H335" s="154"/>
      <c r="I335" s="154"/>
      <c r="J335" s="154"/>
      <c r="K335" s="154"/>
      <c r="L335" s="154">
        <v>40</v>
      </c>
      <c r="M335" s="154">
        <v>40</v>
      </c>
      <c r="N335" s="155" t="str">
        <f t="shared" si="16"/>
        <v>Pass</v>
      </c>
      <c r="O335" s="147">
        <v>1340</v>
      </c>
      <c r="P335" s="243" t="s">
        <v>448</v>
      </c>
      <c r="Q335" s="123"/>
    </row>
    <row r="336" spans="1:17">
      <c r="A336" s="123">
        <v>43843</v>
      </c>
      <c r="B336" s="123"/>
      <c r="C336" s="146">
        <v>2</v>
      </c>
      <c r="D336" s="146">
        <v>111</v>
      </c>
      <c r="E336" s="154">
        <f>IF(((C336="")*AND(D336="")),"",D336-C336)</f>
        <v>109</v>
      </c>
      <c r="F336" s="154">
        <v>0</v>
      </c>
      <c r="G336" s="154">
        <v>27</v>
      </c>
      <c r="H336" s="154">
        <f>G336-F336</f>
        <v>27</v>
      </c>
      <c r="I336" s="154">
        <v>0</v>
      </c>
      <c r="J336" s="154">
        <v>17</v>
      </c>
      <c r="K336" s="154">
        <f>J336-I336</f>
        <v>17</v>
      </c>
      <c r="L336" s="154">
        <v>40</v>
      </c>
      <c r="M336" s="154">
        <v>40</v>
      </c>
      <c r="N336" s="155" t="str">
        <f>IF(E336="","",IF(E336&lt;=40,"Pass","Fail"))</f>
        <v>Fail</v>
      </c>
      <c r="O336" s="147">
        <v>1159</v>
      </c>
      <c r="P336" s="244" t="s">
        <v>450</v>
      </c>
      <c r="Q336" s="123"/>
    </row>
    <row r="337" spans="1:17">
      <c r="A337" s="123">
        <v>43843</v>
      </c>
      <c r="B337" s="123"/>
      <c r="C337" s="146">
        <v>1</v>
      </c>
      <c r="D337" s="146">
        <v>35</v>
      </c>
      <c r="E337" s="154">
        <f>IF(((C337="")*AND(D337="")),"",D337-C337)</f>
        <v>34</v>
      </c>
      <c r="F337" s="154">
        <v>1</v>
      </c>
      <c r="G337" s="154">
        <v>15</v>
      </c>
      <c r="H337" s="154">
        <f>G337-F337</f>
        <v>14</v>
      </c>
      <c r="I337" s="154">
        <v>0</v>
      </c>
      <c r="J337" s="154">
        <v>7</v>
      </c>
      <c r="K337" s="154">
        <f>J337-I337</f>
        <v>7</v>
      </c>
      <c r="L337" s="154">
        <v>40</v>
      </c>
      <c r="M337" s="154">
        <v>40</v>
      </c>
      <c r="N337" s="155" t="str">
        <f>IF(E337="","",IF(E337&lt;=40,"Pass","Fail"))</f>
        <v>Pass</v>
      </c>
      <c r="O337" s="147">
        <v>1159</v>
      </c>
      <c r="P337" s="245" t="s">
        <v>451</v>
      </c>
      <c r="Q337" s="123"/>
    </row>
    <row r="338" spans="1:17">
      <c r="A338" s="123">
        <v>43847</v>
      </c>
      <c r="B338" s="123"/>
      <c r="C338" s="146">
        <v>4</v>
      </c>
      <c r="D338" s="146">
        <v>43</v>
      </c>
      <c r="E338" s="154">
        <f t="shared" ref="E338:E396" si="17">IF(((C338="")*AND(D338="")),"",D338-C338)</f>
        <v>39</v>
      </c>
      <c r="F338" s="154"/>
      <c r="G338" s="154"/>
      <c r="H338" s="154"/>
      <c r="I338" s="154"/>
      <c r="J338" s="154"/>
      <c r="K338" s="154"/>
      <c r="L338" s="154">
        <v>40</v>
      </c>
      <c r="M338" s="154">
        <v>40</v>
      </c>
      <c r="N338" s="155" t="str">
        <f t="shared" ref="N338:N396" si="18">IF(E338="","",IF(E338&lt;=40,"Pass","Fail"))</f>
        <v>Pass</v>
      </c>
      <c r="O338" s="147">
        <v>1335</v>
      </c>
      <c r="P338" s="187"/>
      <c r="Q338" s="123"/>
    </row>
    <row r="339" spans="1:17">
      <c r="A339" s="123">
        <v>43859</v>
      </c>
      <c r="B339" s="123"/>
      <c r="C339" s="146">
        <v>5</v>
      </c>
      <c r="D339" s="146">
        <v>41</v>
      </c>
      <c r="E339" s="154">
        <f>IF(((C339="")*AND(D339="")),"",D339-C339)</f>
        <v>36</v>
      </c>
      <c r="F339" s="154">
        <v>3</v>
      </c>
      <c r="G339" s="154">
        <v>15</v>
      </c>
      <c r="H339" s="154">
        <f>G339-F339</f>
        <v>12</v>
      </c>
      <c r="I339" s="154">
        <v>0</v>
      </c>
      <c r="J339" s="154">
        <v>8</v>
      </c>
      <c r="K339" s="154">
        <f>J339-I339</f>
        <v>8</v>
      </c>
      <c r="L339" s="154">
        <v>40</v>
      </c>
      <c r="M339" s="154">
        <v>40</v>
      </c>
      <c r="N339" s="155" t="str">
        <f>IF(E339="","",IF(E339&lt;=40,"Pass","Fail"))</f>
        <v>Pass</v>
      </c>
      <c r="O339" s="147">
        <v>1159</v>
      </c>
      <c r="P339" s="246" t="s">
        <v>455</v>
      </c>
      <c r="Q339" s="123"/>
    </row>
    <row r="340" spans="1:17">
      <c r="A340" s="123">
        <v>43864</v>
      </c>
      <c r="B340" s="123"/>
      <c r="C340" s="146">
        <v>2</v>
      </c>
      <c r="D340" s="146">
        <v>68</v>
      </c>
      <c r="E340" s="154">
        <f t="shared" si="17"/>
        <v>66</v>
      </c>
      <c r="F340" s="154">
        <v>1</v>
      </c>
      <c r="G340" s="154">
        <v>23</v>
      </c>
      <c r="H340" s="154">
        <f>G340-F340</f>
        <v>22</v>
      </c>
      <c r="I340" s="154">
        <v>0</v>
      </c>
      <c r="J340" s="154">
        <v>8</v>
      </c>
      <c r="K340" s="154">
        <f>J340-I340</f>
        <v>8</v>
      </c>
      <c r="L340" s="154">
        <v>40</v>
      </c>
      <c r="M340" s="154">
        <v>40</v>
      </c>
      <c r="N340" s="155" t="str">
        <f t="shared" si="18"/>
        <v>Fail</v>
      </c>
      <c r="O340" s="147">
        <v>1428</v>
      </c>
      <c r="P340" s="247" t="s">
        <v>457</v>
      </c>
      <c r="Q340" s="123"/>
    </row>
    <row r="341" spans="1:17">
      <c r="A341" s="123">
        <v>43864</v>
      </c>
      <c r="B341" s="123"/>
      <c r="C341" s="146">
        <v>2</v>
      </c>
      <c r="D341" s="146">
        <v>17</v>
      </c>
      <c r="E341" s="154">
        <f t="shared" si="17"/>
        <v>15</v>
      </c>
      <c r="F341" s="154"/>
      <c r="G341" s="154"/>
      <c r="H341" s="154"/>
      <c r="I341" s="154"/>
      <c r="J341" s="154"/>
      <c r="K341" s="154"/>
      <c r="L341" s="154">
        <v>40</v>
      </c>
      <c r="M341" s="154">
        <v>40</v>
      </c>
      <c r="N341" s="155" t="str">
        <f t="shared" si="18"/>
        <v>Pass</v>
      </c>
      <c r="O341" s="147">
        <v>64</v>
      </c>
      <c r="P341" s="187"/>
      <c r="Q341" s="123"/>
    </row>
    <row r="342" spans="1:17">
      <c r="A342" s="123">
        <v>43868</v>
      </c>
      <c r="B342" s="123"/>
      <c r="C342" s="146">
        <v>5</v>
      </c>
      <c r="D342" s="146">
        <v>81</v>
      </c>
      <c r="E342" s="154">
        <f t="shared" si="17"/>
        <v>76</v>
      </c>
      <c r="F342" s="154">
        <v>1</v>
      </c>
      <c r="G342" s="154">
        <v>16</v>
      </c>
      <c r="H342" s="154">
        <f t="shared" ref="H342:H349" si="19">G342-F342</f>
        <v>15</v>
      </c>
      <c r="I342" s="154"/>
      <c r="J342" s="154"/>
      <c r="K342" s="154"/>
      <c r="L342" s="154">
        <v>40</v>
      </c>
      <c r="M342" s="154">
        <v>40</v>
      </c>
      <c r="N342" s="155" t="str">
        <f t="shared" si="18"/>
        <v>Fail</v>
      </c>
      <c r="O342" s="147">
        <v>121</v>
      </c>
      <c r="P342" s="248" t="s">
        <v>464</v>
      </c>
      <c r="Q342" t="s">
        <v>465</v>
      </c>
    </row>
    <row r="343" spans="1:17">
      <c r="A343" s="123">
        <v>43868</v>
      </c>
      <c r="B343" s="123"/>
      <c r="C343" s="146">
        <v>1</v>
      </c>
      <c r="D343" s="146">
        <v>27</v>
      </c>
      <c r="E343" s="154">
        <f>IF(((C343="")*AND(D343="")),"",D343-C343)</f>
        <v>26</v>
      </c>
      <c r="F343" s="154">
        <v>0</v>
      </c>
      <c r="G343" s="154">
        <v>7</v>
      </c>
      <c r="H343" s="154">
        <f t="shared" si="19"/>
        <v>7</v>
      </c>
      <c r="I343" s="154">
        <v>0</v>
      </c>
      <c r="J343" s="154">
        <v>3</v>
      </c>
      <c r="K343" s="154">
        <f t="shared" ref="K343:K349" si="20">J343-I343</f>
        <v>3</v>
      </c>
      <c r="L343" s="154">
        <v>40</v>
      </c>
      <c r="M343" s="154">
        <v>40</v>
      </c>
      <c r="N343" s="155" t="str">
        <f>IF(E343="","",IF(E343&lt;=40,"Pass","Fail"))</f>
        <v>Pass</v>
      </c>
      <c r="O343" s="147">
        <v>1159</v>
      </c>
      <c r="P343" s="248" t="s">
        <v>466</v>
      </c>
      <c r="Q343" t="s">
        <v>469</v>
      </c>
    </row>
    <row r="344" spans="1:17">
      <c r="A344" s="123">
        <v>43868</v>
      </c>
      <c r="B344" s="123"/>
      <c r="C344" s="146">
        <v>3</v>
      </c>
      <c r="D344" s="146">
        <v>28</v>
      </c>
      <c r="E344" s="154">
        <f>IF(((C344="")*AND(D344="")),"",D344-C344)</f>
        <v>25</v>
      </c>
      <c r="F344" s="154">
        <v>2</v>
      </c>
      <c r="G344" s="154">
        <v>7</v>
      </c>
      <c r="H344" s="154">
        <f t="shared" si="19"/>
        <v>5</v>
      </c>
      <c r="I344" s="154">
        <v>1</v>
      </c>
      <c r="J344" s="154">
        <v>5</v>
      </c>
      <c r="K344" s="154">
        <f t="shared" si="20"/>
        <v>4</v>
      </c>
      <c r="L344" s="154">
        <v>40</v>
      </c>
      <c r="M344" s="154">
        <v>40</v>
      </c>
      <c r="N344" s="155" t="str">
        <f>IF(E344="","",IF(E344&lt;=40,"Pass","Fail"))</f>
        <v>Pass</v>
      </c>
      <c r="O344" s="147">
        <v>1159</v>
      </c>
      <c r="P344" s="248" t="s">
        <v>467</v>
      </c>
      <c r="Q344" t="s">
        <v>468</v>
      </c>
    </row>
    <row r="345" spans="1:17">
      <c r="A345" s="123">
        <v>43873</v>
      </c>
      <c r="B345" s="123"/>
      <c r="C345" s="146">
        <v>7</v>
      </c>
      <c r="D345" s="146">
        <v>93</v>
      </c>
      <c r="E345" s="154">
        <f>IF(((C345="")*AND(D345="")),"",D345-C345)</f>
        <v>86</v>
      </c>
      <c r="F345" s="154">
        <v>1</v>
      </c>
      <c r="G345" s="154">
        <v>22</v>
      </c>
      <c r="H345" s="154">
        <f t="shared" si="19"/>
        <v>21</v>
      </c>
      <c r="I345" s="154">
        <v>1</v>
      </c>
      <c r="J345" s="154">
        <v>10</v>
      </c>
      <c r="K345" s="154">
        <f t="shared" si="20"/>
        <v>9</v>
      </c>
      <c r="L345" s="154">
        <v>40</v>
      </c>
      <c r="M345" s="154">
        <v>40</v>
      </c>
      <c r="N345" s="155" t="str">
        <f>IF(E345="","",IF(E345&lt;=40,"Pass","Fail"))</f>
        <v>Fail</v>
      </c>
      <c r="O345" s="147">
        <v>1159</v>
      </c>
      <c r="P345" s="423" t="s">
        <v>470</v>
      </c>
      <c r="Q345" t="s">
        <v>471</v>
      </c>
    </row>
    <row r="346" spans="1:17">
      <c r="A346" s="123">
        <v>43874</v>
      </c>
      <c r="B346" s="123"/>
      <c r="C346" s="146">
        <v>0</v>
      </c>
      <c r="D346" s="146">
        <v>24</v>
      </c>
      <c r="E346" s="154">
        <f t="shared" si="17"/>
        <v>24</v>
      </c>
      <c r="F346" s="154">
        <v>0</v>
      </c>
      <c r="G346" s="154">
        <v>6</v>
      </c>
      <c r="H346" s="154">
        <f t="shared" si="19"/>
        <v>6</v>
      </c>
      <c r="I346" s="154">
        <v>0</v>
      </c>
      <c r="J346" s="154">
        <v>2</v>
      </c>
      <c r="K346" s="154">
        <f t="shared" si="20"/>
        <v>2</v>
      </c>
      <c r="L346" s="154">
        <v>40</v>
      </c>
      <c r="M346" s="154">
        <v>40</v>
      </c>
      <c r="N346" s="155" t="str">
        <f t="shared" si="18"/>
        <v>Pass</v>
      </c>
      <c r="O346" s="147">
        <v>121</v>
      </c>
      <c r="Q346" s="424" t="s">
        <v>472</v>
      </c>
    </row>
    <row r="347" spans="1:17">
      <c r="A347" s="123">
        <v>43874</v>
      </c>
      <c r="B347" s="123"/>
      <c r="C347" s="146">
        <v>0</v>
      </c>
      <c r="D347" s="146">
        <v>48</v>
      </c>
      <c r="E347" s="154">
        <f t="shared" si="17"/>
        <v>48</v>
      </c>
      <c r="F347" s="154">
        <v>0</v>
      </c>
      <c r="G347" s="154">
        <v>4</v>
      </c>
      <c r="H347" s="154">
        <f t="shared" si="19"/>
        <v>4</v>
      </c>
      <c r="I347" s="154">
        <v>0</v>
      </c>
      <c r="J347" s="154">
        <v>3</v>
      </c>
      <c r="K347" s="154">
        <f t="shared" si="20"/>
        <v>3</v>
      </c>
      <c r="L347" s="154">
        <v>40</v>
      </c>
      <c r="M347" s="154">
        <v>40</v>
      </c>
      <c r="N347" s="155" t="str">
        <f t="shared" si="18"/>
        <v>Fail</v>
      </c>
      <c r="O347" s="147">
        <v>121</v>
      </c>
      <c r="P347" s="187"/>
      <c r="Q347" s="123"/>
    </row>
    <row r="348" spans="1:17">
      <c r="A348" s="123">
        <v>43874</v>
      </c>
      <c r="B348" s="123"/>
      <c r="C348" s="146">
        <v>0</v>
      </c>
      <c r="D348" s="146">
        <v>45</v>
      </c>
      <c r="E348" s="154">
        <f t="shared" si="17"/>
        <v>45</v>
      </c>
      <c r="F348" s="154">
        <v>0</v>
      </c>
      <c r="G348" s="154">
        <v>15</v>
      </c>
      <c r="H348" s="154">
        <f t="shared" si="19"/>
        <v>15</v>
      </c>
      <c r="I348" s="154">
        <v>0</v>
      </c>
      <c r="J348" s="154">
        <v>11</v>
      </c>
      <c r="K348" s="154">
        <f t="shared" si="20"/>
        <v>11</v>
      </c>
      <c r="L348" s="154">
        <v>40</v>
      </c>
      <c r="M348" s="154">
        <v>40</v>
      </c>
      <c r="N348" s="155" t="str">
        <f t="shared" si="18"/>
        <v>Fail</v>
      </c>
      <c r="O348" s="147">
        <v>121</v>
      </c>
      <c r="P348" s="187"/>
      <c r="Q348" s="123"/>
    </row>
    <row r="349" spans="1:17">
      <c r="A349" s="123">
        <v>43874</v>
      </c>
      <c r="B349" s="123"/>
      <c r="C349" s="146">
        <v>1</v>
      </c>
      <c r="D349" s="146">
        <v>74</v>
      </c>
      <c r="E349" s="154">
        <f t="shared" si="17"/>
        <v>73</v>
      </c>
      <c r="F349" s="154">
        <v>0</v>
      </c>
      <c r="G349" s="154">
        <v>18</v>
      </c>
      <c r="H349" s="154">
        <f t="shared" si="19"/>
        <v>18</v>
      </c>
      <c r="I349" s="154">
        <v>0</v>
      </c>
      <c r="J349" s="154">
        <v>14</v>
      </c>
      <c r="K349" s="154">
        <f t="shared" si="20"/>
        <v>14</v>
      </c>
      <c r="L349" s="154">
        <v>40</v>
      </c>
      <c r="M349" s="154">
        <v>40</v>
      </c>
      <c r="N349" s="155" t="str">
        <f t="shared" si="18"/>
        <v>Fail</v>
      </c>
      <c r="O349" s="147">
        <v>121</v>
      </c>
      <c r="P349" s="187"/>
      <c r="Q349" s="123"/>
    </row>
    <row r="350" spans="1:17">
      <c r="A350" s="123">
        <v>43874</v>
      </c>
      <c r="B350" s="123"/>
      <c r="C350" s="146">
        <v>1</v>
      </c>
      <c r="D350" s="146">
        <v>34</v>
      </c>
      <c r="E350" s="154">
        <f t="shared" si="17"/>
        <v>33</v>
      </c>
      <c r="F350" s="154"/>
      <c r="G350" s="154"/>
      <c r="H350" s="154"/>
      <c r="I350" s="154"/>
      <c r="J350" s="154"/>
      <c r="K350" s="154"/>
      <c r="L350" s="154">
        <v>40</v>
      </c>
      <c r="M350" s="154">
        <v>40</v>
      </c>
      <c r="N350" s="155" t="str">
        <f t="shared" si="18"/>
        <v>Pass</v>
      </c>
      <c r="O350" s="147">
        <v>1428</v>
      </c>
      <c r="P350" s="187"/>
      <c r="Q350" s="123"/>
    </row>
    <row r="351" spans="1:17">
      <c r="A351" s="123">
        <v>43874</v>
      </c>
      <c r="B351" s="123"/>
      <c r="C351" s="146">
        <v>0</v>
      </c>
      <c r="D351" s="146">
        <v>51</v>
      </c>
      <c r="E351" s="154">
        <f t="shared" si="17"/>
        <v>51</v>
      </c>
      <c r="F351" s="154"/>
      <c r="G351" s="154"/>
      <c r="H351" s="154"/>
      <c r="I351" s="154"/>
      <c r="J351" s="154"/>
      <c r="K351" s="154"/>
      <c r="L351" s="154">
        <v>40</v>
      </c>
      <c r="M351" s="154">
        <v>40</v>
      </c>
      <c r="N351" s="155" t="str">
        <f t="shared" si="18"/>
        <v>Fail</v>
      </c>
      <c r="O351" s="147">
        <v>1428</v>
      </c>
      <c r="P351" s="187"/>
      <c r="Q351" s="123"/>
    </row>
    <row r="352" spans="1:17">
      <c r="A352" s="123">
        <v>43875</v>
      </c>
      <c r="B352" s="123"/>
      <c r="C352" s="146">
        <v>0</v>
      </c>
      <c r="D352" s="146">
        <v>28</v>
      </c>
      <c r="E352" s="154">
        <f t="shared" si="17"/>
        <v>28</v>
      </c>
      <c r="F352" s="154">
        <v>0</v>
      </c>
      <c r="G352" s="154">
        <v>7</v>
      </c>
      <c r="H352" s="154">
        <f>G352-F352</f>
        <v>7</v>
      </c>
      <c r="I352" s="154">
        <v>0</v>
      </c>
      <c r="J352" s="154">
        <v>4</v>
      </c>
      <c r="K352" s="154">
        <f>J352-I352</f>
        <v>4</v>
      </c>
      <c r="L352" s="154">
        <v>40</v>
      </c>
      <c r="M352" s="154">
        <v>40</v>
      </c>
      <c r="N352" s="155" t="str">
        <f t="shared" si="18"/>
        <v>Pass</v>
      </c>
      <c r="O352" s="147">
        <v>121</v>
      </c>
      <c r="P352" s="187"/>
      <c r="Q352" s="123"/>
    </row>
    <row r="353" spans="1:17">
      <c r="A353" s="123">
        <v>43875</v>
      </c>
      <c r="B353" s="123"/>
      <c r="C353" s="146">
        <v>0</v>
      </c>
      <c r="D353" s="146">
        <v>64</v>
      </c>
      <c r="E353" s="154">
        <f t="shared" si="17"/>
        <v>64</v>
      </c>
      <c r="F353" s="154">
        <v>0</v>
      </c>
      <c r="G353" s="154">
        <v>32</v>
      </c>
      <c r="H353" s="154">
        <f>G353-F353</f>
        <v>32</v>
      </c>
      <c r="I353" s="154">
        <v>0</v>
      </c>
      <c r="J353" s="154">
        <v>23</v>
      </c>
      <c r="K353" s="154">
        <f>J353-I353</f>
        <v>23</v>
      </c>
      <c r="L353" s="154">
        <v>40</v>
      </c>
      <c r="M353" s="154">
        <v>40</v>
      </c>
      <c r="N353" s="155" t="str">
        <f t="shared" si="18"/>
        <v>Fail</v>
      </c>
      <c r="O353" s="147">
        <v>121</v>
      </c>
      <c r="P353" s="187"/>
      <c r="Q353" s="123"/>
    </row>
    <row r="354" spans="1:17">
      <c r="A354" s="123">
        <v>43881</v>
      </c>
      <c r="B354" s="123"/>
      <c r="C354" s="146">
        <v>4</v>
      </c>
      <c r="D354" s="146">
        <v>44</v>
      </c>
      <c r="E354" s="154">
        <f t="shared" si="17"/>
        <v>40</v>
      </c>
      <c r="F354" s="154">
        <v>0</v>
      </c>
      <c r="G354" s="154">
        <v>12</v>
      </c>
      <c r="H354" s="154">
        <f t="shared" ref="H354:H356" si="21">G354-F354</f>
        <v>12</v>
      </c>
      <c r="I354" s="154">
        <v>0</v>
      </c>
      <c r="J354" s="154">
        <v>5</v>
      </c>
      <c r="K354" s="154">
        <f t="shared" ref="K354:K356" si="22">J354-I354</f>
        <v>5</v>
      </c>
      <c r="L354" s="154">
        <v>40</v>
      </c>
      <c r="M354" s="154">
        <v>40</v>
      </c>
      <c r="N354" s="155" t="str">
        <f t="shared" si="18"/>
        <v>Pass</v>
      </c>
      <c r="O354" s="147">
        <v>1428</v>
      </c>
      <c r="P354" s="187"/>
      <c r="Q354" s="123"/>
    </row>
    <row r="355" spans="1:17">
      <c r="A355" s="123">
        <v>43881</v>
      </c>
      <c r="B355" s="123"/>
      <c r="C355" s="146">
        <v>2</v>
      </c>
      <c r="D355" s="146">
        <v>38</v>
      </c>
      <c r="E355" s="154">
        <f t="shared" si="17"/>
        <v>36</v>
      </c>
      <c r="F355" s="154">
        <v>0</v>
      </c>
      <c r="G355" s="154">
        <v>12</v>
      </c>
      <c r="H355" s="154">
        <f t="shared" si="21"/>
        <v>12</v>
      </c>
      <c r="I355" s="154">
        <v>0</v>
      </c>
      <c r="J355" s="154">
        <v>7</v>
      </c>
      <c r="K355" s="154">
        <f t="shared" si="22"/>
        <v>7</v>
      </c>
      <c r="L355" s="154">
        <v>40</v>
      </c>
      <c r="M355" s="154">
        <v>40</v>
      </c>
      <c r="N355" s="155" t="str">
        <f t="shared" si="18"/>
        <v>Pass</v>
      </c>
      <c r="O355" s="147">
        <v>1428</v>
      </c>
      <c r="P355" s="187"/>
      <c r="Q355" s="123"/>
    </row>
    <row r="356" spans="1:17">
      <c r="A356" s="123">
        <v>43888</v>
      </c>
      <c r="B356" s="123"/>
      <c r="C356" s="146">
        <v>2</v>
      </c>
      <c r="D356" s="146">
        <v>366</v>
      </c>
      <c r="E356" s="154">
        <f t="shared" si="17"/>
        <v>364</v>
      </c>
      <c r="F356" s="154">
        <v>1</v>
      </c>
      <c r="G356" s="154">
        <v>92</v>
      </c>
      <c r="H356" s="154">
        <f t="shared" si="21"/>
        <v>91</v>
      </c>
      <c r="I356" s="154">
        <v>1</v>
      </c>
      <c r="J356" s="154">
        <v>48</v>
      </c>
      <c r="K356" s="154">
        <f t="shared" si="22"/>
        <v>47</v>
      </c>
      <c r="L356" s="154">
        <v>40</v>
      </c>
      <c r="M356" s="154">
        <v>40</v>
      </c>
      <c r="N356" s="155" t="str">
        <f t="shared" si="18"/>
        <v>Fail</v>
      </c>
      <c r="O356" s="147">
        <v>121</v>
      </c>
      <c r="P356" s="187"/>
      <c r="Q356" s="123"/>
    </row>
    <row r="357" spans="1:17">
      <c r="A357" s="123">
        <v>43892</v>
      </c>
      <c r="B357" s="123"/>
      <c r="C357" s="146">
        <v>1</v>
      </c>
      <c r="D357" s="146">
        <v>86</v>
      </c>
      <c r="E357" s="154">
        <f t="shared" si="17"/>
        <v>85</v>
      </c>
      <c r="F357" s="154"/>
      <c r="G357" s="154"/>
      <c r="H357" s="154"/>
      <c r="I357" s="154"/>
      <c r="J357" s="154"/>
      <c r="K357" s="154"/>
      <c r="L357" s="154">
        <v>40</v>
      </c>
      <c r="M357" s="154">
        <v>40</v>
      </c>
      <c r="N357" s="155" t="str">
        <f t="shared" si="18"/>
        <v>Fail</v>
      </c>
      <c r="O357" s="147" t="s">
        <v>474</v>
      </c>
      <c r="P357" s="426"/>
      <c r="Q357" s="123" t="s">
        <v>475</v>
      </c>
    </row>
    <row r="358" spans="1:17">
      <c r="A358" s="123">
        <v>43892</v>
      </c>
      <c r="B358" s="123"/>
      <c r="C358" s="146">
        <v>0</v>
      </c>
      <c r="D358" s="146">
        <v>43</v>
      </c>
      <c r="E358" s="154">
        <f t="shared" si="17"/>
        <v>43</v>
      </c>
      <c r="F358" s="154"/>
      <c r="G358" s="154"/>
      <c r="H358" s="154"/>
      <c r="I358" s="154"/>
      <c r="J358" s="154"/>
      <c r="K358" s="154"/>
      <c r="L358" s="154">
        <v>40</v>
      </c>
      <c r="M358" s="154">
        <v>40</v>
      </c>
      <c r="N358" s="155" t="str">
        <f t="shared" si="18"/>
        <v>Fail</v>
      </c>
      <c r="O358" s="147" t="s">
        <v>474</v>
      </c>
      <c r="P358" s="187"/>
      <c r="Q358" s="123" t="s">
        <v>476</v>
      </c>
    </row>
    <row r="359" spans="1:17">
      <c r="A359" s="123">
        <v>43892</v>
      </c>
      <c r="B359" s="123"/>
      <c r="C359" s="146">
        <v>3</v>
      </c>
      <c r="D359" s="146">
        <v>69</v>
      </c>
      <c r="E359" s="154">
        <f t="shared" si="17"/>
        <v>66</v>
      </c>
      <c r="F359" s="154"/>
      <c r="G359" s="154"/>
      <c r="H359" s="154"/>
      <c r="I359" s="154"/>
      <c r="J359" s="154"/>
      <c r="K359" s="154"/>
      <c r="L359" s="154">
        <v>40</v>
      </c>
      <c r="M359" s="154">
        <v>40</v>
      </c>
      <c r="N359" s="155" t="str">
        <f t="shared" si="18"/>
        <v>Fail</v>
      </c>
      <c r="O359" s="147" t="s">
        <v>474</v>
      </c>
      <c r="P359" s="187"/>
      <c r="Q359" s="123" t="s">
        <v>476</v>
      </c>
    </row>
    <row r="360" spans="1:17">
      <c r="A360" s="123">
        <v>43892</v>
      </c>
      <c r="B360" s="123"/>
      <c r="C360" s="146">
        <v>1</v>
      </c>
      <c r="D360" s="146">
        <v>43</v>
      </c>
      <c r="E360" s="154">
        <f>IF(((C360="")*AND(D360="")),"",D360-C360)</f>
        <v>42</v>
      </c>
      <c r="F360" s="154">
        <v>0</v>
      </c>
      <c r="G360" s="154">
        <v>7</v>
      </c>
      <c r="H360" s="154">
        <f t="shared" ref="H360:H362" si="23">G360-F360</f>
        <v>7</v>
      </c>
      <c r="I360" s="154"/>
      <c r="J360" s="154"/>
      <c r="K360" s="154"/>
      <c r="L360" s="154">
        <v>40</v>
      </c>
      <c r="M360" s="154">
        <v>40</v>
      </c>
      <c r="N360" s="155" t="str">
        <f>IF(E360="","",IF(E360&lt;=40,"Pass","Fail"))</f>
        <v>Fail</v>
      </c>
      <c r="O360" s="147" t="s">
        <v>474</v>
      </c>
      <c r="P360" s="426"/>
      <c r="Q360" s="123" t="s">
        <v>608</v>
      </c>
    </row>
    <row r="361" spans="1:17">
      <c r="A361" s="123">
        <v>43892</v>
      </c>
      <c r="B361" s="123"/>
      <c r="C361" s="146">
        <v>2</v>
      </c>
      <c r="D361" s="146">
        <v>43</v>
      </c>
      <c r="E361" s="154">
        <f t="shared" si="17"/>
        <v>41</v>
      </c>
      <c r="F361" s="154"/>
      <c r="G361" s="154"/>
      <c r="H361" s="154"/>
      <c r="I361" s="154"/>
      <c r="J361" s="154"/>
      <c r="K361" s="154"/>
      <c r="L361" s="154">
        <v>40</v>
      </c>
      <c r="M361" s="154">
        <v>40</v>
      </c>
      <c r="N361" s="155" t="str">
        <f t="shared" si="18"/>
        <v>Fail</v>
      </c>
      <c r="O361" s="147">
        <v>1428</v>
      </c>
      <c r="P361" s="187"/>
      <c r="Q361" s="123" t="s">
        <v>609</v>
      </c>
    </row>
    <row r="362" spans="1:17">
      <c r="A362" s="123">
        <v>43892</v>
      </c>
      <c r="B362" s="123"/>
      <c r="C362" s="146">
        <v>0</v>
      </c>
      <c r="D362" s="146">
        <v>42</v>
      </c>
      <c r="E362" s="154">
        <f t="shared" si="17"/>
        <v>42</v>
      </c>
      <c r="F362" s="154">
        <v>0</v>
      </c>
      <c r="G362" s="154">
        <v>16</v>
      </c>
      <c r="H362" s="154">
        <f t="shared" si="23"/>
        <v>16</v>
      </c>
      <c r="I362" s="154"/>
      <c r="J362" s="154"/>
      <c r="K362" s="154"/>
      <c r="L362" s="154">
        <v>40</v>
      </c>
      <c r="M362" s="154">
        <v>40</v>
      </c>
      <c r="N362" s="155" t="str">
        <f t="shared" si="18"/>
        <v>Fail</v>
      </c>
      <c r="O362" s="147">
        <v>1335</v>
      </c>
      <c r="P362" s="427" t="s">
        <v>477</v>
      </c>
      <c r="Q362" s="123" t="s">
        <v>610</v>
      </c>
    </row>
    <row r="363" spans="1:17">
      <c r="A363" s="123">
        <v>43899</v>
      </c>
      <c r="B363" s="123"/>
      <c r="C363" s="146">
        <v>13</v>
      </c>
      <c r="D363" s="146">
        <v>25</v>
      </c>
      <c r="E363" s="154">
        <f t="shared" si="17"/>
        <v>12</v>
      </c>
      <c r="F363" s="154"/>
      <c r="G363" s="154"/>
      <c r="H363" s="154"/>
      <c r="I363" s="154"/>
      <c r="J363" s="154"/>
      <c r="K363" s="154"/>
      <c r="L363" s="154">
        <v>40</v>
      </c>
      <c r="M363" s="154">
        <v>40</v>
      </c>
      <c r="N363" s="155" t="str">
        <f t="shared" si="18"/>
        <v>Pass</v>
      </c>
      <c r="O363" s="147">
        <v>1335</v>
      </c>
      <c r="P363" s="428" t="s">
        <v>478</v>
      </c>
      <c r="Q363" s="123" t="s">
        <v>481</v>
      </c>
    </row>
    <row r="364" spans="1:17">
      <c r="A364" s="123">
        <v>43899</v>
      </c>
      <c r="B364" s="123"/>
      <c r="C364" s="146">
        <v>6</v>
      </c>
      <c r="D364" s="146">
        <v>7</v>
      </c>
      <c r="E364" s="154">
        <f t="shared" si="17"/>
        <v>1</v>
      </c>
      <c r="F364" s="154"/>
      <c r="G364" s="154"/>
      <c r="H364" s="154"/>
      <c r="I364" s="154"/>
      <c r="J364" s="154"/>
      <c r="K364" s="154"/>
      <c r="L364" s="154">
        <v>40</v>
      </c>
      <c r="M364" s="154">
        <v>40</v>
      </c>
      <c r="N364" s="155" t="str">
        <f t="shared" si="18"/>
        <v>Pass</v>
      </c>
      <c r="O364" s="147">
        <v>1335</v>
      </c>
      <c r="P364" s="187"/>
      <c r="Q364" s="123" t="s">
        <v>479</v>
      </c>
    </row>
    <row r="365" spans="1:17">
      <c r="A365" s="123">
        <v>43899</v>
      </c>
      <c r="B365" s="123"/>
      <c r="C365" s="146">
        <v>23</v>
      </c>
      <c r="D365" s="146">
        <v>30</v>
      </c>
      <c r="E365" s="154">
        <f t="shared" si="17"/>
        <v>7</v>
      </c>
      <c r="F365" s="154"/>
      <c r="G365" s="154"/>
      <c r="H365" s="154"/>
      <c r="I365" s="154"/>
      <c r="J365" s="154"/>
      <c r="K365" s="154"/>
      <c r="L365" s="154">
        <v>40</v>
      </c>
      <c r="M365" s="154">
        <v>40</v>
      </c>
      <c r="N365" s="155" t="str">
        <f t="shared" si="18"/>
        <v>Pass</v>
      </c>
      <c r="O365" s="147">
        <v>1335</v>
      </c>
      <c r="P365" s="187"/>
      <c r="Q365" s="123" t="s">
        <v>480</v>
      </c>
    </row>
    <row r="366" spans="1:17">
      <c r="A366" s="123">
        <v>43903</v>
      </c>
      <c r="B366" s="123"/>
      <c r="C366" s="146">
        <v>6</v>
      </c>
      <c r="D366" s="146">
        <v>12</v>
      </c>
      <c r="E366" s="154">
        <f>IF(((C366="")*AND(D366="")),"",D366-C366)</f>
        <v>6</v>
      </c>
      <c r="F366" s="154">
        <v>2</v>
      </c>
      <c r="G366" s="154">
        <v>3</v>
      </c>
      <c r="H366" s="154">
        <f t="shared" ref="H366:H370" si="24">G366-F366</f>
        <v>1</v>
      </c>
      <c r="I366" s="154">
        <v>0</v>
      </c>
      <c r="J366" s="154">
        <v>1</v>
      </c>
      <c r="K366" s="154">
        <f t="shared" ref="K366:K370" si="25">J366-I366</f>
        <v>1</v>
      </c>
      <c r="L366" s="154">
        <v>40</v>
      </c>
      <c r="M366" s="154">
        <v>40</v>
      </c>
      <c r="N366" s="155" t="str">
        <f>IF(E366="","",IF(E366&lt;=40,"Pass","Fail"))</f>
        <v>Pass</v>
      </c>
      <c r="O366" s="147">
        <v>1159</v>
      </c>
      <c r="P366" s="429" t="s">
        <v>483</v>
      </c>
      <c r="Q366" s="123"/>
    </row>
    <row r="367" spans="1:17">
      <c r="A367" s="123">
        <v>43907</v>
      </c>
      <c r="B367" s="123"/>
      <c r="C367" s="146">
        <v>14</v>
      </c>
      <c r="D367" s="146">
        <v>41</v>
      </c>
      <c r="E367" s="154">
        <f t="shared" si="17"/>
        <v>27</v>
      </c>
      <c r="F367" s="154"/>
      <c r="G367" s="154"/>
      <c r="H367" s="154"/>
      <c r="I367" s="154"/>
      <c r="J367" s="154"/>
      <c r="K367" s="154"/>
      <c r="L367" s="154">
        <v>40</v>
      </c>
      <c r="M367" s="154">
        <v>40</v>
      </c>
      <c r="N367" s="155" t="str">
        <f t="shared" si="18"/>
        <v>Pass</v>
      </c>
      <c r="O367" s="147">
        <v>1428</v>
      </c>
      <c r="P367" s="430" t="s">
        <v>486</v>
      </c>
      <c r="Q367" s="123"/>
    </row>
    <row r="368" spans="1:17">
      <c r="A368" s="123">
        <v>43466</v>
      </c>
      <c r="B368" s="123"/>
      <c r="C368" s="146">
        <v>1</v>
      </c>
      <c r="D368" s="146">
        <v>22</v>
      </c>
      <c r="E368" s="154">
        <f t="shared" si="17"/>
        <v>21</v>
      </c>
      <c r="F368" s="154">
        <v>0</v>
      </c>
      <c r="G368" s="154">
        <v>3</v>
      </c>
      <c r="H368" s="154">
        <f t="shared" si="24"/>
        <v>3</v>
      </c>
      <c r="I368" s="154">
        <v>0</v>
      </c>
      <c r="J368" s="154">
        <v>2</v>
      </c>
      <c r="K368" s="154">
        <f t="shared" si="25"/>
        <v>2</v>
      </c>
      <c r="L368" s="154">
        <v>40</v>
      </c>
      <c r="M368" s="154">
        <v>40</v>
      </c>
      <c r="N368" s="155" t="str">
        <f t="shared" si="18"/>
        <v>Pass</v>
      </c>
      <c r="O368" s="147">
        <v>121</v>
      </c>
      <c r="P368" s="431" t="s">
        <v>488</v>
      </c>
      <c r="Q368" s="123"/>
    </row>
    <row r="369" spans="1:17">
      <c r="A369" s="123">
        <v>43589</v>
      </c>
      <c r="B369" s="123"/>
      <c r="C369" s="146">
        <v>0</v>
      </c>
      <c r="D369" s="146">
        <v>40</v>
      </c>
      <c r="E369" s="154">
        <f t="shared" si="17"/>
        <v>40</v>
      </c>
      <c r="F369" s="154">
        <v>1</v>
      </c>
      <c r="G369" s="154">
        <v>2</v>
      </c>
      <c r="H369" s="154">
        <f t="shared" si="24"/>
        <v>1</v>
      </c>
      <c r="I369" s="154">
        <v>0</v>
      </c>
      <c r="J369" s="154">
        <v>2</v>
      </c>
      <c r="K369" s="154">
        <f t="shared" si="25"/>
        <v>2</v>
      </c>
      <c r="L369" s="154">
        <v>40</v>
      </c>
      <c r="M369" s="154">
        <v>40</v>
      </c>
      <c r="N369" s="155" t="str">
        <f t="shared" si="18"/>
        <v>Pass</v>
      </c>
      <c r="O369" s="147">
        <v>1335</v>
      </c>
      <c r="P369" s="432" t="s">
        <v>490</v>
      </c>
      <c r="Q369" s="123"/>
    </row>
    <row r="370" spans="1:17">
      <c r="A370" s="123">
        <v>43969</v>
      </c>
      <c r="B370" s="123"/>
      <c r="C370" s="146">
        <v>27</v>
      </c>
      <c r="D370" s="146">
        <v>66</v>
      </c>
      <c r="E370" s="154">
        <f t="shared" si="17"/>
        <v>39</v>
      </c>
      <c r="F370" s="154">
        <v>6</v>
      </c>
      <c r="G370" s="154">
        <v>9</v>
      </c>
      <c r="H370" s="154">
        <f t="shared" si="24"/>
        <v>3</v>
      </c>
      <c r="I370" s="154">
        <v>0</v>
      </c>
      <c r="J370" s="154">
        <v>1</v>
      </c>
      <c r="K370" s="154">
        <f t="shared" si="25"/>
        <v>1</v>
      </c>
      <c r="L370" s="154">
        <v>40</v>
      </c>
      <c r="M370" s="154">
        <v>40</v>
      </c>
      <c r="N370" s="155" t="str">
        <f t="shared" si="18"/>
        <v>Pass</v>
      </c>
      <c r="O370" s="147">
        <v>1428</v>
      </c>
      <c r="P370" s="433" t="s">
        <v>486</v>
      </c>
      <c r="Q370" s="123"/>
    </row>
    <row r="371" spans="1:17">
      <c r="A371" s="123">
        <v>43975</v>
      </c>
      <c r="B371" s="123"/>
      <c r="C371" s="146">
        <v>4</v>
      </c>
      <c r="D371" s="146">
        <v>27</v>
      </c>
      <c r="E371" s="154">
        <f t="shared" si="17"/>
        <v>23</v>
      </c>
      <c r="F371" s="154"/>
      <c r="G371" s="154"/>
      <c r="H371" s="154"/>
      <c r="I371" s="154"/>
      <c r="J371" s="154"/>
      <c r="K371" s="154"/>
      <c r="L371" s="154">
        <v>40</v>
      </c>
      <c r="M371" s="154">
        <v>40</v>
      </c>
      <c r="N371" s="155" t="str">
        <f t="shared" si="18"/>
        <v>Pass</v>
      </c>
      <c r="O371" s="147">
        <v>1534</v>
      </c>
      <c r="P371" s="434" t="s">
        <v>57</v>
      </c>
      <c r="Q371" s="123"/>
    </row>
    <row r="372" spans="1:17">
      <c r="A372" s="123">
        <v>43979</v>
      </c>
      <c r="B372" s="123"/>
      <c r="C372" s="146">
        <v>6</v>
      </c>
      <c r="D372" s="146">
        <v>16</v>
      </c>
      <c r="E372" s="154">
        <f t="shared" si="17"/>
        <v>10</v>
      </c>
      <c r="F372" s="154"/>
      <c r="G372" s="154"/>
      <c r="H372" s="154"/>
      <c r="I372" s="154"/>
      <c r="J372" s="154"/>
      <c r="K372" s="154"/>
      <c r="L372" s="154">
        <v>40</v>
      </c>
      <c r="M372" s="154">
        <v>40</v>
      </c>
      <c r="N372" s="155" t="str">
        <f t="shared" si="18"/>
        <v>Pass</v>
      </c>
      <c r="O372" s="147">
        <v>1428</v>
      </c>
      <c r="P372" s="187"/>
      <c r="Q372" s="123"/>
    </row>
    <row r="373" spans="1:17">
      <c r="A373" s="123">
        <v>43983</v>
      </c>
      <c r="B373" s="123"/>
      <c r="C373" s="146">
        <v>3</v>
      </c>
      <c r="D373" s="146">
        <v>34</v>
      </c>
      <c r="E373" s="154">
        <f t="shared" si="17"/>
        <v>31</v>
      </c>
      <c r="F373" s="154"/>
      <c r="G373" s="154"/>
      <c r="H373" s="154"/>
      <c r="I373" s="154"/>
      <c r="J373" s="154"/>
      <c r="K373" s="154"/>
      <c r="L373" s="154">
        <v>40</v>
      </c>
      <c r="M373" s="154">
        <v>40</v>
      </c>
      <c r="N373" s="155" t="str">
        <f t="shared" si="18"/>
        <v>Pass</v>
      </c>
      <c r="O373" s="147">
        <v>1340</v>
      </c>
      <c r="P373" s="435" t="s">
        <v>486</v>
      </c>
      <c r="Q373" s="123"/>
    </row>
    <row r="374" spans="1:17">
      <c r="A374" s="123">
        <v>43987</v>
      </c>
      <c r="B374" s="123"/>
      <c r="C374" s="146">
        <v>0</v>
      </c>
      <c r="D374" s="146">
        <v>79</v>
      </c>
      <c r="E374" s="154">
        <f>IF(((C374="")*AND(D374="")),"",D374-C374)</f>
        <v>79</v>
      </c>
      <c r="F374" s="154"/>
      <c r="G374" s="154"/>
      <c r="H374" s="154"/>
      <c r="I374" s="154"/>
      <c r="J374" s="154"/>
      <c r="K374" s="154"/>
      <c r="L374" s="154">
        <v>40</v>
      </c>
      <c r="M374" s="154">
        <v>40</v>
      </c>
      <c r="N374" s="155" t="str">
        <f>IF(E374="","",IF(E374&lt;=40,"Pass","Fail"))</f>
        <v>Fail</v>
      </c>
      <c r="O374" s="147">
        <v>1340</v>
      </c>
      <c r="P374" s="435" t="s">
        <v>496</v>
      </c>
      <c r="Q374" s="123"/>
    </row>
    <row r="375" spans="1:17">
      <c r="A375" s="123">
        <v>43987</v>
      </c>
      <c r="B375" s="123"/>
      <c r="C375" s="146">
        <v>4</v>
      </c>
      <c r="D375" s="146">
        <v>30</v>
      </c>
      <c r="E375" s="154">
        <f t="shared" si="17"/>
        <v>26</v>
      </c>
      <c r="F375" s="154"/>
      <c r="G375" s="154"/>
      <c r="H375" s="154"/>
      <c r="I375" s="154"/>
      <c r="J375" s="154"/>
      <c r="K375" s="154"/>
      <c r="L375" s="154">
        <v>40</v>
      </c>
      <c r="M375" s="154">
        <v>40</v>
      </c>
      <c r="N375" s="155" t="str">
        <f t="shared" si="18"/>
        <v>Pass</v>
      </c>
      <c r="O375" s="147">
        <v>1340</v>
      </c>
      <c r="P375" s="435" t="s">
        <v>497</v>
      </c>
      <c r="Q375" s="123"/>
    </row>
    <row r="376" spans="1:17">
      <c r="A376" s="123">
        <v>43987</v>
      </c>
      <c r="B376" s="123"/>
      <c r="C376" s="146">
        <v>1</v>
      </c>
      <c r="D376" s="146">
        <v>46</v>
      </c>
      <c r="E376" s="154">
        <f t="shared" si="17"/>
        <v>45</v>
      </c>
      <c r="F376" s="154"/>
      <c r="G376" s="154"/>
      <c r="H376" s="154"/>
      <c r="I376" s="154"/>
      <c r="J376" s="154"/>
      <c r="K376" s="154"/>
      <c r="L376" s="154">
        <v>40</v>
      </c>
      <c r="M376" s="154">
        <v>40</v>
      </c>
      <c r="N376" s="155" t="str">
        <f t="shared" si="18"/>
        <v>Fail</v>
      </c>
      <c r="O376" s="147">
        <v>1340</v>
      </c>
      <c r="P376" s="436" t="s">
        <v>501</v>
      </c>
      <c r="Q376" s="123"/>
    </row>
    <row r="377" spans="1:17">
      <c r="A377" s="123">
        <v>43987</v>
      </c>
      <c r="B377" s="123"/>
      <c r="C377" s="146">
        <v>0</v>
      </c>
      <c r="D377" s="146">
        <v>76</v>
      </c>
      <c r="E377" s="154">
        <f t="shared" si="17"/>
        <v>76</v>
      </c>
      <c r="F377" s="154"/>
      <c r="G377" s="154"/>
      <c r="H377" s="154"/>
      <c r="I377" s="154"/>
      <c r="J377" s="154"/>
      <c r="K377" s="154"/>
      <c r="L377" s="154">
        <v>40</v>
      </c>
      <c r="M377" s="154">
        <v>40</v>
      </c>
      <c r="N377" s="155" t="str">
        <f t="shared" si="18"/>
        <v>Fail</v>
      </c>
      <c r="O377" s="147">
        <v>1340</v>
      </c>
      <c r="P377" s="436" t="s">
        <v>500</v>
      </c>
      <c r="Q377" s="123"/>
    </row>
    <row r="378" spans="1:17">
      <c r="A378" s="123">
        <v>43988</v>
      </c>
      <c r="B378" s="123"/>
      <c r="C378" s="146">
        <v>1</v>
      </c>
      <c r="D378" s="146">
        <v>23</v>
      </c>
      <c r="E378" s="154">
        <f t="shared" si="17"/>
        <v>22</v>
      </c>
      <c r="F378" s="154">
        <v>1</v>
      </c>
      <c r="G378" s="154">
        <v>2</v>
      </c>
      <c r="H378" s="154">
        <f t="shared" ref="H378:H382" si="26">G378-F378</f>
        <v>1</v>
      </c>
      <c r="I378" s="154">
        <v>0</v>
      </c>
      <c r="J378" s="154">
        <v>1</v>
      </c>
      <c r="K378" s="154">
        <f t="shared" ref="K378:K379" si="27">J378-I378</f>
        <v>1</v>
      </c>
      <c r="L378" s="154">
        <v>40</v>
      </c>
      <c r="M378" s="154">
        <v>40</v>
      </c>
      <c r="N378" s="155" t="str">
        <f t="shared" si="18"/>
        <v>Pass</v>
      </c>
      <c r="O378" s="147">
        <v>121</v>
      </c>
      <c r="P378" s="436" t="s">
        <v>498</v>
      </c>
      <c r="Q378" s="123" t="s">
        <v>502</v>
      </c>
    </row>
    <row r="379" spans="1:17">
      <c r="A379" s="123">
        <v>43988</v>
      </c>
      <c r="B379" s="123"/>
      <c r="C379" s="146">
        <v>1</v>
      </c>
      <c r="D379" s="146">
        <v>29</v>
      </c>
      <c r="E379" s="154">
        <f t="shared" si="17"/>
        <v>28</v>
      </c>
      <c r="F379" s="154">
        <v>0</v>
      </c>
      <c r="G379" s="154">
        <v>4</v>
      </c>
      <c r="H379" s="154">
        <f t="shared" si="26"/>
        <v>4</v>
      </c>
      <c r="I379" s="154">
        <v>0</v>
      </c>
      <c r="J379" s="154">
        <v>5</v>
      </c>
      <c r="K379" s="154">
        <f t="shared" si="27"/>
        <v>5</v>
      </c>
      <c r="L379" s="154">
        <v>40</v>
      </c>
      <c r="M379" s="154">
        <v>40</v>
      </c>
      <c r="N379" s="155" t="str">
        <f t="shared" si="18"/>
        <v>Pass</v>
      </c>
      <c r="O379" s="147">
        <v>121</v>
      </c>
      <c r="P379" s="436" t="s">
        <v>499</v>
      </c>
      <c r="Q379" s="123"/>
    </row>
    <row r="380" spans="1:17">
      <c r="A380" s="123">
        <v>43993</v>
      </c>
      <c r="B380" s="123"/>
      <c r="C380" s="146">
        <v>0</v>
      </c>
      <c r="D380" s="146">
        <v>86</v>
      </c>
      <c r="E380" s="154">
        <f t="shared" si="17"/>
        <v>86</v>
      </c>
      <c r="F380" s="154"/>
      <c r="G380" s="154"/>
      <c r="H380" s="154"/>
      <c r="I380" s="154"/>
      <c r="J380" s="154"/>
      <c r="K380" s="154"/>
      <c r="L380" s="154">
        <v>40</v>
      </c>
      <c r="M380" s="154">
        <v>40</v>
      </c>
      <c r="N380" s="155" t="str">
        <f t="shared" si="18"/>
        <v>Fail</v>
      </c>
      <c r="O380" s="147" t="s">
        <v>504</v>
      </c>
      <c r="P380" s="437" t="s">
        <v>505</v>
      </c>
      <c r="Q380" s="123"/>
    </row>
    <row r="381" spans="1:17">
      <c r="A381" s="123">
        <v>43993</v>
      </c>
      <c r="B381" s="123"/>
      <c r="C381" s="146">
        <v>0</v>
      </c>
      <c r="D381" s="146">
        <v>61</v>
      </c>
      <c r="E381" s="154">
        <f>IF(((C381="")*AND(D381="")),"",D381-C381)</f>
        <v>61</v>
      </c>
      <c r="F381" s="154">
        <v>0</v>
      </c>
      <c r="G381" s="154">
        <v>20</v>
      </c>
      <c r="H381" s="154">
        <f t="shared" si="26"/>
        <v>20</v>
      </c>
      <c r="I381" s="154">
        <v>0</v>
      </c>
      <c r="J381" s="154">
        <v>9</v>
      </c>
      <c r="K381" s="154">
        <f t="shared" ref="K381:K382" si="28">J381-I381</f>
        <v>9</v>
      </c>
      <c r="L381" s="154">
        <v>40</v>
      </c>
      <c r="M381" s="154">
        <v>40</v>
      </c>
      <c r="N381" s="155" t="str">
        <f>IF(E381="","",IF(E381&lt;=40,"Pass","Fail"))</f>
        <v>Fail</v>
      </c>
      <c r="O381" s="147">
        <v>1428</v>
      </c>
      <c r="P381" s="437" t="s">
        <v>506</v>
      </c>
      <c r="Q381" s="123"/>
    </row>
    <row r="382" spans="1:17">
      <c r="A382" s="123">
        <v>43993</v>
      </c>
      <c r="B382" s="123"/>
      <c r="C382" s="146">
        <v>0</v>
      </c>
      <c r="D382" s="146">
        <v>43</v>
      </c>
      <c r="E382" s="154">
        <f>IF(((C382="")*AND(D382="")),"",D382-C382)</f>
        <v>43</v>
      </c>
      <c r="F382" s="154">
        <v>0</v>
      </c>
      <c r="G382" s="154">
        <v>13</v>
      </c>
      <c r="H382" s="154">
        <f t="shared" si="26"/>
        <v>13</v>
      </c>
      <c r="I382" s="154">
        <v>0</v>
      </c>
      <c r="J382" s="154">
        <v>9</v>
      </c>
      <c r="K382" s="154">
        <f t="shared" si="28"/>
        <v>9</v>
      </c>
      <c r="L382" s="154">
        <v>40</v>
      </c>
      <c r="M382" s="154">
        <v>40</v>
      </c>
      <c r="N382" s="155" t="str">
        <f>IF(E382="","",IF(E382&lt;=40,"Pass","Fail"))</f>
        <v>Fail</v>
      </c>
      <c r="O382" s="147">
        <v>1428</v>
      </c>
      <c r="P382" s="437" t="s">
        <v>506</v>
      </c>
      <c r="Q382" s="123"/>
    </row>
    <row r="383" spans="1:17">
      <c r="A383" s="123">
        <v>43994</v>
      </c>
      <c r="B383" s="123"/>
      <c r="C383" s="146">
        <v>3</v>
      </c>
      <c r="D383" s="146">
        <v>38</v>
      </c>
      <c r="E383" s="154">
        <f t="shared" si="17"/>
        <v>35</v>
      </c>
      <c r="F383" s="154"/>
      <c r="G383" s="154"/>
      <c r="H383" s="154"/>
      <c r="I383" s="154"/>
      <c r="J383" s="154"/>
      <c r="K383" s="154"/>
      <c r="L383" s="154">
        <v>40</v>
      </c>
      <c r="M383" s="154">
        <v>40</v>
      </c>
      <c r="N383" s="155" t="str">
        <f t="shared" si="18"/>
        <v>Pass</v>
      </c>
      <c r="O383" s="147">
        <v>1428</v>
      </c>
      <c r="P383" s="187"/>
      <c r="Q383" s="123"/>
    </row>
    <row r="384" spans="1:17">
      <c r="A384" s="123">
        <v>43994</v>
      </c>
      <c r="B384" s="123"/>
      <c r="C384" s="146">
        <v>7</v>
      </c>
      <c r="D384" s="146">
        <v>42</v>
      </c>
      <c r="E384" s="154">
        <f t="shared" si="17"/>
        <v>35</v>
      </c>
      <c r="F384" s="154"/>
      <c r="G384" s="154"/>
      <c r="H384" s="154"/>
      <c r="I384" s="154"/>
      <c r="J384" s="154"/>
      <c r="K384" s="154"/>
      <c r="L384" s="154">
        <v>40</v>
      </c>
      <c r="M384" s="154">
        <v>40</v>
      </c>
      <c r="N384" s="155" t="str">
        <f t="shared" si="18"/>
        <v>Pass</v>
      </c>
      <c r="O384" s="147">
        <v>1428</v>
      </c>
      <c r="P384" s="187"/>
      <c r="Q384" s="123"/>
    </row>
    <row r="385" spans="1:17">
      <c r="A385" s="123">
        <v>43999</v>
      </c>
      <c r="B385" s="123"/>
      <c r="C385" s="146">
        <v>2</v>
      </c>
      <c r="D385" s="146">
        <v>50</v>
      </c>
      <c r="E385" s="154">
        <f>IF(((C385="")*AND(D385="")),"",D385-C385)</f>
        <v>48</v>
      </c>
      <c r="F385" s="154">
        <v>0</v>
      </c>
      <c r="G385" s="154">
        <v>14</v>
      </c>
      <c r="H385" s="154">
        <f t="shared" ref="H385:H394" si="29">G385-F385</f>
        <v>14</v>
      </c>
      <c r="I385" s="154">
        <v>0</v>
      </c>
      <c r="J385" s="154">
        <v>9</v>
      </c>
      <c r="K385" s="154">
        <f t="shared" ref="K385:K389" si="30">J385-I385</f>
        <v>9</v>
      </c>
      <c r="L385" s="154">
        <v>40</v>
      </c>
      <c r="M385" s="154">
        <v>40</v>
      </c>
      <c r="N385" s="155" t="str">
        <f>IF(E385="","",IF(E385&lt;=40,"Pass","Fail"))</f>
        <v>Fail</v>
      </c>
      <c r="O385" s="147">
        <v>1335</v>
      </c>
      <c r="P385" s="438" t="s">
        <v>507</v>
      </c>
      <c r="Q385" s="123"/>
    </row>
    <row r="386" spans="1:17">
      <c r="A386" s="123">
        <v>43999</v>
      </c>
      <c r="B386" s="123"/>
      <c r="C386" s="146">
        <v>0</v>
      </c>
      <c r="D386" s="146">
        <v>32</v>
      </c>
      <c r="E386" s="154">
        <f>IF(((C386="")*AND(D386="")),"",D386-C386)</f>
        <v>32</v>
      </c>
      <c r="F386" s="154">
        <v>0</v>
      </c>
      <c r="G386" s="154">
        <v>12</v>
      </c>
      <c r="H386" s="154">
        <f t="shared" si="29"/>
        <v>12</v>
      </c>
      <c r="I386" s="154">
        <v>0</v>
      </c>
      <c r="J386" s="154">
        <v>7</v>
      </c>
      <c r="K386" s="154">
        <f t="shared" si="30"/>
        <v>7</v>
      </c>
      <c r="L386" s="154">
        <v>40</v>
      </c>
      <c r="M386" s="154">
        <v>40</v>
      </c>
      <c r="N386" s="155" t="str">
        <f>IF(E386="","",IF(E386&lt;=40,"Pass","Fail"))</f>
        <v>Pass</v>
      </c>
      <c r="O386" s="147">
        <v>1335</v>
      </c>
      <c r="P386" s="439" t="s">
        <v>509</v>
      </c>
      <c r="Q386" s="123"/>
    </row>
    <row r="387" spans="1:17">
      <c r="A387" s="123">
        <v>44000</v>
      </c>
      <c r="B387" s="123"/>
      <c r="C387" s="146">
        <v>5</v>
      </c>
      <c r="D387" s="146">
        <v>40</v>
      </c>
      <c r="E387" s="154">
        <f t="shared" si="17"/>
        <v>35</v>
      </c>
      <c r="F387" s="154"/>
      <c r="G387" s="154"/>
      <c r="H387" s="154"/>
      <c r="I387" s="154"/>
      <c r="J387" s="154"/>
      <c r="K387" s="154"/>
      <c r="L387" s="154">
        <v>40</v>
      </c>
      <c r="M387" s="154">
        <v>40</v>
      </c>
      <c r="N387" s="155" t="str">
        <f t="shared" si="18"/>
        <v>Pass</v>
      </c>
      <c r="O387" s="147">
        <v>121</v>
      </c>
      <c r="P387" s="440" t="s">
        <v>510</v>
      </c>
      <c r="Q387" s="123"/>
    </row>
    <row r="388" spans="1:17">
      <c r="A388" s="123">
        <v>44006</v>
      </c>
      <c r="B388" s="123"/>
      <c r="C388" s="146">
        <v>3</v>
      </c>
      <c r="D388" s="146">
        <v>28</v>
      </c>
      <c r="E388" s="154">
        <f t="shared" si="17"/>
        <v>25</v>
      </c>
      <c r="F388" s="154">
        <v>0</v>
      </c>
      <c r="G388" s="154">
        <v>12</v>
      </c>
      <c r="H388" s="154">
        <f t="shared" si="29"/>
        <v>12</v>
      </c>
      <c r="I388" s="154">
        <v>0</v>
      </c>
      <c r="J388" s="154">
        <v>10</v>
      </c>
      <c r="K388" s="154">
        <f t="shared" si="30"/>
        <v>10</v>
      </c>
      <c r="L388" s="154">
        <v>40</v>
      </c>
      <c r="M388" s="154">
        <v>40</v>
      </c>
      <c r="N388" s="155" t="str">
        <f t="shared" si="18"/>
        <v>Pass</v>
      </c>
      <c r="O388" s="147">
        <v>121</v>
      </c>
      <c r="P388" s="441" t="s">
        <v>512</v>
      </c>
      <c r="Q388" s="123"/>
    </row>
    <row r="389" spans="1:17" ht="16.5" thickBot="1">
      <c r="A389" s="123">
        <v>44010</v>
      </c>
      <c r="B389" s="123"/>
      <c r="C389" s="146">
        <v>5</v>
      </c>
      <c r="D389" s="146">
        <v>30</v>
      </c>
      <c r="E389" s="154">
        <f t="shared" ref="E389" si="31">IF(((C389="")*AND(D389="")),"",D389-C389)</f>
        <v>25</v>
      </c>
      <c r="F389" s="154">
        <v>2</v>
      </c>
      <c r="G389" s="154">
        <v>14</v>
      </c>
      <c r="H389" s="154">
        <f t="shared" si="29"/>
        <v>12</v>
      </c>
      <c r="I389" s="154">
        <v>0</v>
      </c>
      <c r="J389" s="154">
        <v>10</v>
      </c>
      <c r="K389" s="154">
        <f t="shared" si="30"/>
        <v>10</v>
      </c>
      <c r="L389" s="154">
        <v>40</v>
      </c>
      <c r="M389" s="154">
        <v>40</v>
      </c>
      <c r="N389" s="155" t="str">
        <f t="shared" ref="N389" si="32">IF(E389="","",IF(E389&lt;=40,"Pass","Fail"))</f>
        <v>Pass</v>
      </c>
      <c r="O389" s="147">
        <v>102</v>
      </c>
      <c r="P389" s="442" t="s">
        <v>514</v>
      </c>
      <c r="Q389" s="123"/>
    </row>
    <row r="390" spans="1:17" ht="16.5" thickBot="1">
      <c r="A390" s="344">
        <v>44019</v>
      </c>
      <c r="B390" s="472"/>
      <c r="C390" s="146">
        <v>7</v>
      </c>
      <c r="D390" s="146">
        <v>198</v>
      </c>
      <c r="E390" s="154">
        <f t="shared" si="17"/>
        <v>191</v>
      </c>
      <c r="F390" s="154"/>
      <c r="G390" s="154"/>
      <c r="H390" s="154"/>
      <c r="I390" s="154"/>
      <c r="J390" s="154"/>
      <c r="K390" s="154"/>
      <c r="L390" s="154">
        <v>40</v>
      </c>
      <c r="M390" s="154">
        <v>40</v>
      </c>
      <c r="N390" s="155" t="str">
        <f t="shared" si="18"/>
        <v>Fail</v>
      </c>
      <c r="O390" s="147">
        <v>74</v>
      </c>
      <c r="P390" s="187"/>
      <c r="Q390" s="123"/>
    </row>
    <row r="391" spans="1:17" ht="16.5" thickBot="1">
      <c r="A391" s="344">
        <v>44020</v>
      </c>
      <c r="B391" s="472"/>
      <c r="C391" s="146">
        <v>1</v>
      </c>
      <c r="D391" s="146">
        <v>25</v>
      </c>
      <c r="E391" s="154">
        <f t="shared" si="17"/>
        <v>24</v>
      </c>
      <c r="F391" s="154">
        <v>1</v>
      </c>
      <c r="G391" s="154">
        <v>5</v>
      </c>
      <c r="H391" s="154">
        <f t="shared" si="29"/>
        <v>4</v>
      </c>
      <c r="I391" s="154">
        <v>1</v>
      </c>
      <c r="J391" s="154">
        <v>2</v>
      </c>
      <c r="K391" s="154">
        <f t="shared" ref="K391" si="33">J391-I391</f>
        <v>1</v>
      </c>
      <c r="L391" s="154">
        <v>40</v>
      </c>
      <c r="M391" s="154">
        <v>40</v>
      </c>
      <c r="N391" s="155" t="str">
        <f t="shared" si="18"/>
        <v>Pass</v>
      </c>
      <c r="O391" s="147">
        <v>121</v>
      </c>
      <c r="P391" s="443" t="s">
        <v>515</v>
      </c>
      <c r="Q391" s="123"/>
    </row>
    <row r="392" spans="1:17" ht="16.5" thickBot="1">
      <c r="A392" s="344">
        <v>44020</v>
      </c>
      <c r="B392" s="472"/>
      <c r="C392" s="146">
        <v>2</v>
      </c>
      <c r="D392" s="146">
        <v>66</v>
      </c>
      <c r="E392" s="154">
        <f t="shared" si="17"/>
        <v>64</v>
      </c>
      <c r="F392" s="154"/>
      <c r="G392" s="154"/>
      <c r="H392" s="154"/>
      <c r="I392" s="154"/>
      <c r="J392" s="154"/>
      <c r="K392" s="154"/>
      <c r="L392" s="154">
        <v>40</v>
      </c>
      <c r="M392" s="154">
        <v>40</v>
      </c>
      <c r="N392" s="155" t="str">
        <f t="shared" si="18"/>
        <v>Fail</v>
      </c>
      <c r="O392" s="147">
        <v>121</v>
      </c>
      <c r="P392" s="443" t="s">
        <v>516</v>
      </c>
      <c r="Q392" s="123"/>
    </row>
    <row r="393" spans="1:17" ht="16.5" thickBot="1">
      <c r="A393" s="344">
        <v>44020</v>
      </c>
      <c r="B393" s="472"/>
      <c r="C393" s="146">
        <v>4</v>
      </c>
      <c r="D393" s="146">
        <v>48</v>
      </c>
      <c r="E393" s="154">
        <f t="shared" si="17"/>
        <v>44</v>
      </c>
      <c r="F393" s="154">
        <v>1</v>
      </c>
      <c r="G393" s="154">
        <v>9</v>
      </c>
      <c r="H393" s="154">
        <f t="shared" si="29"/>
        <v>8</v>
      </c>
      <c r="I393" s="154">
        <v>1</v>
      </c>
      <c r="J393" s="154">
        <v>4</v>
      </c>
      <c r="K393" s="154">
        <f t="shared" ref="K393:K394" si="34">J393-I393</f>
        <v>3</v>
      </c>
      <c r="L393" s="154">
        <v>40</v>
      </c>
      <c r="M393" s="154">
        <v>40</v>
      </c>
      <c r="N393" s="155" t="str">
        <f t="shared" si="18"/>
        <v>Fail</v>
      </c>
      <c r="O393" s="147">
        <v>121</v>
      </c>
      <c r="P393" s="443" t="s">
        <v>517</v>
      </c>
      <c r="Q393" s="123"/>
    </row>
    <row r="394" spans="1:17" ht="16.5" thickBot="1">
      <c r="A394" s="344">
        <v>44020</v>
      </c>
      <c r="B394" s="472"/>
      <c r="C394" s="146">
        <v>2</v>
      </c>
      <c r="D394" s="146">
        <v>53</v>
      </c>
      <c r="E394" s="154">
        <f t="shared" si="17"/>
        <v>51</v>
      </c>
      <c r="F394" s="154">
        <v>1</v>
      </c>
      <c r="G394" s="154">
        <v>18</v>
      </c>
      <c r="H394" s="154">
        <f t="shared" si="29"/>
        <v>17</v>
      </c>
      <c r="I394" s="154">
        <v>0</v>
      </c>
      <c r="J394" s="154">
        <v>7</v>
      </c>
      <c r="K394" s="154">
        <f t="shared" si="34"/>
        <v>7</v>
      </c>
      <c r="L394" s="154">
        <v>40</v>
      </c>
      <c r="M394" s="154">
        <v>40</v>
      </c>
      <c r="N394" s="155" t="str">
        <f t="shared" si="18"/>
        <v>Fail</v>
      </c>
      <c r="O394" s="147">
        <v>121</v>
      </c>
      <c r="P394" s="443" t="s">
        <v>518</v>
      </c>
      <c r="Q394" s="123"/>
    </row>
    <row r="395" spans="1:17">
      <c r="A395" s="344">
        <v>44020</v>
      </c>
      <c r="B395" s="472"/>
      <c r="C395" s="146">
        <v>15</v>
      </c>
      <c r="D395" s="146">
        <v>109</v>
      </c>
      <c r="E395" s="154">
        <f t="shared" si="17"/>
        <v>94</v>
      </c>
      <c r="F395" s="154"/>
      <c r="G395" s="154"/>
      <c r="H395" s="154"/>
      <c r="I395" s="154"/>
      <c r="J395" s="154"/>
      <c r="K395" s="154"/>
      <c r="L395" s="154">
        <v>40</v>
      </c>
      <c r="M395" s="154">
        <v>40</v>
      </c>
      <c r="N395" s="155" t="str">
        <f t="shared" si="18"/>
        <v>Fail</v>
      </c>
      <c r="O395" s="147">
        <v>1519</v>
      </c>
      <c r="P395" s="187"/>
      <c r="Q395" s="123"/>
    </row>
    <row r="396" spans="1:17">
      <c r="A396" s="445">
        <v>44021</v>
      </c>
      <c r="B396" s="445"/>
      <c r="C396" s="146">
        <v>0</v>
      </c>
      <c r="D396" s="146">
        <v>66</v>
      </c>
      <c r="E396" s="154">
        <f t="shared" si="17"/>
        <v>66</v>
      </c>
      <c r="F396" s="154"/>
      <c r="G396" s="154"/>
      <c r="H396" s="154"/>
      <c r="I396" s="154"/>
      <c r="J396" s="154"/>
      <c r="K396" s="154"/>
      <c r="L396" s="154">
        <v>40</v>
      </c>
      <c r="M396" s="154">
        <v>40</v>
      </c>
      <c r="N396" s="155" t="str">
        <f t="shared" si="18"/>
        <v>Fail</v>
      </c>
      <c r="O396" s="147">
        <v>1340</v>
      </c>
      <c r="P396" s="187"/>
      <c r="Q396" s="123"/>
    </row>
    <row r="397" spans="1:17">
      <c r="A397" s="123">
        <v>44028</v>
      </c>
      <c r="B397" s="123"/>
      <c r="C397" s="146">
        <v>5</v>
      </c>
      <c r="D397" s="146">
        <v>66</v>
      </c>
      <c r="E397" s="154">
        <f>IF(((C397="")*AND(D397="")),"",D397-C397)</f>
        <v>61</v>
      </c>
      <c r="F397" s="154">
        <v>2</v>
      </c>
      <c r="G397" s="154">
        <v>11</v>
      </c>
      <c r="H397" s="154">
        <f t="shared" ref="H397:H398" si="35">G397-F397</f>
        <v>9</v>
      </c>
      <c r="I397" s="154">
        <v>1</v>
      </c>
      <c r="J397" s="154">
        <v>5</v>
      </c>
      <c r="K397" s="154">
        <f t="shared" ref="K397:K398" si="36">J397-I397</f>
        <v>4</v>
      </c>
      <c r="L397" s="154">
        <v>40</v>
      </c>
      <c r="M397" s="154">
        <v>40</v>
      </c>
      <c r="N397" s="155" t="str">
        <f>IF(E397="","",IF(E397&lt;=40,"Pass","Fail"))</f>
        <v>Fail</v>
      </c>
      <c r="O397" s="147">
        <v>1159</v>
      </c>
      <c r="P397" s="444" t="s">
        <v>519</v>
      </c>
      <c r="Q397" s="123"/>
    </row>
    <row r="398" spans="1:17">
      <c r="A398" s="123">
        <v>44028</v>
      </c>
      <c r="B398" s="123"/>
      <c r="C398" s="146">
        <v>1</v>
      </c>
      <c r="D398" s="146">
        <v>369</v>
      </c>
      <c r="E398" s="154">
        <f>IF(((C398="")*AND(D398="")),"",D398-C398)</f>
        <v>368</v>
      </c>
      <c r="F398" s="154">
        <v>0</v>
      </c>
      <c r="G398" s="154">
        <v>93</v>
      </c>
      <c r="H398" s="154">
        <f t="shared" si="35"/>
        <v>93</v>
      </c>
      <c r="I398" s="154">
        <v>0</v>
      </c>
      <c r="J398" s="154">
        <v>43</v>
      </c>
      <c r="K398" s="154">
        <f t="shared" si="36"/>
        <v>43</v>
      </c>
      <c r="L398" s="154">
        <v>40</v>
      </c>
      <c r="M398" s="154">
        <v>40</v>
      </c>
      <c r="N398" s="155" t="str">
        <f>IF(E398="","",IF(E398&lt;=40,"Pass","Fail"))</f>
        <v>Fail</v>
      </c>
      <c r="O398" s="147">
        <v>1159</v>
      </c>
      <c r="P398" s="446" t="s">
        <v>520</v>
      </c>
      <c r="Q398" s="123"/>
    </row>
    <row r="399" spans="1:17" ht="15.75" customHeight="1">
      <c r="A399" s="123">
        <v>44036</v>
      </c>
      <c r="B399" s="123"/>
      <c r="C399" s="146">
        <v>0</v>
      </c>
      <c r="D399" s="146">
        <v>36</v>
      </c>
      <c r="E399" s="154">
        <f t="shared" ref="E399:E400" si="37">IF(((C399="")*AND(D399="")),"",D399-C399)</f>
        <v>36</v>
      </c>
      <c r="F399" s="154"/>
      <c r="G399" s="154"/>
      <c r="H399" s="154"/>
      <c r="I399" s="154"/>
      <c r="J399" s="154"/>
      <c r="K399" s="154"/>
      <c r="L399" s="154">
        <v>40</v>
      </c>
      <c r="M399" s="154">
        <v>40</v>
      </c>
      <c r="N399" s="155" t="str">
        <f t="shared" ref="N399:N400" si="38">IF(E399="","",IF(E399&lt;=40,"Pass","Fail"))</f>
        <v>Pass</v>
      </c>
      <c r="O399" s="147">
        <v>1340</v>
      </c>
      <c r="P399" s="447" t="s">
        <v>522</v>
      </c>
      <c r="Q399" s="240" t="s">
        <v>524</v>
      </c>
    </row>
    <row r="400" spans="1:17">
      <c r="A400" s="123">
        <v>44036</v>
      </c>
      <c r="B400" s="123"/>
      <c r="C400" s="146">
        <v>5</v>
      </c>
      <c r="D400" s="146">
        <v>40</v>
      </c>
      <c r="E400" s="154">
        <f t="shared" si="37"/>
        <v>35</v>
      </c>
      <c r="F400" s="154"/>
      <c r="G400" s="154"/>
      <c r="H400" s="154"/>
      <c r="I400" s="154"/>
      <c r="J400" s="154"/>
      <c r="K400" s="154"/>
      <c r="L400" s="154">
        <v>40</v>
      </c>
      <c r="M400" s="154">
        <v>40</v>
      </c>
      <c r="N400" s="155" t="str">
        <f t="shared" si="38"/>
        <v>Pass</v>
      </c>
      <c r="O400" s="147">
        <v>1340</v>
      </c>
      <c r="P400" s="447" t="s">
        <v>523</v>
      </c>
      <c r="Q400" s="123" t="s">
        <v>525</v>
      </c>
    </row>
    <row r="401" spans="1:17">
      <c r="A401" s="123">
        <v>44040</v>
      </c>
      <c r="B401" s="123"/>
      <c r="C401" s="146">
        <v>2</v>
      </c>
      <c r="D401" s="146">
        <v>46</v>
      </c>
      <c r="E401" s="154">
        <f t="shared" ref="E401" si="39">IF(((C401="")*AND(D401="")),"",D401-C401)</f>
        <v>44</v>
      </c>
      <c r="F401" s="154"/>
      <c r="G401" s="154"/>
      <c r="H401" s="154"/>
      <c r="I401" s="154"/>
      <c r="J401" s="154"/>
      <c r="K401" s="154"/>
      <c r="L401" s="154">
        <v>40</v>
      </c>
      <c r="M401" s="154">
        <v>40</v>
      </c>
      <c r="N401" s="155" t="str">
        <f t="shared" ref="N401:N402" si="40">IF(E401="","",IF(E401&lt;=40,"Pass","Fail"))</f>
        <v>Fail</v>
      </c>
      <c r="O401" s="147">
        <v>1340</v>
      </c>
      <c r="P401" s="448" t="s">
        <v>527</v>
      </c>
      <c r="Q401" s="123" t="s">
        <v>614</v>
      </c>
    </row>
    <row r="402" spans="1:17">
      <c r="A402" s="123">
        <v>44040</v>
      </c>
      <c r="B402" s="123"/>
      <c r="C402" s="146">
        <v>1</v>
      </c>
      <c r="D402" s="146">
        <v>68</v>
      </c>
      <c r="E402" s="154">
        <v>67</v>
      </c>
      <c r="F402" s="154"/>
      <c r="G402" s="154"/>
      <c r="H402" s="154"/>
      <c r="I402" s="154"/>
      <c r="J402" s="154"/>
      <c r="K402" s="154"/>
      <c r="L402" s="154">
        <v>40</v>
      </c>
      <c r="M402" s="154">
        <v>40</v>
      </c>
      <c r="N402" s="155" t="str">
        <f t="shared" si="40"/>
        <v>Fail</v>
      </c>
      <c r="O402" s="147">
        <v>1340</v>
      </c>
      <c r="P402" s="448" t="s">
        <v>528</v>
      </c>
      <c r="Q402" s="123" t="s">
        <v>614</v>
      </c>
    </row>
    <row r="403" spans="1:17">
      <c r="A403" s="123">
        <v>44040</v>
      </c>
      <c r="B403" s="123"/>
      <c r="C403" s="146">
        <v>1</v>
      </c>
      <c r="D403" s="146">
        <v>66</v>
      </c>
      <c r="E403" s="154">
        <v>65</v>
      </c>
      <c r="F403" s="154"/>
      <c r="G403" s="154"/>
      <c r="H403" s="154"/>
      <c r="I403" s="154"/>
      <c r="J403" s="154"/>
      <c r="K403" s="154"/>
      <c r="L403" s="154">
        <v>40</v>
      </c>
      <c r="M403" s="154">
        <v>40</v>
      </c>
      <c r="N403" s="155" t="str">
        <f t="shared" ref="N403" si="41">IF(E403="","",IF(E403&lt;=40,"Pass","Fail"))</f>
        <v>Fail</v>
      </c>
      <c r="O403" s="147">
        <v>1340</v>
      </c>
      <c r="P403" s="448" t="s">
        <v>529</v>
      </c>
      <c r="Q403" s="123" t="s">
        <v>525</v>
      </c>
    </row>
    <row r="404" spans="1:17">
      <c r="A404" s="123">
        <v>44041</v>
      </c>
      <c r="B404" s="123"/>
      <c r="C404" s="146">
        <v>1</v>
      </c>
      <c r="D404" s="146">
        <v>119</v>
      </c>
      <c r="E404" s="154">
        <f t="shared" ref="E404:E463" si="42">IF(((C404="")*AND(D404="")),"",D404-C404)</f>
        <v>118</v>
      </c>
      <c r="F404" s="154"/>
      <c r="G404" s="154"/>
      <c r="H404" s="154"/>
      <c r="I404" s="154"/>
      <c r="J404" s="154"/>
      <c r="K404" s="154"/>
      <c r="L404" s="154">
        <v>40</v>
      </c>
      <c r="M404" s="154">
        <v>40</v>
      </c>
      <c r="N404" s="155" t="str">
        <f t="shared" ref="N404:N463" si="43">IF(E404="","",IF(E404&lt;=40,"Pass","Fail"))</f>
        <v>Fail</v>
      </c>
      <c r="O404" s="147">
        <v>1340</v>
      </c>
      <c r="P404" s="187"/>
      <c r="Q404" s="123"/>
    </row>
    <row r="405" spans="1:17">
      <c r="A405" s="123">
        <v>44041</v>
      </c>
      <c r="B405" s="123"/>
      <c r="C405" s="146">
        <v>1</v>
      </c>
      <c r="D405" s="146">
        <v>70</v>
      </c>
      <c r="E405" s="154">
        <f t="shared" si="42"/>
        <v>69</v>
      </c>
      <c r="F405" s="154"/>
      <c r="G405" s="154"/>
      <c r="H405" s="154"/>
      <c r="I405" s="154"/>
      <c r="J405" s="154"/>
      <c r="K405" s="154"/>
      <c r="L405" s="154">
        <v>40</v>
      </c>
      <c r="M405" s="154">
        <v>40</v>
      </c>
      <c r="N405" s="155" t="str">
        <f t="shared" si="43"/>
        <v>Fail</v>
      </c>
      <c r="O405" s="147">
        <v>1340</v>
      </c>
      <c r="P405" s="187"/>
      <c r="Q405" s="123"/>
    </row>
    <row r="406" spans="1:17">
      <c r="A406" s="123">
        <v>44045</v>
      </c>
      <c r="B406" s="123"/>
      <c r="C406" s="146">
        <v>1</v>
      </c>
      <c r="D406" s="146">
        <v>22</v>
      </c>
      <c r="E406" s="154">
        <f t="shared" si="42"/>
        <v>21</v>
      </c>
      <c r="F406" s="154">
        <v>1</v>
      </c>
      <c r="G406" s="154">
        <v>3</v>
      </c>
      <c r="H406" s="154">
        <f t="shared" ref="H406:H412" si="44">G406-F406</f>
        <v>2</v>
      </c>
      <c r="I406" s="154">
        <v>1</v>
      </c>
      <c r="J406" s="154">
        <v>3</v>
      </c>
      <c r="K406" s="154">
        <f t="shared" ref="K406:K409" si="45">J406-I406</f>
        <v>2</v>
      </c>
      <c r="L406" s="154">
        <v>40</v>
      </c>
      <c r="M406" s="154">
        <v>40</v>
      </c>
      <c r="N406" s="155" t="str">
        <f t="shared" si="43"/>
        <v>Pass</v>
      </c>
      <c r="O406" s="147">
        <v>1428</v>
      </c>
      <c r="P406" s="449" t="s">
        <v>532</v>
      </c>
      <c r="Q406" s="123"/>
    </row>
    <row r="407" spans="1:17">
      <c r="A407" s="123">
        <v>44045</v>
      </c>
      <c r="B407" s="123"/>
      <c r="C407" s="146">
        <v>14</v>
      </c>
      <c r="D407" s="146">
        <v>63</v>
      </c>
      <c r="E407" s="154">
        <f t="shared" ref="E407" si="46">IF(((C407="")*AND(D407="")),"",D407-C407)</f>
        <v>49</v>
      </c>
      <c r="F407" s="154">
        <v>2</v>
      </c>
      <c r="G407" s="154">
        <v>17</v>
      </c>
      <c r="H407" s="154">
        <f t="shared" si="44"/>
        <v>15</v>
      </c>
      <c r="I407" s="154">
        <v>1</v>
      </c>
      <c r="J407" s="154">
        <v>10</v>
      </c>
      <c r="K407" s="154">
        <f t="shared" si="45"/>
        <v>9</v>
      </c>
      <c r="L407" s="154">
        <v>40</v>
      </c>
      <c r="M407" s="154">
        <v>40</v>
      </c>
      <c r="N407" s="155" t="str">
        <f t="shared" ref="N407" si="47">IF(E407="","",IF(E407&lt;=40,"Pass","Fail"))</f>
        <v>Fail</v>
      </c>
      <c r="O407" s="147">
        <v>1428</v>
      </c>
      <c r="P407" s="450" t="s">
        <v>533</v>
      </c>
      <c r="Q407" s="123"/>
    </row>
    <row r="408" spans="1:17">
      <c r="A408" s="123">
        <v>44050</v>
      </c>
      <c r="B408" s="123"/>
      <c r="C408" s="146">
        <v>2</v>
      </c>
      <c r="D408" s="146">
        <v>122</v>
      </c>
      <c r="E408" s="154">
        <f t="shared" ref="E408" si="48">IF(((C408="")*AND(D408="")),"",D408-C408)</f>
        <v>120</v>
      </c>
      <c r="F408" s="154">
        <v>0</v>
      </c>
      <c r="G408" s="154">
        <v>34</v>
      </c>
      <c r="H408" s="154">
        <f t="shared" si="44"/>
        <v>34</v>
      </c>
      <c r="I408" s="154">
        <v>0</v>
      </c>
      <c r="J408" s="154">
        <v>26</v>
      </c>
      <c r="K408" s="154">
        <f t="shared" si="45"/>
        <v>26</v>
      </c>
      <c r="L408" s="154">
        <v>40</v>
      </c>
      <c r="M408" s="154">
        <v>40</v>
      </c>
      <c r="N408" s="155" t="str">
        <f t="shared" ref="N408" si="49">IF(E408="","",IF(E408&lt;=40,"Pass","Fail"))</f>
        <v>Fail</v>
      </c>
      <c r="O408" s="147">
        <v>1159</v>
      </c>
      <c r="P408" s="451" t="s">
        <v>501</v>
      </c>
      <c r="Q408" s="123"/>
    </row>
    <row r="409" spans="1:17">
      <c r="A409" s="123">
        <v>44050</v>
      </c>
      <c r="B409" s="123"/>
      <c r="C409" s="146">
        <v>1</v>
      </c>
      <c r="D409" s="146">
        <v>70</v>
      </c>
      <c r="E409" s="154">
        <f t="shared" ref="E409" si="50">IF(((C409="")*AND(D409="")),"",D409-C409)</f>
        <v>69</v>
      </c>
      <c r="F409" s="154">
        <v>0</v>
      </c>
      <c r="G409" s="154">
        <v>27</v>
      </c>
      <c r="H409" s="154">
        <f t="shared" si="44"/>
        <v>27</v>
      </c>
      <c r="I409" s="154">
        <v>0</v>
      </c>
      <c r="J409" s="154">
        <v>15</v>
      </c>
      <c r="K409" s="154">
        <f t="shared" si="45"/>
        <v>15</v>
      </c>
      <c r="L409" s="154">
        <v>40</v>
      </c>
      <c r="M409" s="154">
        <v>40</v>
      </c>
      <c r="N409" s="155" t="str">
        <f t="shared" ref="N409" si="51">IF(E409="","",IF(E409&lt;=40,"Pass","Fail"))</f>
        <v>Fail</v>
      </c>
      <c r="O409" s="147">
        <v>1159</v>
      </c>
      <c r="P409" s="451" t="s">
        <v>534</v>
      </c>
      <c r="Q409" s="123"/>
    </row>
    <row r="410" spans="1:17" ht="15" customHeight="1">
      <c r="A410" s="123">
        <v>44057</v>
      </c>
      <c r="B410" s="123"/>
      <c r="C410" s="146">
        <v>3</v>
      </c>
      <c r="D410" s="146">
        <v>40</v>
      </c>
      <c r="E410" s="154">
        <f t="shared" ref="E410" si="52">IF(((C410="")*AND(D410="")),"",D410-C410)</f>
        <v>37</v>
      </c>
      <c r="F410" s="154">
        <v>1</v>
      </c>
      <c r="G410" s="154">
        <v>24</v>
      </c>
      <c r="H410" s="154">
        <f t="shared" si="44"/>
        <v>23</v>
      </c>
      <c r="I410" s="154"/>
      <c r="J410" s="154"/>
      <c r="K410" s="154"/>
      <c r="L410" s="154">
        <v>40</v>
      </c>
      <c r="M410" s="154">
        <v>40</v>
      </c>
      <c r="N410" s="155" t="str">
        <f t="shared" ref="N410" si="53">IF(E410="","",IF(E410&lt;=40,"Pass","Fail"))</f>
        <v>Pass</v>
      </c>
      <c r="O410" s="147">
        <v>1335</v>
      </c>
      <c r="P410" s="452" t="s">
        <v>535</v>
      </c>
      <c r="Q410" s="454" t="s">
        <v>536</v>
      </c>
    </row>
    <row r="411" spans="1:17">
      <c r="A411" s="123">
        <v>44057</v>
      </c>
      <c r="B411" s="123"/>
      <c r="C411" s="146">
        <v>1</v>
      </c>
      <c r="D411" s="146">
        <v>32</v>
      </c>
      <c r="E411" s="154">
        <f t="shared" si="42"/>
        <v>31</v>
      </c>
      <c r="F411" s="154">
        <v>0</v>
      </c>
      <c r="G411" s="154">
        <v>2</v>
      </c>
      <c r="H411" s="154">
        <f t="shared" si="44"/>
        <v>2</v>
      </c>
      <c r="I411" s="154">
        <v>0</v>
      </c>
      <c r="J411" s="154">
        <v>1</v>
      </c>
      <c r="K411" s="154">
        <f t="shared" ref="K411:K412" si="54">J411-I411</f>
        <v>1</v>
      </c>
      <c r="L411" s="154">
        <v>40</v>
      </c>
      <c r="M411" s="154">
        <v>40</v>
      </c>
      <c r="N411" s="155" t="str">
        <f t="shared" si="43"/>
        <v>Pass</v>
      </c>
      <c r="O411" s="147">
        <v>74</v>
      </c>
      <c r="P411" s="452" t="s">
        <v>540</v>
      </c>
      <c r="Q411" s="123"/>
    </row>
    <row r="412" spans="1:17">
      <c r="A412" s="123">
        <v>44061</v>
      </c>
      <c r="B412" s="123"/>
      <c r="C412" s="146">
        <v>15</v>
      </c>
      <c r="D412" s="146">
        <v>26</v>
      </c>
      <c r="E412" s="154">
        <f t="shared" ref="E412" si="55">IF(((C412="")*AND(D412="")),"",D412-C412)</f>
        <v>11</v>
      </c>
      <c r="F412" s="154">
        <v>0</v>
      </c>
      <c r="G412" s="154">
        <v>5</v>
      </c>
      <c r="H412" s="154">
        <f t="shared" si="44"/>
        <v>5</v>
      </c>
      <c r="I412" s="154">
        <v>0</v>
      </c>
      <c r="J412" s="154">
        <v>5</v>
      </c>
      <c r="K412" s="154">
        <f t="shared" si="54"/>
        <v>5</v>
      </c>
      <c r="L412" s="154">
        <v>40</v>
      </c>
      <c r="M412" s="154">
        <v>40</v>
      </c>
      <c r="N412" s="155" t="str">
        <f t="shared" ref="N412" si="56">IF(E412="","",IF(E412&lt;=40,"Pass","Fail"))</f>
        <v>Pass</v>
      </c>
      <c r="O412" s="147">
        <v>74</v>
      </c>
      <c r="P412" s="453" t="s">
        <v>544</v>
      </c>
      <c r="Q412" s="123"/>
    </row>
    <row r="413" spans="1:17">
      <c r="A413" s="123">
        <v>44065</v>
      </c>
      <c r="B413" s="123"/>
      <c r="C413" s="146">
        <v>2</v>
      </c>
      <c r="D413" s="146">
        <v>35</v>
      </c>
      <c r="E413" s="154">
        <f t="shared" si="42"/>
        <v>33</v>
      </c>
      <c r="F413" s="154"/>
      <c r="G413" s="154"/>
      <c r="H413" s="154"/>
      <c r="I413" s="154"/>
      <c r="J413" s="154"/>
      <c r="K413" s="154"/>
      <c r="L413" s="154">
        <v>40</v>
      </c>
      <c r="M413" s="154">
        <v>40</v>
      </c>
      <c r="N413" s="155" t="str">
        <f t="shared" si="43"/>
        <v>Pass</v>
      </c>
      <c r="O413" s="147">
        <v>1340</v>
      </c>
      <c r="P413" s="456" t="s">
        <v>546</v>
      </c>
      <c r="Q413" s="123"/>
    </row>
    <row r="414" spans="1:17">
      <c r="A414" s="123">
        <v>44070</v>
      </c>
      <c r="B414" s="123"/>
      <c r="C414" s="146">
        <v>4</v>
      </c>
      <c r="D414" s="146">
        <v>38</v>
      </c>
      <c r="E414" s="154">
        <f t="shared" si="42"/>
        <v>34</v>
      </c>
      <c r="F414" s="154">
        <v>1</v>
      </c>
      <c r="G414" s="154">
        <v>5</v>
      </c>
      <c r="H414" s="154">
        <f t="shared" ref="H414:H435" si="57">G414-F414</f>
        <v>4</v>
      </c>
      <c r="I414" s="154"/>
      <c r="J414" s="154"/>
      <c r="K414" s="154"/>
      <c r="L414" s="154">
        <v>40</v>
      </c>
      <c r="M414" s="154">
        <v>40</v>
      </c>
      <c r="N414" s="155" t="str">
        <f t="shared" ref="N414" si="58">IF(E414="","",IF(E414&lt;=40,"Pass","Fail"))</f>
        <v>Pass</v>
      </c>
      <c r="O414" s="147">
        <v>1335</v>
      </c>
      <c r="P414" s="458" t="s">
        <v>548</v>
      </c>
      <c r="Q414" s="123"/>
    </row>
    <row r="415" spans="1:17">
      <c r="A415" s="123">
        <v>44074</v>
      </c>
      <c r="B415" s="123" t="s">
        <v>566</v>
      </c>
      <c r="C415" s="146">
        <v>8</v>
      </c>
      <c r="D415" s="146">
        <v>6645</v>
      </c>
      <c r="E415" s="154">
        <f t="shared" ref="E415" si="59">IF(((C415="")*AND(D415="")),"",D415-C415)</f>
        <v>6637</v>
      </c>
      <c r="F415" s="154">
        <v>6</v>
      </c>
      <c r="G415" s="154">
        <v>1945</v>
      </c>
      <c r="H415" s="154">
        <f t="shared" si="57"/>
        <v>1939</v>
      </c>
      <c r="I415" s="154">
        <v>4</v>
      </c>
      <c r="J415" s="154">
        <v>1043</v>
      </c>
      <c r="K415" s="154">
        <f t="shared" ref="K415:K419" si="60">J415-I415</f>
        <v>1039</v>
      </c>
      <c r="L415" s="154">
        <v>40</v>
      </c>
      <c r="M415" s="154">
        <v>40</v>
      </c>
      <c r="N415" s="155" t="str">
        <f t="shared" ref="N415" si="61">IF(E415="","",IF(E415&lt;=40,"Pass","Fail"))</f>
        <v>Fail</v>
      </c>
      <c r="O415" s="147" t="s">
        <v>550</v>
      </c>
      <c r="P415" s="459" t="s">
        <v>551</v>
      </c>
      <c r="Q415" s="123"/>
    </row>
    <row r="416" spans="1:17">
      <c r="A416" s="123">
        <v>44074</v>
      </c>
      <c r="B416" s="123" t="s">
        <v>565</v>
      </c>
      <c r="C416" s="146">
        <v>2</v>
      </c>
      <c r="D416" s="146">
        <v>997</v>
      </c>
      <c r="E416" s="154">
        <f t="shared" ref="E416" si="62">IF(((C416="")*AND(D416="")),"",D416-C416)</f>
        <v>995</v>
      </c>
      <c r="F416" s="154">
        <v>1</v>
      </c>
      <c r="G416" s="154">
        <v>234</v>
      </c>
      <c r="H416" s="154">
        <f t="shared" si="57"/>
        <v>233</v>
      </c>
      <c r="I416" s="154">
        <v>1</v>
      </c>
      <c r="J416" s="154">
        <v>84</v>
      </c>
      <c r="K416" s="154">
        <f t="shared" si="60"/>
        <v>83</v>
      </c>
      <c r="L416" s="154">
        <v>40</v>
      </c>
      <c r="M416" s="154">
        <v>40</v>
      </c>
      <c r="N416" s="155" t="str">
        <f t="shared" ref="N416" si="63">IF(E416="","",IF(E416&lt;=40,"Pass","Fail"))</f>
        <v>Fail</v>
      </c>
      <c r="O416" s="147">
        <v>1159</v>
      </c>
      <c r="P416" s="459" t="s">
        <v>552</v>
      </c>
      <c r="Q416" s="123"/>
    </row>
    <row r="417" spans="1:18">
      <c r="A417" s="123">
        <v>44074</v>
      </c>
      <c r="B417" s="123" t="s">
        <v>564</v>
      </c>
      <c r="C417" s="146">
        <v>3</v>
      </c>
      <c r="D417" s="146">
        <v>228</v>
      </c>
      <c r="E417" s="154">
        <f t="shared" ref="E417" si="64">IF(((C417="")*AND(D417="")),"",D417-C417)</f>
        <v>225</v>
      </c>
      <c r="F417" s="154">
        <v>3</v>
      </c>
      <c r="G417" s="154">
        <v>92</v>
      </c>
      <c r="H417" s="154">
        <f t="shared" si="57"/>
        <v>89</v>
      </c>
      <c r="I417" s="154">
        <v>2</v>
      </c>
      <c r="J417" s="154">
        <v>49</v>
      </c>
      <c r="K417" s="154">
        <f t="shared" si="60"/>
        <v>47</v>
      </c>
      <c r="L417" s="154">
        <v>40</v>
      </c>
      <c r="M417" s="154">
        <v>40</v>
      </c>
      <c r="N417" s="155" t="str">
        <f t="shared" ref="N417" si="65">IF(E417="","",IF(E417&lt;=40,"Pass","Fail"))</f>
        <v>Fail</v>
      </c>
      <c r="O417" s="147">
        <v>1159</v>
      </c>
      <c r="P417" s="459" t="s">
        <v>553</v>
      </c>
      <c r="Q417" s="123"/>
    </row>
    <row r="418" spans="1:18">
      <c r="A418" s="123">
        <v>44074</v>
      </c>
      <c r="B418" s="123" t="s">
        <v>565</v>
      </c>
      <c r="C418" s="146">
        <v>4</v>
      </c>
      <c r="D418" s="146">
        <v>82</v>
      </c>
      <c r="E418" s="154">
        <f t="shared" ref="E418" si="66">IF(((C418="")*AND(D418="")),"",D418-C418)</f>
        <v>78</v>
      </c>
      <c r="F418" s="154">
        <v>3</v>
      </c>
      <c r="G418" s="154">
        <v>12</v>
      </c>
      <c r="H418" s="154">
        <f t="shared" si="57"/>
        <v>9</v>
      </c>
      <c r="I418" s="154">
        <v>0</v>
      </c>
      <c r="J418" s="154">
        <v>7</v>
      </c>
      <c r="K418" s="154">
        <f t="shared" si="60"/>
        <v>7</v>
      </c>
      <c r="L418" s="154">
        <v>40</v>
      </c>
      <c r="M418" s="154">
        <v>40</v>
      </c>
      <c r="N418" s="155" t="str">
        <f t="shared" ref="N418" si="67">IF(E418="","",IF(E418&lt;=40,"Pass","Fail"))</f>
        <v>Fail</v>
      </c>
      <c r="O418" s="147">
        <v>1159</v>
      </c>
      <c r="P418" s="459" t="s">
        <v>554</v>
      </c>
      <c r="Q418" s="123"/>
    </row>
    <row r="419" spans="1:18">
      <c r="A419" s="123">
        <v>44074</v>
      </c>
      <c r="B419" s="123" t="s">
        <v>564</v>
      </c>
      <c r="C419" s="146">
        <v>5</v>
      </c>
      <c r="D419" s="146">
        <v>815</v>
      </c>
      <c r="E419" s="154">
        <f t="shared" si="42"/>
        <v>810</v>
      </c>
      <c r="F419" s="154">
        <v>3</v>
      </c>
      <c r="G419" s="154">
        <v>12</v>
      </c>
      <c r="H419" s="154">
        <f t="shared" si="57"/>
        <v>9</v>
      </c>
      <c r="I419" s="154">
        <v>2</v>
      </c>
      <c r="J419" s="154">
        <v>108</v>
      </c>
      <c r="K419" s="154">
        <f t="shared" si="60"/>
        <v>106</v>
      </c>
      <c r="L419" s="154">
        <v>40</v>
      </c>
      <c r="M419" s="154">
        <v>40</v>
      </c>
      <c r="N419" s="155" t="str">
        <f t="shared" si="43"/>
        <v>Fail</v>
      </c>
      <c r="O419" s="147">
        <v>1335</v>
      </c>
      <c r="P419" s="459" t="s">
        <v>555</v>
      </c>
      <c r="Q419" s="123"/>
    </row>
    <row r="420" spans="1:18">
      <c r="A420" s="123">
        <v>44075</v>
      </c>
      <c r="B420" s="123" t="s">
        <v>565</v>
      </c>
      <c r="C420" s="146">
        <v>9</v>
      </c>
      <c r="D420" s="146">
        <v>234</v>
      </c>
      <c r="E420" s="154">
        <f t="shared" ref="E420" si="68">IF(((C420="")*AND(D420="")),"",D420-C420)</f>
        <v>225</v>
      </c>
      <c r="F420" s="154"/>
      <c r="G420" s="154"/>
      <c r="H420" s="154"/>
      <c r="I420" s="154"/>
      <c r="J420" s="154"/>
      <c r="K420" s="154"/>
      <c r="L420" s="154">
        <v>40</v>
      </c>
      <c r="M420" s="154">
        <v>40</v>
      </c>
      <c r="N420" s="155" t="str">
        <f t="shared" ref="N420" si="69">IF(E420="","",IF(E420&lt;=40,"Pass","Fail"))</f>
        <v>Fail</v>
      </c>
      <c r="O420" s="147">
        <v>1428</v>
      </c>
      <c r="P420" s="459" t="s">
        <v>556</v>
      </c>
      <c r="Q420" s="123"/>
    </row>
    <row r="421" spans="1:18">
      <c r="A421" s="123">
        <v>44075</v>
      </c>
      <c r="B421" s="123" t="s">
        <v>564</v>
      </c>
      <c r="C421" s="146">
        <v>17</v>
      </c>
      <c r="D421" s="146">
        <v>85</v>
      </c>
      <c r="E421" s="154">
        <f t="shared" si="42"/>
        <v>68</v>
      </c>
      <c r="F421" s="154">
        <v>0</v>
      </c>
      <c r="G421" s="154">
        <v>11</v>
      </c>
      <c r="H421" s="154">
        <f t="shared" si="57"/>
        <v>11</v>
      </c>
      <c r="I421" s="154">
        <v>0</v>
      </c>
      <c r="J421" s="154">
        <v>7</v>
      </c>
      <c r="K421" s="154">
        <f t="shared" ref="K421:K424" si="70">J421-I421</f>
        <v>7</v>
      </c>
      <c r="L421" s="154">
        <v>40</v>
      </c>
      <c r="M421" s="154">
        <v>40</v>
      </c>
      <c r="N421" s="155" t="str">
        <f t="shared" si="43"/>
        <v>Fail</v>
      </c>
      <c r="O421" s="147">
        <v>74</v>
      </c>
      <c r="P421" s="460" t="s">
        <v>558</v>
      </c>
      <c r="Q421" s="462" t="s">
        <v>557</v>
      </c>
    </row>
    <row r="422" spans="1:18">
      <c r="A422" s="123">
        <v>44077</v>
      </c>
      <c r="B422" s="123" t="s">
        <v>565</v>
      </c>
      <c r="C422" s="146">
        <v>6</v>
      </c>
      <c r="D422" s="146">
        <v>40</v>
      </c>
      <c r="E422" s="154">
        <f t="shared" ref="E422" si="71">IF(((C422="")*AND(D422="")),"",D422-C422)</f>
        <v>34</v>
      </c>
      <c r="F422" s="154">
        <v>0</v>
      </c>
      <c r="G422" s="154">
        <v>11</v>
      </c>
      <c r="H422" s="154">
        <f t="shared" si="57"/>
        <v>11</v>
      </c>
      <c r="I422" s="154">
        <v>0</v>
      </c>
      <c r="J422" s="154">
        <v>7</v>
      </c>
      <c r="K422" s="154">
        <f t="shared" si="70"/>
        <v>7</v>
      </c>
      <c r="L422" s="154">
        <v>40</v>
      </c>
      <c r="M422" s="154">
        <v>40</v>
      </c>
      <c r="N422" s="155" t="str">
        <f t="shared" ref="N422" si="72">IF(E422="","",IF(E422&lt;=40,"Pass","Fail"))</f>
        <v>Pass</v>
      </c>
      <c r="O422" s="147">
        <v>64</v>
      </c>
      <c r="P422" s="461" t="s">
        <v>558</v>
      </c>
      <c r="Q422" s="462" t="s">
        <v>557</v>
      </c>
    </row>
    <row r="423" spans="1:18">
      <c r="A423" s="123">
        <v>44084</v>
      </c>
      <c r="B423" s="123" t="s">
        <v>564</v>
      </c>
      <c r="C423" s="146">
        <v>1</v>
      </c>
      <c r="D423" s="146">
        <v>17</v>
      </c>
      <c r="E423" s="154">
        <f t="shared" ref="E423" si="73">IF(((C423="")*AND(D423="")),"",D423-C423)</f>
        <v>16</v>
      </c>
      <c r="F423" s="154">
        <v>0</v>
      </c>
      <c r="G423" s="154">
        <v>2</v>
      </c>
      <c r="H423" s="154">
        <f t="shared" si="57"/>
        <v>2</v>
      </c>
      <c r="I423" s="154">
        <v>0</v>
      </c>
      <c r="J423" s="154">
        <v>1</v>
      </c>
      <c r="K423" s="154">
        <f t="shared" si="70"/>
        <v>1</v>
      </c>
      <c r="L423" s="154">
        <v>40</v>
      </c>
      <c r="M423" s="154">
        <v>40</v>
      </c>
      <c r="N423" s="155" t="str">
        <f t="shared" ref="N423" si="74">IF(E423="","",IF(E423&lt;=40,"Pass","Fail"))</f>
        <v>Pass</v>
      </c>
      <c r="O423" s="147">
        <v>1159</v>
      </c>
      <c r="P423" s="467" t="s">
        <v>561</v>
      </c>
      <c r="Q423" s="123"/>
    </row>
    <row r="424" spans="1:18">
      <c r="A424" s="123">
        <v>44086</v>
      </c>
      <c r="B424" s="123" t="s">
        <v>564</v>
      </c>
      <c r="C424" s="146">
        <v>2</v>
      </c>
      <c r="D424" s="146">
        <v>21</v>
      </c>
      <c r="E424" s="154">
        <f t="shared" ref="E424" si="75">IF(((C424="")*AND(D424="")),"",D424-C424)</f>
        <v>19</v>
      </c>
      <c r="F424" s="154">
        <v>0</v>
      </c>
      <c r="G424" s="154">
        <v>2</v>
      </c>
      <c r="H424" s="154">
        <f t="shared" si="57"/>
        <v>2</v>
      </c>
      <c r="I424" s="154">
        <v>0</v>
      </c>
      <c r="J424" s="154">
        <v>1</v>
      </c>
      <c r="K424" s="154">
        <f t="shared" si="70"/>
        <v>1</v>
      </c>
      <c r="L424" s="154">
        <v>40</v>
      </c>
      <c r="M424" s="154">
        <v>40</v>
      </c>
      <c r="N424" s="155" t="str">
        <f t="shared" ref="N424" si="76">IF(E424="","",IF(E424&lt;=40,"Pass","Fail"))</f>
        <v>Pass</v>
      </c>
      <c r="O424" s="147">
        <v>102</v>
      </c>
      <c r="P424" s="473" t="s">
        <v>567</v>
      </c>
      <c r="Q424" s="123"/>
    </row>
    <row r="425" spans="1:18">
      <c r="A425" s="123">
        <v>44090</v>
      </c>
      <c r="B425" s="123"/>
      <c r="C425" s="146">
        <v>0</v>
      </c>
      <c r="D425" s="146">
        <v>6</v>
      </c>
      <c r="E425" s="154">
        <f t="shared" ref="E425" si="77">IF(((C425="")*AND(D425="")),"",D425-C425)</f>
        <v>6</v>
      </c>
      <c r="F425" s="154"/>
      <c r="G425" s="154"/>
      <c r="H425" s="154"/>
      <c r="I425" s="154"/>
      <c r="J425" s="154"/>
      <c r="K425" s="154"/>
      <c r="L425" s="154">
        <v>40</v>
      </c>
      <c r="M425" s="154">
        <v>40</v>
      </c>
      <c r="N425" s="155" t="str">
        <f t="shared" ref="N425" si="78">IF(E425="","",IF(E425&lt;=40,"Pass","Fail"))</f>
        <v>Pass</v>
      </c>
      <c r="O425" s="147" t="s">
        <v>569</v>
      </c>
      <c r="P425" s="474" t="s">
        <v>568</v>
      </c>
      <c r="Q425" s="123"/>
    </row>
    <row r="426" spans="1:18">
      <c r="A426" s="123">
        <v>44095</v>
      </c>
      <c r="B426" s="123" t="s">
        <v>566</v>
      </c>
      <c r="C426" s="146">
        <v>15</v>
      </c>
      <c r="D426" s="146">
        <v>37</v>
      </c>
      <c r="E426" s="154">
        <f t="shared" si="42"/>
        <v>22</v>
      </c>
      <c r="F426" s="154">
        <v>4</v>
      </c>
      <c r="G426" s="154">
        <v>12</v>
      </c>
      <c r="H426" s="154">
        <f t="shared" si="57"/>
        <v>8</v>
      </c>
      <c r="I426" s="154">
        <v>1</v>
      </c>
      <c r="J426" s="154">
        <v>5</v>
      </c>
      <c r="K426" s="154">
        <f t="shared" ref="K426:K435" si="79">J426-I426</f>
        <v>4</v>
      </c>
      <c r="L426" s="154">
        <v>40</v>
      </c>
      <c r="M426" s="154">
        <v>40</v>
      </c>
      <c r="N426" s="155" t="str">
        <f t="shared" si="43"/>
        <v>Pass</v>
      </c>
      <c r="O426" s="147">
        <v>121</v>
      </c>
      <c r="P426" s="476" t="s">
        <v>572</v>
      </c>
      <c r="Q426" s="123"/>
    </row>
    <row r="427" spans="1:18">
      <c r="A427" s="123">
        <v>44102</v>
      </c>
      <c r="B427" s="123" t="s">
        <v>566</v>
      </c>
      <c r="C427" s="146">
        <v>1</v>
      </c>
      <c r="D427" s="146">
        <v>334</v>
      </c>
      <c r="E427" s="154">
        <f t="shared" si="42"/>
        <v>333</v>
      </c>
      <c r="F427" s="154">
        <v>0</v>
      </c>
      <c r="G427" s="154">
        <v>45</v>
      </c>
      <c r="H427" s="154">
        <f t="shared" si="57"/>
        <v>45</v>
      </c>
      <c r="I427" s="154">
        <v>0</v>
      </c>
      <c r="J427" s="154">
        <v>25</v>
      </c>
      <c r="K427" s="154">
        <f t="shared" si="79"/>
        <v>25</v>
      </c>
      <c r="L427" s="154">
        <v>40</v>
      </c>
      <c r="M427" s="154">
        <v>40</v>
      </c>
      <c r="N427" s="155" t="str">
        <f t="shared" ref="N427" si="80">IF(E427="","",IF(E427&lt;=40,"Pass","Fail"))</f>
        <v>Fail</v>
      </c>
      <c r="O427" s="147">
        <v>74</v>
      </c>
      <c r="P427" s="477" t="s">
        <v>574</v>
      </c>
      <c r="Q427" s="123"/>
      <c r="R427" s="479"/>
    </row>
    <row r="428" spans="1:18">
      <c r="A428" s="123">
        <v>44102</v>
      </c>
      <c r="B428" s="123" t="s">
        <v>564</v>
      </c>
      <c r="C428" s="146">
        <v>1</v>
      </c>
      <c r="D428" s="146">
        <v>195</v>
      </c>
      <c r="E428" s="154">
        <f t="shared" ref="E428" si="81">IF(((C428="")*AND(D428="")),"",D428-C428)</f>
        <v>194</v>
      </c>
      <c r="F428" s="154">
        <v>0</v>
      </c>
      <c r="G428" s="154">
        <v>36</v>
      </c>
      <c r="H428" s="154">
        <f t="shared" si="57"/>
        <v>36</v>
      </c>
      <c r="I428" s="154">
        <v>0</v>
      </c>
      <c r="J428" s="154">
        <v>18</v>
      </c>
      <c r="K428" s="154">
        <f t="shared" si="79"/>
        <v>18</v>
      </c>
      <c r="L428" s="154">
        <v>40</v>
      </c>
      <c r="M428" s="154">
        <v>40</v>
      </c>
      <c r="N428" s="155" t="str">
        <f t="shared" ref="N428" si="82">IF(E428="","",IF(E428&lt;=40,"Pass","Fail"))</f>
        <v>Fail</v>
      </c>
      <c r="O428" s="147">
        <v>74</v>
      </c>
      <c r="P428" s="477" t="s">
        <v>575</v>
      </c>
      <c r="Q428" s="123"/>
      <c r="R428" s="479"/>
    </row>
    <row r="429" spans="1:18">
      <c r="A429" s="123">
        <v>44102</v>
      </c>
      <c r="B429" s="123" t="s">
        <v>566</v>
      </c>
      <c r="C429" s="146">
        <v>2</v>
      </c>
      <c r="D429" s="146">
        <v>103</v>
      </c>
      <c r="E429" s="154">
        <f t="shared" si="42"/>
        <v>101</v>
      </c>
      <c r="F429" s="154">
        <v>1</v>
      </c>
      <c r="G429" s="154">
        <v>29</v>
      </c>
      <c r="H429" s="154">
        <f t="shared" si="57"/>
        <v>28</v>
      </c>
      <c r="I429" s="154">
        <v>1</v>
      </c>
      <c r="J429" s="154">
        <v>14</v>
      </c>
      <c r="K429" s="154">
        <f t="shared" si="79"/>
        <v>13</v>
      </c>
      <c r="L429" s="154">
        <v>40</v>
      </c>
      <c r="M429" s="154">
        <v>40</v>
      </c>
      <c r="N429" s="155" t="str">
        <f t="shared" si="43"/>
        <v>Fail</v>
      </c>
      <c r="O429" s="147">
        <v>1159</v>
      </c>
      <c r="P429" s="478" t="s">
        <v>576</v>
      </c>
      <c r="Q429" t="s">
        <v>581</v>
      </c>
    </row>
    <row r="430" spans="1:18">
      <c r="A430" s="123">
        <v>44102</v>
      </c>
      <c r="B430" s="123" t="s">
        <v>566</v>
      </c>
      <c r="C430" s="146">
        <v>3</v>
      </c>
      <c r="D430" s="146">
        <v>121</v>
      </c>
      <c r="E430" s="154">
        <f t="shared" si="42"/>
        <v>118</v>
      </c>
      <c r="F430" s="154">
        <v>0</v>
      </c>
      <c r="G430" s="154">
        <v>24</v>
      </c>
      <c r="H430" s="154">
        <f t="shared" si="57"/>
        <v>24</v>
      </c>
      <c r="I430" s="154">
        <v>0</v>
      </c>
      <c r="J430" s="154">
        <v>13</v>
      </c>
      <c r="K430" s="154">
        <f t="shared" si="79"/>
        <v>13</v>
      </c>
      <c r="L430" s="154">
        <v>40</v>
      </c>
      <c r="M430" s="154">
        <v>40</v>
      </c>
      <c r="N430" s="155" t="str">
        <f t="shared" si="43"/>
        <v>Fail</v>
      </c>
      <c r="O430" s="147">
        <v>1159</v>
      </c>
      <c r="P430" s="478" t="s">
        <v>577</v>
      </c>
      <c r="Q430" t="s">
        <v>581</v>
      </c>
    </row>
    <row r="431" spans="1:18">
      <c r="A431" s="123">
        <v>44102</v>
      </c>
      <c r="B431" s="123" t="s">
        <v>564</v>
      </c>
      <c r="C431" s="146">
        <v>3</v>
      </c>
      <c r="D431" s="146">
        <v>280</v>
      </c>
      <c r="E431" s="154">
        <f t="shared" ref="E431:E432" si="83">IF(((C431="")*AND(D431="")),"",D431-C431)</f>
        <v>277</v>
      </c>
      <c r="F431" s="154">
        <v>1</v>
      </c>
      <c r="G431" s="154">
        <v>29</v>
      </c>
      <c r="H431" s="154">
        <f t="shared" si="57"/>
        <v>28</v>
      </c>
      <c r="I431" s="154">
        <v>1</v>
      </c>
      <c r="J431" s="154">
        <v>14</v>
      </c>
      <c r="K431" s="154">
        <f t="shared" si="79"/>
        <v>13</v>
      </c>
      <c r="L431" s="154">
        <v>40</v>
      </c>
      <c r="M431" s="154">
        <v>40</v>
      </c>
      <c r="N431" s="155" t="str">
        <f t="shared" ref="N431:N432" si="84">IF(E431="","",IF(E431&lt;=40,"Pass","Fail"))</f>
        <v>Fail</v>
      </c>
      <c r="O431" s="147">
        <v>1159</v>
      </c>
      <c r="P431" s="480" t="s">
        <v>576</v>
      </c>
      <c r="Q431" t="s">
        <v>579</v>
      </c>
    </row>
    <row r="432" spans="1:18">
      <c r="A432" s="123">
        <v>44102</v>
      </c>
      <c r="B432" s="123" t="s">
        <v>564</v>
      </c>
      <c r="C432" s="146">
        <v>4</v>
      </c>
      <c r="D432" s="146">
        <v>89</v>
      </c>
      <c r="E432" s="154">
        <f t="shared" si="83"/>
        <v>85</v>
      </c>
      <c r="F432" s="154">
        <v>0</v>
      </c>
      <c r="G432" s="154">
        <v>16</v>
      </c>
      <c r="H432" s="154">
        <f t="shared" si="57"/>
        <v>16</v>
      </c>
      <c r="I432" s="154">
        <v>0</v>
      </c>
      <c r="J432" s="154">
        <v>6</v>
      </c>
      <c r="K432" s="154">
        <f t="shared" si="79"/>
        <v>6</v>
      </c>
      <c r="L432" s="154">
        <v>40</v>
      </c>
      <c r="M432" s="154">
        <v>40</v>
      </c>
      <c r="N432" s="155" t="str">
        <f t="shared" si="84"/>
        <v>Fail</v>
      </c>
      <c r="O432" s="147">
        <v>1159</v>
      </c>
      <c r="P432" s="480" t="s">
        <v>578</v>
      </c>
      <c r="Q432" t="s">
        <v>580</v>
      </c>
    </row>
    <row r="433" spans="1:17">
      <c r="A433" s="123">
        <v>44103</v>
      </c>
      <c r="B433" s="123" t="s">
        <v>564</v>
      </c>
      <c r="C433" s="146">
        <v>2</v>
      </c>
      <c r="D433" s="146">
        <v>111</v>
      </c>
      <c r="E433" s="154">
        <f t="shared" ref="E433:E434" si="85">IF(((C433="")*AND(D433="")),"",D433-C433)</f>
        <v>109</v>
      </c>
      <c r="F433" s="154">
        <v>1</v>
      </c>
      <c r="G433" s="154">
        <v>69</v>
      </c>
      <c r="H433" s="154">
        <f t="shared" si="57"/>
        <v>68</v>
      </c>
      <c r="I433" s="154">
        <v>1</v>
      </c>
      <c r="J433" s="154">
        <v>43</v>
      </c>
      <c r="K433" s="154">
        <f t="shared" si="79"/>
        <v>42</v>
      </c>
      <c r="L433" s="154">
        <v>40</v>
      </c>
      <c r="M433" s="154">
        <v>40</v>
      </c>
      <c r="N433" s="155" t="str">
        <f t="shared" ref="N433:N434" si="86">IF(E433="","",IF(E433&lt;=40,"Pass","Fail"))</f>
        <v>Fail</v>
      </c>
      <c r="O433" s="147">
        <v>1428</v>
      </c>
      <c r="P433" s="481" t="s">
        <v>582</v>
      </c>
      <c r="Q433" t="s">
        <v>583</v>
      </c>
    </row>
    <row r="434" spans="1:17">
      <c r="A434" s="123">
        <v>44104</v>
      </c>
      <c r="B434" s="123" t="s">
        <v>566</v>
      </c>
      <c r="C434" s="146">
        <v>5</v>
      </c>
      <c r="D434" s="146">
        <v>38</v>
      </c>
      <c r="E434" s="154">
        <f t="shared" si="85"/>
        <v>33</v>
      </c>
      <c r="F434" s="154">
        <v>2</v>
      </c>
      <c r="G434" s="154">
        <v>16</v>
      </c>
      <c r="H434" s="154">
        <f t="shared" si="57"/>
        <v>14</v>
      </c>
      <c r="I434" s="154">
        <v>0</v>
      </c>
      <c r="J434" s="154">
        <v>7</v>
      </c>
      <c r="K434" s="154">
        <f t="shared" si="79"/>
        <v>7</v>
      </c>
      <c r="L434" s="154">
        <v>40</v>
      </c>
      <c r="M434" s="154">
        <v>40</v>
      </c>
      <c r="N434" s="155" t="str">
        <f t="shared" si="86"/>
        <v>Pass</v>
      </c>
      <c r="O434" s="147">
        <v>74</v>
      </c>
      <c r="P434" s="482" t="s">
        <v>575</v>
      </c>
      <c r="Q434" s="479"/>
    </row>
    <row r="435" spans="1:17">
      <c r="A435" s="123">
        <v>44110</v>
      </c>
      <c r="B435" s="123" t="s">
        <v>564</v>
      </c>
      <c r="C435" s="146">
        <v>9</v>
      </c>
      <c r="D435" s="146">
        <v>108</v>
      </c>
      <c r="E435" s="154">
        <f t="shared" ref="E435" si="87">IF(((C435="")*AND(D435="")),"",D435-C435)</f>
        <v>99</v>
      </c>
      <c r="F435" s="154">
        <v>2</v>
      </c>
      <c r="G435" s="154">
        <v>33</v>
      </c>
      <c r="H435" s="154">
        <f t="shared" si="57"/>
        <v>31</v>
      </c>
      <c r="I435" s="154">
        <v>0</v>
      </c>
      <c r="J435" s="154">
        <v>13</v>
      </c>
      <c r="K435" s="154">
        <f t="shared" si="79"/>
        <v>13</v>
      </c>
      <c r="L435" s="154">
        <v>40</v>
      </c>
      <c r="M435" s="154">
        <v>40</v>
      </c>
      <c r="N435" s="155" t="str">
        <f t="shared" ref="N435" si="88">IF(E435="","",IF(E435&lt;=40,"Pass","Fail"))</f>
        <v>Fail</v>
      </c>
      <c r="O435" s="147">
        <v>1159</v>
      </c>
      <c r="P435" s="483" t="s">
        <v>586</v>
      </c>
      <c r="Q435" s="479" t="s">
        <v>587</v>
      </c>
    </row>
    <row r="436" spans="1:17">
      <c r="A436" s="123">
        <v>44110</v>
      </c>
      <c r="B436" s="123" t="s">
        <v>566</v>
      </c>
      <c r="C436" s="146">
        <v>4</v>
      </c>
      <c r="D436" s="146">
        <v>168</v>
      </c>
      <c r="E436" s="154">
        <f t="shared" si="42"/>
        <v>164</v>
      </c>
      <c r="F436" s="154"/>
      <c r="G436" s="154"/>
      <c r="H436" s="154"/>
      <c r="I436" s="154"/>
      <c r="J436" s="154"/>
      <c r="K436" s="154"/>
      <c r="L436" s="154">
        <v>40</v>
      </c>
      <c r="M436" s="154">
        <v>40</v>
      </c>
      <c r="N436" s="155" t="str">
        <f t="shared" si="43"/>
        <v>Fail</v>
      </c>
      <c r="O436" s="147">
        <v>74</v>
      </c>
      <c r="P436" s="187"/>
    </row>
    <row r="437" spans="1:17">
      <c r="A437" s="123">
        <v>44110</v>
      </c>
      <c r="B437" s="123" t="s">
        <v>566</v>
      </c>
      <c r="C437" s="146">
        <v>2</v>
      </c>
      <c r="D437" s="146">
        <v>38</v>
      </c>
      <c r="E437" s="154">
        <f t="shared" si="42"/>
        <v>36</v>
      </c>
      <c r="F437" s="154"/>
      <c r="G437" s="154"/>
      <c r="H437" s="154"/>
      <c r="I437" s="154"/>
      <c r="J437" s="154"/>
      <c r="K437" s="154"/>
      <c r="L437" s="154">
        <v>40</v>
      </c>
      <c r="M437" s="154">
        <v>40</v>
      </c>
      <c r="N437" s="155" t="str">
        <f t="shared" si="43"/>
        <v>Pass</v>
      </c>
      <c r="O437" s="147">
        <v>74</v>
      </c>
      <c r="P437" s="187"/>
    </row>
    <row r="438" spans="1:17">
      <c r="A438" s="123">
        <v>44110</v>
      </c>
      <c r="B438" s="123" t="s">
        <v>566</v>
      </c>
      <c r="C438" s="146">
        <v>1</v>
      </c>
      <c r="D438" s="146">
        <v>45</v>
      </c>
      <c r="E438" s="154">
        <f t="shared" si="42"/>
        <v>44</v>
      </c>
      <c r="F438" s="154"/>
      <c r="G438" s="154"/>
      <c r="H438" s="154"/>
      <c r="I438" s="154"/>
      <c r="J438" s="154"/>
      <c r="K438" s="154"/>
      <c r="L438" s="154">
        <v>40</v>
      </c>
      <c r="M438" s="154">
        <v>40</v>
      </c>
      <c r="N438" s="155" t="str">
        <f t="shared" si="43"/>
        <v>Fail</v>
      </c>
      <c r="O438" s="147">
        <v>74</v>
      </c>
      <c r="P438" s="187"/>
    </row>
    <row r="439" spans="1:17">
      <c r="A439" s="123">
        <v>44110</v>
      </c>
      <c r="B439" s="123" t="s">
        <v>566</v>
      </c>
      <c r="C439" s="146">
        <v>2</v>
      </c>
      <c r="D439" s="146">
        <v>45</v>
      </c>
      <c r="E439" s="154">
        <f t="shared" si="42"/>
        <v>43</v>
      </c>
      <c r="F439" s="154"/>
      <c r="G439" s="154"/>
      <c r="H439" s="154"/>
      <c r="I439" s="154"/>
      <c r="J439" s="154"/>
      <c r="K439" s="154"/>
      <c r="L439" s="154">
        <v>40</v>
      </c>
      <c r="M439" s="154">
        <v>40</v>
      </c>
      <c r="N439" s="155" t="str">
        <f t="shared" si="43"/>
        <v>Fail</v>
      </c>
      <c r="O439" s="147">
        <v>74</v>
      </c>
      <c r="P439" s="187"/>
    </row>
    <row r="440" spans="1:17">
      <c r="A440" s="123">
        <v>44125</v>
      </c>
      <c r="B440" s="123" t="s">
        <v>566</v>
      </c>
      <c r="C440" s="146">
        <v>6</v>
      </c>
      <c r="D440" s="146">
        <v>36</v>
      </c>
      <c r="E440" s="154">
        <f t="shared" si="42"/>
        <v>30</v>
      </c>
      <c r="F440" s="154">
        <v>3</v>
      </c>
      <c r="G440" s="154">
        <v>14</v>
      </c>
      <c r="H440" s="154">
        <f t="shared" ref="H440:H445" si="89">G440-F440</f>
        <v>11</v>
      </c>
      <c r="I440" s="154">
        <v>0</v>
      </c>
      <c r="J440" s="154">
        <v>8</v>
      </c>
      <c r="K440" s="154">
        <f t="shared" ref="K440:K445" si="90">J440-I440</f>
        <v>8</v>
      </c>
      <c r="L440" s="154">
        <v>40</v>
      </c>
      <c r="M440" s="154">
        <v>40</v>
      </c>
      <c r="N440" s="155" t="str">
        <f t="shared" ref="N440" si="91">IF(E440="","",IF(E440&lt;=40,"Pass","Fail"))</f>
        <v>Pass</v>
      </c>
      <c r="O440" s="147">
        <v>1335</v>
      </c>
      <c r="P440" s="485" t="s">
        <v>589</v>
      </c>
    </row>
    <row r="441" spans="1:17">
      <c r="A441" s="123">
        <v>44133</v>
      </c>
      <c r="B441" s="123" t="s">
        <v>564</v>
      </c>
      <c r="C441" s="146">
        <v>2</v>
      </c>
      <c r="D441" s="146">
        <v>226</v>
      </c>
      <c r="E441" s="154">
        <f t="shared" ref="E441" si="92">IF(((C441="")*AND(D441="")),"",D441-C441)</f>
        <v>224</v>
      </c>
      <c r="F441" s="154">
        <v>0</v>
      </c>
      <c r="G441" s="154">
        <v>28</v>
      </c>
      <c r="H441" s="154">
        <f t="shared" si="89"/>
        <v>28</v>
      </c>
      <c r="I441" s="154">
        <v>0</v>
      </c>
      <c r="J441" s="154">
        <v>14</v>
      </c>
      <c r="K441" s="154">
        <f t="shared" si="90"/>
        <v>14</v>
      </c>
      <c r="L441" s="154">
        <v>40</v>
      </c>
      <c r="M441" s="154">
        <v>40</v>
      </c>
      <c r="N441" s="155" t="str">
        <f t="shared" ref="N441" si="93">IF(E441="","",IF(E441&lt;=40,"Pass","Fail"))</f>
        <v>Fail</v>
      </c>
      <c r="O441" s="147">
        <v>1159</v>
      </c>
      <c r="P441" s="486" t="s">
        <v>590</v>
      </c>
      <c r="Q441" t="s">
        <v>596</v>
      </c>
    </row>
    <row r="442" spans="1:17">
      <c r="A442" s="123">
        <v>44133</v>
      </c>
      <c r="B442" s="123" t="s">
        <v>566</v>
      </c>
      <c r="C442" s="146">
        <v>8</v>
      </c>
      <c r="D442" s="146">
        <v>69</v>
      </c>
      <c r="E442" s="154">
        <f t="shared" ref="E442" si="94">IF(((C442="")*AND(D442="")),"",D442-C442)</f>
        <v>61</v>
      </c>
      <c r="F442" s="154">
        <v>2</v>
      </c>
      <c r="G442" s="154">
        <v>14</v>
      </c>
      <c r="H442" s="154">
        <f t="shared" si="89"/>
        <v>12</v>
      </c>
      <c r="I442" s="154">
        <v>2</v>
      </c>
      <c r="J442" s="154">
        <v>9</v>
      </c>
      <c r="K442" s="154">
        <f t="shared" si="90"/>
        <v>7</v>
      </c>
      <c r="L442" s="154">
        <v>40</v>
      </c>
      <c r="M442" s="154">
        <v>40</v>
      </c>
      <c r="N442" s="155" t="str">
        <f t="shared" ref="N442" si="95">IF(E442="","",IF(E442&lt;=40,"Pass","Fail"))</f>
        <v>Fail</v>
      </c>
      <c r="O442" s="147">
        <v>102</v>
      </c>
      <c r="P442" s="487" t="s">
        <v>591</v>
      </c>
      <c r="Q442" t="s">
        <v>597</v>
      </c>
    </row>
    <row r="443" spans="1:17">
      <c r="A443" s="123">
        <v>44135</v>
      </c>
      <c r="B443" s="123" t="s">
        <v>566</v>
      </c>
      <c r="C443" s="146">
        <v>9</v>
      </c>
      <c r="D443" s="146">
        <v>53</v>
      </c>
      <c r="E443" s="154">
        <f t="shared" si="42"/>
        <v>44</v>
      </c>
      <c r="F443" s="154">
        <v>9</v>
      </c>
      <c r="G443" s="154">
        <v>24</v>
      </c>
      <c r="H443" s="154">
        <f t="shared" si="89"/>
        <v>15</v>
      </c>
      <c r="I443" s="154">
        <v>7</v>
      </c>
      <c r="J443" s="154">
        <v>13</v>
      </c>
      <c r="K443" s="154">
        <f t="shared" si="90"/>
        <v>6</v>
      </c>
      <c r="L443" s="154">
        <v>40</v>
      </c>
      <c r="M443" s="154">
        <v>40</v>
      </c>
      <c r="N443" s="155" t="str">
        <f t="shared" si="43"/>
        <v>Fail</v>
      </c>
      <c r="O443" s="147">
        <v>121</v>
      </c>
      <c r="P443" s="488" t="s">
        <v>592</v>
      </c>
      <c r="Q443" t="s">
        <v>593</v>
      </c>
    </row>
    <row r="444" spans="1:17">
      <c r="A444" s="123">
        <v>44135</v>
      </c>
      <c r="B444" s="123" t="s">
        <v>566</v>
      </c>
      <c r="C444" s="146">
        <v>14</v>
      </c>
      <c r="D444" s="146">
        <v>46</v>
      </c>
      <c r="E444" s="154">
        <f t="shared" si="42"/>
        <v>32</v>
      </c>
      <c r="F444" s="154">
        <v>11</v>
      </c>
      <c r="G444" s="154">
        <v>15</v>
      </c>
      <c r="H444" s="154">
        <f t="shared" si="89"/>
        <v>4</v>
      </c>
      <c r="I444" s="154">
        <v>9</v>
      </c>
      <c r="J444" s="154">
        <v>11</v>
      </c>
      <c r="K444" s="154">
        <f t="shared" si="90"/>
        <v>2</v>
      </c>
      <c r="L444" s="154">
        <v>40</v>
      </c>
      <c r="M444" s="154">
        <v>40</v>
      </c>
      <c r="N444" s="155" t="str">
        <f t="shared" si="43"/>
        <v>Pass</v>
      </c>
      <c r="O444" s="147">
        <v>121</v>
      </c>
      <c r="P444" s="488" t="s">
        <v>594</v>
      </c>
      <c r="Q444" t="s">
        <v>598</v>
      </c>
    </row>
    <row r="445" spans="1:17">
      <c r="A445" s="123">
        <v>44135</v>
      </c>
      <c r="B445" s="123" t="s">
        <v>566</v>
      </c>
      <c r="C445" s="146">
        <v>14</v>
      </c>
      <c r="D445" s="146">
        <v>38</v>
      </c>
      <c r="E445" s="154">
        <f t="shared" si="42"/>
        <v>24</v>
      </c>
      <c r="F445" s="154">
        <v>11</v>
      </c>
      <c r="G445" s="154">
        <v>15</v>
      </c>
      <c r="H445" s="154">
        <f t="shared" si="89"/>
        <v>4</v>
      </c>
      <c r="I445" s="154">
        <v>9</v>
      </c>
      <c r="J445" s="154">
        <v>12</v>
      </c>
      <c r="K445" s="154">
        <f t="shared" si="90"/>
        <v>3</v>
      </c>
      <c r="L445" s="154">
        <v>40</v>
      </c>
      <c r="M445" s="154">
        <v>40</v>
      </c>
      <c r="N445" s="155" t="str">
        <f t="shared" si="43"/>
        <v>Pass</v>
      </c>
      <c r="O445" s="147">
        <v>121</v>
      </c>
      <c r="P445" s="488" t="s">
        <v>595</v>
      </c>
      <c r="Q445" t="s">
        <v>599</v>
      </c>
    </row>
    <row r="446" spans="1:17">
      <c r="A446" s="123">
        <v>44139</v>
      </c>
      <c r="B446" s="123" t="s">
        <v>564</v>
      </c>
      <c r="C446" s="146">
        <v>3</v>
      </c>
      <c r="D446" s="146">
        <v>7</v>
      </c>
      <c r="E446" s="154">
        <f t="shared" si="42"/>
        <v>4</v>
      </c>
      <c r="F446" s="154"/>
      <c r="G446" s="154"/>
      <c r="H446" s="154"/>
      <c r="I446" s="154"/>
      <c r="J446" s="154"/>
      <c r="K446" s="154"/>
      <c r="L446" s="154">
        <v>40</v>
      </c>
      <c r="M446" s="154">
        <v>40</v>
      </c>
      <c r="N446" s="155" t="str">
        <f t="shared" si="43"/>
        <v>Pass</v>
      </c>
      <c r="O446" s="147" t="s">
        <v>612</v>
      </c>
      <c r="P446" s="187"/>
      <c r="Q446" s="123"/>
    </row>
    <row r="447" spans="1:17">
      <c r="A447" s="123"/>
      <c r="B447" s="123"/>
      <c r="C447" s="146"/>
      <c r="D447" s="146"/>
      <c r="E447" s="154" t="str">
        <f t="shared" si="42"/>
        <v/>
      </c>
      <c r="F447" s="154"/>
      <c r="G447" s="154"/>
      <c r="H447" s="154"/>
      <c r="I447" s="154"/>
      <c r="J447" s="154"/>
      <c r="K447" s="154"/>
      <c r="L447" s="154">
        <v>40</v>
      </c>
      <c r="M447" s="154">
        <v>40</v>
      </c>
      <c r="N447" s="155" t="str">
        <f t="shared" si="43"/>
        <v/>
      </c>
      <c r="O447" s="147"/>
      <c r="P447" s="187"/>
      <c r="Q447" s="123"/>
    </row>
    <row r="448" spans="1:17">
      <c r="A448" s="123"/>
      <c r="B448" s="123"/>
      <c r="C448" s="146"/>
      <c r="D448" s="146"/>
      <c r="E448" s="154" t="str">
        <f t="shared" si="42"/>
        <v/>
      </c>
      <c r="F448" s="154"/>
      <c r="G448" s="154"/>
      <c r="H448" s="154"/>
      <c r="I448" s="154"/>
      <c r="J448" s="154"/>
      <c r="K448" s="154"/>
      <c r="L448" s="154">
        <v>40</v>
      </c>
      <c r="M448" s="154">
        <v>40</v>
      </c>
      <c r="N448" s="155" t="str">
        <f t="shared" si="43"/>
        <v/>
      </c>
      <c r="O448" s="147"/>
      <c r="P448" s="187"/>
      <c r="Q448" s="123"/>
    </row>
    <row r="449" spans="1:17">
      <c r="A449" s="123"/>
      <c r="B449" s="123"/>
      <c r="C449" s="146"/>
      <c r="D449" s="146"/>
      <c r="E449" s="154" t="str">
        <f t="shared" si="42"/>
        <v/>
      </c>
      <c r="F449" s="154"/>
      <c r="G449" s="154"/>
      <c r="H449" s="154"/>
      <c r="I449" s="154"/>
      <c r="J449" s="154"/>
      <c r="K449" s="154"/>
      <c r="L449" s="154">
        <v>40</v>
      </c>
      <c r="M449" s="154">
        <v>40</v>
      </c>
      <c r="N449" s="155" t="str">
        <f t="shared" si="43"/>
        <v/>
      </c>
      <c r="O449" s="147"/>
      <c r="P449" s="187"/>
      <c r="Q449" s="123"/>
    </row>
    <row r="450" spans="1:17">
      <c r="A450" s="123"/>
      <c r="B450" s="123"/>
      <c r="C450" s="146"/>
      <c r="D450" s="146"/>
      <c r="E450" s="154" t="str">
        <f t="shared" si="42"/>
        <v/>
      </c>
      <c r="F450" s="154"/>
      <c r="G450" s="154"/>
      <c r="H450" s="154"/>
      <c r="I450" s="154"/>
      <c r="J450" s="154"/>
      <c r="K450" s="154"/>
      <c r="L450" s="154">
        <v>40</v>
      </c>
      <c r="M450" s="154">
        <v>40</v>
      </c>
      <c r="N450" s="155" t="str">
        <f t="shared" si="43"/>
        <v/>
      </c>
      <c r="O450" s="147"/>
      <c r="P450" s="187"/>
      <c r="Q450" s="123"/>
    </row>
    <row r="451" spans="1:17">
      <c r="A451" s="123"/>
      <c r="B451" s="123"/>
      <c r="C451" s="146"/>
      <c r="D451" s="146"/>
      <c r="E451" s="154" t="str">
        <f t="shared" si="42"/>
        <v/>
      </c>
      <c r="F451" s="154"/>
      <c r="G451" s="154"/>
      <c r="H451" s="154"/>
      <c r="I451" s="154"/>
      <c r="J451" s="154"/>
      <c r="K451" s="154"/>
      <c r="L451" s="154">
        <v>40</v>
      </c>
      <c r="M451" s="154">
        <v>40</v>
      </c>
      <c r="N451" s="155" t="str">
        <f t="shared" si="43"/>
        <v/>
      </c>
      <c r="O451" s="147"/>
      <c r="P451" s="187"/>
      <c r="Q451" s="123"/>
    </row>
    <row r="452" spans="1:17">
      <c r="A452" s="123"/>
      <c r="B452" s="123"/>
      <c r="C452" s="146"/>
      <c r="D452" s="146"/>
      <c r="E452" s="154" t="str">
        <f t="shared" si="42"/>
        <v/>
      </c>
      <c r="F452" s="154"/>
      <c r="G452" s="154"/>
      <c r="H452" s="154"/>
      <c r="I452" s="154"/>
      <c r="J452" s="154"/>
      <c r="K452" s="154"/>
      <c r="L452" s="154">
        <v>40</v>
      </c>
      <c r="M452" s="154">
        <v>40</v>
      </c>
      <c r="N452" s="155" t="str">
        <f t="shared" si="43"/>
        <v/>
      </c>
      <c r="O452" s="147"/>
      <c r="P452" s="187"/>
      <c r="Q452" s="123"/>
    </row>
    <row r="453" spans="1:17">
      <c r="A453" s="123"/>
      <c r="B453" s="123"/>
      <c r="C453" s="146"/>
      <c r="D453" s="146"/>
      <c r="E453" s="154" t="str">
        <f t="shared" si="42"/>
        <v/>
      </c>
      <c r="F453" s="154"/>
      <c r="G453" s="154"/>
      <c r="H453" s="154"/>
      <c r="I453" s="154"/>
      <c r="J453" s="154"/>
      <c r="K453" s="154"/>
      <c r="L453" s="154">
        <v>40</v>
      </c>
      <c r="M453" s="154">
        <v>40</v>
      </c>
      <c r="N453" s="155" t="str">
        <f t="shared" si="43"/>
        <v/>
      </c>
      <c r="O453" s="147"/>
      <c r="P453" s="187"/>
      <c r="Q453" s="123"/>
    </row>
    <row r="454" spans="1:17">
      <c r="A454" s="123"/>
      <c r="B454" s="123"/>
      <c r="C454" s="146"/>
      <c r="D454" s="146"/>
      <c r="E454" s="154" t="str">
        <f t="shared" si="42"/>
        <v/>
      </c>
      <c r="F454" s="154"/>
      <c r="G454" s="154"/>
      <c r="H454" s="154"/>
      <c r="I454" s="154"/>
      <c r="J454" s="154"/>
      <c r="K454" s="154"/>
      <c r="L454" s="154">
        <v>40</v>
      </c>
      <c r="M454" s="154">
        <v>40</v>
      </c>
      <c r="N454" s="155" t="str">
        <f t="shared" si="43"/>
        <v/>
      </c>
      <c r="O454" s="147"/>
      <c r="P454" s="187"/>
      <c r="Q454" s="123"/>
    </row>
    <row r="455" spans="1:17">
      <c r="A455" s="123"/>
      <c r="B455" s="123"/>
      <c r="C455" s="146"/>
      <c r="D455" s="146"/>
      <c r="E455" s="154" t="str">
        <f t="shared" si="42"/>
        <v/>
      </c>
      <c r="F455" s="154"/>
      <c r="G455" s="154"/>
      <c r="H455" s="154"/>
      <c r="I455" s="154"/>
      <c r="J455" s="154"/>
      <c r="K455" s="154"/>
      <c r="L455" s="154">
        <v>40</v>
      </c>
      <c r="M455" s="154">
        <v>40</v>
      </c>
      <c r="N455" s="155" t="str">
        <f t="shared" si="43"/>
        <v/>
      </c>
      <c r="O455" s="147"/>
      <c r="P455" s="187"/>
      <c r="Q455" s="123"/>
    </row>
    <row r="456" spans="1:17">
      <c r="A456" s="123"/>
      <c r="B456" s="123"/>
      <c r="C456" s="146"/>
      <c r="D456" s="146"/>
      <c r="E456" s="154" t="str">
        <f t="shared" si="42"/>
        <v/>
      </c>
      <c r="F456" s="154"/>
      <c r="G456" s="154"/>
      <c r="H456" s="154"/>
      <c r="I456" s="154"/>
      <c r="J456" s="154"/>
      <c r="K456" s="154"/>
      <c r="L456" s="154">
        <v>40</v>
      </c>
      <c r="M456" s="154">
        <v>40</v>
      </c>
      <c r="N456" s="155" t="str">
        <f t="shared" si="43"/>
        <v/>
      </c>
      <c r="O456" s="147"/>
      <c r="P456" s="187"/>
      <c r="Q456" s="123"/>
    </row>
    <row r="457" spans="1:17">
      <c r="A457" s="123"/>
      <c r="B457" s="123"/>
      <c r="C457" s="146"/>
      <c r="D457" s="146"/>
      <c r="E457" s="154" t="str">
        <f t="shared" si="42"/>
        <v/>
      </c>
      <c r="F457" s="154"/>
      <c r="G457" s="154"/>
      <c r="H457" s="154"/>
      <c r="I457" s="154"/>
      <c r="J457" s="154"/>
      <c r="K457" s="154"/>
      <c r="L457" s="154">
        <v>40</v>
      </c>
      <c r="M457" s="154">
        <v>40</v>
      </c>
      <c r="N457" s="155" t="str">
        <f t="shared" si="43"/>
        <v/>
      </c>
      <c r="O457" s="147"/>
      <c r="P457" s="187"/>
      <c r="Q457" s="123"/>
    </row>
    <row r="458" spans="1:17">
      <c r="A458" s="123"/>
      <c r="B458" s="123"/>
      <c r="C458" s="146"/>
      <c r="D458" s="146"/>
      <c r="E458" s="154" t="str">
        <f t="shared" si="42"/>
        <v/>
      </c>
      <c r="F458" s="154"/>
      <c r="G458" s="154"/>
      <c r="H458" s="154"/>
      <c r="I458" s="154"/>
      <c r="J458" s="154"/>
      <c r="K458" s="154"/>
      <c r="L458" s="154">
        <v>40</v>
      </c>
      <c r="M458" s="154">
        <v>40</v>
      </c>
      <c r="N458" s="155" t="str">
        <f t="shared" si="43"/>
        <v/>
      </c>
      <c r="O458" s="147"/>
      <c r="P458" s="187"/>
      <c r="Q458" s="123"/>
    </row>
    <row r="459" spans="1:17">
      <c r="A459" s="123"/>
      <c r="B459" s="123"/>
      <c r="C459" s="146"/>
      <c r="D459" s="146"/>
      <c r="E459" s="154" t="str">
        <f t="shared" si="42"/>
        <v/>
      </c>
      <c r="F459" s="154"/>
      <c r="G459" s="154"/>
      <c r="H459" s="154"/>
      <c r="I459" s="154"/>
      <c r="J459" s="154"/>
      <c r="K459" s="154"/>
      <c r="L459" s="154">
        <v>40</v>
      </c>
      <c r="M459" s="154">
        <v>40</v>
      </c>
      <c r="N459" s="155" t="str">
        <f t="shared" si="43"/>
        <v/>
      </c>
      <c r="O459" s="147"/>
      <c r="P459" s="187"/>
      <c r="Q459" s="123"/>
    </row>
    <row r="460" spans="1:17">
      <c r="A460" s="123"/>
      <c r="B460" s="123"/>
      <c r="C460" s="146"/>
      <c r="D460" s="146"/>
      <c r="E460" s="154" t="str">
        <f t="shared" si="42"/>
        <v/>
      </c>
      <c r="F460" s="154"/>
      <c r="G460" s="154"/>
      <c r="H460" s="154"/>
      <c r="I460" s="154"/>
      <c r="J460" s="154"/>
      <c r="K460" s="154"/>
      <c r="L460" s="154">
        <v>40</v>
      </c>
      <c r="M460" s="154">
        <v>40</v>
      </c>
      <c r="N460" s="155" t="str">
        <f t="shared" si="43"/>
        <v/>
      </c>
      <c r="O460" s="147"/>
      <c r="P460" s="187"/>
      <c r="Q460" s="123"/>
    </row>
    <row r="461" spans="1:17">
      <c r="A461" s="123"/>
      <c r="B461" s="123"/>
      <c r="C461" s="146"/>
      <c r="D461" s="146"/>
      <c r="E461" s="154" t="str">
        <f t="shared" si="42"/>
        <v/>
      </c>
      <c r="F461" s="154"/>
      <c r="G461" s="154"/>
      <c r="H461" s="154"/>
      <c r="I461" s="154"/>
      <c r="J461" s="154"/>
      <c r="K461" s="154"/>
      <c r="L461" s="154">
        <v>40</v>
      </c>
      <c r="M461" s="154">
        <v>40</v>
      </c>
      <c r="N461" s="155" t="str">
        <f t="shared" si="43"/>
        <v/>
      </c>
      <c r="O461" s="147"/>
      <c r="P461" s="187"/>
      <c r="Q461" s="123"/>
    </row>
    <row r="462" spans="1:17">
      <c r="A462" s="123"/>
      <c r="B462" s="123"/>
      <c r="C462" s="146"/>
      <c r="D462" s="146"/>
      <c r="E462" s="154" t="str">
        <f t="shared" si="42"/>
        <v/>
      </c>
      <c r="F462" s="154"/>
      <c r="G462" s="154"/>
      <c r="H462" s="154"/>
      <c r="I462" s="154"/>
      <c r="J462" s="154"/>
      <c r="K462" s="154"/>
      <c r="L462" s="154">
        <v>40</v>
      </c>
      <c r="M462" s="154">
        <v>40</v>
      </c>
      <c r="N462" s="155" t="str">
        <f t="shared" si="43"/>
        <v/>
      </c>
      <c r="O462" s="147"/>
      <c r="P462" s="187"/>
      <c r="Q462" s="123"/>
    </row>
    <row r="463" spans="1:17">
      <c r="A463" s="123"/>
      <c r="B463" s="123"/>
      <c r="C463" s="146"/>
      <c r="D463" s="146"/>
      <c r="E463" s="154" t="str">
        <f t="shared" si="42"/>
        <v/>
      </c>
      <c r="F463" s="154"/>
      <c r="G463" s="154"/>
      <c r="H463" s="154"/>
      <c r="I463" s="154"/>
      <c r="J463" s="154"/>
      <c r="K463" s="154"/>
      <c r="L463" s="154">
        <v>40</v>
      </c>
      <c r="M463" s="154">
        <v>40</v>
      </c>
      <c r="N463" s="155" t="str">
        <f t="shared" si="43"/>
        <v/>
      </c>
      <c r="O463" s="147"/>
      <c r="P463" s="187"/>
      <c r="Q463" s="123"/>
    </row>
    <row r="464" spans="1:17">
      <c r="A464" s="123"/>
      <c r="B464" s="123"/>
      <c r="C464" s="146"/>
      <c r="D464" s="146"/>
      <c r="E464" s="154" t="str">
        <f t="shared" ref="E464:E478" si="96">IF(((C464="")*AND(D464="")),"",D464-C464)</f>
        <v/>
      </c>
      <c r="F464" s="154"/>
      <c r="G464" s="154"/>
      <c r="H464" s="154"/>
      <c r="I464" s="154"/>
      <c r="J464" s="154"/>
      <c r="K464" s="154"/>
      <c r="L464" s="154">
        <v>40</v>
      </c>
      <c r="M464" s="154">
        <v>40</v>
      </c>
      <c r="N464" s="155" t="str">
        <f t="shared" ref="N464:N478" si="97">IF(E464="","",IF(E464&lt;=40,"Pass","Fail"))</f>
        <v/>
      </c>
      <c r="O464" s="147"/>
      <c r="P464" s="187"/>
      <c r="Q464" s="123"/>
    </row>
    <row r="465" spans="1:17">
      <c r="A465" s="123"/>
      <c r="B465" s="123"/>
      <c r="C465" s="146"/>
      <c r="D465" s="146"/>
      <c r="E465" s="154" t="str">
        <f t="shared" si="96"/>
        <v/>
      </c>
      <c r="F465" s="154"/>
      <c r="G465" s="154"/>
      <c r="H465" s="154"/>
      <c r="I465" s="154"/>
      <c r="J465" s="154"/>
      <c r="K465" s="154"/>
      <c r="L465" s="154">
        <v>40</v>
      </c>
      <c r="M465" s="154">
        <v>40</v>
      </c>
      <c r="N465" s="155" t="str">
        <f t="shared" si="97"/>
        <v/>
      </c>
      <c r="O465" s="147"/>
      <c r="P465" s="187"/>
      <c r="Q465" s="123"/>
    </row>
    <row r="466" spans="1:17">
      <c r="A466" s="123"/>
      <c r="B466" s="123"/>
      <c r="C466" s="146"/>
      <c r="D466" s="146"/>
      <c r="E466" s="154" t="str">
        <f t="shared" si="96"/>
        <v/>
      </c>
      <c r="F466" s="154"/>
      <c r="G466" s="154"/>
      <c r="H466" s="154"/>
      <c r="I466" s="154"/>
      <c r="J466" s="154"/>
      <c r="K466" s="154"/>
      <c r="L466" s="154">
        <v>40</v>
      </c>
      <c r="M466" s="154">
        <v>40</v>
      </c>
      <c r="N466" s="155" t="str">
        <f t="shared" si="97"/>
        <v/>
      </c>
      <c r="O466" s="147"/>
      <c r="P466" s="187"/>
      <c r="Q466" s="123"/>
    </row>
    <row r="467" spans="1:17">
      <c r="A467" s="123"/>
      <c r="B467" s="123"/>
      <c r="C467" s="146"/>
      <c r="D467" s="146"/>
      <c r="E467" s="154" t="str">
        <f t="shared" si="96"/>
        <v/>
      </c>
      <c r="F467" s="154"/>
      <c r="G467" s="154"/>
      <c r="H467" s="154"/>
      <c r="I467" s="154"/>
      <c r="J467" s="154"/>
      <c r="K467" s="154"/>
      <c r="L467" s="154">
        <v>40</v>
      </c>
      <c r="M467" s="154">
        <v>40</v>
      </c>
      <c r="N467" s="155" t="str">
        <f t="shared" si="97"/>
        <v/>
      </c>
      <c r="O467" s="147"/>
      <c r="P467" s="187"/>
      <c r="Q467" s="123"/>
    </row>
    <row r="468" spans="1:17">
      <c r="A468" s="123"/>
      <c r="B468" s="123"/>
      <c r="C468" s="146"/>
      <c r="D468" s="146"/>
      <c r="E468" s="154" t="str">
        <f t="shared" si="96"/>
        <v/>
      </c>
      <c r="F468" s="154"/>
      <c r="G468" s="154"/>
      <c r="H468" s="154"/>
      <c r="I468" s="154"/>
      <c r="J468" s="154"/>
      <c r="K468" s="154"/>
      <c r="L468" s="154">
        <v>40</v>
      </c>
      <c r="M468" s="154">
        <v>40</v>
      </c>
      <c r="N468" s="155" t="str">
        <f t="shared" si="97"/>
        <v/>
      </c>
      <c r="O468" s="147"/>
      <c r="P468" s="187"/>
      <c r="Q468" s="123"/>
    </row>
    <row r="469" spans="1:17">
      <c r="A469" s="123"/>
      <c r="B469" s="123"/>
      <c r="C469" s="146"/>
      <c r="D469" s="146"/>
      <c r="E469" s="154" t="str">
        <f t="shared" si="96"/>
        <v/>
      </c>
      <c r="F469" s="154"/>
      <c r="G469" s="154"/>
      <c r="H469" s="154"/>
      <c r="I469" s="154"/>
      <c r="J469" s="154"/>
      <c r="K469" s="154"/>
      <c r="L469" s="154">
        <v>40</v>
      </c>
      <c r="M469" s="154">
        <v>40</v>
      </c>
      <c r="N469" s="155" t="str">
        <f t="shared" si="97"/>
        <v/>
      </c>
      <c r="O469" s="147"/>
      <c r="P469" s="187"/>
      <c r="Q469" s="123"/>
    </row>
    <row r="470" spans="1:17">
      <c r="A470" s="123"/>
      <c r="B470" s="123"/>
      <c r="C470" s="146"/>
      <c r="D470" s="146"/>
      <c r="E470" s="154" t="str">
        <f t="shared" si="96"/>
        <v/>
      </c>
      <c r="F470" s="154"/>
      <c r="G470" s="154"/>
      <c r="H470" s="154"/>
      <c r="I470" s="154"/>
      <c r="J470" s="154"/>
      <c r="K470" s="154"/>
      <c r="L470" s="154">
        <v>40</v>
      </c>
      <c r="M470" s="154">
        <v>40</v>
      </c>
      <c r="N470" s="155" t="str">
        <f t="shared" si="97"/>
        <v/>
      </c>
      <c r="O470" s="147"/>
      <c r="P470" s="187"/>
      <c r="Q470" s="123"/>
    </row>
    <row r="471" spans="1:17">
      <c r="A471" s="123"/>
      <c r="B471" s="123"/>
      <c r="C471" s="146"/>
      <c r="D471" s="146"/>
      <c r="E471" s="154" t="str">
        <f t="shared" si="96"/>
        <v/>
      </c>
      <c r="F471" s="154"/>
      <c r="G471" s="154"/>
      <c r="H471" s="154"/>
      <c r="I471" s="154"/>
      <c r="J471" s="154"/>
      <c r="K471" s="154"/>
      <c r="L471" s="154">
        <v>40</v>
      </c>
      <c r="M471" s="154">
        <v>40</v>
      </c>
      <c r="N471" s="155" t="str">
        <f t="shared" si="97"/>
        <v/>
      </c>
      <c r="O471" s="147"/>
      <c r="P471" s="187"/>
      <c r="Q471" s="123"/>
    </row>
    <row r="472" spans="1:17">
      <c r="A472" s="123"/>
      <c r="B472" s="123"/>
      <c r="C472" s="146"/>
      <c r="D472" s="146"/>
      <c r="E472" s="154" t="str">
        <f t="shared" si="96"/>
        <v/>
      </c>
      <c r="F472" s="154"/>
      <c r="G472" s="154"/>
      <c r="H472" s="154"/>
      <c r="I472" s="154"/>
      <c r="J472" s="154"/>
      <c r="K472" s="154"/>
      <c r="L472" s="154">
        <v>40</v>
      </c>
      <c r="M472" s="154">
        <v>40</v>
      </c>
      <c r="N472" s="155" t="str">
        <f t="shared" si="97"/>
        <v/>
      </c>
      <c r="O472" s="147"/>
      <c r="P472" s="187"/>
      <c r="Q472" s="123"/>
    </row>
    <row r="473" spans="1:17">
      <c r="A473" s="123"/>
      <c r="B473" s="123"/>
      <c r="C473" s="146"/>
      <c r="D473" s="146"/>
      <c r="E473" s="154" t="str">
        <f t="shared" si="96"/>
        <v/>
      </c>
      <c r="F473" s="154"/>
      <c r="G473" s="154"/>
      <c r="H473" s="154"/>
      <c r="I473" s="154"/>
      <c r="J473" s="154"/>
      <c r="K473" s="154"/>
      <c r="L473" s="154">
        <v>40</v>
      </c>
      <c r="M473" s="154">
        <v>40</v>
      </c>
      <c r="N473" s="155" t="str">
        <f t="shared" si="97"/>
        <v/>
      </c>
      <c r="O473" s="147"/>
      <c r="P473" s="187"/>
      <c r="Q473" s="123"/>
    </row>
    <row r="474" spans="1:17">
      <c r="A474" s="123"/>
      <c r="B474" s="123"/>
      <c r="C474" s="146"/>
      <c r="D474" s="146"/>
      <c r="E474" s="154" t="str">
        <f t="shared" si="96"/>
        <v/>
      </c>
      <c r="F474" s="154"/>
      <c r="G474" s="154"/>
      <c r="H474" s="154"/>
      <c r="I474" s="154"/>
      <c r="J474" s="154"/>
      <c r="K474" s="154"/>
      <c r="L474" s="154">
        <v>40</v>
      </c>
      <c r="M474" s="154">
        <v>40</v>
      </c>
      <c r="N474" s="155" t="str">
        <f t="shared" si="97"/>
        <v/>
      </c>
      <c r="O474" s="147"/>
      <c r="P474" s="187"/>
      <c r="Q474" s="123"/>
    </row>
    <row r="475" spans="1:17">
      <c r="A475" s="123"/>
      <c r="B475" s="123"/>
      <c r="C475" s="146"/>
      <c r="D475" s="146"/>
      <c r="E475" s="154" t="str">
        <f t="shared" si="96"/>
        <v/>
      </c>
      <c r="F475" s="154"/>
      <c r="G475" s="154"/>
      <c r="H475" s="154"/>
      <c r="I475" s="154"/>
      <c r="J475" s="154"/>
      <c r="K475" s="154"/>
      <c r="L475" s="154">
        <v>40</v>
      </c>
      <c r="M475" s="154">
        <v>40</v>
      </c>
      <c r="N475" s="155" t="str">
        <f t="shared" si="97"/>
        <v/>
      </c>
      <c r="O475" s="147"/>
      <c r="P475" s="187"/>
      <c r="Q475" s="123"/>
    </row>
    <row r="476" spans="1:17">
      <c r="A476" s="123"/>
      <c r="B476" s="123"/>
      <c r="C476" s="146"/>
      <c r="D476" s="146"/>
      <c r="E476" s="154" t="str">
        <f t="shared" si="96"/>
        <v/>
      </c>
      <c r="F476" s="154"/>
      <c r="G476" s="154"/>
      <c r="H476" s="154"/>
      <c r="I476" s="154"/>
      <c r="J476" s="154"/>
      <c r="K476" s="154"/>
      <c r="L476" s="154">
        <v>40</v>
      </c>
      <c r="M476" s="154">
        <v>40</v>
      </c>
      <c r="N476" s="155" t="str">
        <f t="shared" si="97"/>
        <v/>
      </c>
      <c r="O476" s="147"/>
      <c r="P476" s="187"/>
      <c r="Q476" s="123"/>
    </row>
    <row r="477" spans="1:17">
      <c r="A477" s="123"/>
      <c r="B477" s="123"/>
      <c r="C477" s="146"/>
      <c r="D477" s="146"/>
      <c r="E477" s="154" t="str">
        <f t="shared" si="96"/>
        <v/>
      </c>
      <c r="F477" s="154"/>
      <c r="G477" s="154"/>
      <c r="H477" s="154"/>
      <c r="I477" s="154"/>
      <c r="J477" s="154"/>
      <c r="K477" s="154"/>
      <c r="L477" s="154">
        <v>40</v>
      </c>
      <c r="M477" s="154">
        <v>40</v>
      </c>
      <c r="N477" s="155" t="str">
        <f t="shared" si="97"/>
        <v/>
      </c>
      <c r="O477" s="147"/>
      <c r="P477" s="187"/>
      <c r="Q477" s="123"/>
    </row>
    <row r="478" spans="1:17">
      <c r="A478" s="123"/>
      <c r="B478" s="123"/>
      <c r="C478" s="146"/>
      <c r="D478" s="146"/>
      <c r="E478" s="154" t="str">
        <f t="shared" si="96"/>
        <v/>
      </c>
      <c r="F478" s="154"/>
      <c r="G478" s="154"/>
      <c r="H478" s="154"/>
      <c r="I478" s="154"/>
      <c r="J478" s="154"/>
      <c r="K478" s="154"/>
      <c r="L478" s="154">
        <v>40</v>
      </c>
      <c r="M478" s="154">
        <v>40</v>
      </c>
      <c r="N478" s="155" t="str">
        <f t="shared" si="97"/>
        <v/>
      </c>
      <c r="O478" s="147"/>
      <c r="P478" s="187"/>
      <c r="Q478" s="123"/>
    </row>
  </sheetData>
  <autoFilter ref="A10:R478">
    <filterColumn colId="1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conditionalFormatting sqref="O259:O268 N11:N268 O316:P316 P317:P334 N335:P337 P339:P340 P342:P345 A357:B366 P366:P370 P373:P382 P385:P389 P391:P394 N397:P403 P406:P432 N433:P435 N269:O478 P440:P445">
    <cfRule type="containsText" dxfId="19" priority="1374" stopIfTrue="1" operator="containsText" text="PASS">
      <formula>NOT(ISERROR(SEARCH("PASS",A11)))</formula>
    </cfRule>
    <cfRule type="containsText" dxfId="18" priority="1375" stopIfTrue="1" operator="containsText" text="FAIL">
      <formula>NOT(ISERROR(SEARCH("FAIL",A11)))</formula>
    </cfRule>
  </conditionalFormatting>
  <conditionalFormatting sqref="A1:B1048576">
    <cfRule type="timePeriod" dxfId="17" priority="359" timePeriod="today">
      <formula>FLOOR(A1,1)=TODAY()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336"/>
  <sheetViews>
    <sheetView zoomScale="60" zoomScaleNormal="60" workbookViewId="0">
      <pane ySplit="13" topLeftCell="A1325" activePane="bottomLeft" state="frozen"/>
      <selection pane="bottomLeft" activeCell="X1331" sqref="X1331"/>
    </sheetView>
  </sheetViews>
  <sheetFormatPr defaultColWidth="8.75" defaultRowHeight="12.75"/>
  <cols>
    <col min="1" max="1" width="11" style="40" customWidth="1"/>
    <col min="2" max="2" width="7.25" style="35" customWidth="1"/>
    <col min="3" max="3" width="13.375" style="35" customWidth="1"/>
    <col min="4" max="5" width="10.875" style="35" bestFit="1" customWidth="1"/>
    <col min="6" max="6" width="12.25" style="35" customWidth="1"/>
    <col min="7" max="9" width="10.875" style="35" bestFit="1" customWidth="1"/>
    <col min="10" max="10" width="10.75" style="35" customWidth="1"/>
    <col min="11" max="16" width="10.875" style="35" bestFit="1" customWidth="1"/>
    <col min="17" max="17" width="8" style="39" customWidth="1"/>
    <col min="18" max="18" width="7.25" style="39" bestFit="1" customWidth="1"/>
    <col min="19" max="19" width="8.75" style="39" customWidth="1"/>
    <col min="20" max="20" width="6.37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25" style="38" customWidth="1"/>
    <col min="31" max="31" width="10.5" style="36" customWidth="1"/>
    <col min="32" max="16384" width="8.75" style="35"/>
  </cols>
  <sheetData>
    <row r="1" spans="1:31" s="105" customFormat="1" ht="12.75" customHeight="1">
      <c r="A1" s="249" t="s">
        <v>14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1"/>
      <c r="Q1" s="252"/>
      <c r="R1" s="252"/>
      <c r="S1" s="252"/>
      <c r="T1" s="252"/>
      <c r="U1" s="252"/>
      <c r="V1" s="253"/>
      <c r="W1" s="253"/>
      <c r="X1" s="249"/>
      <c r="Y1" s="254"/>
      <c r="Z1" s="255"/>
      <c r="AA1" s="255"/>
      <c r="AB1" s="255"/>
      <c r="AC1" s="255"/>
      <c r="AD1" s="256"/>
      <c r="AE1" s="257"/>
    </row>
    <row r="2" spans="1:31" ht="12.75" customHeight="1">
      <c r="A2" s="258" t="s">
        <v>459</v>
      </c>
      <c r="B2" s="250"/>
      <c r="C2" s="259"/>
      <c r="D2" s="260"/>
      <c r="E2" s="250"/>
      <c r="F2" s="250"/>
      <c r="G2" s="250"/>
      <c r="H2" s="250"/>
      <c r="I2" s="261"/>
      <c r="J2" s="250" t="s">
        <v>460</v>
      </c>
      <c r="K2" s="250"/>
      <c r="L2" s="250"/>
      <c r="M2" s="250"/>
      <c r="N2" s="250"/>
      <c r="O2" s="250"/>
      <c r="P2" s="251"/>
      <c r="Q2" s="262" t="s">
        <v>288</v>
      </c>
      <c r="R2" s="263"/>
      <c r="S2" s="264" t="s">
        <v>269</v>
      </c>
      <c r="T2" s="264" t="s">
        <v>268</v>
      </c>
      <c r="U2" s="264"/>
      <c r="V2" s="265" t="s">
        <v>270</v>
      </c>
      <c r="W2" s="265" t="s">
        <v>48</v>
      </c>
      <c r="X2" s="249"/>
      <c r="Y2" s="266"/>
      <c r="Z2" s="267"/>
      <c r="AA2" s="267"/>
      <c r="AB2" s="267"/>
      <c r="AC2" s="267"/>
      <c r="AD2" s="268"/>
      <c r="AE2" s="269"/>
    </row>
    <row r="3" spans="1:31" ht="12.75" customHeight="1">
      <c r="A3" s="258" t="s">
        <v>461</v>
      </c>
      <c r="B3" s="270"/>
      <c r="C3" s="271"/>
      <c r="D3" s="271"/>
      <c r="E3" s="261"/>
      <c r="F3" s="261" t="s">
        <v>571</v>
      </c>
      <c r="G3" s="261"/>
      <c r="H3" s="261"/>
      <c r="I3" s="261"/>
      <c r="J3" s="261"/>
      <c r="K3" s="261"/>
      <c r="L3" s="261"/>
      <c r="M3" s="261"/>
      <c r="N3" s="261"/>
      <c r="O3" s="261"/>
      <c r="P3" s="272"/>
      <c r="Q3" s="273" t="s">
        <v>285</v>
      </c>
      <c r="R3" s="274"/>
      <c r="S3" s="96">
        <v>4720</v>
      </c>
      <c r="T3" s="96">
        <v>5640</v>
      </c>
      <c r="U3" s="96"/>
      <c r="V3" s="275">
        <v>4470</v>
      </c>
      <c r="W3" s="275">
        <v>6020</v>
      </c>
      <c r="X3" s="276"/>
      <c r="Y3" s="277"/>
      <c r="Z3" s="267"/>
      <c r="AA3" s="267"/>
      <c r="AB3" s="267"/>
      <c r="AC3" s="267"/>
      <c r="AD3" s="268"/>
      <c r="AE3" s="269"/>
    </row>
    <row r="4" spans="1:31" ht="12.75" customHeight="1">
      <c r="A4" s="258" t="s">
        <v>462</v>
      </c>
      <c r="B4" s="250"/>
      <c r="C4" s="260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72"/>
      <c r="Q4" s="273" t="s">
        <v>280</v>
      </c>
      <c r="R4" s="274"/>
      <c r="S4" s="96">
        <v>0</v>
      </c>
      <c r="T4" s="96">
        <v>2.5</v>
      </c>
      <c r="U4" s="96"/>
      <c r="V4" s="275">
        <v>0</v>
      </c>
      <c r="W4" s="275">
        <v>10</v>
      </c>
      <c r="X4" s="276"/>
      <c r="Y4" s="277"/>
      <c r="Z4" s="267"/>
      <c r="AA4" s="267"/>
      <c r="AB4" s="267"/>
      <c r="AC4" s="267"/>
      <c r="AD4" s="268"/>
      <c r="AE4" s="269"/>
    </row>
    <row r="5" spans="1:31" ht="12.75" customHeight="1">
      <c r="A5" s="258" t="s">
        <v>283</v>
      </c>
      <c r="B5" s="250"/>
      <c r="C5" s="260"/>
      <c r="D5" s="260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72"/>
      <c r="Q5" s="273" t="s">
        <v>282</v>
      </c>
      <c r="R5" s="274"/>
      <c r="S5" s="96">
        <v>6300</v>
      </c>
      <c r="T5" s="96">
        <v>8260</v>
      </c>
      <c r="U5" s="96"/>
      <c r="V5" s="275">
        <v>4955</v>
      </c>
      <c r="W5" s="275">
        <v>9645</v>
      </c>
      <c r="X5" s="276"/>
      <c r="Y5" s="277"/>
      <c r="Z5" s="267"/>
      <c r="AA5" s="267"/>
      <c r="AB5" s="267"/>
      <c r="AC5" s="267"/>
      <c r="AD5" s="268"/>
      <c r="AE5" s="269"/>
    </row>
    <row r="6" spans="1:31" ht="12.75" customHeight="1">
      <c r="A6" s="258" t="s">
        <v>463</v>
      </c>
      <c r="B6" s="250"/>
      <c r="C6" s="260"/>
      <c r="D6" s="260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72"/>
      <c r="Q6" s="273" t="s">
        <v>280</v>
      </c>
      <c r="R6" s="274"/>
      <c r="S6" s="96">
        <v>0</v>
      </c>
      <c r="T6" s="96">
        <v>10</v>
      </c>
      <c r="U6" s="96"/>
      <c r="V6" s="275">
        <v>0</v>
      </c>
      <c r="W6" s="275">
        <v>10</v>
      </c>
      <c r="X6" s="276"/>
      <c r="Y6" s="277"/>
      <c r="Z6" s="267"/>
      <c r="AA6" s="267"/>
      <c r="AB6" s="267"/>
      <c r="AC6" s="267"/>
      <c r="AD6" s="268"/>
      <c r="AE6" s="269"/>
    </row>
    <row r="7" spans="1:31" ht="12.75" customHeight="1">
      <c r="A7" s="258" t="s">
        <v>279</v>
      </c>
      <c r="B7" s="250"/>
      <c r="C7" s="260"/>
      <c r="D7" s="260"/>
      <c r="E7" s="259"/>
      <c r="F7" s="259"/>
      <c r="G7" s="259"/>
      <c r="H7" s="259"/>
      <c r="I7" s="259"/>
      <c r="J7" s="278"/>
      <c r="K7" s="261"/>
      <c r="L7" s="261"/>
      <c r="M7" s="261"/>
      <c r="N7" s="261"/>
      <c r="O7" s="261"/>
      <c r="P7" s="272"/>
      <c r="Q7" s="279"/>
      <c r="R7" s="279"/>
      <c r="S7" s="280"/>
      <c r="T7" s="88"/>
      <c r="U7" s="88"/>
      <c r="V7" s="87"/>
      <c r="W7" s="281"/>
      <c r="X7" s="282"/>
      <c r="Y7" s="283"/>
      <c r="Z7" s="267"/>
      <c r="AA7" s="267"/>
      <c r="AB7" s="267"/>
      <c r="AC7" s="267"/>
      <c r="AD7" s="268"/>
      <c r="AE7" s="269"/>
    </row>
    <row r="8" spans="1:31" s="139" customFormat="1" ht="15">
      <c r="A8" s="135"/>
      <c r="B8" s="136"/>
      <c r="C8" s="523" t="s">
        <v>309</v>
      </c>
      <c r="D8" s="524"/>
      <c r="E8" s="524"/>
      <c r="F8" s="524"/>
      <c r="G8" s="524"/>
      <c r="H8" s="524"/>
      <c r="I8" s="524"/>
      <c r="J8" s="524"/>
      <c r="K8" s="524"/>
      <c r="L8" s="524"/>
      <c r="M8" s="524"/>
      <c r="N8" s="524"/>
      <c r="O8" s="524"/>
      <c r="P8" s="524"/>
      <c r="Q8" s="137"/>
      <c r="R8" s="137"/>
      <c r="S8" s="138"/>
      <c r="T8" s="284"/>
      <c r="U8" s="284"/>
      <c r="V8" s="285"/>
      <c r="W8" s="286"/>
      <c r="X8" s="287"/>
      <c r="Y8" s="284"/>
      <c r="Z8" s="285"/>
      <c r="AA8" s="288"/>
      <c r="AB8" s="285"/>
      <c r="AC8" s="285"/>
      <c r="AD8" s="285"/>
      <c r="AE8" s="285"/>
    </row>
    <row r="9" spans="1:31" s="139" customFormat="1" ht="15">
      <c r="A9" s="211"/>
      <c r="B9" s="521" t="s">
        <v>202</v>
      </c>
      <c r="C9" s="216" t="s">
        <v>416</v>
      </c>
      <c r="D9" s="289">
        <v>-18.503522</v>
      </c>
      <c r="E9" s="289">
        <v>-18.503522</v>
      </c>
      <c r="F9" s="289">
        <v>-18.503522</v>
      </c>
      <c r="G9" s="289">
        <v>-18.503522</v>
      </c>
      <c r="H9" s="289">
        <v>-18.503522</v>
      </c>
      <c r="I9" s="289">
        <v>-84.177487999999997</v>
      </c>
      <c r="J9" s="289">
        <v>-40.394843999999999</v>
      </c>
      <c r="K9" s="289">
        <v>25.279122000000001</v>
      </c>
      <c r="L9" s="289">
        <v>69.061766000000006</v>
      </c>
      <c r="M9" s="290"/>
      <c r="N9" s="290"/>
      <c r="O9" s="290"/>
      <c r="P9" s="290"/>
      <c r="Q9" s="212"/>
      <c r="R9" s="212"/>
      <c r="S9" s="213"/>
      <c r="T9" s="284"/>
      <c r="U9" s="284"/>
      <c r="V9" s="285"/>
      <c r="W9" s="284"/>
      <c r="X9" s="287"/>
      <c r="Y9" s="284"/>
      <c r="Z9" s="285"/>
      <c r="AA9" s="288"/>
      <c r="AB9" s="285"/>
      <c r="AC9" s="285"/>
      <c r="AD9" s="285"/>
      <c r="AE9" s="285"/>
    </row>
    <row r="10" spans="1:31" s="139" customFormat="1" ht="15">
      <c r="A10" s="211"/>
      <c r="B10" s="521"/>
      <c r="C10" s="216" t="s">
        <v>417</v>
      </c>
      <c r="D10" s="289">
        <v>80.152708000000004</v>
      </c>
      <c r="E10" s="289">
        <v>36.315835999999997</v>
      </c>
      <c r="F10" s="289">
        <v>-7.5210359999999996</v>
      </c>
      <c r="G10" s="289">
        <v>-29.439471999999999</v>
      </c>
      <c r="H10" s="289">
        <v>-73.276343999999995</v>
      </c>
      <c r="I10" s="289">
        <v>-7.5210359999999996</v>
      </c>
      <c r="J10" s="289">
        <v>-7.5210359999999996</v>
      </c>
      <c r="K10" s="289">
        <v>-7.5210359999999996</v>
      </c>
      <c r="L10" s="289">
        <v>-7.5210359999999996</v>
      </c>
      <c r="M10" s="290"/>
      <c r="N10" s="290"/>
      <c r="O10" s="290"/>
      <c r="P10" s="290"/>
      <c r="Q10" s="212"/>
      <c r="R10" s="212"/>
      <c r="S10" s="213"/>
      <c r="T10" s="284"/>
      <c r="U10" s="284"/>
      <c r="V10" s="285"/>
      <c r="W10" s="284"/>
      <c r="X10" s="287"/>
      <c r="Y10" s="284"/>
      <c r="Z10" s="285"/>
      <c r="AA10" s="288"/>
      <c r="AB10" s="285"/>
      <c r="AC10" s="285"/>
      <c r="AD10" s="285"/>
      <c r="AE10" s="285"/>
    </row>
    <row r="11" spans="1:31" s="139" customFormat="1" ht="15">
      <c r="A11" s="211"/>
      <c r="B11" s="521" t="s">
        <v>200</v>
      </c>
      <c r="C11" s="216" t="s">
        <v>416</v>
      </c>
      <c r="D11" s="289">
        <v>-20.151029000000001</v>
      </c>
      <c r="E11" s="289">
        <v>-63.978287000000002</v>
      </c>
      <c r="F11" s="289">
        <v>23.676228999999999</v>
      </c>
      <c r="G11" s="289">
        <v>-20.151029000000001</v>
      </c>
      <c r="H11" s="289">
        <v>-85.891915999999995</v>
      </c>
      <c r="I11" s="289">
        <v>-63.978287000000002</v>
      </c>
      <c r="J11" s="289">
        <v>-20.151029000000001</v>
      </c>
      <c r="K11" s="289">
        <v>1.7625999999999999</v>
      </c>
      <c r="L11" s="289">
        <v>45.589858</v>
      </c>
      <c r="M11" s="289">
        <v>-20.151029000000001</v>
      </c>
      <c r="N11" s="289">
        <v>-63.978287000000002</v>
      </c>
      <c r="O11" s="289">
        <v>23.676228999999999</v>
      </c>
      <c r="P11" s="289">
        <v>-20.151029000000001</v>
      </c>
      <c r="Q11" s="212"/>
      <c r="R11" s="212"/>
      <c r="S11" s="213"/>
      <c r="T11" s="284"/>
      <c r="U11" s="284"/>
      <c r="V11" s="285"/>
      <c r="W11" s="284"/>
      <c r="X11" s="287"/>
      <c r="Y11" s="284"/>
      <c r="Z11" s="285"/>
      <c r="AA11" s="288"/>
      <c r="AB11" s="285"/>
      <c r="AC11" s="285"/>
      <c r="AD11" s="285"/>
      <c r="AE11" s="285"/>
    </row>
    <row r="12" spans="1:31" s="139" customFormat="1" ht="15.75" thickBot="1">
      <c r="A12" s="211"/>
      <c r="B12" s="522"/>
      <c r="C12" s="217" t="s">
        <v>417</v>
      </c>
      <c r="D12" s="291">
        <v>70.369248999999996</v>
      </c>
      <c r="E12" s="291">
        <v>48.451366</v>
      </c>
      <c r="F12" s="291">
        <v>48.451366</v>
      </c>
      <c r="G12" s="291">
        <v>26.533483</v>
      </c>
      <c r="H12" s="291">
        <v>4.6155999999999997</v>
      </c>
      <c r="I12" s="291">
        <v>4.6155999999999997</v>
      </c>
      <c r="J12" s="291">
        <v>4.6155999999999997</v>
      </c>
      <c r="K12" s="291">
        <v>4.6155999999999997</v>
      </c>
      <c r="L12" s="291">
        <v>4.6155999999999997</v>
      </c>
      <c r="M12" s="291">
        <v>-17.302282999999999</v>
      </c>
      <c r="N12" s="291">
        <v>-39.220165999999999</v>
      </c>
      <c r="O12" s="291">
        <v>-39.220165999999999</v>
      </c>
      <c r="P12" s="291">
        <v>-61.138049000000002</v>
      </c>
      <c r="Q12" s="212"/>
      <c r="R12" s="212"/>
      <c r="S12" s="213"/>
      <c r="T12" s="284"/>
      <c r="U12" s="284"/>
      <c r="V12" s="285"/>
      <c r="W12" s="284"/>
      <c r="X12" s="287"/>
      <c r="Y12" s="284"/>
      <c r="Z12" s="285"/>
      <c r="AA12" s="288"/>
      <c r="AB12" s="285"/>
      <c r="AC12" s="285"/>
      <c r="AD12" s="285"/>
      <c r="AE12" s="285"/>
    </row>
    <row r="13" spans="1:31" s="141" customFormat="1" ht="42" customHeight="1" thickBot="1">
      <c r="A13" s="140" t="s">
        <v>300</v>
      </c>
      <c r="B13" s="214" t="s">
        <v>313</v>
      </c>
      <c r="C13" s="215" t="s">
        <v>307</v>
      </c>
      <c r="D13" s="214">
        <v>1</v>
      </c>
      <c r="E13" s="214">
        <v>2</v>
      </c>
      <c r="F13" s="214">
        <v>3</v>
      </c>
      <c r="G13" s="214">
        <v>4</v>
      </c>
      <c r="H13" s="214">
        <v>5</v>
      </c>
      <c r="I13" s="214">
        <v>6</v>
      </c>
      <c r="J13" s="214">
        <v>7</v>
      </c>
      <c r="K13" s="214">
        <v>8</v>
      </c>
      <c r="L13" s="214">
        <v>9</v>
      </c>
      <c r="M13" s="214">
        <v>10</v>
      </c>
      <c r="N13" s="214">
        <v>11</v>
      </c>
      <c r="O13" s="214">
        <v>12</v>
      </c>
      <c r="P13" s="214">
        <v>13</v>
      </c>
      <c r="Q13" s="292" t="s">
        <v>276</v>
      </c>
      <c r="R13" s="292" t="s">
        <v>275</v>
      </c>
      <c r="S13" s="292" t="s">
        <v>308</v>
      </c>
      <c r="T13" s="292" t="s">
        <v>314</v>
      </c>
      <c r="U13" s="292" t="s">
        <v>272</v>
      </c>
      <c r="V13" s="293" t="s">
        <v>32</v>
      </c>
      <c r="W13" s="294" t="s">
        <v>271</v>
      </c>
      <c r="X13" s="293" t="s">
        <v>302</v>
      </c>
      <c r="Y13" s="293" t="s">
        <v>34</v>
      </c>
      <c r="Z13" s="295" t="s">
        <v>270</v>
      </c>
      <c r="AA13" s="295" t="s">
        <v>48</v>
      </c>
      <c r="AB13" s="295" t="s">
        <v>269</v>
      </c>
      <c r="AC13" s="295" t="s">
        <v>268</v>
      </c>
      <c r="AD13" s="296" t="s">
        <v>266</v>
      </c>
      <c r="AE13" s="296" t="s">
        <v>267</v>
      </c>
    </row>
    <row r="14" spans="1:31" ht="14.25">
      <c r="A14" s="297">
        <v>42404</v>
      </c>
      <c r="B14" s="298" t="s">
        <v>202</v>
      </c>
      <c r="C14" s="299" t="s">
        <v>199</v>
      </c>
      <c r="D14" s="278">
        <v>5881.31</v>
      </c>
      <c r="E14" s="278">
        <v>5941.71</v>
      </c>
      <c r="F14" s="278">
        <v>5955.92</v>
      </c>
      <c r="G14" s="278">
        <v>5937.02</v>
      </c>
      <c r="H14" s="278">
        <v>5815.89</v>
      </c>
      <c r="I14" s="278">
        <v>5815.89</v>
      </c>
      <c r="J14" s="278">
        <v>5944.28</v>
      </c>
      <c r="K14" s="278">
        <v>5946.97</v>
      </c>
      <c r="L14" s="278">
        <v>5887.04</v>
      </c>
      <c r="M14" s="290"/>
      <c r="N14" s="290"/>
      <c r="O14" s="290"/>
      <c r="P14" s="290"/>
      <c r="Q14" s="298">
        <f>IF((L15=""),"",MAX(D16:L16))</f>
        <v>7144.68</v>
      </c>
      <c r="R14" s="298">
        <f>IF(L15="","",MIN(D16:L16))</f>
        <v>6642.5</v>
      </c>
      <c r="S14" s="300">
        <f>IF((L16=""),"",AVERAGE(D16:L16))</f>
        <v>6831.56</v>
      </c>
      <c r="T14" s="301">
        <f>IF((L15=""),"",(Q14-R14)/(Q14+R14)*100)</f>
        <v>3.6423692154595808</v>
      </c>
      <c r="U14" s="298">
        <f>STDEV(D16:P16)</f>
        <v>142.11199703049431</v>
      </c>
      <c r="V14" s="302" t="str">
        <f>IF(L15="","",IF(T14&lt;7.3,IF(S14&gt;5700,IF(S14&lt;7200,"Pass","Fail"),"Fail"),"Fail"))</f>
        <v>Pass</v>
      </c>
      <c r="W14" s="298">
        <v>1428</v>
      </c>
      <c r="X14" s="303"/>
      <c r="Y14" s="304"/>
      <c r="Z14" s="267">
        <v>4955</v>
      </c>
      <c r="AA14" s="267">
        <v>9645</v>
      </c>
      <c r="AB14" s="267">
        <v>5100</v>
      </c>
      <c r="AC14" s="267">
        <v>8300</v>
      </c>
      <c r="AD14" s="305">
        <v>10</v>
      </c>
      <c r="AE14" s="305">
        <v>9.8000000000000007</v>
      </c>
    </row>
    <row r="15" spans="1:31" ht="12.75" customHeight="1">
      <c r="A15" s="306"/>
      <c r="B15" s="298"/>
      <c r="C15" s="307" t="s">
        <v>198</v>
      </c>
      <c r="D15" s="278">
        <v>2449.15</v>
      </c>
      <c r="E15" s="278">
        <v>2555.1</v>
      </c>
      <c r="F15" s="278">
        <v>2569.75</v>
      </c>
      <c r="G15" s="278">
        <v>2524.59</v>
      </c>
      <c r="H15" s="278">
        <v>2356.71</v>
      </c>
      <c r="I15" s="278">
        <v>2243.5500000000002</v>
      </c>
      <c r="J15" s="278">
        <v>2533.11</v>
      </c>
      <c r="K15" s="278">
        <v>2586.2600000000002</v>
      </c>
      <c r="L15" s="278">
        <v>2565.79</v>
      </c>
      <c r="M15" s="290"/>
      <c r="N15" s="290"/>
      <c r="O15" s="290"/>
      <c r="P15" s="290"/>
      <c r="Q15" s="298"/>
      <c r="R15" s="298"/>
      <c r="S15" s="298"/>
      <c r="T15" s="298"/>
      <c r="U15" s="298"/>
      <c r="V15" s="302"/>
      <c r="W15" s="298"/>
      <c r="X15" s="303"/>
      <c r="Y15" s="308"/>
      <c r="Z15" s="268"/>
      <c r="AA15" s="268"/>
      <c r="AB15" s="268"/>
      <c r="AC15" s="268"/>
      <c r="AD15" s="268"/>
      <c r="AE15" s="268"/>
    </row>
    <row r="16" spans="1:31" ht="24.75" customHeight="1" thickBot="1">
      <c r="A16" s="306"/>
      <c r="B16" s="309"/>
      <c r="C16" s="310" t="s">
        <v>197</v>
      </c>
      <c r="D16" s="311">
        <f t="shared" ref="D16:L16" si="0">IF(((D14="")*AND(D15="")),"",(D14-D15)*2)</f>
        <v>6864.3200000000006</v>
      </c>
      <c r="E16" s="311">
        <f t="shared" si="0"/>
        <v>6773.22</v>
      </c>
      <c r="F16" s="311">
        <f t="shared" si="0"/>
        <v>6772.34</v>
      </c>
      <c r="G16" s="311">
        <f t="shared" si="0"/>
        <v>6824.8600000000006</v>
      </c>
      <c r="H16" s="311">
        <f t="shared" si="0"/>
        <v>6918.3600000000006</v>
      </c>
      <c r="I16" s="311">
        <f t="shared" si="0"/>
        <v>7144.68</v>
      </c>
      <c r="J16" s="311">
        <f t="shared" si="0"/>
        <v>6822.3399999999992</v>
      </c>
      <c r="K16" s="311">
        <f t="shared" si="0"/>
        <v>6721.42</v>
      </c>
      <c r="L16" s="311">
        <f t="shared" si="0"/>
        <v>6642.5</v>
      </c>
      <c r="M16" s="311"/>
      <c r="N16" s="311"/>
      <c r="O16" s="311"/>
      <c r="P16" s="311" t="str">
        <f>IF(((P14="")*AND(P15="")),"",(P14-P15)*2)</f>
        <v/>
      </c>
      <c r="Q16" s="309"/>
      <c r="R16" s="309"/>
      <c r="S16" s="309"/>
      <c r="T16" s="309"/>
      <c r="U16" s="299"/>
      <c r="V16" s="312"/>
      <c r="W16" s="309"/>
      <c r="X16" s="303"/>
      <c r="Y16" s="313"/>
      <c r="Z16" s="268"/>
      <c r="AA16" s="268"/>
      <c r="AB16" s="268"/>
      <c r="AC16" s="268"/>
      <c r="AD16" s="268"/>
      <c r="AE16" s="268"/>
    </row>
    <row r="17" spans="1:31" ht="12.75" customHeight="1">
      <c r="A17" s="314">
        <v>42417</v>
      </c>
      <c r="B17" s="315" t="s">
        <v>200</v>
      </c>
      <c r="C17" s="316" t="s">
        <v>199</v>
      </c>
      <c r="D17" s="278">
        <v>6844.87</v>
      </c>
      <c r="E17" s="278">
        <v>6787.08</v>
      </c>
      <c r="F17" s="278">
        <v>6846.09</v>
      </c>
      <c r="G17" s="278">
        <v>6902.26</v>
      </c>
      <c r="H17" s="278">
        <v>7017.06</v>
      </c>
      <c r="I17" s="278">
        <v>7030.17</v>
      </c>
      <c r="J17" s="278">
        <v>6871.56</v>
      </c>
      <c r="K17" s="278">
        <v>6919.95</v>
      </c>
      <c r="L17" s="278">
        <v>7084.23</v>
      </c>
      <c r="M17" s="278">
        <v>7030.17</v>
      </c>
      <c r="N17" s="278">
        <v>6871.56</v>
      </c>
      <c r="O17" s="278">
        <v>6919.95</v>
      </c>
      <c r="P17" s="278">
        <v>7084.23</v>
      </c>
      <c r="Q17" s="317">
        <f>IF((P18=""),"",MAX(D19:P19))</f>
        <v>5097.6499999999996</v>
      </c>
      <c r="R17" s="317">
        <f>IF(P18="","",MIN(D19:P19))</f>
        <v>4814.91</v>
      </c>
      <c r="S17" s="318">
        <f>IF((P19=""),"",AVERAGE(D19:P19))</f>
        <v>4969.9053846153847</v>
      </c>
      <c r="T17" s="318">
        <f>IF((P18=""),"",(Q17-R17)/(Q17+R17)*100)</f>
        <v>2.8523408685546396</v>
      </c>
      <c r="U17" s="319">
        <f>STDEV(D19:P19)</f>
        <v>104.3045389404698</v>
      </c>
      <c r="V17" s="320" t="str">
        <f>IF(P18="","",IF(T17&lt;2.7,IF(S17&gt;5150,IF(S17&lt;5600,"Pass","Fail"),"Fail"),"Fail"))</f>
        <v>Fail</v>
      </c>
      <c r="W17" s="315">
        <v>1159</v>
      </c>
      <c r="X17" s="303"/>
      <c r="Y17" s="304" t="s">
        <v>312</v>
      </c>
      <c r="Z17" s="321">
        <v>4470</v>
      </c>
      <c r="AA17" s="321">
        <v>6020</v>
      </c>
      <c r="AB17" s="321">
        <v>5150</v>
      </c>
      <c r="AC17" s="321">
        <v>5600</v>
      </c>
      <c r="AD17" s="305">
        <v>10</v>
      </c>
      <c r="AE17" s="322">
        <v>2.7</v>
      </c>
    </row>
    <row r="18" spans="1:31" ht="12.75" customHeight="1">
      <c r="A18" s="306"/>
      <c r="B18" s="298"/>
      <c r="C18" s="307" t="s">
        <v>198</v>
      </c>
      <c r="D18" s="278">
        <v>2008.27</v>
      </c>
      <c r="E18" s="278">
        <v>1758.62</v>
      </c>
      <c r="F18" s="278">
        <v>1748.44</v>
      </c>
      <c r="G18" s="278">
        <v>1826.05</v>
      </c>
      <c r="H18" s="278">
        <v>2119.63</v>
      </c>
      <c r="I18" s="278">
        <v>2100.73</v>
      </c>
      <c r="J18" s="278">
        <v>1803.04</v>
      </c>
      <c r="K18" s="278">
        <v>1896.61</v>
      </c>
      <c r="L18" s="278">
        <v>2269.3200000000002</v>
      </c>
      <c r="M18" s="278">
        <v>2100.73</v>
      </c>
      <c r="N18" s="278">
        <v>1803.04</v>
      </c>
      <c r="O18" s="278">
        <v>1896.61</v>
      </c>
      <c r="P18" s="278">
        <v>2269.3200000000002</v>
      </c>
      <c r="Q18" s="298"/>
      <c r="R18" s="298"/>
      <c r="S18" s="298"/>
      <c r="T18" s="298"/>
      <c r="U18" s="298"/>
      <c r="V18" s="302"/>
      <c r="W18" s="298"/>
      <c r="X18" s="303"/>
      <c r="Y18" s="308"/>
      <c r="Z18" s="268"/>
      <c r="AA18" s="268"/>
      <c r="AB18" s="268"/>
      <c r="AC18" s="268"/>
      <c r="AD18" s="268"/>
      <c r="AE18" s="268"/>
    </row>
    <row r="19" spans="1:31" ht="24" customHeight="1">
      <c r="A19" s="306"/>
      <c r="B19" s="299"/>
      <c r="C19" s="307" t="s">
        <v>197</v>
      </c>
      <c r="D19" s="323">
        <f t="shared" ref="D19:P19" si="1">IF(((D17="")*AND(D18="")),"",(D17-D18))</f>
        <v>4836.6000000000004</v>
      </c>
      <c r="E19" s="323">
        <f t="shared" si="1"/>
        <v>5028.46</v>
      </c>
      <c r="F19" s="323">
        <f t="shared" si="1"/>
        <v>5097.6499999999996</v>
      </c>
      <c r="G19" s="323">
        <f t="shared" si="1"/>
        <v>5076.21</v>
      </c>
      <c r="H19" s="323">
        <f t="shared" si="1"/>
        <v>4897.43</v>
      </c>
      <c r="I19" s="323">
        <f t="shared" si="1"/>
        <v>4929.4400000000005</v>
      </c>
      <c r="J19" s="323">
        <f t="shared" si="1"/>
        <v>5068.5200000000004</v>
      </c>
      <c r="K19" s="323">
        <f t="shared" si="1"/>
        <v>5023.34</v>
      </c>
      <c r="L19" s="323">
        <f t="shared" si="1"/>
        <v>4814.91</v>
      </c>
      <c r="M19" s="323">
        <f t="shared" si="1"/>
        <v>4929.4400000000005</v>
      </c>
      <c r="N19" s="323">
        <f t="shared" si="1"/>
        <v>5068.5200000000004</v>
      </c>
      <c r="O19" s="323">
        <f t="shared" si="1"/>
        <v>5023.34</v>
      </c>
      <c r="P19" s="323">
        <f t="shared" si="1"/>
        <v>4814.91</v>
      </c>
      <c r="Q19" s="299"/>
      <c r="R19" s="299"/>
      <c r="S19" s="299"/>
      <c r="T19" s="299"/>
      <c r="U19" s="299"/>
      <c r="V19" s="324"/>
      <c r="W19" s="299"/>
      <c r="X19" s="303"/>
      <c r="Y19" s="308"/>
      <c r="Z19" s="268"/>
      <c r="AA19" s="268"/>
      <c r="AB19" s="268"/>
      <c r="AC19" s="268"/>
      <c r="AD19" s="268"/>
      <c r="AE19" s="268"/>
    </row>
    <row r="20" spans="1:31" ht="12.75" customHeight="1">
      <c r="A20" s="325">
        <v>42417</v>
      </c>
      <c r="B20" s="326" t="s">
        <v>202</v>
      </c>
      <c r="C20" s="307" t="s">
        <v>199</v>
      </c>
      <c r="D20" s="278">
        <v>6043.73</v>
      </c>
      <c r="E20" s="278">
        <v>6135.6</v>
      </c>
      <c r="F20" s="278">
        <v>6167.78</v>
      </c>
      <c r="G20" s="278">
        <v>6133.73</v>
      </c>
      <c r="H20" s="278">
        <v>6006.14</v>
      </c>
      <c r="I20" s="278">
        <v>6009.26</v>
      </c>
      <c r="J20" s="278">
        <v>6132.59</v>
      </c>
      <c r="K20" s="278">
        <v>6173.8</v>
      </c>
      <c r="L20" s="278">
        <v>6092.93</v>
      </c>
      <c r="M20" s="290"/>
      <c r="N20" s="290"/>
      <c r="O20" s="290"/>
      <c r="P20" s="290"/>
      <c r="Q20" s="326">
        <f>IF((L21=""),"",MAX(D22:L22))</f>
        <v>7162.34</v>
      </c>
      <c r="R20" s="326">
        <f>IF(L21="","",MIN(D22:L22))</f>
        <v>7006.3600000000006</v>
      </c>
      <c r="S20" s="327">
        <f>IF((L22=""),"",AVERAGE(D22:L22))</f>
        <v>7084.9333333333334</v>
      </c>
      <c r="T20" s="327">
        <f>IF((L20=""),"",(Q20-R20)/(Q20+R20)*100)</f>
        <v>1.1008772858483811</v>
      </c>
      <c r="U20" s="326">
        <f>STDEV(D22:P22)</f>
        <v>52.141413483003539</v>
      </c>
      <c r="V20" s="328" t="str">
        <f>IF(L21="","",IF(T20&lt;7.3,IF(S20&gt;5700,IF(S20&lt;7200,"Pass","Fail"),"Fail"),"Fail"))</f>
        <v>Pass</v>
      </c>
      <c r="W20" s="326">
        <v>1159</v>
      </c>
      <c r="X20" s="303"/>
      <c r="Y20" s="308"/>
      <c r="Z20" s="267">
        <v>4955</v>
      </c>
      <c r="AA20" s="267">
        <v>9645</v>
      </c>
      <c r="AB20" s="267">
        <v>5100</v>
      </c>
      <c r="AC20" s="267">
        <v>8300</v>
      </c>
      <c r="AD20" s="305">
        <v>10</v>
      </c>
      <c r="AE20" s="305">
        <v>9.8000000000000007</v>
      </c>
    </row>
    <row r="21" spans="1:31" ht="12.75" customHeight="1">
      <c r="A21" s="306"/>
      <c r="B21" s="298"/>
      <c r="C21" s="307" t="s">
        <v>198</v>
      </c>
      <c r="D21" s="278">
        <v>2488</v>
      </c>
      <c r="E21" s="278">
        <v>2615.8200000000002</v>
      </c>
      <c r="F21" s="278">
        <v>2628.11</v>
      </c>
      <c r="G21" s="278">
        <v>2588.9699999999998</v>
      </c>
      <c r="H21" s="278">
        <v>2427.1799999999998</v>
      </c>
      <c r="I21" s="278">
        <v>2428.09</v>
      </c>
      <c r="J21" s="278">
        <v>2606.5100000000002</v>
      </c>
      <c r="K21" s="278">
        <v>2640.93</v>
      </c>
      <c r="L21" s="278">
        <v>2589.75</v>
      </c>
      <c r="M21" s="290"/>
      <c r="N21" s="290"/>
      <c r="O21" s="290"/>
      <c r="P21" s="290"/>
      <c r="Q21" s="298"/>
      <c r="R21" s="298"/>
      <c r="S21" s="298"/>
      <c r="T21" s="298"/>
      <c r="U21" s="298"/>
      <c r="V21" s="302"/>
      <c r="W21" s="298"/>
      <c r="X21" s="303"/>
      <c r="Y21" s="308"/>
      <c r="Z21" s="268"/>
      <c r="AA21" s="268"/>
      <c r="AB21" s="268"/>
      <c r="AC21" s="268"/>
      <c r="AD21" s="268"/>
      <c r="AE21" s="268"/>
    </row>
    <row r="22" spans="1:31" ht="24.75" customHeight="1" thickBot="1">
      <c r="A22" s="306"/>
      <c r="B22" s="309"/>
      <c r="C22" s="310" t="s">
        <v>197</v>
      </c>
      <c r="D22" s="311">
        <f t="shared" ref="D22:L22" si="2">IF(((D20="")*AND(D21="")),"",(D20-D21)*2)</f>
        <v>7111.4599999999991</v>
      </c>
      <c r="E22" s="311">
        <f t="shared" si="2"/>
        <v>7039.56</v>
      </c>
      <c r="F22" s="311">
        <f t="shared" si="2"/>
        <v>7079.3399999999992</v>
      </c>
      <c r="G22" s="311">
        <f t="shared" si="2"/>
        <v>7089.5199999999995</v>
      </c>
      <c r="H22" s="311">
        <f t="shared" si="2"/>
        <v>7157.920000000001</v>
      </c>
      <c r="I22" s="311">
        <f t="shared" si="2"/>
        <v>7162.34</v>
      </c>
      <c r="J22" s="311">
        <f t="shared" si="2"/>
        <v>7052.16</v>
      </c>
      <c r="K22" s="311">
        <f t="shared" si="2"/>
        <v>7065.7400000000007</v>
      </c>
      <c r="L22" s="311">
        <f t="shared" si="2"/>
        <v>7006.3600000000006</v>
      </c>
      <c r="M22" s="311"/>
      <c r="N22" s="311"/>
      <c r="O22" s="311"/>
      <c r="P22" s="311" t="str">
        <f>IF(((P20="")*AND(P21="")),"",(P20-P21)*2)</f>
        <v/>
      </c>
      <c r="Q22" s="309"/>
      <c r="R22" s="309"/>
      <c r="S22" s="309"/>
      <c r="T22" s="309"/>
      <c r="U22" s="299"/>
      <c r="V22" s="312"/>
      <c r="W22" s="309"/>
      <c r="X22" s="303"/>
      <c r="Y22" s="313"/>
      <c r="Z22" s="268"/>
      <c r="AA22" s="268"/>
      <c r="AB22" s="268"/>
      <c r="AC22" s="268"/>
      <c r="AD22" s="268"/>
      <c r="AE22" s="268"/>
    </row>
    <row r="23" spans="1:31" ht="12.75" customHeight="1">
      <c r="A23" s="325">
        <v>42423</v>
      </c>
      <c r="B23" s="326" t="s">
        <v>202</v>
      </c>
      <c r="C23" s="307" t="s">
        <v>199</v>
      </c>
      <c r="D23" s="278">
        <v>15911.98</v>
      </c>
      <c r="E23" s="278">
        <v>16103.1</v>
      </c>
      <c r="F23" s="278">
        <v>16283.17</v>
      </c>
      <c r="G23" s="278">
        <v>16242.09</v>
      </c>
      <c r="H23" s="278">
        <v>16286.92</v>
      </c>
      <c r="I23" s="278">
        <v>15813.83</v>
      </c>
      <c r="J23" s="278">
        <v>16125.45</v>
      </c>
      <c r="K23" s="278">
        <v>16174.5</v>
      </c>
      <c r="L23" s="278">
        <v>15885.98</v>
      </c>
      <c r="M23" s="290"/>
      <c r="N23" s="290"/>
      <c r="O23" s="290"/>
      <c r="P23" s="290"/>
      <c r="Q23" s="326">
        <f>IF((L24=""),"",MAX(D25:L25))</f>
        <v>8420.6160000000018</v>
      </c>
      <c r="R23" s="326">
        <f>IF(L24="","",MIN(D25:L25))</f>
        <v>7550.0160000000005</v>
      </c>
      <c r="S23" s="327">
        <f>IF((L25=""),"",AVERAGE(D25:L25))</f>
        <v>7908.3866666666681</v>
      </c>
      <c r="T23" s="327">
        <f>IF((L23=""),"",(Q23-R23)/(Q23+R23)*100)</f>
        <v>5.4512557799841685</v>
      </c>
      <c r="U23" s="326">
        <f>STDEV(D25:P25)</f>
        <v>304.62774836180819</v>
      </c>
      <c r="V23" s="328" t="str">
        <f>IF(L24="","",IF(T23&lt;7.3,IF(S23&gt;5700,IF(S23&lt;7200,"Pass","Fail"),"Fail"),"Fail"))</f>
        <v>Fail</v>
      </c>
      <c r="W23" s="326">
        <v>1159</v>
      </c>
      <c r="X23" s="303"/>
      <c r="Y23" s="308" t="s">
        <v>312</v>
      </c>
      <c r="Z23" s="267">
        <v>4955</v>
      </c>
      <c r="AA23" s="267">
        <v>9645</v>
      </c>
      <c r="AB23" s="267">
        <v>5100</v>
      </c>
      <c r="AC23" s="267">
        <v>8300</v>
      </c>
      <c r="AD23" s="305">
        <v>10</v>
      </c>
      <c r="AE23" s="305">
        <v>9.8000000000000007</v>
      </c>
    </row>
    <row r="24" spans="1:31" ht="12.75" customHeight="1">
      <c r="A24" s="306"/>
      <c r="B24" s="298"/>
      <c r="C24" s="307" t="s">
        <v>198</v>
      </c>
      <c r="D24" s="278">
        <v>9260.85</v>
      </c>
      <c r="E24" s="278">
        <v>9758.73</v>
      </c>
      <c r="F24" s="278">
        <v>9991.49</v>
      </c>
      <c r="G24" s="278">
        <v>9695.2900000000009</v>
      </c>
      <c r="H24" s="278">
        <v>9269.74</v>
      </c>
      <c r="I24" s="278">
        <v>8891.15</v>
      </c>
      <c r="J24" s="278">
        <v>9657.94</v>
      </c>
      <c r="K24" s="278">
        <v>9791.32</v>
      </c>
      <c r="L24" s="278">
        <v>9197.61</v>
      </c>
      <c r="M24" s="290"/>
      <c r="N24" s="290"/>
      <c r="O24" s="290"/>
      <c r="P24" s="290"/>
      <c r="Q24" s="298"/>
      <c r="R24" s="298"/>
      <c r="S24" s="298"/>
      <c r="T24" s="298"/>
      <c r="U24" s="298"/>
      <c r="V24" s="302"/>
      <c r="W24" s="298"/>
      <c r="X24" s="303"/>
      <c r="Y24" s="308"/>
      <c r="Z24" s="268"/>
      <c r="AA24" s="268"/>
      <c r="AB24" s="268"/>
      <c r="AC24" s="268"/>
      <c r="AD24" s="268"/>
      <c r="AE24" s="268"/>
    </row>
    <row r="25" spans="1:31" ht="24.75" customHeight="1" thickBot="1">
      <c r="A25" s="306"/>
      <c r="B25" s="309"/>
      <c r="C25" s="310" t="s">
        <v>197</v>
      </c>
      <c r="D25" s="311">
        <f t="shared" ref="D25:L25" si="3">IF(((D23="")*AND(D24="")),"",(D23-D24)*60/50)</f>
        <v>7981.3559999999989</v>
      </c>
      <c r="E25" s="311">
        <f t="shared" si="3"/>
        <v>7613.2440000000015</v>
      </c>
      <c r="F25" s="311">
        <f t="shared" si="3"/>
        <v>7550.0160000000005</v>
      </c>
      <c r="G25" s="311">
        <f t="shared" si="3"/>
        <v>7856.1599999999989</v>
      </c>
      <c r="H25" s="311">
        <f t="shared" si="3"/>
        <v>8420.6160000000018</v>
      </c>
      <c r="I25" s="311">
        <f t="shared" si="3"/>
        <v>8307.2160000000003</v>
      </c>
      <c r="J25" s="311">
        <f t="shared" si="3"/>
        <v>7761.0120000000006</v>
      </c>
      <c r="K25" s="311">
        <f t="shared" si="3"/>
        <v>7659.8160000000007</v>
      </c>
      <c r="L25" s="311">
        <f t="shared" si="3"/>
        <v>8026.043999999999</v>
      </c>
      <c r="M25" s="311"/>
      <c r="N25" s="311"/>
      <c r="O25" s="311"/>
      <c r="P25" s="311" t="str">
        <f>IF(((P23="")*AND(P24="")),"",(P23-P24)*2)</f>
        <v/>
      </c>
      <c r="Q25" s="309"/>
      <c r="R25" s="309"/>
      <c r="S25" s="309"/>
      <c r="T25" s="309"/>
      <c r="U25" s="299"/>
      <c r="V25" s="312"/>
      <c r="W25" s="309"/>
      <c r="X25" s="303"/>
      <c r="Y25" s="313"/>
      <c r="Z25" s="268"/>
      <c r="AA25" s="268"/>
      <c r="AB25" s="268"/>
      <c r="AC25" s="268"/>
      <c r="AD25" s="268"/>
      <c r="AE25" s="268"/>
    </row>
    <row r="26" spans="1:31" ht="12.75" customHeight="1">
      <c r="A26" s="325">
        <v>42465</v>
      </c>
      <c r="B26" s="326" t="s">
        <v>202</v>
      </c>
      <c r="C26" s="307" t="s">
        <v>199</v>
      </c>
      <c r="D26" s="278">
        <v>6056.8</v>
      </c>
      <c r="E26" s="278">
        <v>6130.65</v>
      </c>
      <c r="F26" s="278">
        <v>6168.66</v>
      </c>
      <c r="G26" s="278">
        <v>6131.84</v>
      </c>
      <c r="H26" s="278">
        <v>6020.35</v>
      </c>
      <c r="I26" s="278">
        <v>6009.05</v>
      </c>
      <c r="J26" s="278">
        <v>6131.08</v>
      </c>
      <c r="K26" s="278">
        <v>6173.22</v>
      </c>
      <c r="L26" s="278">
        <v>6088.07</v>
      </c>
      <c r="M26" s="290"/>
      <c r="N26" s="290"/>
      <c r="O26" s="290"/>
      <c r="P26" s="290"/>
      <c r="Q26" s="326">
        <f>IF((L27=""),"",MAX(D28:L28))</f>
        <v>6817.68</v>
      </c>
      <c r="R26" s="326">
        <f>IF(L27="","",MIN(D28:L28))</f>
        <v>6477.0399999999991</v>
      </c>
      <c r="S26" s="327">
        <f>IF((L28=""),"",AVERAGE(D28:L28))</f>
        <v>6620.8355555555554</v>
      </c>
      <c r="T26" s="327">
        <f>IF((L18=""),"",(Q26-R26)/(Q26+R26)*100)</f>
        <v>2.5622201896692913</v>
      </c>
      <c r="U26" s="326">
        <f>STDEV(D28:P28)</f>
        <v>96.038807144731678</v>
      </c>
      <c r="V26" s="328" t="str">
        <f>IF(L27="","",IF(T26&lt;7.3,IF(S26&gt;5700,IF(S26&lt;7200,"Pass","Fail"),"Fail"),"Fail"))</f>
        <v>Pass</v>
      </c>
      <c r="W26" s="326">
        <v>1159</v>
      </c>
      <c r="X26" s="303"/>
      <c r="Y26" s="308"/>
      <c r="Z26" s="267">
        <v>4955</v>
      </c>
      <c r="AA26" s="267">
        <v>9645</v>
      </c>
      <c r="AB26" s="267">
        <v>5100</v>
      </c>
      <c r="AC26" s="267">
        <v>8300</v>
      </c>
      <c r="AD26" s="305">
        <v>10</v>
      </c>
      <c r="AE26" s="305">
        <v>9.8000000000000007</v>
      </c>
    </row>
    <row r="27" spans="1:31" ht="12.75" customHeight="1">
      <c r="A27" s="306"/>
      <c r="B27" s="298"/>
      <c r="C27" s="307" t="s">
        <v>198</v>
      </c>
      <c r="D27" s="278">
        <v>2776.19</v>
      </c>
      <c r="E27" s="278">
        <v>2840.86</v>
      </c>
      <c r="F27" s="278">
        <v>2863.46</v>
      </c>
      <c r="G27" s="278">
        <v>2817.95</v>
      </c>
      <c r="H27" s="278">
        <v>2664.88</v>
      </c>
      <c r="I27" s="278">
        <v>2600.21</v>
      </c>
      <c r="J27" s="278">
        <v>2827.23</v>
      </c>
      <c r="K27" s="278">
        <v>2875.63</v>
      </c>
      <c r="L27" s="278">
        <v>2849.55</v>
      </c>
      <c r="M27" s="290"/>
      <c r="N27" s="290"/>
      <c r="O27" s="290"/>
      <c r="P27" s="290"/>
      <c r="Q27" s="298"/>
      <c r="R27" s="298"/>
      <c r="S27" s="298"/>
      <c r="T27" s="298"/>
      <c r="U27" s="298"/>
      <c r="V27" s="302"/>
      <c r="W27" s="298"/>
      <c r="X27" s="303"/>
      <c r="Y27" s="308"/>
      <c r="Z27" s="268"/>
      <c r="AA27" s="268"/>
      <c r="AB27" s="268"/>
      <c r="AC27" s="268"/>
      <c r="AD27" s="268"/>
      <c r="AE27" s="268"/>
    </row>
    <row r="28" spans="1:31" ht="24.75" customHeight="1" thickBot="1">
      <c r="A28" s="306"/>
      <c r="B28" s="309"/>
      <c r="C28" s="310" t="s">
        <v>197</v>
      </c>
      <c r="D28" s="311">
        <f t="shared" ref="D28:L28" si="4">IF(((D26="")*AND(D27="")),"",(D26-D27)*2)</f>
        <v>6561.22</v>
      </c>
      <c r="E28" s="311">
        <f t="shared" si="4"/>
        <v>6579.579999999999</v>
      </c>
      <c r="F28" s="311">
        <f t="shared" si="4"/>
        <v>6610.4</v>
      </c>
      <c r="G28" s="311">
        <f t="shared" si="4"/>
        <v>6627.7800000000007</v>
      </c>
      <c r="H28" s="311">
        <f t="shared" si="4"/>
        <v>6710.9400000000005</v>
      </c>
      <c r="I28" s="311">
        <f t="shared" si="4"/>
        <v>6817.68</v>
      </c>
      <c r="J28" s="311">
        <f t="shared" si="4"/>
        <v>6607.7</v>
      </c>
      <c r="K28" s="311">
        <f t="shared" si="4"/>
        <v>6595.18</v>
      </c>
      <c r="L28" s="311">
        <f t="shared" si="4"/>
        <v>6477.0399999999991</v>
      </c>
      <c r="M28" s="311"/>
      <c r="N28" s="311"/>
      <c r="O28" s="311"/>
      <c r="P28" s="311" t="str">
        <f>IF(((P26="")*AND(P27="")),"",(P26-P27)*2)</f>
        <v/>
      </c>
      <c r="Q28" s="309"/>
      <c r="R28" s="309"/>
      <c r="S28" s="309"/>
      <c r="T28" s="309"/>
      <c r="U28" s="299"/>
      <c r="V28" s="312"/>
      <c r="W28" s="309"/>
      <c r="X28" s="303"/>
      <c r="Y28" s="313"/>
      <c r="Z28" s="268"/>
      <c r="AA28" s="268"/>
      <c r="AB28" s="268"/>
      <c r="AC28" s="268"/>
      <c r="AD28" s="268"/>
      <c r="AE28" s="268"/>
    </row>
    <row r="29" spans="1:31" ht="12.75" customHeight="1">
      <c r="A29" s="325">
        <v>42526</v>
      </c>
      <c r="B29" s="326" t="s">
        <v>202</v>
      </c>
      <c r="C29" s="307" t="s">
        <v>199</v>
      </c>
      <c r="D29" s="278">
        <v>6095.62</v>
      </c>
      <c r="E29" s="278">
        <v>6194.3</v>
      </c>
      <c r="F29" s="278">
        <v>6230.65</v>
      </c>
      <c r="G29" s="278">
        <v>6198.03</v>
      </c>
      <c r="H29" s="278">
        <v>6060.9</v>
      </c>
      <c r="I29" s="278">
        <v>6045.36</v>
      </c>
      <c r="J29" s="278">
        <v>6194.19</v>
      </c>
      <c r="K29" s="278">
        <v>6238.81</v>
      </c>
      <c r="L29" s="278">
        <v>6163.81</v>
      </c>
      <c r="M29" s="290"/>
      <c r="N29" s="290"/>
      <c r="O29" s="290"/>
      <c r="P29" s="290"/>
      <c r="Q29" s="326">
        <f>IF((L30=""),"",MAX(D31:L31))</f>
        <v>7702.7200000000012</v>
      </c>
      <c r="R29" s="326">
        <f>IF(L30="","",MIN(D31:L31))</f>
        <v>7395.579999999999</v>
      </c>
      <c r="S29" s="327">
        <f>IF((L31=""),"",AVERAGE(D31:L31))</f>
        <v>7469.2866666666669</v>
      </c>
      <c r="T29" s="329">
        <f>IF((L30=""),"",(Q29-R29)/(Q29+R29)*100)</f>
        <v>2.0342687587344415</v>
      </c>
      <c r="U29" s="326">
        <f>STDEV(D31:P31)</f>
        <v>95.044119754908479</v>
      </c>
      <c r="V29" s="328" t="str">
        <f>IF(L30="","",IF(T29&lt;7.3,IF(S29&gt;5700,IF(S29&lt;7200,"Pass","Fail"),"Fail"),"Fail"))</f>
        <v>Fail</v>
      </c>
      <c r="W29" s="326">
        <v>1428</v>
      </c>
      <c r="X29" s="303"/>
      <c r="Y29" s="308" t="s">
        <v>312</v>
      </c>
      <c r="Z29" s="267">
        <v>4955</v>
      </c>
      <c r="AA29" s="267">
        <v>9645</v>
      </c>
      <c r="AB29" s="267">
        <v>5100</v>
      </c>
      <c r="AC29" s="267">
        <v>8300</v>
      </c>
      <c r="AD29" s="305">
        <v>10</v>
      </c>
      <c r="AE29" s="305">
        <v>9.8000000000000007</v>
      </c>
    </row>
    <row r="30" spans="1:31" ht="12.75" customHeight="1">
      <c r="A30" s="306"/>
      <c r="B30" s="298"/>
      <c r="C30" s="307" t="s">
        <v>198</v>
      </c>
      <c r="D30" s="278">
        <v>2362.5700000000002</v>
      </c>
      <c r="E30" s="278">
        <v>2492.35</v>
      </c>
      <c r="F30" s="278">
        <v>2515.46</v>
      </c>
      <c r="G30" s="278">
        <v>2476.3200000000002</v>
      </c>
      <c r="H30" s="278">
        <v>2310.06</v>
      </c>
      <c r="I30" s="278">
        <v>2347.5700000000002</v>
      </c>
      <c r="J30" s="278">
        <v>2493.92</v>
      </c>
      <c r="K30" s="278">
        <v>2499.1799999999998</v>
      </c>
      <c r="L30" s="278">
        <v>2312.4499999999998</v>
      </c>
      <c r="M30" s="290"/>
      <c r="N30" s="290"/>
      <c r="O30" s="290"/>
      <c r="P30" s="290"/>
      <c r="Q30" s="298"/>
      <c r="R30" s="298"/>
      <c r="S30" s="298"/>
      <c r="T30" s="298"/>
      <c r="U30" s="298"/>
      <c r="V30" s="302"/>
      <c r="W30" s="298"/>
      <c r="X30" s="303"/>
      <c r="Y30" s="308"/>
      <c r="Z30" s="268"/>
      <c r="AA30" s="268"/>
      <c r="AB30" s="268"/>
      <c r="AC30" s="268"/>
      <c r="AD30" s="268"/>
      <c r="AE30" s="268"/>
    </row>
    <row r="31" spans="1:31" ht="24.75" customHeight="1" thickBot="1">
      <c r="A31" s="306"/>
      <c r="B31" s="309"/>
      <c r="C31" s="310" t="s">
        <v>197</v>
      </c>
      <c r="D31" s="311">
        <f t="shared" ref="D31:L31" si="5">IF(((D29="")*AND(D30="")),"",(D29-D30)*2)</f>
        <v>7466.0999999999995</v>
      </c>
      <c r="E31" s="311">
        <f t="shared" si="5"/>
        <v>7403.9000000000005</v>
      </c>
      <c r="F31" s="311">
        <f t="shared" si="5"/>
        <v>7430.3799999999992</v>
      </c>
      <c r="G31" s="311">
        <f t="shared" si="5"/>
        <v>7443.4199999999992</v>
      </c>
      <c r="H31" s="311">
        <f t="shared" si="5"/>
        <v>7501.6799999999994</v>
      </c>
      <c r="I31" s="311">
        <f t="shared" si="5"/>
        <v>7395.579999999999</v>
      </c>
      <c r="J31" s="311">
        <f t="shared" si="5"/>
        <v>7400.5399999999991</v>
      </c>
      <c r="K31" s="311">
        <f t="shared" si="5"/>
        <v>7479.2600000000011</v>
      </c>
      <c r="L31" s="311">
        <f t="shared" si="5"/>
        <v>7702.7200000000012</v>
      </c>
      <c r="M31" s="311"/>
      <c r="N31" s="311"/>
      <c r="O31" s="311"/>
      <c r="P31" s="311" t="str">
        <f>IF(((P29="")*AND(P30="")),"",(P29-P30)*2)</f>
        <v/>
      </c>
      <c r="Q31" s="309"/>
      <c r="R31" s="309"/>
      <c r="S31" s="309"/>
      <c r="T31" s="309"/>
      <c r="U31" s="299"/>
      <c r="V31" s="312"/>
      <c r="W31" s="309"/>
      <c r="X31" s="303"/>
      <c r="Y31" s="313"/>
      <c r="Z31" s="268"/>
      <c r="AA31" s="268"/>
      <c r="AB31" s="268"/>
      <c r="AC31" s="268"/>
      <c r="AD31" s="268"/>
      <c r="AE31" s="268"/>
    </row>
    <row r="32" spans="1:31" ht="12.75" customHeight="1">
      <c r="A32" s="325">
        <v>42526</v>
      </c>
      <c r="B32" s="326" t="s">
        <v>202</v>
      </c>
      <c r="C32" s="307" t="s">
        <v>199</v>
      </c>
      <c r="D32" s="278">
        <v>5918.92</v>
      </c>
      <c r="E32" s="278">
        <v>5995.56</v>
      </c>
      <c r="F32" s="278">
        <v>6022.12</v>
      </c>
      <c r="G32" s="278">
        <v>5985.13</v>
      </c>
      <c r="H32" s="278">
        <v>5848.28</v>
      </c>
      <c r="I32" s="278">
        <v>5731.91</v>
      </c>
      <c r="J32" s="278">
        <v>6001.5</v>
      </c>
      <c r="K32" s="278">
        <v>6007.09</v>
      </c>
      <c r="L32" s="278">
        <v>5931.06</v>
      </c>
      <c r="M32" s="290"/>
      <c r="N32" s="290"/>
      <c r="O32" s="290"/>
      <c r="P32" s="290"/>
      <c r="Q32" s="326">
        <f>IF((L33=""),"",MAX(D34:L34))</f>
        <v>6931.86</v>
      </c>
      <c r="R32" s="326">
        <f>IF(L33="","",MIN(D34:L34))</f>
        <v>6666.38</v>
      </c>
      <c r="S32" s="327">
        <f>IF((L34=""),"",AVERAGE(D34:L34))</f>
        <v>6824.4111111111106</v>
      </c>
      <c r="T32" s="327">
        <f>IF((L24=""),"",(Q32-R32)/(Q32+R32)*100)</f>
        <v>1.9523114756027218</v>
      </c>
      <c r="U32" s="326">
        <f>STDEV(D34:P34)</f>
        <v>82.065844363632664</v>
      </c>
      <c r="V32" s="328" t="str">
        <f>IF(L33="","",IF(T32&lt;7.3,IF(S32&gt;5700,IF(S32&lt;7200,"Pass","Fail"),"Fail"),"Fail"))</f>
        <v>Pass</v>
      </c>
      <c r="W32" s="326"/>
      <c r="X32" s="303"/>
      <c r="Y32" s="308"/>
      <c r="Z32" s="267">
        <v>4955</v>
      </c>
      <c r="AA32" s="267">
        <v>9645</v>
      </c>
      <c r="AB32" s="267">
        <v>5100</v>
      </c>
      <c r="AC32" s="267">
        <v>8300</v>
      </c>
      <c r="AD32" s="305">
        <v>10</v>
      </c>
      <c r="AE32" s="305">
        <v>9.8000000000000007</v>
      </c>
    </row>
    <row r="33" spans="1:31" ht="12.75" customHeight="1">
      <c r="A33" s="306"/>
      <c r="B33" s="298"/>
      <c r="C33" s="307" t="s">
        <v>198</v>
      </c>
      <c r="D33" s="278">
        <v>2486.0700000000002</v>
      </c>
      <c r="E33" s="278">
        <v>2598.37</v>
      </c>
      <c r="F33" s="278">
        <v>2651.7</v>
      </c>
      <c r="G33" s="278">
        <v>2562.52</v>
      </c>
      <c r="H33" s="278">
        <v>2382.35</v>
      </c>
      <c r="I33" s="278">
        <v>2284.5</v>
      </c>
      <c r="J33" s="278">
        <v>2566.06</v>
      </c>
      <c r="K33" s="278">
        <v>2673.9</v>
      </c>
      <c r="L33" s="278">
        <v>2526.25</v>
      </c>
      <c r="M33" s="290"/>
      <c r="N33" s="290"/>
      <c r="O33" s="290"/>
      <c r="P33" s="290"/>
      <c r="Q33" s="298"/>
      <c r="R33" s="298"/>
      <c r="S33" s="298"/>
      <c r="T33" s="298"/>
      <c r="U33" s="298"/>
      <c r="V33" s="302"/>
      <c r="W33" s="298"/>
      <c r="X33" s="303"/>
      <c r="Y33" s="308"/>
      <c r="Z33" s="268"/>
      <c r="AA33" s="268"/>
      <c r="AB33" s="268"/>
      <c r="AC33" s="268"/>
      <c r="AD33" s="268"/>
      <c r="AE33" s="268"/>
    </row>
    <row r="34" spans="1:31" ht="24.75" customHeight="1" thickBot="1">
      <c r="A34" s="306"/>
      <c r="B34" s="309"/>
      <c r="C34" s="310" t="s">
        <v>197</v>
      </c>
      <c r="D34" s="311">
        <f t="shared" ref="D34:L34" si="6">IF(((D32="")*AND(D33="")),"",(D32-D33)*2)</f>
        <v>6865.7</v>
      </c>
      <c r="E34" s="311">
        <f t="shared" si="6"/>
        <v>6794.380000000001</v>
      </c>
      <c r="F34" s="311">
        <f t="shared" si="6"/>
        <v>6740.84</v>
      </c>
      <c r="G34" s="311">
        <f t="shared" si="6"/>
        <v>6845.22</v>
      </c>
      <c r="H34" s="311">
        <f t="shared" si="6"/>
        <v>6931.86</v>
      </c>
      <c r="I34" s="311">
        <f t="shared" si="6"/>
        <v>6894.82</v>
      </c>
      <c r="J34" s="311">
        <f t="shared" si="6"/>
        <v>6870.88</v>
      </c>
      <c r="K34" s="311">
        <f t="shared" si="6"/>
        <v>6666.38</v>
      </c>
      <c r="L34" s="311">
        <f t="shared" si="6"/>
        <v>6809.6200000000008</v>
      </c>
      <c r="M34" s="311"/>
      <c r="N34" s="311"/>
      <c r="O34" s="311"/>
      <c r="P34" s="311" t="str">
        <f>IF(((P32="")*AND(P33="")),"",(P32-P33)*2)</f>
        <v/>
      </c>
      <c r="Q34" s="309"/>
      <c r="R34" s="309"/>
      <c r="S34" s="309"/>
      <c r="T34" s="309"/>
      <c r="U34" s="299"/>
      <c r="V34" s="312"/>
      <c r="W34" s="309"/>
      <c r="X34" s="303"/>
      <c r="Y34" s="313"/>
      <c r="Z34" s="268"/>
      <c r="AA34" s="268"/>
      <c r="AB34" s="268"/>
      <c r="AC34" s="268"/>
      <c r="AD34" s="268"/>
      <c r="AE34" s="268"/>
    </row>
    <row r="35" spans="1:31" ht="12.75" customHeight="1">
      <c r="A35" s="314">
        <v>42542</v>
      </c>
      <c r="B35" s="315" t="s">
        <v>200</v>
      </c>
      <c r="C35" s="316" t="s">
        <v>199</v>
      </c>
      <c r="D35" s="278">
        <v>6998.84</v>
      </c>
      <c r="E35" s="278">
        <v>6854.11</v>
      </c>
      <c r="F35" s="278">
        <v>6816.89</v>
      </c>
      <c r="G35" s="278">
        <v>6871.35</v>
      </c>
      <c r="H35" s="278">
        <v>7020.86</v>
      </c>
      <c r="I35" s="278">
        <v>6941.4</v>
      </c>
      <c r="J35" s="278">
        <v>6831.31</v>
      </c>
      <c r="K35" s="278">
        <v>6881.16</v>
      </c>
      <c r="L35" s="278">
        <v>7070.89</v>
      </c>
      <c r="M35" s="290"/>
      <c r="N35" s="290"/>
      <c r="O35" s="290"/>
      <c r="P35" s="290"/>
      <c r="Q35" s="326">
        <f>IF((L36=""),"",MAX(D37:P37))</f>
        <v>5208.2300000000005</v>
      </c>
      <c r="R35" s="317">
        <f>IF(L36="","",MIN(D37:L37))</f>
        <v>4900.7000000000007</v>
      </c>
      <c r="S35" s="318">
        <f>IF((L37=""),"",AVERAGE(D37:L37))</f>
        <v>5077.1844444444441</v>
      </c>
      <c r="T35" s="318">
        <f>IF((L36=""),"",(Q35-R35)/(Q35+R35)*100)</f>
        <v>3.0421617322505914</v>
      </c>
      <c r="U35" s="319">
        <f>STDEV(D37:L37)</f>
        <v>119.51911406874818</v>
      </c>
      <c r="V35" s="302" t="str">
        <f>IF(P36="","",IF(T35&lt;2.7,IF(S35&gt;5150,IF(S35&lt;5600,"Pass","Fail"),"Fail"),"Fail"))</f>
        <v/>
      </c>
      <c r="W35" s="315">
        <v>1400</v>
      </c>
      <c r="X35" s="303"/>
      <c r="Y35" s="304" t="s">
        <v>312</v>
      </c>
      <c r="Z35" s="321">
        <v>4470</v>
      </c>
      <c r="AA35" s="321">
        <v>6020</v>
      </c>
      <c r="AB35" s="321">
        <v>5150</v>
      </c>
      <c r="AC35" s="321">
        <v>5600</v>
      </c>
      <c r="AD35" s="305">
        <v>10</v>
      </c>
      <c r="AE35" s="322">
        <v>2.7</v>
      </c>
    </row>
    <row r="36" spans="1:31" ht="12.75" customHeight="1">
      <c r="A36" s="306"/>
      <c r="B36" s="298"/>
      <c r="C36" s="307" t="s">
        <v>198</v>
      </c>
      <c r="D36" s="278">
        <v>2098.14</v>
      </c>
      <c r="E36" s="278">
        <v>1724.07</v>
      </c>
      <c r="F36" s="278">
        <v>1608.66</v>
      </c>
      <c r="G36" s="278">
        <v>1690.25</v>
      </c>
      <c r="H36" s="278">
        <v>2015.83</v>
      </c>
      <c r="I36" s="278">
        <v>1885.91</v>
      </c>
      <c r="J36" s="278">
        <v>1632.63</v>
      </c>
      <c r="K36" s="278">
        <v>1767.94</v>
      </c>
      <c r="L36" s="278">
        <v>2168.7199999999998</v>
      </c>
      <c r="M36" s="290"/>
      <c r="N36" s="290"/>
      <c r="O36" s="290"/>
      <c r="P36" s="290"/>
      <c r="Q36" s="298"/>
      <c r="R36" s="298"/>
      <c r="S36" s="298"/>
      <c r="T36" s="298"/>
      <c r="U36" s="298"/>
      <c r="V36" s="302"/>
      <c r="W36" s="298"/>
      <c r="X36" s="303"/>
      <c r="Y36" s="308"/>
      <c r="Z36" s="268"/>
      <c r="AA36" s="268"/>
      <c r="AB36" s="268"/>
      <c r="AC36" s="268"/>
      <c r="AD36" s="268"/>
      <c r="AE36" s="268"/>
    </row>
    <row r="37" spans="1:31" ht="24.75" customHeight="1" thickBot="1">
      <c r="A37" s="306"/>
      <c r="B37" s="299"/>
      <c r="C37" s="307" t="s">
        <v>197</v>
      </c>
      <c r="D37" s="323">
        <f t="shared" ref="D37:P37" si="7">IF(((D35="")*AND(D36="")),"",(D35-D36))</f>
        <v>4900.7000000000007</v>
      </c>
      <c r="E37" s="323">
        <f t="shared" si="7"/>
        <v>5130.04</v>
      </c>
      <c r="F37" s="323">
        <f t="shared" si="7"/>
        <v>5208.2300000000005</v>
      </c>
      <c r="G37" s="323">
        <f t="shared" si="7"/>
        <v>5181.1000000000004</v>
      </c>
      <c r="H37" s="323">
        <f t="shared" si="7"/>
        <v>5005.03</v>
      </c>
      <c r="I37" s="323">
        <f t="shared" si="7"/>
        <v>5055.49</v>
      </c>
      <c r="J37" s="323">
        <f t="shared" si="7"/>
        <v>5198.68</v>
      </c>
      <c r="K37" s="323">
        <f t="shared" si="7"/>
        <v>5113.2199999999993</v>
      </c>
      <c r="L37" s="323">
        <f t="shared" si="7"/>
        <v>4902.17</v>
      </c>
      <c r="M37" s="323" t="str">
        <f t="shared" si="7"/>
        <v/>
      </c>
      <c r="N37" s="323" t="str">
        <f t="shared" si="7"/>
        <v/>
      </c>
      <c r="O37" s="323" t="str">
        <f t="shared" si="7"/>
        <v/>
      </c>
      <c r="P37" s="323" t="str">
        <f t="shared" si="7"/>
        <v/>
      </c>
      <c r="Q37" s="299"/>
      <c r="R37" s="299"/>
      <c r="S37" s="299"/>
      <c r="T37" s="299"/>
      <c r="U37" s="299"/>
      <c r="V37" s="324"/>
      <c r="W37" s="299"/>
      <c r="X37" s="303"/>
      <c r="Y37" s="308"/>
      <c r="Z37" s="268"/>
      <c r="AA37" s="268"/>
      <c r="AB37" s="268"/>
      <c r="AC37" s="268"/>
      <c r="AD37" s="268"/>
      <c r="AE37" s="268"/>
    </row>
    <row r="38" spans="1:31" ht="12.75" customHeight="1">
      <c r="A38" s="314">
        <v>42542</v>
      </c>
      <c r="B38" s="326" t="s">
        <v>202</v>
      </c>
      <c r="C38" s="307" t="s">
        <v>199</v>
      </c>
      <c r="D38" s="278">
        <v>5907.57</v>
      </c>
      <c r="E38" s="278">
        <v>5997.16</v>
      </c>
      <c r="F38" s="278">
        <v>6022.26</v>
      </c>
      <c r="G38" s="278">
        <v>5986.19</v>
      </c>
      <c r="H38" s="278">
        <v>5840.85</v>
      </c>
      <c r="I38" s="278">
        <v>5716.51</v>
      </c>
      <c r="J38" s="278">
        <v>6008.16</v>
      </c>
      <c r="K38" s="278">
        <v>6012.94</v>
      </c>
      <c r="L38" s="278">
        <v>5937.14</v>
      </c>
      <c r="M38" s="290"/>
      <c r="N38" s="290"/>
      <c r="O38" s="290"/>
      <c r="P38" s="290"/>
      <c r="Q38" s="326">
        <f>IF((L39=""),"",MAX(D40:L40))</f>
        <v>6801.7600000000011</v>
      </c>
      <c r="R38" s="326">
        <f>IF(L39="","",MIN(D40:L40))</f>
        <v>6533.48</v>
      </c>
      <c r="S38" s="327">
        <f>IF((L40=""),"",AVERAGE(D40:L40))</f>
        <v>6666.8999999999987</v>
      </c>
      <c r="T38" s="330">
        <f>IF((L27=""),"",(Q38-R38)/(Q38+R38)*100)</f>
        <v>2.0118123108395611</v>
      </c>
      <c r="U38" s="326">
        <f>STDEV(D40:P40)</f>
        <v>84.423983559230948</v>
      </c>
      <c r="V38" s="328" t="str">
        <f>IF(L39="","",IF(T38&lt;7.3,IF(S38&gt;5700,IF(S38&lt;7200,"Pass","Fail"),"Fail"),"Fail"))</f>
        <v>Pass</v>
      </c>
      <c r="W38" s="315">
        <v>1400</v>
      </c>
      <c r="X38" s="303"/>
      <c r="Y38" s="308"/>
      <c r="Z38" s="267">
        <v>4955</v>
      </c>
      <c r="AA38" s="267">
        <v>9645</v>
      </c>
      <c r="AB38" s="267">
        <v>5100</v>
      </c>
      <c r="AC38" s="267">
        <v>8300</v>
      </c>
      <c r="AD38" s="305">
        <v>10</v>
      </c>
      <c r="AE38" s="305">
        <v>9.8000000000000007</v>
      </c>
    </row>
    <row r="39" spans="1:31" ht="12.75" customHeight="1">
      <c r="A39" s="306"/>
      <c r="B39" s="298"/>
      <c r="C39" s="307" t="s">
        <v>198</v>
      </c>
      <c r="D39" s="278">
        <v>2546.31</v>
      </c>
      <c r="E39" s="278">
        <v>2687.7</v>
      </c>
      <c r="F39" s="278">
        <v>2728.08</v>
      </c>
      <c r="G39" s="278">
        <v>2641.69</v>
      </c>
      <c r="H39" s="278">
        <v>2439.9699999999998</v>
      </c>
      <c r="I39" s="278">
        <v>2345.87</v>
      </c>
      <c r="J39" s="278">
        <v>2661.84</v>
      </c>
      <c r="K39" s="278">
        <v>2746.2</v>
      </c>
      <c r="L39" s="278">
        <v>2630.07</v>
      </c>
      <c r="M39" s="290"/>
      <c r="N39" s="290"/>
      <c r="O39" s="290"/>
      <c r="P39" s="290"/>
      <c r="Q39" s="298"/>
      <c r="R39" s="298"/>
      <c r="S39" s="298"/>
      <c r="T39" s="298"/>
      <c r="U39" s="298"/>
      <c r="V39" s="302"/>
      <c r="W39" s="298"/>
      <c r="X39" s="303"/>
      <c r="Y39" s="308"/>
      <c r="Z39" s="268"/>
      <c r="AA39" s="268"/>
      <c r="AB39" s="268"/>
      <c r="AC39" s="268"/>
      <c r="AD39" s="268"/>
      <c r="AE39" s="268"/>
    </row>
    <row r="40" spans="1:31" ht="24.75" customHeight="1" thickBot="1">
      <c r="A40" s="306"/>
      <c r="B40" s="309"/>
      <c r="C40" s="310" t="s">
        <v>197</v>
      </c>
      <c r="D40" s="311">
        <f t="shared" ref="D40:L40" si="8">IF(((D38="")*AND(D39="")),"",(D38-D39)*2)</f>
        <v>6722.5199999999995</v>
      </c>
      <c r="E40" s="311">
        <f t="shared" si="8"/>
        <v>6618.92</v>
      </c>
      <c r="F40" s="311">
        <f t="shared" si="8"/>
        <v>6588.3600000000006</v>
      </c>
      <c r="G40" s="311">
        <f t="shared" si="8"/>
        <v>6688.9999999999991</v>
      </c>
      <c r="H40" s="311">
        <f t="shared" si="8"/>
        <v>6801.7600000000011</v>
      </c>
      <c r="I40" s="311">
        <f t="shared" si="8"/>
        <v>6741.2800000000007</v>
      </c>
      <c r="J40" s="311">
        <f t="shared" si="8"/>
        <v>6692.6399999999994</v>
      </c>
      <c r="K40" s="311">
        <f t="shared" si="8"/>
        <v>6533.48</v>
      </c>
      <c r="L40" s="311">
        <f t="shared" si="8"/>
        <v>6614.14</v>
      </c>
      <c r="M40" s="311"/>
      <c r="N40" s="311"/>
      <c r="O40" s="311"/>
      <c r="P40" s="311" t="str">
        <f>IF(((P38="")*AND(P39="")),"",(P38-P39)*2)</f>
        <v/>
      </c>
      <c r="Q40" s="309"/>
      <c r="R40" s="309"/>
      <c r="S40" s="309"/>
      <c r="T40" s="309"/>
      <c r="U40" s="299"/>
      <c r="V40" s="312"/>
      <c r="W40" s="309"/>
      <c r="X40" s="303"/>
      <c r="Y40" s="313"/>
      <c r="Z40" s="268"/>
      <c r="AA40" s="268"/>
      <c r="AB40" s="268"/>
      <c r="AC40" s="268"/>
      <c r="AD40" s="268"/>
      <c r="AE40" s="268"/>
    </row>
    <row r="41" spans="1:31" ht="12.75" customHeight="1">
      <c r="A41" s="314">
        <v>42545</v>
      </c>
      <c r="B41" s="315" t="s">
        <v>200</v>
      </c>
      <c r="C41" s="316" t="s">
        <v>199</v>
      </c>
      <c r="D41" s="278">
        <v>7003.73</v>
      </c>
      <c r="E41" s="278">
        <v>6844.69</v>
      </c>
      <c r="F41" s="278">
        <v>6795.33</v>
      </c>
      <c r="G41" s="278">
        <v>6842.84</v>
      </c>
      <c r="H41" s="278">
        <v>7005.44</v>
      </c>
      <c r="I41" s="278">
        <v>7038.72</v>
      </c>
      <c r="J41" s="278">
        <v>6856.31</v>
      </c>
      <c r="K41" s="278">
        <v>6819.4</v>
      </c>
      <c r="L41" s="278">
        <v>6951.9</v>
      </c>
      <c r="M41" s="290"/>
      <c r="N41" s="290"/>
      <c r="O41" s="290"/>
      <c r="P41" s="290"/>
      <c r="Q41" s="326">
        <f>IF((L42=""),"",MAX(D43:P43))</f>
        <v>5198.4399999999996</v>
      </c>
      <c r="R41" s="317">
        <f>IF(L42="","",MIN(D43:L43))</f>
        <v>4935.4299999999994</v>
      </c>
      <c r="S41" s="318">
        <f>IF((L43=""),"",AVERAGE(D43:L43))</f>
        <v>5082.7222222222226</v>
      </c>
      <c r="T41" s="318">
        <f>IF((L42=""),"",(Q41-R41)/(Q41+R41)*100)</f>
        <v>2.5953559696345052</v>
      </c>
      <c r="U41" s="319">
        <f>STDEV(D43:L43)</f>
        <v>101.53072771061774</v>
      </c>
      <c r="V41" s="328" t="str">
        <f>IF(L42="","",IF(T41&lt;7.3,IF(S41&gt;5700,IF(S41&lt;7200,"Pass","Fail"),"Fail"),"Fail"))</f>
        <v>Fail</v>
      </c>
      <c r="W41" s="315">
        <v>1335</v>
      </c>
      <c r="X41" s="303"/>
      <c r="Y41" s="304" t="s">
        <v>312</v>
      </c>
      <c r="Z41" s="321">
        <v>4470</v>
      </c>
      <c r="AA41" s="321">
        <v>6020</v>
      </c>
      <c r="AB41" s="321">
        <v>5150</v>
      </c>
      <c r="AC41" s="321">
        <v>5600</v>
      </c>
      <c r="AD41" s="305">
        <v>10</v>
      </c>
      <c r="AE41" s="322">
        <v>2.7</v>
      </c>
    </row>
    <row r="42" spans="1:31" ht="12.75" customHeight="1">
      <c r="A42" s="306"/>
      <c r="B42" s="298"/>
      <c r="C42" s="307" t="s">
        <v>198</v>
      </c>
      <c r="D42" s="278">
        <v>2068.3000000000002</v>
      </c>
      <c r="E42" s="278">
        <v>1712.58</v>
      </c>
      <c r="F42" s="278">
        <v>1596.89</v>
      </c>
      <c r="G42" s="278">
        <v>1667.93</v>
      </c>
      <c r="H42" s="278">
        <v>1989.57</v>
      </c>
      <c r="I42" s="278">
        <v>2005.45</v>
      </c>
      <c r="J42" s="278">
        <v>1674.87</v>
      </c>
      <c r="K42" s="278">
        <v>1694.81</v>
      </c>
      <c r="L42" s="278">
        <v>2003.46</v>
      </c>
      <c r="M42" s="290"/>
      <c r="N42" s="290"/>
      <c r="O42" s="290"/>
      <c r="P42" s="290"/>
      <c r="Q42" s="298"/>
      <c r="R42" s="298"/>
      <c r="S42" s="298"/>
      <c r="T42" s="298"/>
      <c r="U42" s="298"/>
      <c r="V42" s="302"/>
      <c r="W42" s="298"/>
      <c r="X42" s="303"/>
      <c r="Y42" s="308"/>
      <c r="Z42" s="268"/>
      <c r="AA42" s="268"/>
      <c r="AB42" s="268"/>
      <c r="AC42" s="268"/>
      <c r="AD42" s="268"/>
      <c r="AE42" s="268"/>
    </row>
    <row r="43" spans="1:31" ht="24.75" customHeight="1" thickBot="1">
      <c r="A43" s="306"/>
      <c r="B43" s="299"/>
      <c r="C43" s="307" t="s">
        <v>197</v>
      </c>
      <c r="D43" s="323">
        <f t="shared" ref="D43:P43" si="9">IF(((D41="")*AND(D42="")),"",(D41-D42))</f>
        <v>4935.4299999999994</v>
      </c>
      <c r="E43" s="323">
        <f t="shared" si="9"/>
        <v>5132.1099999999997</v>
      </c>
      <c r="F43" s="323">
        <f t="shared" si="9"/>
        <v>5198.4399999999996</v>
      </c>
      <c r="G43" s="323">
        <f t="shared" si="9"/>
        <v>5174.91</v>
      </c>
      <c r="H43" s="323">
        <f t="shared" si="9"/>
        <v>5015.87</v>
      </c>
      <c r="I43" s="323">
        <f t="shared" si="9"/>
        <v>5033.2700000000004</v>
      </c>
      <c r="J43" s="323">
        <f t="shared" si="9"/>
        <v>5181.4400000000005</v>
      </c>
      <c r="K43" s="323">
        <f t="shared" si="9"/>
        <v>5124.59</v>
      </c>
      <c r="L43" s="323">
        <f t="shared" si="9"/>
        <v>4948.4399999999996</v>
      </c>
      <c r="M43" s="323" t="str">
        <f t="shared" si="9"/>
        <v/>
      </c>
      <c r="N43" s="323" t="str">
        <f t="shared" si="9"/>
        <v/>
      </c>
      <c r="O43" s="323" t="str">
        <f t="shared" si="9"/>
        <v/>
      </c>
      <c r="P43" s="323" t="str">
        <f t="shared" si="9"/>
        <v/>
      </c>
      <c r="Q43" s="299"/>
      <c r="R43" s="299"/>
      <c r="S43" s="299"/>
      <c r="T43" s="299"/>
      <c r="U43" s="299"/>
      <c r="V43" s="324"/>
      <c r="W43" s="299"/>
      <c r="X43" s="303"/>
      <c r="Y43" s="308"/>
      <c r="Z43" s="268"/>
      <c r="AA43" s="268"/>
      <c r="AB43" s="268"/>
      <c r="AC43" s="268"/>
      <c r="AD43" s="268"/>
      <c r="AE43" s="268"/>
    </row>
    <row r="44" spans="1:31" ht="12.75" customHeight="1">
      <c r="A44" s="314">
        <v>42545</v>
      </c>
      <c r="B44" s="326" t="s">
        <v>202</v>
      </c>
      <c r="C44" s="307" t="s">
        <v>199</v>
      </c>
      <c r="D44" s="278">
        <v>5894.64</v>
      </c>
      <c r="E44" s="278">
        <v>5995.11</v>
      </c>
      <c r="F44" s="278">
        <v>6019.35</v>
      </c>
      <c r="G44" s="278">
        <v>5976.02</v>
      </c>
      <c r="H44" s="278">
        <v>5833.78</v>
      </c>
      <c r="I44" s="278">
        <v>5724.86</v>
      </c>
      <c r="J44" s="278">
        <v>6000.33</v>
      </c>
      <c r="K44" s="278">
        <v>6007.87</v>
      </c>
      <c r="L44" s="278">
        <v>5935.58</v>
      </c>
      <c r="M44" s="290"/>
      <c r="N44" s="290"/>
      <c r="O44" s="290"/>
      <c r="P44" s="290"/>
      <c r="Q44" s="326">
        <f>IF((L45=""),"",MAX(D46:L46))</f>
        <v>6797.8799999999992</v>
      </c>
      <c r="R44" s="326">
        <f>IF(L45="","",MIN(D46:L46))</f>
        <v>6616.96</v>
      </c>
      <c r="S44" s="327">
        <f>IF((L46=""),"",AVERAGE(D46:L46))</f>
        <v>6697.5533333333333</v>
      </c>
      <c r="T44" s="318">
        <f>IF((L45=""),"",(Q44-R44)/(Q44+R44)*100)</f>
        <v>1.348655667902108</v>
      </c>
      <c r="U44" s="326">
        <f>STDEV(D46:P46)</f>
        <v>62.551163858105788</v>
      </c>
      <c r="V44" s="328" t="str">
        <f>IF(L45="","",IF(T44&lt;7.3,IF(S44&gt;5700,IF(S44&lt;7200,"Pass","Fail"),"Fail"),"Fail"))</f>
        <v>Pass</v>
      </c>
      <c r="W44" s="315">
        <v>1335</v>
      </c>
      <c r="X44" s="303"/>
      <c r="Y44" s="308"/>
      <c r="Z44" s="267">
        <v>4955</v>
      </c>
      <c r="AA44" s="267">
        <v>9645</v>
      </c>
      <c r="AB44" s="267">
        <v>5100</v>
      </c>
      <c r="AC44" s="267">
        <v>8300</v>
      </c>
      <c r="AD44" s="305">
        <v>10</v>
      </c>
      <c r="AE44" s="305">
        <v>9.8000000000000007</v>
      </c>
    </row>
    <row r="45" spans="1:31" ht="12.75" customHeight="1">
      <c r="A45" s="306"/>
      <c r="B45" s="298"/>
      <c r="C45" s="307" t="s">
        <v>198</v>
      </c>
      <c r="D45" s="278">
        <v>2520.9499999999998</v>
      </c>
      <c r="E45" s="278">
        <v>2672.39</v>
      </c>
      <c r="F45" s="278">
        <v>2701.59</v>
      </c>
      <c r="G45" s="278">
        <v>2621.66</v>
      </c>
      <c r="H45" s="278">
        <v>2434.84</v>
      </c>
      <c r="I45" s="278">
        <v>2394.12</v>
      </c>
      <c r="J45" s="278">
        <v>2649.4</v>
      </c>
      <c r="K45" s="278">
        <v>2699.39</v>
      </c>
      <c r="L45" s="278">
        <v>2554.21</v>
      </c>
      <c r="M45" s="290"/>
      <c r="N45" s="290"/>
      <c r="O45" s="290"/>
      <c r="P45" s="290"/>
      <c r="Q45" s="298"/>
      <c r="R45" s="298"/>
      <c r="S45" s="298"/>
      <c r="T45" s="298"/>
      <c r="U45" s="298"/>
      <c r="V45" s="302"/>
      <c r="W45" s="298"/>
      <c r="X45" s="303"/>
      <c r="Y45" s="308"/>
      <c r="Z45" s="268"/>
      <c r="AA45" s="268"/>
      <c r="AB45" s="268"/>
      <c r="AC45" s="268"/>
      <c r="AD45" s="268"/>
      <c r="AE45" s="268"/>
    </row>
    <row r="46" spans="1:31" ht="24.75" customHeight="1" thickBot="1">
      <c r="A46" s="306"/>
      <c r="B46" s="309"/>
      <c r="C46" s="310" t="s">
        <v>197</v>
      </c>
      <c r="D46" s="311">
        <f t="shared" ref="D46:L46" si="10">IF(((D44="")*AND(D45="")),"",(D44-D45)*2)</f>
        <v>6747.380000000001</v>
      </c>
      <c r="E46" s="311">
        <f t="shared" si="10"/>
        <v>6645.44</v>
      </c>
      <c r="F46" s="311">
        <f t="shared" si="10"/>
        <v>6635.52</v>
      </c>
      <c r="G46" s="311">
        <f t="shared" si="10"/>
        <v>6708.7200000000012</v>
      </c>
      <c r="H46" s="311">
        <f t="shared" si="10"/>
        <v>6797.8799999999992</v>
      </c>
      <c r="I46" s="311">
        <f t="shared" si="10"/>
        <v>6661.48</v>
      </c>
      <c r="J46" s="311">
        <f t="shared" si="10"/>
        <v>6701.86</v>
      </c>
      <c r="K46" s="311">
        <f t="shared" si="10"/>
        <v>6616.96</v>
      </c>
      <c r="L46" s="311">
        <f t="shared" si="10"/>
        <v>6762.74</v>
      </c>
      <c r="M46" s="311"/>
      <c r="N46" s="311"/>
      <c r="O46" s="311"/>
      <c r="P46" s="311" t="str">
        <f>IF(((P44="")*AND(P45="")),"",(P44-P45)*2)</f>
        <v/>
      </c>
      <c r="Q46" s="309"/>
      <c r="R46" s="309"/>
      <c r="S46" s="309"/>
      <c r="T46" s="309"/>
      <c r="U46" s="299"/>
      <c r="V46" s="312"/>
      <c r="W46" s="309"/>
      <c r="X46" s="303"/>
      <c r="Y46" s="313"/>
      <c r="Z46" s="268"/>
      <c r="AA46" s="268"/>
      <c r="AB46" s="268"/>
      <c r="AC46" s="268"/>
      <c r="AD46" s="268"/>
      <c r="AE46" s="268"/>
    </row>
    <row r="47" spans="1:31" ht="12.75" customHeight="1">
      <c r="A47" s="314">
        <v>42555</v>
      </c>
      <c r="B47" s="315" t="s">
        <v>200</v>
      </c>
      <c r="C47" s="316" t="s">
        <v>199</v>
      </c>
      <c r="D47" s="278">
        <v>7082.78</v>
      </c>
      <c r="E47" s="278">
        <v>6932.11</v>
      </c>
      <c r="F47" s="278">
        <v>7003.15</v>
      </c>
      <c r="G47" s="278">
        <v>7039.46</v>
      </c>
      <c r="H47" s="278">
        <v>7314.77</v>
      </c>
      <c r="I47" s="278">
        <v>7199.73</v>
      </c>
      <c r="J47" s="278">
        <v>7002.56</v>
      </c>
      <c r="K47" s="278">
        <v>7055.15</v>
      </c>
      <c r="L47" s="278">
        <v>7358.51</v>
      </c>
      <c r="M47" s="290"/>
      <c r="N47" s="290"/>
      <c r="O47" s="290"/>
      <c r="P47" s="290"/>
      <c r="Q47" s="326">
        <f>IF((L48=""),"",MAX(D49:P49))</f>
        <v>5062.2699999999995</v>
      </c>
      <c r="R47" s="317">
        <f>IF(L48="","",MIN(D49:L49))</f>
        <v>4802.99</v>
      </c>
      <c r="S47" s="318">
        <f>IF((L49=""),"",AVERAGE(D49:L49))</f>
        <v>4954.2311111111103</v>
      </c>
      <c r="T47" s="318">
        <f>IF((L48=""),"",(Q47-R47)/(Q47+R47)*100)</f>
        <v>2.6282125357061021</v>
      </c>
      <c r="U47" s="319">
        <f>STDEV(D49:L49)</f>
        <v>103.16979226555452</v>
      </c>
      <c r="V47" s="320" t="str">
        <f>IF(P48="","",IF(T47&lt;2.7,IF(S47&gt;5150,IF(S47&lt;5600,"Pass","Fail"),"Fail"),"Fail"))</f>
        <v/>
      </c>
      <c r="W47" s="315">
        <v>1400</v>
      </c>
      <c r="X47" s="303"/>
      <c r="Y47" s="304" t="s">
        <v>312</v>
      </c>
      <c r="Z47" s="321">
        <v>4470</v>
      </c>
      <c r="AA47" s="321">
        <v>6020</v>
      </c>
      <c r="AB47" s="321">
        <v>5150</v>
      </c>
      <c r="AC47" s="321">
        <v>5600</v>
      </c>
      <c r="AD47" s="305">
        <v>10</v>
      </c>
      <c r="AE47" s="322">
        <v>2.7</v>
      </c>
    </row>
    <row r="48" spans="1:31" ht="12.75" customHeight="1">
      <c r="A48" s="306"/>
      <c r="B48" s="298"/>
      <c r="C48" s="307" t="s">
        <v>198</v>
      </c>
      <c r="D48" s="278">
        <v>2279.79</v>
      </c>
      <c r="E48" s="278">
        <v>1929.98</v>
      </c>
      <c r="F48" s="278">
        <v>1940.88</v>
      </c>
      <c r="G48" s="278">
        <v>1982.75</v>
      </c>
      <c r="H48" s="278">
        <v>2422.98</v>
      </c>
      <c r="I48" s="278">
        <v>2298.71</v>
      </c>
      <c r="J48" s="278">
        <v>1942.16</v>
      </c>
      <c r="K48" s="278">
        <v>2063.06</v>
      </c>
      <c r="L48" s="278">
        <v>2539.83</v>
      </c>
      <c r="M48" s="290"/>
      <c r="N48" s="290"/>
      <c r="O48" s="290"/>
      <c r="P48" s="290"/>
      <c r="Q48" s="298"/>
      <c r="R48" s="298"/>
      <c r="S48" s="298"/>
      <c r="T48" s="298"/>
      <c r="U48" s="298"/>
      <c r="V48" s="302"/>
      <c r="W48" s="298"/>
      <c r="X48" s="303"/>
      <c r="Y48" s="308"/>
      <c r="Z48" s="268"/>
      <c r="AA48" s="268"/>
      <c r="AB48" s="268"/>
      <c r="AC48" s="268"/>
      <c r="AD48" s="268"/>
      <c r="AE48" s="268"/>
    </row>
    <row r="49" spans="1:31" ht="24.75" customHeight="1" thickBot="1">
      <c r="A49" s="306"/>
      <c r="B49" s="299"/>
      <c r="C49" s="307" t="s">
        <v>197</v>
      </c>
      <c r="D49" s="323">
        <f t="shared" ref="D49:P49" si="11">IF(((D47="")*AND(D48="")),"",(D47-D48))</f>
        <v>4802.99</v>
      </c>
      <c r="E49" s="323">
        <f t="shared" si="11"/>
        <v>5002.1299999999992</v>
      </c>
      <c r="F49" s="323">
        <f t="shared" si="11"/>
        <v>5062.2699999999995</v>
      </c>
      <c r="G49" s="323">
        <f t="shared" si="11"/>
        <v>5056.71</v>
      </c>
      <c r="H49" s="323">
        <f t="shared" si="11"/>
        <v>4891.7900000000009</v>
      </c>
      <c r="I49" s="323">
        <f t="shared" si="11"/>
        <v>4901.0199999999995</v>
      </c>
      <c r="J49" s="323">
        <f t="shared" si="11"/>
        <v>5060.4000000000005</v>
      </c>
      <c r="K49" s="323">
        <f t="shared" si="11"/>
        <v>4992.09</v>
      </c>
      <c r="L49" s="323">
        <f t="shared" si="11"/>
        <v>4818.68</v>
      </c>
      <c r="M49" s="323" t="str">
        <f t="shared" si="11"/>
        <v/>
      </c>
      <c r="N49" s="323" t="str">
        <f t="shared" si="11"/>
        <v/>
      </c>
      <c r="O49" s="323" t="str">
        <f t="shared" si="11"/>
        <v/>
      </c>
      <c r="P49" s="323" t="str">
        <f t="shared" si="11"/>
        <v/>
      </c>
      <c r="Q49" s="299"/>
      <c r="R49" s="299"/>
      <c r="S49" s="299"/>
      <c r="T49" s="299"/>
      <c r="U49" s="299"/>
      <c r="V49" s="324"/>
      <c r="W49" s="299"/>
      <c r="X49" s="303"/>
      <c r="Y49" s="308"/>
      <c r="Z49" s="268"/>
      <c r="AA49" s="268"/>
      <c r="AB49" s="268"/>
      <c r="AC49" s="268"/>
      <c r="AD49" s="268"/>
      <c r="AE49" s="268"/>
    </row>
    <row r="50" spans="1:31" ht="12.75" customHeight="1">
      <c r="A50" s="314">
        <v>42555</v>
      </c>
      <c r="B50" s="326" t="s">
        <v>202</v>
      </c>
      <c r="C50" s="307" t="s">
        <v>199</v>
      </c>
      <c r="D50" s="278">
        <v>6004.45</v>
      </c>
      <c r="E50" s="278">
        <v>6214.71</v>
      </c>
      <c r="F50" s="278">
        <v>6284.34</v>
      </c>
      <c r="G50" s="278">
        <v>6215.69</v>
      </c>
      <c r="H50" s="278">
        <v>5968.92</v>
      </c>
      <c r="I50" s="278">
        <v>6187.83</v>
      </c>
      <c r="J50" s="278">
        <v>6249.03</v>
      </c>
      <c r="K50" s="278">
        <v>6190.06</v>
      </c>
      <c r="L50" s="278">
        <v>5987.94</v>
      </c>
      <c r="M50" s="290"/>
      <c r="N50" s="290"/>
      <c r="O50" s="290"/>
      <c r="P50" s="290"/>
      <c r="Q50" s="326">
        <f>IF((L51=""),"",MAX(D52:L52))</f>
        <v>11691.06</v>
      </c>
      <c r="R50" s="326">
        <f>IF(L51="","",MIN(D52:L52))</f>
        <v>6681.8199999999988</v>
      </c>
      <c r="S50" s="327">
        <f>IF((L52=""),"",AVERAGE(D52:L52))</f>
        <v>10733.031111111111</v>
      </c>
      <c r="T50" s="318">
        <f>IF((L51=""),"",(Q50-R50)/(Q50+R50)*100)</f>
        <v>27.264315665263155</v>
      </c>
      <c r="U50" s="326">
        <f>STDEV(D52:P52)</f>
        <v>1583.8454163241802</v>
      </c>
      <c r="V50" s="328" t="str">
        <f>IF(L51="","",IF(T50&lt;7.3,IF(S50&gt;5700,IF(S50&lt;7200,"Pass","Fail"),"Fail"),"Fail"))</f>
        <v>Fail</v>
      </c>
      <c r="W50" s="315">
        <v>1400</v>
      </c>
      <c r="X50" s="303"/>
      <c r="Y50" s="308" t="s">
        <v>312</v>
      </c>
      <c r="Z50" s="267">
        <v>4955</v>
      </c>
      <c r="AA50" s="267">
        <v>9645</v>
      </c>
      <c r="AB50" s="267">
        <v>5100</v>
      </c>
      <c r="AC50" s="267">
        <v>8300</v>
      </c>
      <c r="AD50" s="305">
        <v>10</v>
      </c>
      <c r="AE50" s="305">
        <v>9.8000000000000007</v>
      </c>
    </row>
    <row r="51" spans="1:31" ht="12.75" customHeight="1">
      <c r="A51" s="306"/>
      <c r="B51" s="298"/>
      <c r="C51" s="307" t="s">
        <v>198</v>
      </c>
      <c r="D51" s="278">
        <v>790.13</v>
      </c>
      <c r="E51" s="278">
        <v>443.79</v>
      </c>
      <c r="F51" s="278">
        <v>438.81</v>
      </c>
      <c r="G51" s="278">
        <v>448.42</v>
      </c>
      <c r="H51" s="278">
        <v>622.29999999999995</v>
      </c>
      <c r="I51" s="278">
        <v>710.42</v>
      </c>
      <c r="J51" s="278">
        <v>445.92</v>
      </c>
      <c r="K51" s="278">
        <v>457.51</v>
      </c>
      <c r="L51" s="278">
        <v>2647.03</v>
      </c>
      <c r="M51" s="290"/>
      <c r="N51" s="290"/>
      <c r="O51" s="290"/>
      <c r="P51" s="290"/>
      <c r="Q51" s="298"/>
      <c r="R51" s="298"/>
      <c r="S51" s="298"/>
      <c r="T51" s="298"/>
      <c r="U51" s="298"/>
      <c r="V51" s="302"/>
      <c r="W51" s="298"/>
      <c r="X51" s="303"/>
      <c r="Y51" s="308"/>
      <c r="Z51" s="268"/>
      <c r="AA51" s="268"/>
      <c r="AB51" s="268"/>
      <c r="AC51" s="268"/>
      <c r="AD51" s="268"/>
      <c r="AE51" s="268"/>
    </row>
    <row r="52" spans="1:31" ht="24.75" customHeight="1" thickBot="1">
      <c r="A52" s="306"/>
      <c r="B52" s="309"/>
      <c r="C52" s="310" t="s">
        <v>197</v>
      </c>
      <c r="D52" s="311">
        <f t="shared" ref="D52:L52" si="12">IF(((D50="")*AND(D51="")),"",(D50-D51)*2)</f>
        <v>10428.64</v>
      </c>
      <c r="E52" s="311">
        <f t="shared" si="12"/>
        <v>11541.84</v>
      </c>
      <c r="F52" s="311">
        <f t="shared" si="12"/>
        <v>11691.06</v>
      </c>
      <c r="G52" s="311">
        <f t="shared" si="12"/>
        <v>11534.539999999999</v>
      </c>
      <c r="H52" s="311">
        <f t="shared" si="12"/>
        <v>10693.24</v>
      </c>
      <c r="I52" s="311">
        <f t="shared" si="12"/>
        <v>10954.82</v>
      </c>
      <c r="J52" s="311">
        <f t="shared" si="12"/>
        <v>11606.22</v>
      </c>
      <c r="K52" s="311">
        <f t="shared" si="12"/>
        <v>11465.1</v>
      </c>
      <c r="L52" s="311">
        <f t="shared" si="12"/>
        <v>6681.8199999999988</v>
      </c>
      <c r="M52" s="311"/>
      <c r="N52" s="311"/>
      <c r="O52" s="311"/>
      <c r="P52" s="311" t="str">
        <f>IF(((P50="")*AND(P51="")),"",(P50-P51)*2)</f>
        <v/>
      </c>
      <c r="Q52" s="309"/>
      <c r="R52" s="309"/>
      <c r="S52" s="309"/>
      <c r="T52" s="309"/>
      <c r="U52" s="299"/>
      <c r="V52" s="312"/>
      <c r="W52" s="309"/>
      <c r="X52" s="303"/>
      <c r="Y52" s="313"/>
      <c r="Z52" s="268"/>
      <c r="AA52" s="268"/>
      <c r="AB52" s="268"/>
      <c r="AC52" s="268"/>
      <c r="AD52" s="268"/>
      <c r="AE52" s="268"/>
    </row>
    <row r="53" spans="1:31" ht="12.75" customHeight="1">
      <c r="A53" s="314">
        <v>42564</v>
      </c>
      <c r="B53" s="315" t="s">
        <v>200</v>
      </c>
      <c r="C53" s="316" t="s">
        <v>199</v>
      </c>
      <c r="D53" s="278">
        <v>7124.37</v>
      </c>
      <c r="E53" s="278">
        <v>6960.62</v>
      </c>
      <c r="F53" s="278">
        <v>6900.83</v>
      </c>
      <c r="G53" s="278">
        <v>6907.48</v>
      </c>
      <c r="H53" s="278">
        <v>6994.1</v>
      </c>
      <c r="I53" s="278">
        <v>7086.28</v>
      </c>
      <c r="J53" s="278">
        <v>6942.31</v>
      </c>
      <c r="K53" s="278">
        <v>6945.47</v>
      </c>
      <c r="L53" s="278">
        <v>7118.08</v>
      </c>
      <c r="M53" s="290"/>
      <c r="N53" s="290"/>
      <c r="O53" s="290"/>
      <c r="P53" s="290"/>
      <c r="Q53" s="326">
        <f>IF((L54=""),"",MAX(D55:P55))</f>
        <v>5188.1499999999996</v>
      </c>
      <c r="R53" s="317">
        <f>IF(L54="","",MIN(D55:L55))</f>
        <v>4913.26</v>
      </c>
      <c r="S53" s="318">
        <f>IF((L55=""),"",AVERAGE(D55:L55))</f>
        <v>5073.0622222222219</v>
      </c>
      <c r="T53" s="318">
        <f>IF((L54=""),"",(Q53-R53)/(Q53+R53)*100)</f>
        <v>2.7213032636037884</v>
      </c>
      <c r="U53" s="319">
        <f>STDEV(D55:L55)</f>
        <v>105.22827148368467</v>
      </c>
      <c r="V53" s="320" t="str">
        <f>IF(P54="","",IF(T53&lt;2.7,IF(S53&gt;5150,IF(S53&lt;5600,"Pass","Fail"),"Fail"),"Fail"))</f>
        <v/>
      </c>
      <c r="W53" s="315">
        <v>1159</v>
      </c>
      <c r="X53" s="303"/>
      <c r="Y53" s="304" t="s">
        <v>312</v>
      </c>
      <c r="Z53" s="321">
        <v>4470</v>
      </c>
      <c r="AA53" s="321">
        <v>6020</v>
      </c>
      <c r="AB53" s="321">
        <v>5150</v>
      </c>
      <c r="AC53" s="321">
        <v>5600</v>
      </c>
      <c r="AD53" s="305">
        <v>10</v>
      </c>
      <c r="AE53" s="322">
        <v>2.7</v>
      </c>
    </row>
    <row r="54" spans="1:31" ht="12.75" customHeight="1">
      <c r="A54" s="306"/>
      <c r="B54" s="298"/>
      <c r="C54" s="307" t="s">
        <v>198</v>
      </c>
      <c r="D54" s="278">
        <v>2211.11</v>
      </c>
      <c r="E54" s="278">
        <v>1840.33</v>
      </c>
      <c r="F54" s="278">
        <v>1712.68</v>
      </c>
      <c r="G54" s="278">
        <v>1742.13</v>
      </c>
      <c r="H54" s="278">
        <v>1982.66</v>
      </c>
      <c r="I54" s="278">
        <v>2041.73</v>
      </c>
      <c r="J54" s="278">
        <v>1760.72</v>
      </c>
      <c r="K54" s="278">
        <v>1838.84</v>
      </c>
      <c r="L54" s="278">
        <v>2191.7800000000002</v>
      </c>
      <c r="M54" s="290"/>
      <c r="N54" s="290"/>
      <c r="O54" s="290"/>
      <c r="P54" s="290"/>
      <c r="Q54" s="298"/>
      <c r="R54" s="298"/>
      <c r="S54" s="298"/>
      <c r="T54" s="298"/>
      <c r="U54" s="298"/>
      <c r="V54" s="302"/>
      <c r="W54" s="298"/>
      <c r="X54" s="303"/>
      <c r="Y54" s="308"/>
      <c r="Z54" s="268"/>
      <c r="AA54" s="268"/>
      <c r="AB54" s="268"/>
      <c r="AC54" s="268"/>
      <c r="AD54" s="268"/>
      <c r="AE54" s="268"/>
    </row>
    <row r="55" spans="1:31" ht="24.75" customHeight="1" thickBot="1">
      <c r="A55" s="306"/>
      <c r="B55" s="299"/>
      <c r="C55" s="307" t="s">
        <v>197</v>
      </c>
      <c r="D55" s="323">
        <f t="shared" ref="D55:P55" si="13">IF(((D53="")*AND(D54="")),"",(D53-D54))</f>
        <v>4913.26</v>
      </c>
      <c r="E55" s="323">
        <f t="shared" si="13"/>
        <v>5120.29</v>
      </c>
      <c r="F55" s="323">
        <f t="shared" si="13"/>
        <v>5188.1499999999996</v>
      </c>
      <c r="G55" s="323">
        <f t="shared" si="13"/>
        <v>5165.3499999999995</v>
      </c>
      <c r="H55" s="323">
        <f t="shared" si="13"/>
        <v>5011.4400000000005</v>
      </c>
      <c r="I55" s="323">
        <f t="shared" si="13"/>
        <v>5044.5499999999993</v>
      </c>
      <c r="J55" s="323">
        <f t="shared" si="13"/>
        <v>5181.59</v>
      </c>
      <c r="K55" s="323">
        <f t="shared" si="13"/>
        <v>5106.63</v>
      </c>
      <c r="L55" s="323">
        <f t="shared" si="13"/>
        <v>4926.2999999999993</v>
      </c>
      <c r="M55" s="323" t="str">
        <f t="shared" si="13"/>
        <v/>
      </c>
      <c r="N55" s="323" t="str">
        <f t="shared" si="13"/>
        <v/>
      </c>
      <c r="O55" s="323" t="str">
        <f t="shared" si="13"/>
        <v/>
      </c>
      <c r="P55" s="323" t="str">
        <f t="shared" si="13"/>
        <v/>
      </c>
      <c r="Q55" s="299"/>
      <c r="R55" s="299"/>
      <c r="S55" s="299"/>
      <c r="T55" s="299"/>
      <c r="U55" s="299"/>
      <c r="V55" s="324"/>
      <c r="W55" s="299"/>
      <c r="X55" s="303"/>
      <c r="Y55" s="308"/>
      <c r="Z55" s="268"/>
      <c r="AA55" s="268"/>
      <c r="AB55" s="268"/>
      <c r="AC55" s="268"/>
      <c r="AD55" s="268"/>
      <c r="AE55" s="268"/>
    </row>
    <row r="56" spans="1:31" ht="12.75" customHeight="1">
      <c r="A56" s="314">
        <v>42564</v>
      </c>
      <c r="B56" s="326" t="s">
        <v>202</v>
      </c>
      <c r="C56" s="307" t="s">
        <v>199</v>
      </c>
      <c r="D56" s="278">
        <v>6028.8</v>
      </c>
      <c r="E56" s="278">
        <v>6228.62</v>
      </c>
      <c r="F56" s="278">
        <v>6298.1</v>
      </c>
      <c r="G56" s="278">
        <v>6231.44</v>
      </c>
      <c r="H56" s="278">
        <v>6001.03</v>
      </c>
      <c r="I56" s="278">
        <v>6220.02</v>
      </c>
      <c r="J56" s="278">
        <v>6265.66</v>
      </c>
      <c r="K56" s="278">
        <v>6202.73</v>
      </c>
      <c r="L56" s="278">
        <v>6023.12</v>
      </c>
      <c r="M56" s="290"/>
      <c r="N56" s="290"/>
      <c r="O56" s="290"/>
      <c r="P56" s="290"/>
      <c r="Q56" s="326">
        <f>IF((L57=""),"",MAX(D58:L58))</f>
        <v>11619.66</v>
      </c>
      <c r="R56" s="326">
        <f>IF(L57="","",MIN(D58:L58))</f>
        <v>6713.58</v>
      </c>
      <c r="S56" s="327">
        <f>IF((L58=""),"",AVERAGE(D58:L58))</f>
        <v>10739.155555555555</v>
      </c>
      <c r="T56" s="318">
        <f>IF((L57=""),"",(Q56-R56)/(Q56+R56)*100)</f>
        <v>26.760572599278692</v>
      </c>
      <c r="U56" s="326">
        <f>STDEV(D58:P58)</f>
        <v>1558.0566810863502</v>
      </c>
      <c r="V56" s="328" t="str">
        <f>IF(L57="","",IF(T56&lt;7.3,IF(S56&gt;5700,IF(S56&lt;7200,"Pass","Fail"),"Fail"),"Fail"))</f>
        <v>Fail</v>
      </c>
      <c r="W56" s="315">
        <v>1159</v>
      </c>
      <c r="X56" s="303"/>
      <c r="Y56" s="308" t="s">
        <v>312</v>
      </c>
      <c r="Z56" s="267">
        <v>4955</v>
      </c>
      <c r="AA56" s="267">
        <v>9645</v>
      </c>
      <c r="AB56" s="267">
        <v>5100</v>
      </c>
      <c r="AC56" s="267">
        <v>8300</v>
      </c>
      <c r="AD56" s="305">
        <v>10</v>
      </c>
      <c r="AE56" s="305">
        <v>9.8000000000000007</v>
      </c>
    </row>
    <row r="57" spans="1:31" ht="12.75" customHeight="1">
      <c r="A57" s="306"/>
      <c r="B57" s="298"/>
      <c r="C57" s="307" t="s">
        <v>198</v>
      </c>
      <c r="D57" s="278">
        <v>724.84</v>
      </c>
      <c r="E57" s="278">
        <v>484.77</v>
      </c>
      <c r="F57" s="278">
        <v>488.27</v>
      </c>
      <c r="G57" s="278">
        <v>497.6</v>
      </c>
      <c r="H57" s="278">
        <v>679.48</v>
      </c>
      <c r="I57" s="278">
        <v>672.35</v>
      </c>
      <c r="J57" s="278">
        <v>474.28</v>
      </c>
      <c r="K57" s="278">
        <v>485.4</v>
      </c>
      <c r="L57" s="278">
        <v>2666.33</v>
      </c>
      <c r="M57" s="290"/>
      <c r="N57" s="290"/>
      <c r="O57" s="290"/>
      <c r="P57" s="290"/>
      <c r="Q57" s="298"/>
      <c r="R57" s="298"/>
      <c r="S57" s="298"/>
      <c r="T57" s="298"/>
      <c r="U57" s="298"/>
      <c r="V57" s="302"/>
      <c r="W57" s="298"/>
      <c r="X57" s="303"/>
      <c r="Y57" s="308"/>
      <c r="Z57" s="268"/>
      <c r="AA57" s="268"/>
      <c r="AB57" s="268"/>
      <c r="AC57" s="268"/>
      <c r="AD57" s="268"/>
      <c r="AE57" s="268"/>
    </row>
    <row r="58" spans="1:31" ht="24.75" customHeight="1" thickBot="1">
      <c r="A58" s="306"/>
      <c r="B58" s="309"/>
      <c r="C58" s="310" t="s">
        <v>197</v>
      </c>
      <c r="D58" s="311">
        <f t="shared" ref="D58:L58" si="14">IF(((D56="")*AND(D57="")),"",(D56-D57)*2)</f>
        <v>10607.92</v>
      </c>
      <c r="E58" s="311">
        <f t="shared" si="14"/>
        <v>11487.7</v>
      </c>
      <c r="F58" s="311">
        <f t="shared" si="14"/>
        <v>11619.66</v>
      </c>
      <c r="G58" s="311">
        <f t="shared" si="14"/>
        <v>11467.679999999998</v>
      </c>
      <c r="H58" s="311">
        <f t="shared" si="14"/>
        <v>10643.099999999999</v>
      </c>
      <c r="I58" s="311">
        <f t="shared" si="14"/>
        <v>11095.34</v>
      </c>
      <c r="J58" s="311">
        <f t="shared" si="14"/>
        <v>11582.76</v>
      </c>
      <c r="K58" s="311">
        <f t="shared" si="14"/>
        <v>11434.66</v>
      </c>
      <c r="L58" s="311">
        <f t="shared" si="14"/>
        <v>6713.58</v>
      </c>
      <c r="M58" s="311"/>
      <c r="N58" s="311"/>
      <c r="O58" s="311"/>
      <c r="P58" s="311" t="str">
        <f>IF(((P56="")*AND(P57="")),"",(P56-P57)*2)</f>
        <v/>
      </c>
      <c r="Q58" s="309"/>
      <c r="R58" s="309"/>
      <c r="S58" s="309"/>
      <c r="T58" s="309"/>
      <c r="U58" s="299"/>
      <c r="V58" s="312"/>
      <c r="W58" s="309"/>
      <c r="X58" s="303"/>
      <c r="Y58" s="313"/>
      <c r="Z58" s="268"/>
      <c r="AA58" s="268"/>
      <c r="AB58" s="268"/>
      <c r="AC58" s="268"/>
      <c r="AD58" s="268"/>
      <c r="AE58" s="268"/>
    </row>
    <row r="59" spans="1:31" ht="12.75" customHeight="1">
      <c r="A59" s="314">
        <v>42577</v>
      </c>
      <c r="B59" s="315" t="s">
        <v>200</v>
      </c>
      <c r="C59" s="316" t="s">
        <v>199</v>
      </c>
      <c r="D59" s="278">
        <v>7257.01</v>
      </c>
      <c r="E59" s="278">
        <v>7009.79</v>
      </c>
      <c r="F59" s="278">
        <v>6951.53</v>
      </c>
      <c r="G59" s="278">
        <v>7035.24</v>
      </c>
      <c r="H59" s="278">
        <v>7208.43</v>
      </c>
      <c r="I59" s="278">
        <v>7265.76</v>
      </c>
      <c r="J59" s="278">
        <v>7018.36</v>
      </c>
      <c r="K59" s="278">
        <v>7023.73</v>
      </c>
      <c r="L59" s="278">
        <v>7297.23</v>
      </c>
      <c r="M59" s="290"/>
      <c r="N59" s="290"/>
      <c r="O59" s="290"/>
      <c r="P59" s="290"/>
      <c r="Q59" s="326">
        <f>IF((L60=""),"",MAX(D61:P61))</f>
        <v>5198.4799999999996</v>
      </c>
      <c r="R59" s="317">
        <f>IF(L60="","",MIN(D61:L61))</f>
        <v>4981.4500000000007</v>
      </c>
      <c r="S59" s="318">
        <f>IF((L61=""),"",AVERAGE(D61:L61))</f>
        <v>5098.0333333333338</v>
      </c>
      <c r="T59" s="318">
        <f>IF((L60=""),"",(Q59-R59)/(Q59+R59)*100)</f>
        <v>2.131940003516712</v>
      </c>
      <c r="U59" s="319">
        <f>STDEV(D61:L61)</f>
        <v>82.416986113296687</v>
      </c>
      <c r="V59" s="320" t="str">
        <f>IF(P60="","",IF(T59&lt;2.7,IF(S59&gt;5150,IF(S59&lt;5600,"Pass","Fail"),"Fail"),"Fail"))</f>
        <v/>
      </c>
      <c r="W59" s="315">
        <v>1335</v>
      </c>
      <c r="X59" s="303"/>
      <c r="Y59" s="304" t="s">
        <v>312</v>
      </c>
      <c r="Z59" s="321">
        <v>4470</v>
      </c>
      <c r="AA59" s="321">
        <v>6020</v>
      </c>
      <c r="AB59" s="321">
        <v>5150</v>
      </c>
      <c r="AC59" s="321">
        <v>5600</v>
      </c>
      <c r="AD59" s="305">
        <v>10</v>
      </c>
      <c r="AE59" s="322">
        <v>2.7</v>
      </c>
    </row>
    <row r="60" spans="1:31" ht="12.75" customHeight="1">
      <c r="A60" s="306"/>
      <c r="B60" s="298"/>
      <c r="C60" s="307" t="s">
        <v>198</v>
      </c>
      <c r="D60" s="278">
        <v>2275.56</v>
      </c>
      <c r="E60" s="278">
        <v>1869.99</v>
      </c>
      <c r="F60" s="278">
        <v>1753.05</v>
      </c>
      <c r="G60" s="278">
        <v>1869.64</v>
      </c>
      <c r="H60" s="278">
        <v>2159.7199999999998</v>
      </c>
      <c r="I60" s="278">
        <v>2207.2199999999998</v>
      </c>
      <c r="J60" s="278">
        <v>1839.3</v>
      </c>
      <c r="K60" s="278">
        <v>1897.18</v>
      </c>
      <c r="L60" s="278">
        <v>2313.12</v>
      </c>
      <c r="M60" s="290"/>
      <c r="N60" s="290"/>
      <c r="O60" s="290"/>
      <c r="P60" s="290"/>
      <c r="Q60" s="298"/>
      <c r="R60" s="298"/>
      <c r="S60" s="298"/>
      <c r="T60" s="298"/>
      <c r="U60" s="298"/>
      <c r="V60" s="302"/>
      <c r="W60" s="298"/>
      <c r="X60" s="303"/>
      <c r="Y60" s="308"/>
      <c r="Z60" s="268"/>
      <c r="AA60" s="268"/>
      <c r="AB60" s="268"/>
      <c r="AC60" s="268"/>
      <c r="AD60" s="268"/>
      <c r="AE60" s="268"/>
    </row>
    <row r="61" spans="1:31" ht="24.75" customHeight="1" thickBot="1">
      <c r="A61" s="306"/>
      <c r="B61" s="299"/>
      <c r="C61" s="307" t="s">
        <v>197</v>
      </c>
      <c r="D61" s="323">
        <f t="shared" ref="D61:P61" si="15">IF(((D59="")*AND(D60="")),"",(D59-D60))</f>
        <v>4981.4500000000007</v>
      </c>
      <c r="E61" s="323">
        <f t="shared" si="15"/>
        <v>5139.8</v>
      </c>
      <c r="F61" s="323">
        <f t="shared" si="15"/>
        <v>5198.4799999999996</v>
      </c>
      <c r="G61" s="323">
        <f t="shared" si="15"/>
        <v>5165.5999999999995</v>
      </c>
      <c r="H61" s="323">
        <f t="shared" si="15"/>
        <v>5048.7100000000009</v>
      </c>
      <c r="I61" s="323">
        <f t="shared" si="15"/>
        <v>5058.5400000000009</v>
      </c>
      <c r="J61" s="323">
        <f t="shared" si="15"/>
        <v>5179.0599999999995</v>
      </c>
      <c r="K61" s="323">
        <f t="shared" si="15"/>
        <v>5126.5499999999993</v>
      </c>
      <c r="L61" s="323">
        <f t="shared" si="15"/>
        <v>4984.1099999999997</v>
      </c>
      <c r="M61" s="323" t="str">
        <f t="shared" si="15"/>
        <v/>
      </c>
      <c r="N61" s="323" t="str">
        <f t="shared" si="15"/>
        <v/>
      </c>
      <c r="O61" s="323" t="str">
        <f t="shared" si="15"/>
        <v/>
      </c>
      <c r="P61" s="323" t="str">
        <f t="shared" si="15"/>
        <v/>
      </c>
      <c r="Q61" s="299"/>
      <c r="R61" s="299"/>
      <c r="S61" s="299"/>
      <c r="T61" s="299"/>
      <c r="U61" s="299"/>
      <c r="V61" s="324"/>
      <c r="W61" s="299"/>
      <c r="X61" s="303"/>
      <c r="Y61" s="308"/>
      <c r="Z61" s="268"/>
      <c r="AA61" s="268"/>
      <c r="AB61" s="268"/>
      <c r="AC61" s="268"/>
      <c r="AD61" s="268"/>
      <c r="AE61" s="268"/>
    </row>
    <row r="62" spans="1:31" ht="12.75" customHeight="1">
      <c r="A62" s="314">
        <v>42577</v>
      </c>
      <c r="B62" s="326" t="s">
        <v>202</v>
      </c>
      <c r="C62" s="307" t="s">
        <v>199</v>
      </c>
      <c r="D62" s="278">
        <v>6040.85</v>
      </c>
      <c r="E62" s="278">
        <v>6227.73</v>
      </c>
      <c r="F62" s="278">
        <v>6295.29</v>
      </c>
      <c r="G62" s="278">
        <v>6229.63</v>
      </c>
      <c r="H62" s="278">
        <v>6023.54</v>
      </c>
      <c r="I62" s="278">
        <v>6230.6</v>
      </c>
      <c r="J62" s="278">
        <v>6263.28</v>
      </c>
      <c r="K62" s="278">
        <v>6199.85</v>
      </c>
      <c r="L62" s="278">
        <v>6036.48</v>
      </c>
      <c r="M62" s="290"/>
      <c r="N62" s="290"/>
      <c r="O62" s="290"/>
      <c r="P62" s="290"/>
      <c r="Q62" s="326">
        <f>IF((L63=""),"",MAX(D64:L64))</f>
        <v>12014.380000000001</v>
      </c>
      <c r="R62" s="326">
        <f>IF(L63="","",MIN(D64:L64))</f>
        <v>1552.9799999999996</v>
      </c>
      <c r="S62" s="327">
        <f>IF((L64=""),"",AVERAGE(D64:L64))</f>
        <v>6622.7333333333327</v>
      </c>
      <c r="T62" s="318">
        <f>IF((L63=""),"",(Q62-R62)/(Q62+R62)*100)</f>
        <v>77.107115901693476</v>
      </c>
      <c r="U62" s="326">
        <f>STDEV(D64:P64)</f>
        <v>5083.4792534542712</v>
      </c>
      <c r="V62" s="328" t="str">
        <f>IF(L63="","",IF(T62&lt;7.3,IF(S62&gt;5700,IF(S62&lt;7200,"Pass","Fail"),"Fail"),"Fail"))</f>
        <v>Fail</v>
      </c>
      <c r="W62" s="315">
        <v>1335</v>
      </c>
      <c r="X62" s="303"/>
      <c r="Y62" s="308" t="s">
        <v>312</v>
      </c>
      <c r="Z62" s="267">
        <v>4955</v>
      </c>
      <c r="AA62" s="267">
        <v>9645</v>
      </c>
      <c r="AB62" s="267">
        <v>5100</v>
      </c>
      <c r="AC62" s="267">
        <v>8300</v>
      </c>
      <c r="AD62" s="305">
        <v>10</v>
      </c>
      <c r="AE62" s="305">
        <v>9.8000000000000007</v>
      </c>
    </row>
    <row r="63" spans="1:31" ht="12.75" customHeight="1">
      <c r="A63" s="306"/>
      <c r="B63" s="298"/>
      <c r="C63" s="307" t="s">
        <v>198</v>
      </c>
      <c r="D63" s="278">
        <v>4788.96</v>
      </c>
      <c r="E63" s="278">
        <v>252.78</v>
      </c>
      <c r="F63" s="278">
        <v>5518.8</v>
      </c>
      <c r="G63" s="278">
        <v>222.44</v>
      </c>
      <c r="H63" s="278">
        <v>4740.82</v>
      </c>
      <c r="I63" s="278">
        <v>4957.1899999999996</v>
      </c>
      <c r="J63" s="278">
        <v>267.93</v>
      </c>
      <c r="K63" s="278">
        <v>235.43</v>
      </c>
      <c r="L63" s="278">
        <v>4760.6000000000004</v>
      </c>
      <c r="M63" s="290"/>
      <c r="N63" s="290"/>
      <c r="O63" s="290"/>
      <c r="P63" s="290"/>
      <c r="Q63" s="298"/>
      <c r="R63" s="298"/>
      <c r="S63" s="298"/>
      <c r="T63" s="298"/>
      <c r="U63" s="298"/>
      <c r="V63" s="302"/>
      <c r="W63" s="298"/>
      <c r="X63" s="303"/>
      <c r="Y63" s="308"/>
      <c r="Z63" s="268"/>
      <c r="AA63" s="268"/>
      <c r="AB63" s="268"/>
      <c r="AC63" s="268"/>
      <c r="AD63" s="268"/>
      <c r="AE63" s="268"/>
    </row>
    <row r="64" spans="1:31" ht="24.75" customHeight="1" thickBot="1">
      <c r="A64" s="306"/>
      <c r="B64" s="309"/>
      <c r="C64" s="310" t="s">
        <v>197</v>
      </c>
      <c r="D64" s="311">
        <f t="shared" ref="D64:L64" si="16">IF(((D62="")*AND(D63="")),"",(D62-D63)*2)</f>
        <v>2503.7800000000007</v>
      </c>
      <c r="E64" s="311">
        <f t="shared" si="16"/>
        <v>11949.9</v>
      </c>
      <c r="F64" s="311">
        <f t="shared" si="16"/>
        <v>1552.9799999999996</v>
      </c>
      <c r="G64" s="311">
        <f t="shared" si="16"/>
        <v>12014.380000000001</v>
      </c>
      <c r="H64" s="311">
        <f t="shared" si="16"/>
        <v>2565.4400000000005</v>
      </c>
      <c r="I64" s="311">
        <f t="shared" si="16"/>
        <v>2546.8200000000015</v>
      </c>
      <c r="J64" s="311">
        <f t="shared" si="16"/>
        <v>11990.699999999999</v>
      </c>
      <c r="K64" s="311">
        <f t="shared" si="16"/>
        <v>11928.84</v>
      </c>
      <c r="L64" s="311">
        <f t="shared" si="16"/>
        <v>2551.7599999999984</v>
      </c>
      <c r="M64" s="311"/>
      <c r="N64" s="311"/>
      <c r="O64" s="311"/>
      <c r="P64" s="311" t="str">
        <f>IF(((P62="")*AND(P63="")),"",(P62-P63)*2)</f>
        <v/>
      </c>
      <c r="Q64" s="309"/>
      <c r="R64" s="309"/>
      <c r="S64" s="309"/>
      <c r="T64" s="309"/>
      <c r="U64" s="299"/>
      <c r="V64" s="312"/>
      <c r="W64" s="309"/>
      <c r="X64" s="303"/>
      <c r="Y64" s="313"/>
      <c r="Z64" s="268"/>
      <c r="AA64" s="268"/>
      <c r="AB64" s="268"/>
      <c r="AC64" s="268"/>
      <c r="AD64" s="268"/>
      <c r="AE64" s="268"/>
    </row>
    <row r="65" spans="1:31" ht="12.75" customHeight="1">
      <c r="A65" s="314">
        <v>42590</v>
      </c>
      <c r="B65" s="315" t="s">
        <v>200</v>
      </c>
      <c r="C65" s="316" t="s">
        <v>199</v>
      </c>
      <c r="D65" s="278">
        <v>7248.21</v>
      </c>
      <c r="E65" s="278">
        <v>7101.16</v>
      </c>
      <c r="F65" s="278">
        <v>7050.99</v>
      </c>
      <c r="G65" s="278">
        <v>7072.95</v>
      </c>
      <c r="H65" s="278">
        <v>7193.11</v>
      </c>
      <c r="I65" s="278">
        <v>7240.91</v>
      </c>
      <c r="J65" s="278">
        <v>7099.94</v>
      </c>
      <c r="K65" s="278">
        <v>7042.05</v>
      </c>
      <c r="L65" s="278">
        <v>7080.84</v>
      </c>
      <c r="M65" s="290"/>
      <c r="N65" s="290"/>
      <c r="O65" s="290"/>
      <c r="P65" s="290"/>
      <c r="Q65" s="326">
        <f>IF((L66=""),"",MAX(D67:P67))</f>
        <v>5209.83</v>
      </c>
      <c r="R65" s="317">
        <f>IF(L66="","",MIN(D67:L67))</f>
        <v>4954.01</v>
      </c>
      <c r="S65" s="318">
        <f>IF((L67=""),"",AVERAGE(D67:L67))</f>
        <v>5099.1966666666667</v>
      </c>
      <c r="T65" s="318">
        <f>IF((L66=""),"",(Q65-R65)/(Q65+R65)*100)</f>
        <v>2.5169620930671841</v>
      </c>
      <c r="U65" s="319">
        <f>STDEV(D67:L67)</f>
        <v>104.17152010028769</v>
      </c>
      <c r="V65" s="320" t="str">
        <f>IF(P66="","",IF(T65&lt;2.7,IF(S65&gt;5150,IF(S65&lt;5600,"Pass","Fail"),"Fail"),"Fail"))</f>
        <v/>
      </c>
      <c r="W65" s="315">
        <v>1159</v>
      </c>
      <c r="X65" s="303"/>
      <c r="Y65" s="304" t="s">
        <v>312</v>
      </c>
      <c r="Z65" s="321">
        <v>4470</v>
      </c>
      <c r="AA65" s="321">
        <v>6020</v>
      </c>
      <c r="AB65" s="321">
        <v>5150</v>
      </c>
      <c r="AC65" s="321">
        <v>5600</v>
      </c>
      <c r="AD65" s="305">
        <v>10</v>
      </c>
      <c r="AE65" s="322">
        <v>2.7</v>
      </c>
    </row>
    <row r="66" spans="1:31" ht="12.75" customHeight="1">
      <c r="A66" s="306"/>
      <c r="B66" s="298"/>
      <c r="C66" s="307" t="s">
        <v>198</v>
      </c>
      <c r="D66" s="278">
        <v>2293.1799999999998</v>
      </c>
      <c r="E66" s="278">
        <v>1947.38</v>
      </c>
      <c r="F66" s="278">
        <v>1841.16</v>
      </c>
      <c r="G66" s="278">
        <v>1874.69</v>
      </c>
      <c r="H66" s="278">
        <v>2168.61</v>
      </c>
      <c r="I66" s="278">
        <v>2185.86</v>
      </c>
      <c r="J66" s="278">
        <v>1896.9</v>
      </c>
      <c r="K66" s="278">
        <v>1902.78</v>
      </c>
      <c r="L66" s="278">
        <v>2126.83</v>
      </c>
      <c r="M66" s="290"/>
      <c r="N66" s="290"/>
      <c r="O66" s="290"/>
      <c r="P66" s="290"/>
      <c r="Q66" s="298"/>
      <c r="R66" s="298"/>
      <c r="S66" s="298"/>
      <c r="T66" s="298"/>
      <c r="U66" s="298"/>
      <c r="V66" s="302"/>
      <c r="W66" s="298"/>
      <c r="X66" s="303"/>
      <c r="Y66" s="308"/>
      <c r="Z66" s="267"/>
      <c r="AA66" s="267"/>
      <c r="AB66" s="267"/>
      <c r="AC66" s="267"/>
      <c r="AD66" s="268"/>
      <c r="AE66" s="269"/>
    </row>
    <row r="67" spans="1:31" ht="24.75" customHeight="1" thickBot="1">
      <c r="A67" s="306"/>
      <c r="B67" s="299"/>
      <c r="C67" s="307" t="s">
        <v>197</v>
      </c>
      <c r="D67" s="323">
        <f t="shared" ref="D67:P67" si="17">IF(((D65="")*AND(D66="")),"",(D65-D66))</f>
        <v>4955.0300000000007</v>
      </c>
      <c r="E67" s="323">
        <f t="shared" si="17"/>
        <v>5153.78</v>
      </c>
      <c r="F67" s="323">
        <f t="shared" si="17"/>
        <v>5209.83</v>
      </c>
      <c r="G67" s="323">
        <f t="shared" si="17"/>
        <v>5198.26</v>
      </c>
      <c r="H67" s="323">
        <f t="shared" si="17"/>
        <v>5024.5</v>
      </c>
      <c r="I67" s="323">
        <f t="shared" si="17"/>
        <v>5055.0499999999993</v>
      </c>
      <c r="J67" s="323">
        <f t="shared" si="17"/>
        <v>5203.0399999999991</v>
      </c>
      <c r="K67" s="323">
        <f t="shared" si="17"/>
        <v>5139.2700000000004</v>
      </c>
      <c r="L67" s="323">
        <f t="shared" si="17"/>
        <v>4954.01</v>
      </c>
      <c r="M67" s="323" t="str">
        <f t="shared" si="17"/>
        <v/>
      </c>
      <c r="N67" s="323" t="str">
        <f t="shared" si="17"/>
        <v/>
      </c>
      <c r="O67" s="323" t="str">
        <f t="shared" si="17"/>
        <v/>
      </c>
      <c r="P67" s="323" t="str">
        <f t="shared" si="17"/>
        <v/>
      </c>
      <c r="Q67" s="299"/>
      <c r="R67" s="299"/>
      <c r="S67" s="299"/>
      <c r="T67" s="299"/>
      <c r="U67" s="299"/>
      <c r="V67" s="324"/>
      <c r="W67" s="299"/>
      <c r="X67" s="303"/>
      <c r="Y67" s="308"/>
      <c r="Z67" s="267"/>
      <c r="AA67" s="267"/>
      <c r="AB67" s="267"/>
      <c r="AC67" s="267"/>
      <c r="AD67" s="268"/>
      <c r="AE67" s="269"/>
    </row>
    <row r="68" spans="1:31" ht="12.75" customHeight="1">
      <c r="A68" s="314">
        <v>42590</v>
      </c>
      <c r="B68" s="326" t="s">
        <v>202</v>
      </c>
      <c r="C68" s="307" t="s">
        <v>199</v>
      </c>
      <c r="D68" s="278">
        <v>6046.42</v>
      </c>
      <c r="E68" s="278">
        <v>6226.79</v>
      </c>
      <c r="F68" s="278">
        <v>6294.13</v>
      </c>
      <c r="G68" s="278">
        <v>6227.15</v>
      </c>
      <c r="H68" s="278">
        <v>6025.52</v>
      </c>
      <c r="I68" s="278">
        <v>6233.95</v>
      </c>
      <c r="J68" s="278">
        <v>6261.77</v>
      </c>
      <c r="K68" s="278">
        <v>6199.34</v>
      </c>
      <c r="L68" s="278">
        <v>6042.71</v>
      </c>
      <c r="M68" s="290"/>
      <c r="N68" s="290"/>
      <c r="O68" s="290"/>
      <c r="P68" s="290"/>
      <c r="Q68" s="326">
        <f>IF((L69=""),"",MAX(D70:L70))</f>
        <v>12125.859999999999</v>
      </c>
      <c r="R68" s="326">
        <f>IF(L69="","",MIN(D70:L70))</f>
        <v>1763.2800000000007</v>
      </c>
      <c r="S68" s="327">
        <f>IF((L70=""),"",AVERAGE(D70:L70))</f>
        <v>3204.6288888888885</v>
      </c>
      <c r="T68" s="318">
        <f>IF((L69=""),"",(Q68-R68)/(Q68+R68)*100)</f>
        <v>74.60922706517465</v>
      </c>
      <c r="U68" s="326">
        <f>STDEV(D70:P70)</f>
        <v>3357.8222184194201</v>
      </c>
      <c r="V68" s="328" t="str">
        <f>IF(L69="","",IF(T68&lt;7.3,IF(S68&gt;5700,IF(S68&lt;7200,"Pass","Fail"),"Fail"),"Fail"))</f>
        <v>Fail</v>
      </c>
      <c r="W68" s="315">
        <v>1159</v>
      </c>
      <c r="X68" s="303"/>
      <c r="Y68" s="308" t="s">
        <v>312</v>
      </c>
      <c r="Z68" s="267">
        <v>4955</v>
      </c>
      <c r="AA68" s="267">
        <v>9645</v>
      </c>
      <c r="AB68" s="267">
        <v>5100</v>
      </c>
      <c r="AC68" s="267">
        <v>8300</v>
      </c>
      <c r="AD68" s="305">
        <v>10</v>
      </c>
      <c r="AE68" s="305">
        <v>9.8000000000000007</v>
      </c>
    </row>
    <row r="69" spans="1:31" ht="12.75" customHeight="1">
      <c r="A69" s="306"/>
      <c r="B69" s="298"/>
      <c r="C69" s="307" t="s">
        <v>198</v>
      </c>
      <c r="D69" s="278">
        <v>4903.0600000000004</v>
      </c>
      <c r="E69" s="278">
        <v>5321.42</v>
      </c>
      <c r="F69" s="278">
        <v>5412.49</v>
      </c>
      <c r="G69" s="278">
        <v>164.22</v>
      </c>
      <c r="H69" s="278">
        <v>4821.07</v>
      </c>
      <c r="I69" s="278">
        <v>4982.8599999999997</v>
      </c>
      <c r="J69" s="278">
        <v>5353.95</v>
      </c>
      <c r="K69" s="278">
        <v>5274.04</v>
      </c>
      <c r="L69" s="278">
        <v>4903.84</v>
      </c>
      <c r="M69" s="290"/>
      <c r="N69" s="290"/>
      <c r="O69" s="290"/>
      <c r="P69" s="290"/>
      <c r="Q69" s="298"/>
      <c r="R69" s="298"/>
      <c r="S69" s="298"/>
      <c r="T69" s="298"/>
      <c r="U69" s="298"/>
      <c r="V69" s="302"/>
      <c r="W69" s="298"/>
      <c r="X69" s="303"/>
      <c r="Y69" s="308"/>
      <c r="Z69" s="267"/>
      <c r="AA69" s="267"/>
      <c r="AB69" s="267"/>
      <c r="AC69" s="267"/>
      <c r="AD69" s="305"/>
      <c r="AE69" s="305"/>
    </row>
    <row r="70" spans="1:31" ht="24.75" customHeight="1" thickBot="1">
      <c r="A70" s="306"/>
      <c r="B70" s="309"/>
      <c r="C70" s="310" t="s">
        <v>197</v>
      </c>
      <c r="D70" s="311">
        <f t="shared" ref="D70:L70" si="18">IF(((D68="")*AND(D69="")),"",(D68-D69)*2)</f>
        <v>2286.7199999999993</v>
      </c>
      <c r="E70" s="311">
        <f t="shared" si="18"/>
        <v>1810.7399999999998</v>
      </c>
      <c r="F70" s="311">
        <f t="shared" si="18"/>
        <v>1763.2800000000007</v>
      </c>
      <c r="G70" s="311">
        <f t="shared" si="18"/>
        <v>12125.859999999999</v>
      </c>
      <c r="H70" s="311">
        <f t="shared" si="18"/>
        <v>2408.9000000000015</v>
      </c>
      <c r="I70" s="311">
        <f t="shared" si="18"/>
        <v>2502.1800000000003</v>
      </c>
      <c r="J70" s="311">
        <f t="shared" si="18"/>
        <v>1815.6400000000012</v>
      </c>
      <c r="K70" s="311">
        <f t="shared" si="18"/>
        <v>1850.6000000000004</v>
      </c>
      <c r="L70" s="311">
        <f t="shared" si="18"/>
        <v>2277.7399999999998</v>
      </c>
      <c r="M70" s="311"/>
      <c r="N70" s="311"/>
      <c r="O70" s="311"/>
      <c r="P70" s="311" t="str">
        <f>IF(((P68="")*AND(P69="")),"",(P68-P69)*2)</f>
        <v/>
      </c>
      <c r="Q70" s="309"/>
      <c r="R70" s="309"/>
      <c r="S70" s="309"/>
      <c r="T70" s="309"/>
      <c r="U70" s="299"/>
      <c r="V70" s="312"/>
      <c r="W70" s="309"/>
      <c r="X70" s="303"/>
      <c r="Y70" s="313"/>
      <c r="Z70" s="267"/>
      <c r="AA70" s="267"/>
      <c r="AB70" s="267"/>
      <c r="AC70" s="267"/>
      <c r="AD70" s="305"/>
      <c r="AE70" s="305"/>
    </row>
    <row r="71" spans="1:31" ht="12.75" customHeight="1">
      <c r="A71" s="314">
        <v>42593</v>
      </c>
      <c r="B71" s="315" t="s">
        <v>200</v>
      </c>
      <c r="C71" s="316" t="s">
        <v>199</v>
      </c>
      <c r="D71" s="278">
        <v>7154.94</v>
      </c>
      <c r="E71" s="278">
        <v>6934.79</v>
      </c>
      <c r="F71" s="278">
        <v>6879.33</v>
      </c>
      <c r="G71" s="278">
        <v>6963.48</v>
      </c>
      <c r="H71" s="278">
        <v>7229.32</v>
      </c>
      <c r="I71" s="278">
        <v>7222.51</v>
      </c>
      <c r="J71" s="278">
        <v>6956.77</v>
      </c>
      <c r="K71" s="278">
        <v>6960.28</v>
      </c>
      <c r="L71" s="278">
        <v>7236.29</v>
      </c>
      <c r="M71" s="290"/>
      <c r="N71" s="290"/>
      <c r="O71" s="290"/>
      <c r="P71" s="290"/>
      <c r="Q71" s="326">
        <f>IF((L72=""),"",MAX(D73:P73))</f>
        <v>5184.87</v>
      </c>
      <c r="R71" s="317">
        <f>IF(L72="","",MIN(D73:L73))</f>
        <v>4979.08</v>
      </c>
      <c r="S71" s="318">
        <f>IF((L73=""),"",AVERAGE(D73:L73))</f>
        <v>5097.1133333333328</v>
      </c>
      <c r="T71" s="318">
        <f>IF((L72=""),"",(Q71-R71)/(Q71+R71)*100)</f>
        <v>2.0247049621456221</v>
      </c>
      <c r="U71" s="319">
        <f>STDEV(D73:L73)</f>
        <v>80.366581985309608</v>
      </c>
      <c r="V71" s="320" t="str">
        <f>IF(P72="","",IF(T71&lt;2.7,IF(S71&gt;5150,IF(S71&lt;5600,"Pass","Fail"),"Fail"),"Fail"))</f>
        <v/>
      </c>
      <c r="W71" s="315">
        <v>1159</v>
      </c>
      <c r="X71" s="303"/>
      <c r="Y71" s="304" t="s">
        <v>312</v>
      </c>
      <c r="Z71" s="321">
        <v>4470</v>
      </c>
      <c r="AA71" s="321">
        <v>6020</v>
      </c>
      <c r="AB71" s="321">
        <v>5150</v>
      </c>
      <c r="AC71" s="321">
        <v>5600</v>
      </c>
      <c r="AD71" s="305">
        <v>10</v>
      </c>
      <c r="AE71" s="322">
        <v>2.7</v>
      </c>
    </row>
    <row r="72" spans="1:31" ht="12.75" customHeight="1">
      <c r="A72" s="306"/>
      <c r="B72" s="298"/>
      <c r="C72" s="307" t="s">
        <v>198</v>
      </c>
      <c r="D72" s="278">
        <v>2175.86</v>
      </c>
      <c r="E72" s="278">
        <v>1796.23</v>
      </c>
      <c r="F72" s="278">
        <v>1694.46</v>
      </c>
      <c r="G72" s="278">
        <v>1791.8</v>
      </c>
      <c r="H72" s="278">
        <v>2172.34</v>
      </c>
      <c r="I72" s="278">
        <v>2170.08</v>
      </c>
      <c r="J72" s="278">
        <v>1786.39</v>
      </c>
      <c r="K72" s="278">
        <v>1825.99</v>
      </c>
      <c r="L72" s="278">
        <v>2250.54</v>
      </c>
      <c r="M72" s="290"/>
      <c r="N72" s="290"/>
      <c r="O72" s="290"/>
      <c r="P72" s="290"/>
      <c r="Q72" s="298"/>
      <c r="R72" s="298"/>
      <c r="S72" s="298"/>
      <c r="T72" s="298"/>
      <c r="U72" s="298"/>
      <c r="V72" s="302"/>
      <c r="W72" s="298"/>
      <c r="X72" s="303"/>
      <c r="Y72" s="308"/>
      <c r="Z72" s="267"/>
      <c r="AA72" s="267"/>
      <c r="AB72" s="267"/>
      <c r="AC72" s="267"/>
      <c r="AD72" s="305"/>
      <c r="AE72" s="305"/>
    </row>
    <row r="73" spans="1:31" ht="24.75" customHeight="1" thickBot="1">
      <c r="A73" s="306"/>
      <c r="B73" s="299"/>
      <c r="C73" s="307" t="s">
        <v>197</v>
      </c>
      <c r="D73" s="323">
        <f t="shared" ref="D73:P73" si="19">IF(((D71="")*AND(D72="")),"",(D71-D72))</f>
        <v>4979.08</v>
      </c>
      <c r="E73" s="323">
        <f t="shared" si="19"/>
        <v>5138.5599999999995</v>
      </c>
      <c r="F73" s="323">
        <f t="shared" si="19"/>
        <v>5184.87</v>
      </c>
      <c r="G73" s="323">
        <f t="shared" si="19"/>
        <v>5171.6799999999994</v>
      </c>
      <c r="H73" s="323">
        <f t="shared" si="19"/>
        <v>5056.9799999999996</v>
      </c>
      <c r="I73" s="323">
        <f t="shared" si="19"/>
        <v>5052.43</v>
      </c>
      <c r="J73" s="323">
        <f t="shared" si="19"/>
        <v>5170.38</v>
      </c>
      <c r="K73" s="323">
        <f t="shared" si="19"/>
        <v>5134.29</v>
      </c>
      <c r="L73" s="323">
        <f t="shared" si="19"/>
        <v>4985.75</v>
      </c>
      <c r="M73" s="323" t="str">
        <f t="shared" si="19"/>
        <v/>
      </c>
      <c r="N73" s="323" t="str">
        <f t="shared" si="19"/>
        <v/>
      </c>
      <c r="O73" s="323" t="str">
        <f t="shared" si="19"/>
        <v/>
      </c>
      <c r="P73" s="323" t="str">
        <f t="shared" si="19"/>
        <v/>
      </c>
      <c r="Q73" s="299"/>
      <c r="R73" s="299"/>
      <c r="S73" s="299"/>
      <c r="T73" s="299"/>
      <c r="U73" s="299"/>
      <c r="V73" s="324"/>
      <c r="W73" s="299"/>
      <c r="X73" s="303"/>
      <c r="Y73" s="308"/>
      <c r="Z73" s="267"/>
      <c r="AA73" s="267"/>
      <c r="AB73" s="267"/>
      <c r="AC73" s="267"/>
      <c r="AD73" s="305"/>
      <c r="AE73" s="305"/>
    </row>
    <row r="74" spans="1:31" ht="12.75" customHeight="1">
      <c r="A74" s="314">
        <v>42593</v>
      </c>
      <c r="B74" s="326" t="s">
        <v>202</v>
      </c>
      <c r="C74" s="307" t="s">
        <v>199</v>
      </c>
      <c r="D74" s="278">
        <v>6055.37</v>
      </c>
      <c r="E74" s="278">
        <v>6228.81</v>
      </c>
      <c r="F74" s="278">
        <v>6295.71</v>
      </c>
      <c r="G74" s="278">
        <v>6230.12</v>
      </c>
      <c r="H74" s="278">
        <v>6030.67</v>
      </c>
      <c r="I74" s="278">
        <v>6238.5</v>
      </c>
      <c r="J74" s="278">
        <v>6264.98</v>
      </c>
      <c r="K74" s="278">
        <v>6199.46</v>
      </c>
      <c r="L74" s="278">
        <v>6048.47</v>
      </c>
      <c r="M74" s="290"/>
      <c r="N74" s="290"/>
      <c r="O74" s="290"/>
      <c r="P74" s="290"/>
      <c r="Q74" s="326">
        <f>IF((L75=""),"",MAX(D76:L76))</f>
        <v>12144.24</v>
      </c>
      <c r="R74" s="326">
        <f>IF(L75="","",MIN(D76:L76))</f>
        <v>1728.3799999999992</v>
      </c>
      <c r="S74" s="327">
        <f>IF((L76=""),"",AVERAGE(D76:L76))</f>
        <v>6671.3577777777773</v>
      </c>
      <c r="T74" s="318">
        <f>IF((L75=""),"",(Q74-R74)/(Q74+R74)*100)</f>
        <v>75.082140215763147</v>
      </c>
      <c r="U74" s="326">
        <f>STDEV(D76:P76)</f>
        <v>5138.7107223645562</v>
      </c>
      <c r="V74" s="328" t="str">
        <f>IF(L75="","",IF(T74&lt;7.3,IF(S74&gt;5700,IF(S74&lt;7200,"Pass","Fail"),"Fail"),"Fail"))</f>
        <v>Fail</v>
      </c>
      <c r="W74" s="315">
        <v>1159</v>
      </c>
      <c r="X74" s="303"/>
      <c r="Y74" s="308" t="s">
        <v>312</v>
      </c>
      <c r="Z74" s="267">
        <v>4955</v>
      </c>
      <c r="AA74" s="267">
        <v>9645</v>
      </c>
      <c r="AB74" s="267">
        <v>5100</v>
      </c>
      <c r="AC74" s="267">
        <v>8300</v>
      </c>
      <c r="AD74" s="305">
        <v>10</v>
      </c>
      <c r="AE74" s="305">
        <v>9.8000000000000007</v>
      </c>
    </row>
    <row r="75" spans="1:31" ht="12.75" customHeight="1">
      <c r="A75" s="306"/>
      <c r="B75" s="298"/>
      <c r="C75" s="307" t="s">
        <v>198</v>
      </c>
      <c r="D75" s="278">
        <v>4830.57</v>
      </c>
      <c r="E75" s="278">
        <v>178.41</v>
      </c>
      <c r="F75" s="278">
        <v>5431.52</v>
      </c>
      <c r="G75" s="278">
        <v>196.96</v>
      </c>
      <c r="H75" s="278">
        <v>4784</v>
      </c>
      <c r="I75" s="278">
        <v>4986.96</v>
      </c>
      <c r="J75" s="278">
        <v>192.86</v>
      </c>
      <c r="K75" s="278">
        <v>191.52</v>
      </c>
      <c r="L75" s="278">
        <v>4778.18</v>
      </c>
      <c r="M75" s="290"/>
      <c r="N75" s="290"/>
      <c r="O75" s="290"/>
      <c r="P75" s="290"/>
      <c r="Q75" s="298"/>
      <c r="R75" s="298"/>
      <c r="S75" s="298"/>
      <c r="T75" s="298"/>
      <c r="U75" s="298"/>
      <c r="V75" s="302"/>
      <c r="W75" s="298"/>
      <c r="X75" s="303"/>
      <c r="Y75" s="308"/>
      <c r="Z75" s="267"/>
      <c r="AA75" s="267"/>
      <c r="AB75" s="267"/>
      <c r="AC75" s="267"/>
      <c r="AD75" s="305"/>
      <c r="AE75" s="305"/>
    </row>
    <row r="76" spans="1:31" ht="24.75" customHeight="1" thickBot="1">
      <c r="A76" s="306"/>
      <c r="B76" s="309"/>
      <c r="C76" s="310" t="s">
        <v>197</v>
      </c>
      <c r="D76" s="311">
        <f t="shared" ref="D76:L76" si="20">IF(((D74="")*AND(D75="")),"",(D74-D75)*2)</f>
        <v>2449.6000000000004</v>
      </c>
      <c r="E76" s="311">
        <f t="shared" si="20"/>
        <v>12100.800000000001</v>
      </c>
      <c r="F76" s="311">
        <f t="shared" si="20"/>
        <v>1728.3799999999992</v>
      </c>
      <c r="G76" s="311">
        <f t="shared" si="20"/>
        <v>12066.32</v>
      </c>
      <c r="H76" s="311">
        <f t="shared" si="20"/>
        <v>2493.34</v>
      </c>
      <c r="I76" s="311">
        <f t="shared" si="20"/>
        <v>2503.08</v>
      </c>
      <c r="J76" s="311">
        <f t="shared" si="20"/>
        <v>12144.24</v>
      </c>
      <c r="K76" s="311">
        <f t="shared" si="20"/>
        <v>12015.88</v>
      </c>
      <c r="L76" s="311">
        <f t="shared" si="20"/>
        <v>2540.58</v>
      </c>
      <c r="M76" s="311"/>
      <c r="N76" s="311"/>
      <c r="O76" s="311"/>
      <c r="P76" s="311" t="str">
        <f>IF(((P74="")*AND(P75="")),"",(P74-P75)*2)</f>
        <v/>
      </c>
      <c r="Q76" s="309"/>
      <c r="R76" s="309"/>
      <c r="S76" s="309"/>
      <c r="T76" s="309"/>
      <c r="U76" s="299"/>
      <c r="V76" s="312"/>
      <c r="W76" s="309"/>
      <c r="X76" s="303"/>
      <c r="Y76" s="313"/>
      <c r="Z76" s="267"/>
      <c r="AA76" s="267"/>
      <c r="AB76" s="267"/>
      <c r="AC76" s="267"/>
      <c r="AD76" s="305"/>
      <c r="AE76" s="305"/>
    </row>
    <row r="77" spans="1:31" ht="12.75" customHeight="1">
      <c r="A77" s="325">
        <v>42614</v>
      </c>
      <c r="B77" s="315" t="s">
        <v>200</v>
      </c>
      <c r="C77" s="316" t="s">
        <v>199</v>
      </c>
      <c r="D77" s="278">
        <v>7122.86</v>
      </c>
      <c r="E77" s="278">
        <v>7316.15</v>
      </c>
      <c r="F77" s="278">
        <v>7096.15</v>
      </c>
      <c r="G77" s="278">
        <v>7097.93</v>
      </c>
      <c r="H77" s="278">
        <v>7260.97</v>
      </c>
      <c r="I77" s="278">
        <v>7169.85</v>
      </c>
      <c r="J77" s="278">
        <v>7140.44</v>
      </c>
      <c r="K77" s="278">
        <v>7096.97</v>
      </c>
      <c r="L77" s="278">
        <v>7173.52</v>
      </c>
      <c r="M77" s="278">
        <v>7192.56</v>
      </c>
      <c r="N77" s="278">
        <v>7351.48</v>
      </c>
      <c r="O77" s="278">
        <v>7197.65</v>
      </c>
      <c r="P77" s="278">
        <v>7249.18</v>
      </c>
      <c r="Q77" s="326">
        <f>IF((L78=""),"",MAX(D79:P79))</f>
        <v>5371.16</v>
      </c>
      <c r="R77" s="317">
        <f>IF(P78="","",MIN(D79:P79))</f>
        <v>5260.99</v>
      </c>
      <c r="S77" s="318">
        <f>IF((P79=""),"",AVERAGE(D79:P79))</f>
        <v>5321.9792307692305</v>
      </c>
      <c r="T77" s="318">
        <f>IF((P78=""),"",(Q77-R77)/(Q77+R77)*100)</f>
        <v>1.0361968181412047</v>
      </c>
      <c r="U77" s="319">
        <f>STDEV(D79:P79)</f>
        <v>36.215023232069676</v>
      </c>
      <c r="V77" s="320" t="str">
        <f>IF(P78="","",IF(T77&lt;2.7,IF(S77&gt;5150,IF(S77&lt;5600,"Pass","Fail"),"Fail"),"Fail"))</f>
        <v>Pass</v>
      </c>
      <c r="W77" s="315">
        <v>1159</v>
      </c>
      <c r="X77" s="303"/>
      <c r="Y77" s="304"/>
      <c r="Z77" s="321">
        <v>4470</v>
      </c>
      <c r="AA77" s="321">
        <v>6020</v>
      </c>
      <c r="AB77" s="321">
        <v>5150</v>
      </c>
      <c r="AC77" s="321">
        <v>5600</v>
      </c>
      <c r="AD77" s="305">
        <v>10</v>
      </c>
      <c r="AE77" s="322">
        <v>2.7</v>
      </c>
    </row>
    <row r="78" spans="1:31" ht="12.75" customHeight="1">
      <c r="A78" s="306"/>
      <c r="B78" s="298"/>
      <c r="C78" s="307" t="s">
        <v>198</v>
      </c>
      <c r="D78" s="278">
        <v>1835.41</v>
      </c>
      <c r="E78" s="278">
        <v>1985.59</v>
      </c>
      <c r="F78" s="278">
        <v>1835.16</v>
      </c>
      <c r="G78" s="278">
        <v>1805.91</v>
      </c>
      <c r="H78" s="278">
        <v>1907.23</v>
      </c>
      <c r="I78" s="278">
        <v>1798.69</v>
      </c>
      <c r="J78" s="278">
        <v>1827.42</v>
      </c>
      <c r="K78" s="278">
        <v>1779.25</v>
      </c>
      <c r="L78" s="278">
        <v>1901.64</v>
      </c>
      <c r="M78" s="278">
        <v>1842.46</v>
      </c>
      <c r="N78" s="278">
        <v>1987.25</v>
      </c>
      <c r="O78" s="278">
        <v>1881.54</v>
      </c>
      <c r="P78" s="278">
        <v>1892.43</v>
      </c>
      <c r="Q78" s="298"/>
      <c r="R78" s="298"/>
      <c r="S78" s="298"/>
      <c r="T78" s="298"/>
      <c r="U78" s="298"/>
      <c r="V78" s="302"/>
      <c r="W78" s="298"/>
      <c r="X78" s="303"/>
      <c r="Y78" s="308"/>
      <c r="Z78" s="267"/>
      <c r="AA78" s="267"/>
      <c r="AB78" s="267"/>
      <c r="AC78" s="267"/>
      <c r="AD78" s="305"/>
      <c r="AE78" s="305"/>
    </row>
    <row r="79" spans="1:31" ht="24.75" customHeight="1" thickBot="1">
      <c r="A79" s="306"/>
      <c r="B79" s="299"/>
      <c r="C79" s="307" t="s">
        <v>197</v>
      </c>
      <c r="D79" s="323">
        <f t="shared" ref="D79:P79" si="21">IF(((D77="")*AND(D78="")),"",(D77-D78))</f>
        <v>5287.45</v>
      </c>
      <c r="E79" s="323">
        <f t="shared" si="21"/>
        <v>5330.5599999999995</v>
      </c>
      <c r="F79" s="323">
        <f t="shared" si="21"/>
        <v>5260.99</v>
      </c>
      <c r="G79" s="323">
        <f t="shared" si="21"/>
        <v>5292.02</v>
      </c>
      <c r="H79" s="323">
        <f t="shared" si="21"/>
        <v>5353.74</v>
      </c>
      <c r="I79" s="323">
        <f t="shared" si="21"/>
        <v>5371.16</v>
      </c>
      <c r="J79" s="323">
        <f t="shared" si="21"/>
        <v>5313.0199999999995</v>
      </c>
      <c r="K79" s="323">
        <f t="shared" si="21"/>
        <v>5317.72</v>
      </c>
      <c r="L79" s="323">
        <f t="shared" si="21"/>
        <v>5271.88</v>
      </c>
      <c r="M79" s="323">
        <f t="shared" si="21"/>
        <v>5350.1</v>
      </c>
      <c r="N79" s="323">
        <f t="shared" si="21"/>
        <v>5364.23</v>
      </c>
      <c r="O79" s="323">
        <f t="shared" si="21"/>
        <v>5316.11</v>
      </c>
      <c r="P79" s="323">
        <f t="shared" si="21"/>
        <v>5356.75</v>
      </c>
      <c r="Q79" s="299"/>
      <c r="R79" s="299"/>
      <c r="S79" s="299"/>
      <c r="T79" s="299"/>
      <c r="U79" s="299"/>
      <c r="V79" s="324"/>
      <c r="W79" s="299"/>
      <c r="X79" s="303"/>
      <c r="Y79" s="308"/>
      <c r="Z79" s="267"/>
      <c r="AA79" s="267"/>
      <c r="AB79" s="267"/>
      <c r="AC79" s="267"/>
      <c r="AD79" s="305"/>
      <c r="AE79" s="305"/>
    </row>
    <row r="80" spans="1:31" ht="12.75" customHeight="1">
      <c r="A80" s="314">
        <v>42614</v>
      </c>
      <c r="B80" s="326" t="s">
        <v>202</v>
      </c>
      <c r="C80" s="307" t="s">
        <v>199</v>
      </c>
      <c r="D80" s="278">
        <v>6105.15</v>
      </c>
      <c r="E80" s="278">
        <v>6263.05</v>
      </c>
      <c r="F80" s="278">
        <v>6287.75</v>
      </c>
      <c r="G80" s="278">
        <v>6262.28</v>
      </c>
      <c r="H80" s="278">
        <v>6106.61</v>
      </c>
      <c r="I80" s="278">
        <v>6239.49</v>
      </c>
      <c r="J80" s="278">
        <v>6260.81</v>
      </c>
      <c r="K80" s="278">
        <v>6268.96</v>
      </c>
      <c r="L80" s="278">
        <v>6160.46</v>
      </c>
      <c r="M80" s="290"/>
      <c r="N80" s="290"/>
      <c r="O80" s="290"/>
      <c r="P80" s="290"/>
      <c r="Q80" s="326">
        <f>IF((L81=""),"",MAX(D82:L82))</f>
        <v>9005.9400000000041</v>
      </c>
      <c r="R80" s="326">
        <f>IF(L81="","",MIN(D82:L82))</f>
        <v>8378.8199999999961</v>
      </c>
      <c r="S80" s="327">
        <f>IF((L82=""),"",AVERAGE(D82:L82))</f>
        <v>8781.4466666666649</v>
      </c>
      <c r="T80" s="318">
        <f>IF((L81=""),"",(Q80-R80)/(Q80+R80)*100)</f>
        <v>3.6072974260214581</v>
      </c>
      <c r="U80" s="326">
        <f>STDEV(D82:P82)</f>
        <v>234.65689165248236</v>
      </c>
      <c r="V80" s="328" t="str">
        <f>IF(L81="","",IF(T80&lt;7.3,IF(S80&gt;5700,IF(S80&lt;7200,"Pass","Fail"),"Fail"),"Fail"))</f>
        <v>Fail</v>
      </c>
      <c r="W80" s="315">
        <v>1159</v>
      </c>
      <c r="X80" s="303"/>
      <c r="Y80" s="304" t="s">
        <v>259</v>
      </c>
      <c r="Z80" s="267">
        <v>4955</v>
      </c>
      <c r="AA80" s="267">
        <v>9645</v>
      </c>
      <c r="AB80" s="267">
        <v>5100</v>
      </c>
      <c r="AC80" s="267">
        <v>8300</v>
      </c>
      <c r="AD80" s="305">
        <v>10</v>
      </c>
      <c r="AE80" s="305">
        <v>9.8000000000000007</v>
      </c>
    </row>
    <row r="81" spans="1:31" ht="12.75" customHeight="1">
      <c r="A81" s="306"/>
      <c r="B81" s="298"/>
      <c r="C81" s="307" t="s">
        <v>198</v>
      </c>
      <c r="D81" s="278">
        <v>4697.41</v>
      </c>
      <c r="E81" s="278">
        <v>4777.16</v>
      </c>
      <c r="F81" s="278">
        <v>4805.8100000000004</v>
      </c>
      <c r="G81" s="278">
        <v>4762</v>
      </c>
      <c r="H81" s="278">
        <v>4710.1400000000003</v>
      </c>
      <c r="I81" s="278">
        <v>4786.51</v>
      </c>
      <c r="J81" s="278">
        <v>4759.82</v>
      </c>
      <c r="K81" s="278">
        <v>4776.71</v>
      </c>
      <c r="L81" s="278">
        <v>4706.83</v>
      </c>
      <c r="M81" s="290"/>
      <c r="N81" s="290"/>
      <c r="O81" s="290"/>
      <c r="P81" s="290"/>
      <c r="Q81" s="298"/>
      <c r="R81" s="298"/>
      <c r="S81" s="298"/>
      <c r="T81" s="298"/>
      <c r="U81" s="298"/>
      <c r="V81" s="302"/>
      <c r="W81" s="298"/>
      <c r="X81" s="303"/>
      <c r="Y81" s="308"/>
      <c r="Z81" s="267"/>
      <c r="AA81" s="267"/>
      <c r="AB81" s="267"/>
      <c r="AC81" s="267"/>
      <c r="AD81" s="305"/>
      <c r="AE81" s="305"/>
    </row>
    <row r="82" spans="1:31" s="134" customFormat="1" ht="24.75" customHeight="1">
      <c r="A82" s="306"/>
      <c r="B82" s="299"/>
      <c r="C82" s="307" t="s">
        <v>197</v>
      </c>
      <c r="D82" s="323">
        <f t="shared" ref="D82:L82" si="22">IF(((D80="")*AND(D81="")),"",(D80-D81)*6)</f>
        <v>8446.4399999999987</v>
      </c>
      <c r="E82" s="323">
        <f t="shared" si="22"/>
        <v>8915.340000000002</v>
      </c>
      <c r="F82" s="323">
        <f t="shared" si="22"/>
        <v>8891.6399999999976</v>
      </c>
      <c r="G82" s="323">
        <f t="shared" si="22"/>
        <v>9001.6799999999985</v>
      </c>
      <c r="H82" s="323">
        <f t="shared" si="22"/>
        <v>8378.8199999999961</v>
      </c>
      <c r="I82" s="323">
        <f t="shared" si="22"/>
        <v>8717.8799999999974</v>
      </c>
      <c r="J82" s="323">
        <f t="shared" si="22"/>
        <v>9005.9400000000041</v>
      </c>
      <c r="K82" s="323">
        <f t="shared" si="22"/>
        <v>8953.5</v>
      </c>
      <c r="L82" s="323">
        <f t="shared" si="22"/>
        <v>8721.7800000000007</v>
      </c>
      <c r="M82" s="323"/>
      <c r="N82" s="323"/>
      <c r="O82" s="323"/>
      <c r="P82" s="323" t="str">
        <f>IF(((P80="")*AND(P81="")),"",(P80-P81)*2)</f>
        <v/>
      </c>
      <c r="Q82" s="299"/>
      <c r="R82" s="299"/>
      <c r="S82" s="299"/>
      <c r="T82" s="299"/>
      <c r="U82" s="299"/>
      <c r="V82" s="324"/>
      <c r="W82" s="299"/>
      <c r="X82" s="331"/>
      <c r="Y82" s="332"/>
      <c r="Z82" s="333"/>
      <c r="AA82" s="333"/>
      <c r="AB82" s="333"/>
      <c r="AC82" s="333"/>
      <c r="AD82" s="334"/>
      <c r="AE82" s="334"/>
    </row>
    <row r="83" spans="1:31" ht="12.75" customHeight="1">
      <c r="A83" s="297">
        <v>42630</v>
      </c>
      <c r="B83" s="298" t="s">
        <v>200</v>
      </c>
      <c r="C83" s="299" t="s">
        <v>199</v>
      </c>
      <c r="D83" s="278">
        <v>7095.18</v>
      </c>
      <c r="E83" s="278">
        <v>7281.35</v>
      </c>
      <c r="F83" s="278">
        <v>7075.28</v>
      </c>
      <c r="G83" s="278">
        <v>7091.42</v>
      </c>
      <c r="H83" s="278">
        <v>7219.11</v>
      </c>
      <c r="I83" s="278">
        <v>7146.12</v>
      </c>
      <c r="J83" s="278">
        <v>7140.22</v>
      </c>
      <c r="K83" s="278">
        <v>7100.8</v>
      </c>
      <c r="L83" s="278">
        <v>7159.11</v>
      </c>
      <c r="M83" s="278">
        <v>7194.6</v>
      </c>
      <c r="N83" s="278">
        <v>7325.88</v>
      </c>
      <c r="O83" s="278">
        <v>7191.84</v>
      </c>
      <c r="P83" s="278">
        <v>7234.27</v>
      </c>
      <c r="Q83" s="298">
        <f>IF((L84=""),"",MAX(D85:P85))</f>
        <v>5388.05</v>
      </c>
      <c r="R83" s="335">
        <f>IF(P84="","",MIN(D85:P85))</f>
        <v>5320.2199999999993</v>
      </c>
      <c r="S83" s="336">
        <f>IF((P85=""),"",AVERAGE(D85:P85))</f>
        <v>5357.123846153846</v>
      </c>
      <c r="T83" s="336">
        <f>IF((P84=""),"",(Q83-R83)/(Q83+R83)*100)</f>
        <v>0.6334356530046481</v>
      </c>
      <c r="U83" s="336">
        <f>STDEV(D85:P85)</f>
        <v>23.585432841257482</v>
      </c>
      <c r="V83" s="302" t="str">
        <f>IF(P84="","",IF(T83&lt;2.7,IF(S83&gt;5150,IF(S83&lt;5600,"Pass","Fail"),"Fail"),"Fail"))</f>
        <v>Pass</v>
      </c>
      <c r="W83" s="298">
        <v>1400</v>
      </c>
      <c r="X83" s="303" t="s">
        <v>265</v>
      </c>
      <c r="Y83" s="337" t="s">
        <v>259</v>
      </c>
      <c r="Z83" s="321">
        <v>4470</v>
      </c>
      <c r="AA83" s="321">
        <v>6020</v>
      </c>
      <c r="AB83" s="321">
        <v>5150</v>
      </c>
      <c r="AC83" s="321">
        <v>5600</v>
      </c>
      <c r="AD83" s="305">
        <v>10</v>
      </c>
      <c r="AE83" s="322">
        <v>2.7</v>
      </c>
    </row>
    <row r="84" spans="1:31" ht="12.75" customHeight="1">
      <c r="A84" s="306"/>
      <c r="B84" s="298"/>
      <c r="C84" s="307" t="s">
        <v>198</v>
      </c>
      <c r="D84" s="278">
        <v>1765.73</v>
      </c>
      <c r="E84" s="278">
        <v>1933.7</v>
      </c>
      <c r="F84" s="278">
        <v>1755.06</v>
      </c>
      <c r="G84" s="278">
        <v>1757.45</v>
      </c>
      <c r="H84" s="278">
        <v>1861.01</v>
      </c>
      <c r="I84" s="278">
        <v>1758.59</v>
      </c>
      <c r="J84" s="278">
        <v>1786.33</v>
      </c>
      <c r="K84" s="278">
        <v>1732.5</v>
      </c>
      <c r="L84" s="278">
        <v>1828.63</v>
      </c>
      <c r="M84" s="278">
        <v>1806.55</v>
      </c>
      <c r="N84" s="278">
        <v>1949.48</v>
      </c>
      <c r="O84" s="278">
        <v>1828.37</v>
      </c>
      <c r="P84" s="278">
        <v>1849.17</v>
      </c>
      <c r="Q84" s="298"/>
      <c r="R84" s="298"/>
      <c r="S84" s="298"/>
      <c r="T84" s="298"/>
      <c r="U84" s="298"/>
      <c r="V84" s="302"/>
      <c r="W84" s="298"/>
      <c r="X84" s="303"/>
      <c r="Y84" s="308"/>
      <c r="Z84" s="267"/>
      <c r="AA84" s="267"/>
      <c r="AB84" s="267"/>
      <c r="AC84" s="267"/>
      <c r="AD84" s="305"/>
      <c r="AE84" s="305"/>
    </row>
    <row r="85" spans="1:31" ht="24.75" customHeight="1" thickBot="1">
      <c r="A85" s="306"/>
      <c r="B85" s="299"/>
      <c r="C85" s="307" t="s">
        <v>197</v>
      </c>
      <c r="D85" s="323">
        <f t="shared" ref="D85:P85" si="23">IF(((D83="")*AND(D84="")),"",(D83-D84))</f>
        <v>5329.4500000000007</v>
      </c>
      <c r="E85" s="323">
        <f t="shared" si="23"/>
        <v>5347.6500000000005</v>
      </c>
      <c r="F85" s="323">
        <f t="shared" si="23"/>
        <v>5320.2199999999993</v>
      </c>
      <c r="G85" s="323">
        <f t="shared" si="23"/>
        <v>5333.97</v>
      </c>
      <c r="H85" s="323">
        <f t="shared" si="23"/>
        <v>5358.0999999999995</v>
      </c>
      <c r="I85" s="323">
        <f t="shared" si="23"/>
        <v>5387.53</v>
      </c>
      <c r="J85" s="323">
        <f t="shared" si="23"/>
        <v>5353.89</v>
      </c>
      <c r="K85" s="323">
        <f t="shared" si="23"/>
        <v>5368.3</v>
      </c>
      <c r="L85" s="323">
        <f t="shared" si="23"/>
        <v>5330.48</v>
      </c>
      <c r="M85" s="323">
        <f t="shared" si="23"/>
        <v>5388.05</v>
      </c>
      <c r="N85" s="323">
        <f t="shared" si="23"/>
        <v>5376.4</v>
      </c>
      <c r="O85" s="323">
        <f t="shared" si="23"/>
        <v>5363.47</v>
      </c>
      <c r="P85" s="323">
        <f t="shared" si="23"/>
        <v>5385.1</v>
      </c>
      <c r="Q85" s="299"/>
      <c r="R85" s="299"/>
      <c r="S85" s="299"/>
      <c r="T85" s="299"/>
      <c r="U85" s="299"/>
      <c r="V85" s="324"/>
      <c r="W85" s="299"/>
      <c r="X85" s="303"/>
      <c r="Y85" s="308"/>
      <c r="Z85" s="267"/>
      <c r="AA85" s="267"/>
      <c r="AB85" s="267"/>
      <c r="AC85" s="267"/>
      <c r="AD85" s="305"/>
      <c r="AE85" s="305"/>
    </row>
    <row r="86" spans="1:31" ht="12.75" customHeight="1">
      <c r="A86" s="325">
        <v>42630</v>
      </c>
      <c r="B86" s="326" t="s">
        <v>202</v>
      </c>
      <c r="C86" s="307" t="s">
        <v>199</v>
      </c>
      <c r="D86" s="278">
        <v>5934.87</v>
      </c>
      <c r="E86" s="278">
        <v>6110.92</v>
      </c>
      <c r="F86" s="278">
        <v>6122.45</v>
      </c>
      <c r="G86" s="278">
        <v>6115.58</v>
      </c>
      <c r="H86" s="278">
        <v>5938.15</v>
      </c>
      <c r="I86" s="278">
        <v>6218.22</v>
      </c>
      <c r="J86" s="278">
        <v>6104.48</v>
      </c>
      <c r="K86" s="278">
        <v>6114.33</v>
      </c>
      <c r="L86" s="278">
        <v>6025.17</v>
      </c>
      <c r="M86" s="290"/>
      <c r="N86" s="290"/>
      <c r="O86" s="290"/>
      <c r="P86" s="290"/>
      <c r="Q86" s="326">
        <f>IF((L87=""),"",MAX(D88:L88))</f>
        <v>7023.6600000000008</v>
      </c>
      <c r="R86" s="326">
        <f>IF(L87="","",MIN(D88:L88))</f>
        <v>6460.58</v>
      </c>
      <c r="S86" s="327">
        <f>IF((L88=""),"",AVERAGE(D88:L88))</f>
        <v>6633.2355555555559</v>
      </c>
      <c r="T86" s="318">
        <f>IF((L87=""),"",(Q86-R86)/(Q86+R86)*100)</f>
        <v>4.1758378670210616</v>
      </c>
      <c r="U86" s="326">
        <f>STDEV(D88:P88)</f>
        <v>184.01349781406518</v>
      </c>
      <c r="V86" s="328" t="str">
        <f>IF(L87="","",IF(T86&lt;7.3,IF(S86&gt;5700,IF(S86&lt;7200,"Pass","Fail"),"Fail"),"Fail"))</f>
        <v>Pass</v>
      </c>
      <c r="W86" s="315">
        <v>1400</v>
      </c>
      <c r="X86" s="303" t="s">
        <v>265</v>
      </c>
      <c r="Y86" s="304" t="s">
        <v>259</v>
      </c>
      <c r="Z86" s="267">
        <v>4955</v>
      </c>
      <c r="AA86" s="267">
        <v>9645</v>
      </c>
      <c r="AB86" s="267">
        <v>5100</v>
      </c>
      <c r="AC86" s="267">
        <v>8300</v>
      </c>
      <c r="AD86" s="305">
        <v>10</v>
      </c>
      <c r="AE86" s="305">
        <v>9.8000000000000007</v>
      </c>
    </row>
    <row r="87" spans="1:31" ht="12.75" customHeight="1">
      <c r="A87" s="306"/>
      <c r="B87" s="298"/>
      <c r="C87" s="307" t="s">
        <v>198</v>
      </c>
      <c r="D87" s="278">
        <v>2643.68</v>
      </c>
      <c r="E87" s="278">
        <v>2880.63</v>
      </c>
      <c r="F87" s="278">
        <v>2885.7</v>
      </c>
      <c r="G87" s="278">
        <v>2819.16</v>
      </c>
      <c r="H87" s="278">
        <v>2546.31</v>
      </c>
      <c r="I87" s="278">
        <v>2706.39</v>
      </c>
      <c r="J87" s="278">
        <v>2850.62</v>
      </c>
      <c r="K87" s="278">
        <v>2846.25</v>
      </c>
      <c r="L87" s="278">
        <v>2655.87</v>
      </c>
      <c r="M87" s="290"/>
      <c r="N87" s="290"/>
      <c r="O87" s="290"/>
      <c r="P87" s="290"/>
      <c r="Q87" s="298"/>
      <c r="R87" s="298"/>
      <c r="S87" s="298"/>
      <c r="T87" s="298"/>
      <c r="U87" s="298"/>
      <c r="V87" s="302"/>
      <c r="W87" s="298"/>
      <c r="X87" s="303"/>
      <c r="Y87" s="308"/>
      <c r="Z87" s="267"/>
      <c r="AA87" s="267"/>
      <c r="AB87" s="267"/>
      <c r="AC87" s="267"/>
      <c r="AD87" s="305"/>
      <c r="AE87" s="305"/>
    </row>
    <row r="88" spans="1:31" ht="24.75" customHeight="1" thickBot="1">
      <c r="A88" s="306"/>
      <c r="B88" s="309"/>
      <c r="C88" s="310" t="s">
        <v>197</v>
      </c>
      <c r="D88" s="311">
        <f t="shared" ref="D88:L88" si="24">IF(((D86="")*AND(D87="")),"",(D86-D87)*2)</f>
        <v>6582.38</v>
      </c>
      <c r="E88" s="311">
        <f t="shared" si="24"/>
        <v>6460.58</v>
      </c>
      <c r="F88" s="311">
        <f t="shared" si="24"/>
        <v>6473.5</v>
      </c>
      <c r="G88" s="311">
        <f t="shared" si="24"/>
        <v>6592.84</v>
      </c>
      <c r="H88" s="311">
        <f t="shared" si="24"/>
        <v>6783.6799999999994</v>
      </c>
      <c r="I88" s="311">
        <f t="shared" si="24"/>
        <v>7023.6600000000008</v>
      </c>
      <c r="J88" s="311">
        <f t="shared" si="24"/>
        <v>6507.7199999999993</v>
      </c>
      <c r="K88" s="311">
        <f t="shared" si="24"/>
        <v>6536.16</v>
      </c>
      <c r="L88" s="311">
        <f t="shared" si="24"/>
        <v>6738.6</v>
      </c>
      <c r="M88" s="311"/>
      <c r="N88" s="311"/>
      <c r="O88" s="311"/>
      <c r="P88" s="311" t="str">
        <f>IF(((P86="")*AND(P87="")),"",(P86-P87)*2)</f>
        <v/>
      </c>
      <c r="Q88" s="309"/>
      <c r="R88" s="309"/>
      <c r="S88" s="309"/>
      <c r="T88" s="309"/>
      <c r="U88" s="299"/>
      <c r="V88" s="312"/>
      <c r="W88" s="309"/>
      <c r="X88" s="303"/>
      <c r="Y88" s="313"/>
      <c r="Z88" s="267"/>
      <c r="AA88" s="267"/>
      <c r="AB88" s="267"/>
      <c r="AC88" s="267"/>
      <c r="AD88" s="305"/>
      <c r="AE88" s="305"/>
    </row>
    <row r="89" spans="1:31" ht="12.75" customHeight="1">
      <c r="A89" s="325">
        <v>42634</v>
      </c>
      <c r="B89" s="315" t="s">
        <v>200</v>
      </c>
      <c r="C89" s="316" t="s">
        <v>199</v>
      </c>
      <c r="D89" s="278">
        <v>6981.26</v>
      </c>
      <c r="E89" s="278">
        <v>7170.72</v>
      </c>
      <c r="F89" s="278">
        <v>6963.79</v>
      </c>
      <c r="G89" s="278">
        <v>6964.26</v>
      </c>
      <c r="H89" s="278">
        <v>7113.83</v>
      </c>
      <c r="I89" s="278">
        <v>7031.29</v>
      </c>
      <c r="J89" s="278">
        <v>7006.81</v>
      </c>
      <c r="K89" s="278">
        <v>6966.44</v>
      </c>
      <c r="L89" s="278">
        <v>7042.31</v>
      </c>
      <c r="M89" s="278">
        <v>7060.59</v>
      </c>
      <c r="N89" s="278">
        <v>7209.23</v>
      </c>
      <c r="O89" s="278">
        <v>7067.11</v>
      </c>
      <c r="P89" s="278">
        <v>7111.67</v>
      </c>
      <c r="Q89" s="326">
        <f>IF((L90=""),"",MAX(D91:P91))</f>
        <v>5387.75</v>
      </c>
      <c r="R89" s="317">
        <f>IF(P90="","",MIN(D91:P91))</f>
        <v>5281.1</v>
      </c>
      <c r="S89" s="318">
        <f>IF((P91=""),"",AVERAGE(D91:P91))</f>
        <v>5338.9792307692305</v>
      </c>
      <c r="T89" s="318">
        <f>IF((P90=""),"",(Q89-R89)/(Q89+R89)*100)</f>
        <v>0.99963913636427204</v>
      </c>
      <c r="U89" s="319">
        <f>STDEV(D91:P91)</f>
        <v>36.531122225229851</v>
      </c>
      <c r="V89" s="320" t="str">
        <f>IF(P90="","",IF(T89&lt;2.7,IF(S89&gt;5150,IF(S89&lt;5600,"Pass","Fail"),"Fail"),"Fail"))</f>
        <v>Pass</v>
      </c>
      <c r="W89" s="315">
        <v>1335</v>
      </c>
      <c r="X89" s="303"/>
      <c r="Y89" s="304" t="s">
        <v>259</v>
      </c>
      <c r="Z89" s="321">
        <v>4470</v>
      </c>
      <c r="AA89" s="321">
        <v>6020</v>
      </c>
      <c r="AB89" s="321">
        <v>5150</v>
      </c>
      <c r="AC89" s="321">
        <v>5600</v>
      </c>
      <c r="AD89" s="305">
        <v>10</v>
      </c>
      <c r="AE89" s="322">
        <v>2.7</v>
      </c>
    </row>
    <row r="90" spans="1:31" ht="12.75" customHeight="1">
      <c r="A90" s="306"/>
      <c r="B90" s="298"/>
      <c r="C90" s="307" t="s">
        <v>198</v>
      </c>
      <c r="D90" s="278">
        <v>1672.06</v>
      </c>
      <c r="E90" s="278">
        <v>1822.55</v>
      </c>
      <c r="F90" s="278">
        <v>1682.69</v>
      </c>
      <c r="G90" s="278">
        <v>1655.1</v>
      </c>
      <c r="H90" s="278">
        <v>1738.54</v>
      </c>
      <c r="I90" s="278">
        <v>1650.3</v>
      </c>
      <c r="J90" s="278">
        <v>1681.8</v>
      </c>
      <c r="K90" s="278">
        <v>1636.28</v>
      </c>
      <c r="L90" s="278">
        <v>1756.68</v>
      </c>
      <c r="M90" s="278">
        <v>1695.36</v>
      </c>
      <c r="N90" s="278">
        <v>1821.48</v>
      </c>
      <c r="O90" s="278">
        <v>1735.51</v>
      </c>
      <c r="P90" s="278">
        <v>1734.23</v>
      </c>
      <c r="Q90" s="298"/>
      <c r="R90" s="298"/>
      <c r="S90" s="298"/>
      <c r="T90" s="298"/>
      <c r="U90" s="298"/>
      <c r="V90" s="302"/>
      <c r="W90" s="298"/>
      <c r="X90" s="303"/>
      <c r="Y90" s="308"/>
      <c r="Z90" s="267"/>
      <c r="AA90" s="267"/>
      <c r="AB90" s="267"/>
      <c r="AC90" s="267"/>
      <c r="AD90" s="305"/>
      <c r="AE90" s="305"/>
    </row>
    <row r="91" spans="1:31" ht="24.75" customHeight="1" thickBot="1">
      <c r="A91" s="306"/>
      <c r="B91" s="299"/>
      <c r="C91" s="307" t="s">
        <v>197</v>
      </c>
      <c r="D91" s="323">
        <f t="shared" ref="D91:P91" si="25">IF(((D89="")*AND(D90="")),"",(D89-D90))</f>
        <v>5309.2000000000007</v>
      </c>
      <c r="E91" s="323">
        <f t="shared" si="25"/>
        <v>5348.17</v>
      </c>
      <c r="F91" s="323">
        <f t="shared" si="25"/>
        <v>5281.1</v>
      </c>
      <c r="G91" s="323">
        <f t="shared" si="25"/>
        <v>5309.16</v>
      </c>
      <c r="H91" s="323">
        <f t="shared" si="25"/>
        <v>5375.29</v>
      </c>
      <c r="I91" s="323">
        <f t="shared" si="25"/>
        <v>5380.99</v>
      </c>
      <c r="J91" s="323">
        <f t="shared" si="25"/>
        <v>5325.01</v>
      </c>
      <c r="K91" s="323">
        <f t="shared" si="25"/>
        <v>5330.16</v>
      </c>
      <c r="L91" s="323">
        <f t="shared" si="25"/>
        <v>5285.63</v>
      </c>
      <c r="M91" s="323">
        <f t="shared" si="25"/>
        <v>5365.2300000000005</v>
      </c>
      <c r="N91" s="323">
        <f t="shared" si="25"/>
        <v>5387.75</v>
      </c>
      <c r="O91" s="323">
        <f t="shared" si="25"/>
        <v>5331.5999999999995</v>
      </c>
      <c r="P91" s="323">
        <f t="shared" si="25"/>
        <v>5377.4400000000005</v>
      </c>
      <c r="Q91" s="299"/>
      <c r="R91" s="299"/>
      <c r="S91" s="299"/>
      <c r="T91" s="299"/>
      <c r="U91" s="299"/>
      <c r="V91" s="324"/>
      <c r="W91" s="299"/>
      <c r="X91" s="303"/>
      <c r="Y91" s="308"/>
      <c r="Z91" s="267"/>
      <c r="AA91" s="267"/>
      <c r="AB91" s="267"/>
      <c r="AC91" s="267"/>
      <c r="AD91" s="305"/>
      <c r="AE91" s="305"/>
    </row>
    <row r="92" spans="1:31" ht="12.75" customHeight="1">
      <c r="A92" s="325">
        <v>42634</v>
      </c>
      <c r="B92" s="326" t="s">
        <v>202</v>
      </c>
      <c r="C92" s="307" t="s">
        <v>199</v>
      </c>
      <c r="D92" s="278">
        <v>6133.71</v>
      </c>
      <c r="E92" s="278">
        <v>6281.17</v>
      </c>
      <c r="F92" s="278">
        <v>6292.24</v>
      </c>
      <c r="G92" s="278">
        <v>6258.83</v>
      </c>
      <c r="H92" s="278">
        <v>6094.24</v>
      </c>
      <c r="I92" s="278">
        <v>6221.97</v>
      </c>
      <c r="J92" s="278">
        <v>6281.74</v>
      </c>
      <c r="K92" s="278">
        <v>6213.07</v>
      </c>
      <c r="L92" s="278">
        <v>6112.86</v>
      </c>
      <c r="M92" s="290"/>
      <c r="N92" s="290"/>
      <c r="O92" s="290"/>
      <c r="P92" s="290"/>
      <c r="Q92" s="326">
        <f>IF((L93=""),"",MAX(D94:L94))</f>
        <v>6998.7400000000007</v>
      </c>
      <c r="R92" s="326">
        <f>IF(L93="","",MIN(D94:L94))</f>
        <v>6818.0399999999991</v>
      </c>
      <c r="S92" s="327">
        <f>IF((L94=""),"",AVERAGE(D94:L94))</f>
        <v>6931.188888888888</v>
      </c>
      <c r="T92" s="318">
        <f>IF((L93=""),"",(Q92-R92)/(Q92+R92)*100)</f>
        <v>1.3078300443374047</v>
      </c>
      <c r="U92" s="326">
        <f>STDEV(D94:P94)</f>
        <v>59.191172577681144</v>
      </c>
      <c r="V92" s="328" t="str">
        <f>IF(L93="","",IF(T92&lt;7.3,IF(S92&gt;5700,IF(S92&lt;7200,"Pass","Fail"),"Fail"),"Fail"))</f>
        <v>Pass</v>
      </c>
      <c r="W92" s="315">
        <v>1335</v>
      </c>
      <c r="X92" s="303"/>
      <c r="Y92" s="304" t="s">
        <v>259</v>
      </c>
      <c r="Z92" s="267">
        <v>4955</v>
      </c>
      <c r="AA92" s="267">
        <v>9645</v>
      </c>
      <c r="AB92" s="267">
        <v>5100</v>
      </c>
      <c r="AC92" s="267">
        <v>8300</v>
      </c>
      <c r="AD92" s="305">
        <v>10</v>
      </c>
      <c r="AE92" s="305">
        <v>9.8000000000000007</v>
      </c>
    </row>
    <row r="93" spans="1:31" ht="12.75" customHeight="1">
      <c r="A93" s="306"/>
      <c r="B93" s="298"/>
      <c r="C93" s="307" t="s">
        <v>198</v>
      </c>
      <c r="D93" s="278">
        <v>2698.68</v>
      </c>
      <c r="E93" s="278">
        <v>2815.7</v>
      </c>
      <c r="F93" s="278">
        <v>2819.86</v>
      </c>
      <c r="G93" s="278">
        <v>2770.07</v>
      </c>
      <c r="H93" s="278">
        <v>2599</v>
      </c>
      <c r="I93" s="278">
        <v>2722.6</v>
      </c>
      <c r="J93" s="278">
        <v>2807.99</v>
      </c>
      <c r="K93" s="278">
        <v>2761.74</v>
      </c>
      <c r="L93" s="278">
        <v>2703.84</v>
      </c>
      <c r="M93" s="290"/>
      <c r="N93" s="290"/>
      <c r="O93" s="290"/>
      <c r="P93" s="290"/>
      <c r="Q93" s="298"/>
      <c r="R93" s="298"/>
      <c r="S93" s="298"/>
      <c r="T93" s="298"/>
      <c r="U93" s="298"/>
      <c r="V93" s="302"/>
      <c r="W93" s="298"/>
      <c r="X93" s="303"/>
      <c r="Y93" s="308"/>
      <c r="Z93" s="267"/>
      <c r="AA93" s="267"/>
      <c r="AB93" s="267"/>
      <c r="AC93" s="267"/>
      <c r="AD93" s="305"/>
      <c r="AE93" s="305"/>
    </row>
    <row r="94" spans="1:31" ht="24.75" customHeight="1" thickBot="1">
      <c r="A94" s="306"/>
      <c r="B94" s="309"/>
      <c r="C94" s="310" t="s">
        <v>197</v>
      </c>
      <c r="D94" s="311">
        <f t="shared" ref="D94:L94" si="26">IF(((D92="")*AND(D93="")),"",(D92-D93)*2)</f>
        <v>6870.06</v>
      </c>
      <c r="E94" s="311">
        <f t="shared" si="26"/>
        <v>6930.9400000000005</v>
      </c>
      <c r="F94" s="311">
        <f t="shared" si="26"/>
        <v>6944.7599999999993</v>
      </c>
      <c r="G94" s="311">
        <f t="shared" si="26"/>
        <v>6977.5199999999995</v>
      </c>
      <c r="H94" s="311">
        <f t="shared" si="26"/>
        <v>6990.48</v>
      </c>
      <c r="I94" s="311">
        <f t="shared" si="26"/>
        <v>6998.7400000000007</v>
      </c>
      <c r="J94" s="311">
        <f t="shared" si="26"/>
        <v>6947.5</v>
      </c>
      <c r="K94" s="311">
        <f t="shared" si="26"/>
        <v>6902.66</v>
      </c>
      <c r="L94" s="311">
        <f t="shared" si="26"/>
        <v>6818.0399999999991</v>
      </c>
      <c r="M94" s="311"/>
      <c r="N94" s="311"/>
      <c r="O94" s="311"/>
      <c r="P94" s="311" t="str">
        <f>IF(((P92="")*AND(P93="")),"",(P92-P93)*2)</f>
        <v/>
      </c>
      <c r="Q94" s="309"/>
      <c r="R94" s="309"/>
      <c r="S94" s="309"/>
      <c r="T94" s="309"/>
      <c r="U94" s="299"/>
      <c r="V94" s="312"/>
      <c r="W94" s="309"/>
      <c r="X94" s="303"/>
      <c r="Y94" s="313"/>
      <c r="Z94" s="267"/>
      <c r="AA94" s="267"/>
      <c r="AB94" s="267"/>
      <c r="AC94" s="267"/>
      <c r="AD94" s="305"/>
      <c r="AE94" s="305"/>
    </row>
    <row r="95" spans="1:31" ht="12.75" customHeight="1">
      <c r="A95" s="325">
        <v>42641</v>
      </c>
      <c r="B95" s="315" t="s">
        <v>200</v>
      </c>
      <c r="C95" s="316" t="s">
        <v>199</v>
      </c>
      <c r="D95" s="278">
        <v>6922.4</v>
      </c>
      <c r="E95" s="278">
        <v>7110.18</v>
      </c>
      <c r="F95" s="278">
        <v>6946.62</v>
      </c>
      <c r="G95" s="278">
        <v>6946.29</v>
      </c>
      <c r="H95" s="278">
        <v>7043.42</v>
      </c>
      <c r="I95" s="278">
        <v>6983.91</v>
      </c>
      <c r="J95" s="278">
        <v>6988.19</v>
      </c>
      <c r="K95" s="278">
        <v>6972.42</v>
      </c>
      <c r="L95" s="278">
        <v>7028.07</v>
      </c>
      <c r="M95" s="278">
        <v>7039.89</v>
      </c>
      <c r="N95" s="278">
        <v>7151.75</v>
      </c>
      <c r="O95" s="278">
        <v>7059</v>
      </c>
      <c r="P95" s="278">
        <v>7070.33</v>
      </c>
      <c r="Q95" s="326">
        <f>IF((L96=""),"",MAX(D97:P97))</f>
        <v>5331.21</v>
      </c>
      <c r="R95" s="317">
        <f>IF(P96="","",MIN(D97:P97))</f>
        <v>5248.01</v>
      </c>
      <c r="S95" s="318">
        <f>IF((P97=""),"",AVERAGE(D97:P97))</f>
        <v>5296.5523076923073</v>
      </c>
      <c r="T95" s="318">
        <f>IF((P96=""),"",(Q95-R95)/(Q95+R95)*100)</f>
        <v>0.78644739404228114</v>
      </c>
      <c r="U95" s="319">
        <f>STDEV(D97:P97)</f>
        <v>28.876065681279833</v>
      </c>
      <c r="V95" s="320" t="str">
        <f>IF(P96="","",IF(T95&lt;2.7,IF(S95&gt;5150,IF(S95&lt;5600,"Pass","Fail"),"Fail"),"Fail"))</f>
        <v>Pass</v>
      </c>
      <c r="W95" s="315">
        <v>1400</v>
      </c>
      <c r="X95" s="303" t="s">
        <v>264</v>
      </c>
      <c r="Y95" s="304" t="s">
        <v>259</v>
      </c>
      <c r="Z95" s="321">
        <v>4470</v>
      </c>
      <c r="AA95" s="321">
        <v>6020</v>
      </c>
      <c r="AB95" s="321">
        <v>5150</v>
      </c>
      <c r="AC95" s="321">
        <v>5600</v>
      </c>
      <c r="AD95" s="305">
        <v>10</v>
      </c>
      <c r="AE95" s="322">
        <v>2.7</v>
      </c>
    </row>
    <row r="96" spans="1:31" ht="12.75" customHeight="1">
      <c r="A96" s="306"/>
      <c r="B96" s="298"/>
      <c r="C96" s="307" t="s">
        <v>198</v>
      </c>
      <c r="D96" s="278">
        <v>1643.48</v>
      </c>
      <c r="E96" s="278">
        <v>1810.24</v>
      </c>
      <c r="F96" s="278">
        <v>1684.43</v>
      </c>
      <c r="G96" s="278">
        <v>1698.28</v>
      </c>
      <c r="H96" s="278">
        <v>1723.63</v>
      </c>
      <c r="I96" s="278">
        <v>1657.07</v>
      </c>
      <c r="J96" s="278">
        <v>1725.98</v>
      </c>
      <c r="K96" s="278">
        <v>1673.14</v>
      </c>
      <c r="L96" s="278">
        <v>1756.15</v>
      </c>
      <c r="M96" s="278">
        <v>1714.54</v>
      </c>
      <c r="N96" s="278">
        <v>1826.94</v>
      </c>
      <c r="O96" s="278">
        <v>1754.29</v>
      </c>
      <c r="P96" s="278">
        <v>1739.12</v>
      </c>
      <c r="Q96" s="298"/>
      <c r="R96" s="298"/>
      <c r="S96" s="298"/>
      <c r="T96" s="298"/>
      <c r="U96" s="298"/>
      <c r="V96" s="302"/>
      <c r="W96" s="298"/>
      <c r="X96" s="303"/>
      <c r="Y96" s="308"/>
      <c r="Z96" s="267"/>
      <c r="AA96" s="267"/>
      <c r="AB96" s="267"/>
      <c r="AC96" s="267"/>
      <c r="AD96" s="305"/>
      <c r="AE96" s="305"/>
    </row>
    <row r="97" spans="1:31" ht="24.75" customHeight="1" thickBot="1">
      <c r="A97" s="306"/>
      <c r="B97" s="299"/>
      <c r="C97" s="307" t="s">
        <v>197</v>
      </c>
      <c r="D97" s="323">
        <f t="shared" ref="D97:P97" si="27">IF(((D95="")*AND(D96="")),"",(D95-D96))</f>
        <v>5278.92</v>
      </c>
      <c r="E97" s="323">
        <f t="shared" si="27"/>
        <v>5299.9400000000005</v>
      </c>
      <c r="F97" s="323">
        <f t="shared" si="27"/>
        <v>5262.19</v>
      </c>
      <c r="G97" s="323">
        <f t="shared" si="27"/>
        <v>5248.01</v>
      </c>
      <c r="H97" s="323">
        <f t="shared" si="27"/>
        <v>5319.79</v>
      </c>
      <c r="I97" s="323">
        <f t="shared" si="27"/>
        <v>5326.84</v>
      </c>
      <c r="J97" s="323">
        <f t="shared" si="27"/>
        <v>5262.2099999999991</v>
      </c>
      <c r="K97" s="323">
        <f t="shared" si="27"/>
        <v>5299.28</v>
      </c>
      <c r="L97" s="323">
        <f t="shared" si="27"/>
        <v>5271.92</v>
      </c>
      <c r="M97" s="323">
        <f t="shared" si="27"/>
        <v>5325.35</v>
      </c>
      <c r="N97" s="323">
        <f t="shared" si="27"/>
        <v>5324.8099999999995</v>
      </c>
      <c r="O97" s="323">
        <f t="shared" si="27"/>
        <v>5304.71</v>
      </c>
      <c r="P97" s="323">
        <f t="shared" si="27"/>
        <v>5331.21</v>
      </c>
      <c r="Q97" s="299"/>
      <c r="R97" s="299"/>
      <c r="S97" s="299"/>
      <c r="T97" s="299"/>
      <c r="U97" s="299"/>
      <c r="V97" s="324"/>
      <c r="W97" s="299"/>
      <c r="X97" s="303"/>
      <c r="Y97" s="308"/>
      <c r="Z97" s="267"/>
      <c r="AA97" s="267"/>
      <c r="AB97" s="267"/>
      <c r="AC97" s="267"/>
      <c r="AD97" s="305"/>
      <c r="AE97" s="305"/>
    </row>
    <row r="98" spans="1:31" ht="12.75" customHeight="1">
      <c r="A98" s="325">
        <v>42641</v>
      </c>
      <c r="B98" s="326" t="s">
        <v>202</v>
      </c>
      <c r="C98" s="307" t="s">
        <v>199</v>
      </c>
      <c r="D98" s="278">
        <v>5936.04</v>
      </c>
      <c r="E98" s="278">
        <v>6108.35</v>
      </c>
      <c r="F98" s="278">
        <v>6124.89</v>
      </c>
      <c r="G98" s="278">
        <v>6121.35</v>
      </c>
      <c r="H98" s="278">
        <v>5949.18</v>
      </c>
      <c r="I98" s="278">
        <v>6210.74</v>
      </c>
      <c r="J98" s="278">
        <v>6107.23</v>
      </c>
      <c r="K98" s="278">
        <v>6115.97</v>
      </c>
      <c r="L98" s="278">
        <v>6029.79</v>
      </c>
      <c r="M98" s="290"/>
      <c r="N98" s="290"/>
      <c r="O98" s="290"/>
      <c r="P98" s="290"/>
      <c r="Q98" s="326">
        <f>IF((L99=""),"",MAX(D100:L100))</f>
        <v>7122.98</v>
      </c>
      <c r="R98" s="326">
        <f>IF(L99="","",MIN(D100:L100))</f>
        <v>6647.8400000000011</v>
      </c>
      <c r="S98" s="327">
        <f>IF((L100=""),"",AVERAGE(D100:L100))</f>
        <v>6794.7466666666678</v>
      </c>
      <c r="T98" s="318">
        <f>IF((L99=""),"",(Q98-R98)/(Q98+R98)*100)</f>
        <v>3.4503391954872584</v>
      </c>
      <c r="U98" s="326">
        <f>STDEV(D100:P100)</f>
        <v>155.12419089228595</v>
      </c>
      <c r="V98" s="328" t="str">
        <f>IF(L99="","",IF(T98&lt;7.3,IF(S98&gt;5700,IF(S98&lt;7200,"Pass","Fail"),"Fail"),"Fail"))</f>
        <v>Pass</v>
      </c>
      <c r="W98" s="315">
        <v>1400</v>
      </c>
      <c r="X98" s="303" t="s">
        <v>264</v>
      </c>
      <c r="Y98" s="304" t="s">
        <v>259</v>
      </c>
      <c r="Z98" s="267">
        <v>4955</v>
      </c>
      <c r="AA98" s="267">
        <v>9645</v>
      </c>
      <c r="AB98" s="267">
        <v>5100</v>
      </c>
      <c r="AC98" s="267">
        <v>8300</v>
      </c>
      <c r="AD98" s="305">
        <v>10</v>
      </c>
      <c r="AE98" s="305">
        <v>9.8000000000000007</v>
      </c>
    </row>
    <row r="99" spans="1:31" ht="12.75" customHeight="1">
      <c r="A99" s="306"/>
      <c r="B99" s="298"/>
      <c r="C99" s="307" t="s">
        <v>198</v>
      </c>
      <c r="D99" s="278">
        <v>2550.41</v>
      </c>
      <c r="E99" s="278">
        <v>2784.43</v>
      </c>
      <c r="F99" s="278">
        <v>2800.59</v>
      </c>
      <c r="G99" s="278">
        <v>2729.55</v>
      </c>
      <c r="H99" s="278">
        <v>2525.7399999999998</v>
      </c>
      <c r="I99" s="278">
        <v>2649.25</v>
      </c>
      <c r="J99" s="278">
        <v>2765.84</v>
      </c>
      <c r="K99" s="278">
        <v>2758.71</v>
      </c>
      <c r="L99" s="278">
        <v>2562.66</v>
      </c>
      <c r="M99" s="290"/>
      <c r="N99" s="290"/>
      <c r="O99" s="290"/>
      <c r="P99" s="290"/>
      <c r="Q99" s="298"/>
      <c r="R99" s="298"/>
      <c r="S99" s="298"/>
      <c r="T99" s="298"/>
      <c r="U99" s="298"/>
      <c r="V99" s="302"/>
      <c r="W99" s="298"/>
      <c r="X99" s="303"/>
      <c r="Y99" s="308"/>
      <c r="Z99" s="267"/>
      <c r="AA99" s="267"/>
      <c r="AB99" s="267"/>
      <c r="AC99" s="267"/>
      <c r="AD99" s="305"/>
      <c r="AE99" s="305"/>
    </row>
    <row r="100" spans="1:31" ht="24.75" customHeight="1" thickBot="1">
      <c r="A100" s="306"/>
      <c r="B100" s="309"/>
      <c r="C100" s="310" t="s">
        <v>197</v>
      </c>
      <c r="D100" s="311">
        <f t="shared" ref="D100:L100" si="28">IF(((D98="")*AND(D99="")),"",(D98-D99)*2)</f>
        <v>6771.26</v>
      </c>
      <c r="E100" s="311">
        <f t="shared" si="28"/>
        <v>6647.8400000000011</v>
      </c>
      <c r="F100" s="311">
        <f t="shared" si="28"/>
        <v>6648.6</v>
      </c>
      <c r="G100" s="311">
        <f t="shared" si="28"/>
        <v>6783.6</v>
      </c>
      <c r="H100" s="311">
        <f t="shared" si="28"/>
        <v>6846.880000000001</v>
      </c>
      <c r="I100" s="311">
        <f t="shared" si="28"/>
        <v>7122.98</v>
      </c>
      <c r="J100" s="311">
        <f t="shared" si="28"/>
        <v>6682.7799999999988</v>
      </c>
      <c r="K100" s="311">
        <f t="shared" si="28"/>
        <v>6714.52</v>
      </c>
      <c r="L100" s="311">
        <f t="shared" si="28"/>
        <v>6934.26</v>
      </c>
      <c r="M100" s="311"/>
      <c r="N100" s="311"/>
      <c r="O100" s="311"/>
      <c r="P100" s="311" t="str">
        <f>IF(((P98="")*AND(P99="")),"",(P98-P99)*2)</f>
        <v/>
      </c>
      <c r="Q100" s="309"/>
      <c r="R100" s="309"/>
      <c r="S100" s="309"/>
      <c r="T100" s="309"/>
      <c r="U100" s="299"/>
      <c r="V100" s="312"/>
      <c r="W100" s="309"/>
      <c r="X100" s="303"/>
      <c r="Y100" s="313"/>
      <c r="Z100" s="267"/>
      <c r="AA100" s="267"/>
      <c r="AB100" s="267"/>
      <c r="AC100" s="267"/>
      <c r="AD100" s="305"/>
      <c r="AE100" s="305"/>
    </row>
    <row r="101" spans="1:31" ht="12.75" customHeight="1">
      <c r="A101" s="325">
        <v>42470</v>
      </c>
      <c r="B101" s="315" t="s">
        <v>200</v>
      </c>
      <c r="C101" s="316" t="s">
        <v>199</v>
      </c>
      <c r="D101" s="278">
        <v>6809.45</v>
      </c>
      <c r="E101" s="278">
        <v>6980.2</v>
      </c>
      <c r="F101" s="278">
        <v>6823.46</v>
      </c>
      <c r="G101" s="278">
        <v>6841.32</v>
      </c>
      <c r="H101" s="278">
        <v>6908.14</v>
      </c>
      <c r="I101" s="278">
        <v>6881.76</v>
      </c>
      <c r="J101" s="278">
        <v>6888.67</v>
      </c>
      <c r="K101" s="278">
        <v>6842</v>
      </c>
      <c r="L101" s="278">
        <v>6914.69</v>
      </c>
      <c r="M101" s="278">
        <v>6943.13</v>
      </c>
      <c r="N101" s="278">
        <v>7031.9</v>
      </c>
      <c r="O101" s="278">
        <v>6946.92</v>
      </c>
      <c r="P101" s="278">
        <v>6953.47</v>
      </c>
      <c r="Q101" s="326">
        <f>IF((L102=""),"",MAX(D103:P103))</f>
        <v>5375.44</v>
      </c>
      <c r="R101" s="317">
        <f>IF(P102="","",MIN(D103:P103))</f>
        <v>5280.98</v>
      </c>
      <c r="S101" s="318">
        <f>IF((P103=""),"",AVERAGE(D103:P103))</f>
        <v>5333.9746153846163</v>
      </c>
      <c r="T101" s="318">
        <f>IF((P102=""),"",(Q101-R101)/(Q101+R101)*100)</f>
        <v>0.88641401145975895</v>
      </c>
      <c r="U101" s="319">
        <f>STDEV(D103:P103)</f>
        <v>33.068795113252484</v>
      </c>
      <c r="V101" s="320" t="str">
        <f>IF(P102="","",IF(T101&lt;2.7,IF(S101&gt;5150,IF(S101&lt;5600,"Pass","Fail"),"Fail"),"Fail"))</f>
        <v>Pass</v>
      </c>
      <c r="W101" s="315">
        <v>1400</v>
      </c>
      <c r="X101" s="303" t="s">
        <v>303</v>
      </c>
      <c r="Y101" s="304" t="s">
        <v>259</v>
      </c>
      <c r="Z101" s="321">
        <v>4470</v>
      </c>
      <c r="AA101" s="321">
        <v>6020</v>
      </c>
      <c r="AB101" s="321">
        <v>5150</v>
      </c>
      <c r="AC101" s="321">
        <v>5600</v>
      </c>
      <c r="AD101" s="305">
        <v>10</v>
      </c>
      <c r="AE101" s="322">
        <v>2.7</v>
      </c>
    </row>
    <row r="102" spans="1:31" ht="12.75" customHeight="1">
      <c r="A102" s="306"/>
      <c r="B102" s="298"/>
      <c r="C102" s="307" t="s">
        <v>198</v>
      </c>
      <c r="D102" s="278">
        <v>1502.94</v>
      </c>
      <c r="E102" s="278">
        <v>1648.32</v>
      </c>
      <c r="F102" s="278">
        <v>1542.48</v>
      </c>
      <c r="G102" s="278">
        <v>1530</v>
      </c>
      <c r="H102" s="278">
        <v>1552.91</v>
      </c>
      <c r="I102" s="278">
        <v>1506.87</v>
      </c>
      <c r="J102" s="278">
        <v>1562.73</v>
      </c>
      <c r="K102" s="278">
        <v>1509.43</v>
      </c>
      <c r="L102" s="278">
        <v>1632.87</v>
      </c>
      <c r="M102" s="278">
        <v>1578.58</v>
      </c>
      <c r="N102" s="278">
        <v>1656.46</v>
      </c>
      <c r="O102" s="278">
        <v>1618.38</v>
      </c>
      <c r="P102" s="278">
        <v>1581.47</v>
      </c>
      <c r="Q102" s="298"/>
      <c r="R102" s="298"/>
      <c r="S102" s="298"/>
      <c r="T102" s="298"/>
      <c r="U102" s="298"/>
      <c r="V102" s="302"/>
      <c r="W102" s="298"/>
      <c r="X102" s="303"/>
      <c r="Y102" s="308"/>
      <c r="Z102" s="267"/>
      <c r="AA102" s="267"/>
      <c r="AB102" s="267"/>
      <c r="AC102" s="267"/>
      <c r="AD102" s="305"/>
      <c r="AE102" s="305"/>
    </row>
    <row r="103" spans="1:31" ht="24.75" customHeight="1" thickBot="1">
      <c r="A103" s="306"/>
      <c r="B103" s="299"/>
      <c r="C103" s="307" t="s">
        <v>197</v>
      </c>
      <c r="D103" s="323">
        <f t="shared" ref="D103:P103" si="29">IF(((D101="")*AND(D102="")),"",(D101-D102))</f>
        <v>5306.51</v>
      </c>
      <c r="E103" s="323">
        <f t="shared" si="29"/>
        <v>5331.88</v>
      </c>
      <c r="F103" s="323">
        <f t="shared" si="29"/>
        <v>5280.98</v>
      </c>
      <c r="G103" s="323">
        <f t="shared" si="29"/>
        <v>5311.32</v>
      </c>
      <c r="H103" s="323">
        <f t="shared" si="29"/>
        <v>5355.2300000000005</v>
      </c>
      <c r="I103" s="323">
        <f t="shared" si="29"/>
        <v>5374.89</v>
      </c>
      <c r="J103" s="323">
        <f t="shared" si="29"/>
        <v>5325.9400000000005</v>
      </c>
      <c r="K103" s="323">
        <f t="shared" si="29"/>
        <v>5332.57</v>
      </c>
      <c r="L103" s="323">
        <f t="shared" si="29"/>
        <v>5281.82</v>
      </c>
      <c r="M103" s="323">
        <f t="shared" si="29"/>
        <v>5364.55</v>
      </c>
      <c r="N103" s="323">
        <f t="shared" si="29"/>
        <v>5375.44</v>
      </c>
      <c r="O103" s="323">
        <f t="shared" si="29"/>
        <v>5328.54</v>
      </c>
      <c r="P103" s="323">
        <f t="shared" si="29"/>
        <v>5372</v>
      </c>
      <c r="Q103" s="299"/>
      <c r="R103" s="299"/>
      <c r="S103" s="299"/>
      <c r="T103" s="299"/>
      <c r="U103" s="299"/>
      <c r="V103" s="324"/>
      <c r="W103" s="299"/>
      <c r="X103" s="303"/>
      <c r="Y103" s="308"/>
      <c r="Z103" s="267"/>
      <c r="AA103" s="267"/>
      <c r="AB103" s="267"/>
      <c r="AC103" s="267"/>
      <c r="AD103" s="305"/>
      <c r="AE103" s="305"/>
    </row>
    <row r="104" spans="1:31" ht="12.75" customHeight="1">
      <c r="A104" s="325">
        <v>42470</v>
      </c>
      <c r="B104" s="326" t="s">
        <v>202</v>
      </c>
      <c r="C104" s="307" t="s">
        <v>199</v>
      </c>
      <c r="D104" s="278">
        <v>6135.5</v>
      </c>
      <c r="E104" s="278">
        <v>6281.44</v>
      </c>
      <c r="F104" s="278">
        <v>6291.73</v>
      </c>
      <c r="G104" s="278">
        <v>6259.73</v>
      </c>
      <c r="H104" s="278">
        <v>6099.6</v>
      </c>
      <c r="I104" s="278">
        <v>6222.3</v>
      </c>
      <c r="J104" s="278">
        <v>6281.77</v>
      </c>
      <c r="K104" s="278">
        <v>6211.11</v>
      </c>
      <c r="L104" s="278">
        <v>6121.44</v>
      </c>
      <c r="M104" s="290"/>
      <c r="N104" s="290"/>
      <c r="O104" s="290"/>
      <c r="P104" s="290"/>
      <c r="Q104" s="326">
        <f>IF((L105=""),"",MAX(D106:L106))</f>
        <v>6655.88</v>
      </c>
      <c r="R104" s="326">
        <f>IF(L105="","",MIN(D106:L106))</f>
        <v>6438.2999999999993</v>
      </c>
      <c r="S104" s="327">
        <f>IF((L106=""),"",AVERAGE(D106:L106))</f>
        <v>6587.8244444444445</v>
      </c>
      <c r="T104" s="318">
        <f>IF((L105=""),"",(Q104-R104)/(Q104+R104)*100)</f>
        <v>1.6616542616643488</v>
      </c>
      <c r="U104" s="326">
        <f>STDEV(D106:P106)</f>
        <v>68.668945512302756</v>
      </c>
      <c r="V104" s="328" t="str">
        <f>IF(L105="","",IF(T104&lt;7.3,IF(S104&gt;5700,IF(S104&lt;7200,"Pass","Fail"),"Fail"),"Fail"))</f>
        <v>Pass</v>
      </c>
      <c r="W104" s="315">
        <v>1400</v>
      </c>
      <c r="X104" s="303" t="s">
        <v>303</v>
      </c>
      <c r="Y104" s="304" t="s">
        <v>259</v>
      </c>
      <c r="Z104" s="267">
        <v>4955</v>
      </c>
      <c r="AA104" s="267">
        <v>9645</v>
      </c>
      <c r="AB104" s="267">
        <v>5100</v>
      </c>
      <c r="AC104" s="267">
        <v>8300</v>
      </c>
      <c r="AD104" s="305">
        <v>10</v>
      </c>
      <c r="AE104" s="305">
        <v>9.8000000000000007</v>
      </c>
    </row>
    <row r="105" spans="1:31" ht="12.75" customHeight="1">
      <c r="A105" s="306"/>
      <c r="B105" s="298"/>
      <c r="C105" s="307" t="s">
        <v>198</v>
      </c>
      <c r="D105" s="278">
        <v>2867.25</v>
      </c>
      <c r="E105" s="278">
        <v>2976.61</v>
      </c>
      <c r="F105" s="278">
        <v>2979.25</v>
      </c>
      <c r="G105" s="278">
        <v>2932.39</v>
      </c>
      <c r="H105" s="278">
        <v>2811.9</v>
      </c>
      <c r="I105" s="278">
        <v>2894.36</v>
      </c>
      <c r="J105" s="278">
        <v>2969.63</v>
      </c>
      <c r="K105" s="278">
        <v>2925.73</v>
      </c>
      <c r="L105" s="278">
        <v>2902.29</v>
      </c>
      <c r="M105" s="290"/>
      <c r="N105" s="290"/>
      <c r="O105" s="290"/>
      <c r="P105" s="290"/>
      <c r="Q105" s="298"/>
      <c r="R105" s="298"/>
      <c r="S105" s="298"/>
      <c r="T105" s="298"/>
      <c r="U105" s="298"/>
      <c r="V105" s="302"/>
      <c r="W105" s="298"/>
      <c r="X105" s="303"/>
      <c r="Y105" s="308"/>
      <c r="Z105" s="267"/>
      <c r="AA105" s="267"/>
      <c r="AB105" s="267"/>
      <c r="AC105" s="267"/>
      <c r="AD105" s="305"/>
      <c r="AE105" s="305"/>
    </row>
    <row r="106" spans="1:31" ht="24.75" customHeight="1" thickBot="1">
      <c r="A106" s="306"/>
      <c r="B106" s="309"/>
      <c r="C106" s="310" t="s">
        <v>197</v>
      </c>
      <c r="D106" s="311">
        <f t="shared" ref="D106:L106" si="30">IF(((D104="")*AND(D105="")),"",(D104-D105)*2)</f>
        <v>6536.5</v>
      </c>
      <c r="E106" s="311">
        <f t="shared" si="30"/>
        <v>6609.6599999999989</v>
      </c>
      <c r="F106" s="311">
        <f t="shared" si="30"/>
        <v>6624.9599999999991</v>
      </c>
      <c r="G106" s="311">
        <f t="shared" si="30"/>
        <v>6654.6799999999994</v>
      </c>
      <c r="H106" s="311">
        <f t="shared" si="30"/>
        <v>6575.4000000000005</v>
      </c>
      <c r="I106" s="311">
        <f t="shared" si="30"/>
        <v>6655.88</v>
      </c>
      <c r="J106" s="311">
        <f t="shared" si="30"/>
        <v>6624.2800000000007</v>
      </c>
      <c r="K106" s="311">
        <f t="shared" si="30"/>
        <v>6570.7599999999993</v>
      </c>
      <c r="L106" s="311">
        <f t="shared" si="30"/>
        <v>6438.2999999999993</v>
      </c>
      <c r="M106" s="311"/>
      <c r="N106" s="311"/>
      <c r="O106" s="311"/>
      <c r="P106" s="311" t="str">
        <f>IF(((P104="")*AND(P105="")),"",(P104-P105)*2)</f>
        <v/>
      </c>
      <c r="Q106" s="309"/>
      <c r="R106" s="309"/>
      <c r="S106" s="309"/>
      <c r="T106" s="309"/>
      <c r="U106" s="299"/>
      <c r="V106" s="312"/>
      <c r="W106" s="309"/>
      <c r="X106" s="303"/>
      <c r="Y106" s="313"/>
      <c r="Z106" s="267"/>
      <c r="AA106" s="267"/>
      <c r="AB106" s="267"/>
      <c r="AC106" s="267"/>
      <c r="AD106" s="305"/>
      <c r="AE106" s="305"/>
    </row>
    <row r="107" spans="1:31" ht="12.75" customHeight="1">
      <c r="A107" s="325">
        <v>42656</v>
      </c>
      <c r="B107" s="315" t="s">
        <v>200</v>
      </c>
      <c r="C107" s="316" t="s">
        <v>199</v>
      </c>
      <c r="D107" s="278">
        <v>33640.589999999997</v>
      </c>
      <c r="E107" s="278">
        <v>34209.339999999997</v>
      </c>
      <c r="F107" s="278">
        <v>33590.47</v>
      </c>
      <c r="G107" s="278">
        <v>33859.26</v>
      </c>
      <c r="H107" s="278">
        <v>33584.39</v>
      </c>
      <c r="I107" s="278">
        <v>33736.99</v>
      </c>
      <c r="J107" s="278">
        <v>33850.76</v>
      </c>
      <c r="K107" s="278">
        <v>33671.83</v>
      </c>
      <c r="L107" s="278">
        <v>33757.69</v>
      </c>
      <c r="M107" s="278">
        <v>33852.050000000003</v>
      </c>
      <c r="N107" s="278">
        <v>34009.589999999997</v>
      </c>
      <c r="O107" s="278">
        <v>33879.040000000001</v>
      </c>
      <c r="P107" s="278">
        <v>33789.410000000003</v>
      </c>
      <c r="Q107" s="326">
        <f>IF((L108=""),"",MAX(D109:P109))</f>
        <v>5384.6500000000015</v>
      </c>
      <c r="R107" s="317">
        <f>IF(P108="","",MIN(D109:P109))</f>
        <v>5220.1900000000023</v>
      </c>
      <c r="S107" s="318">
        <f>IF((P109=""),"",AVERAGE(D109:P109))</f>
        <v>5282.0115384615392</v>
      </c>
      <c r="T107" s="318">
        <f>IF((P108=""),"",(Q107-R107)/(Q107+R107)*100)</f>
        <v>1.5508013322218823</v>
      </c>
      <c r="U107" s="319">
        <f>STDEV(D109:P109)</f>
        <v>50.021187651810692</v>
      </c>
      <c r="V107" s="320" t="str">
        <f>IF(P108="","",IF(T107&lt;2.7,IF(S107&gt;5150,IF(S107&lt;5600,"Pass","Fail"),"Fail"),"Fail"))</f>
        <v>Pass</v>
      </c>
      <c r="W107" s="315">
        <v>1400</v>
      </c>
      <c r="X107" s="303" t="s">
        <v>304</v>
      </c>
      <c r="Y107" s="304" t="s">
        <v>259</v>
      </c>
      <c r="Z107" s="321">
        <v>4470</v>
      </c>
      <c r="AA107" s="321">
        <v>6020</v>
      </c>
      <c r="AB107" s="321">
        <v>5150</v>
      </c>
      <c r="AC107" s="321">
        <v>5600</v>
      </c>
      <c r="AD107" s="305">
        <v>10</v>
      </c>
      <c r="AE107" s="322">
        <v>2.7</v>
      </c>
    </row>
    <row r="108" spans="1:31" ht="12.75" customHeight="1">
      <c r="A108" s="306"/>
      <c r="B108" s="298"/>
      <c r="C108" s="307" t="s">
        <v>198</v>
      </c>
      <c r="D108" s="278">
        <v>28405.439999999999</v>
      </c>
      <c r="E108" s="278">
        <v>28950.16</v>
      </c>
      <c r="F108" s="278">
        <v>28370.28</v>
      </c>
      <c r="G108" s="278">
        <v>28484.12</v>
      </c>
      <c r="H108" s="278">
        <v>28313.040000000001</v>
      </c>
      <c r="I108" s="278">
        <v>28436.400000000001</v>
      </c>
      <c r="J108" s="278">
        <v>28466.11</v>
      </c>
      <c r="K108" s="278">
        <v>28379.1</v>
      </c>
      <c r="L108" s="278">
        <v>28528.07</v>
      </c>
      <c r="M108" s="278">
        <v>28560.37</v>
      </c>
      <c r="N108" s="278">
        <v>28731.64</v>
      </c>
      <c r="O108" s="278">
        <v>28625.040000000001</v>
      </c>
      <c r="P108" s="278">
        <v>28515.49</v>
      </c>
      <c r="Q108" s="298"/>
      <c r="R108" s="298"/>
      <c r="S108" s="298"/>
      <c r="T108" s="298"/>
      <c r="U108" s="298"/>
      <c r="V108" s="302"/>
      <c r="W108" s="298"/>
      <c r="X108" s="303"/>
      <c r="Y108" s="308"/>
      <c r="Z108" s="267"/>
      <c r="AA108" s="267"/>
      <c r="AB108" s="267"/>
      <c r="AC108" s="267"/>
      <c r="AD108" s="305"/>
      <c r="AE108" s="305"/>
    </row>
    <row r="109" spans="1:31" ht="24.75" customHeight="1" thickBot="1">
      <c r="A109" s="306"/>
      <c r="B109" s="299"/>
      <c r="C109" s="307" t="s">
        <v>197</v>
      </c>
      <c r="D109" s="323">
        <f t="shared" ref="D109:P109" si="31">IF(((D107="")*AND(D108="")),"",(D107-D108))</f>
        <v>5235.1499999999978</v>
      </c>
      <c r="E109" s="323">
        <f t="shared" si="31"/>
        <v>5259.1799999999967</v>
      </c>
      <c r="F109" s="323">
        <f t="shared" si="31"/>
        <v>5220.1900000000023</v>
      </c>
      <c r="G109" s="323">
        <f t="shared" si="31"/>
        <v>5375.1400000000031</v>
      </c>
      <c r="H109" s="323">
        <f t="shared" si="31"/>
        <v>5271.3499999999985</v>
      </c>
      <c r="I109" s="323">
        <f t="shared" si="31"/>
        <v>5300.5899999999965</v>
      </c>
      <c r="J109" s="323">
        <f t="shared" si="31"/>
        <v>5384.6500000000015</v>
      </c>
      <c r="K109" s="323">
        <f t="shared" si="31"/>
        <v>5292.7300000000032</v>
      </c>
      <c r="L109" s="323">
        <f t="shared" si="31"/>
        <v>5229.6200000000026</v>
      </c>
      <c r="M109" s="323">
        <f t="shared" si="31"/>
        <v>5291.6800000000039</v>
      </c>
      <c r="N109" s="323">
        <f t="shared" si="31"/>
        <v>5277.9499999999971</v>
      </c>
      <c r="O109" s="323">
        <f t="shared" si="31"/>
        <v>5254</v>
      </c>
      <c r="P109" s="323">
        <f t="shared" si="31"/>
        <v>5273.9200000000019</v>
      </c>
      <c r="Q109" s="299"/>
      <c r="R109" s="299"/>
      <c r="S109" s="299"/>
      <c r="T109" s="299"/>
      <c r="U109" s="299"/>
      <c r="V109" s="324"/>
      <c r="W109" s="299"/>
      <c r="X109" s="303"/>
      <c r="Y109" s="308"/>
      <c r="Z109" s="267"/>
      <c r="AA109" s="267"/>
      <c r="AB109" s="267"/>
      <c r="AC109" s="267"/>
      <c r="AD109" s="305"/>
      <c r="AE109" s="305"/>
    </row>
    <row r="110" spans="1:31" ht="12.75" customHeight="1">
      <c r="A110" s="325">
        <v>42656</v>
      </c>
      <c r="B110" s="326" t="s">
        <v>202</v>
      </c>
      <c r="C110" s="307" t="s">
        <v>199</v>
      </c>
      <c r="D110" s="278">
        <v>5947.42</v>
      </c>
      <c r="E110" s="278">
        <v>6113.24</v>
      </c>
      <c r="F110" s="278">
        <v>6136.01</v>
      </c>
      <c r="G110" s="278">
        <v>6127.72</v>
      </c>
      <c r="H110" s="278">
        <v>5953.72</v>
      </c>
      <c r="I110" s="278">
        <v>6058.05</v>
      </c>
      <c r="J110" s="278">
        <v>6108.66</v>
      </c>
      <c r="K110" s="278">
        <v>6120.18</v>
      </c>
      <c r="L110" s="278">
        <v>6033.4</v>
      </c>
      <c r="M110" s="290"/>
      <c r="N110" s="290"/>
      <c r="O110" s="290"/>
      <c r="P110" s="290"/>
      <c r="Q110" s="326">
        <f>IF((L111=""),"",MAX(D112:L112))</f>
        <v>6339.68</v>
      </c>
      <c r="R110" s="326">
        <f>IF(L111="","",MIN(D112:L112))</f>
        <v>6069.08</v>
      </c>
      <c r="S110" s="327">
        <f>IF((L112=""),"",AVERAGE(D112:L112))</f>
        <v>6184.5800000000008</v>
      </c>
      <c r="T110" s="318">
        <f>IF((L111=""),"",(Q110-R110)/(Q110+R110)*100)</f>
        <v>2.1807174931258269</v>
      </c>
      <c r="U110" s="326">
        <f>STDEV(D112:P112)</f>
        <v>95.157711721062725</v>
      </c>
      <c r="V110" s="328" t="str">
        <f>IF(L111="","",IF(T110&lt;7.3,IF(S110&gt;5700,IF(S110&lt;7200,"Pass","Fail"),"Fail"),"Fail"))</f>
        <v>Pass</v>
      </c>
      <c r="W110" s="315">
        <v>1400</v>
      </c>
      <c r="X110" s="303" t="s">
        <v>263</v>
      </c>
      <c r="Y110" s="304" t="s">
        <v>259</v>
      </c>
      <c r="Z110" s="267">
        <v>4955</v>
      </c>
      <c r="AA110" s="267">
        <v>9645</v>
      </c>
      <c r="AB110" s="267">
        <v>5100</v>
      </c>
      <c r="AC110" s="267">
        <v>8300</v>
      </c>
      <c r="AD110" s="305">
        <v>10</v>
      </c>
      <c r="AE110" s="305">
        <v>9.8000000000000007</v>
      </c>
    </row>
    <row r="111" spans="1:31" ht="12.75" customHeight="1">
      <c r="A111" s="306"/>
      <c r="B111" s="298"/>
      <c r="C111" s="307" t="s">
        <v>198</v>
      </c>
      <c r="D111" s="278">
        <v>2872.78</v>
      </c>
      <c r="E111" s="278">
        <v>3078.7</v>
      </c>
      <c r="F111" s="278">
        <v>3075.76</v>
      </c>
      <c r="G111" s="278">
        <v>3010.27</v>
      </c>
      <c r="H111" s="278">
        <v>2783.88</v>
      </c>
      <c r="I111" s="278">
        <v>2990.73</v>
      </c>
      <c r="J111" s="278">
        <v>3048.76</v>
      </c>
      <c r="K111" s="278">
        <v>3036.78</v>
      </c>
      <c r="L111" s="278">
        <v>2870.13</v>
      </c>
      <c r="M111" s="290"/>
      <c r="N111" s="290"/>
      <c r="O111" s="290"/>
      <c r="P111" s="290"/>
      <c r="Q111" s="298"/>
      <c r="R111" s="298"/>
      <c r="S111" s="298"/>
      <c r="T111" s="298"/>
      <c r="U111" s="298"/>
      <c r="V111" s="302"/>
      <c r="W111" s="298"/>
      <c r="X111" s="303"/>
      <c r="Y111" s="308"/>
      <c r="Z111" s="267"/>
      <c r="AA111" s="267"/>
      <c r="AB111" s="267"/>
      <c r="AC111" s="267"/>
      <c r="AD111" s="305"/>
      <c r="AE111" s="305"/>
    </row>
    <row r="112" spans="1:31" ht="24.75" customHeight="1" thickBot="1">
      <c r="A112" s="306"/>
      <c r="B112" s="309"/>
      <c r="C112" s="310" t="s">
        <v>197</v>
      </c>
      <c r="D112" s="311">
        <f t="shared" ref="D112:L112" si="32">IF(((D110="")*AND(D111="")),"",(D110-D111)*2)</f>
        <v>6149.28</v>
      </c>
      <c r="E112" s="311">
        <f t="shared" si="32"/>
        <v>6069.08</v>
      </c>
      <c r="F112" s="311">
        <f t="shared" si="32"/>
        <v>6120.5</v>
      </c>
      <c r="G112" s="311">
        <f t="shared" si="32"/>
        <v>6234.9000000000005</v>
      </c>
      <c r="H112" s="311">
        <f t="shared" si="32"/>
        <v>6339.68</v>
      </c>
      <c r="I112" s="311">
        <f t="shared" si="32"/>
        <v>6134.64</v>
      </c>
      <c r="J112" s="311">
        <f t="shared" si="32"/>
        <v>6119.7999999999993</v>
      </c>
      <c r="K112" s="311">
        <f t="shared" si="32"/>
        <v>6166.8</v>
      </c>
      <c r="L112" s="311">
        <f t="shared" si="32"/>
        <v>6326.5399999999991</v>
      </c>
      <c r="M112" s="311"/>
      <c r="N112" s="311"/>
      <c r="O112" s="311"/>
      <c r="P112" s="311" t="str">
        <f>IF(((P110="")*AND(P111="")),"",(P110-P111)*2)</f>
        <v/>
      </c>
      <c r="Q112" s="309"/>
      <c r="R112" s="309"/>
      <c r="S112" s="309"/>
      <c r="T112" s="309"/>
      <c r="U112" s="299"/>
      <c r="V112" s="312"/>
      <c r="W112" s="309"/>
      <c r="X112" s="303"/>
      <c r="Y112" s="313"/>
      <c r="Z112" s="267"/>
      <c r="AA112" s="267"/>
      <c r="AB112" s="267"/>
      <c r="AC112" s="267"/>
      <c r="AD112" s="305"/>
      <c r="AE112" s="305"/>
    </row>
    <row r="113" spans="1:31" ht="12.75" customHeight="1">
      <c r="A113" s="325">
        <v>42668</v>
      </c>
      <c r="B113" s="315" t="s">
        <v>200</v>
      </c>
      <c r="C113" s="316" t="s">
        <v>199</v>
      </c>
      <c r="D113" s="278">
        <v>6870.29</v>
      </c>
      <c r="E113" s="278">
        <v>6995.97</v>
      </c>
      <c r="F113" s="278">
        <v>6846.55</v>
      </c>
      <c r="G113" s="278">
        <v>6903.84</v>
      </c>
      <c r="H113" s="278">
        <v>6872.89</v>
      </c>
      <c r="I113" s="278">
        <v>6887.49</v>
      </c>
      <c r="J113" s="278">
        <v>6907.88</v>
      </c>
      <c r="K113" s="278">
        <v>6875.76</v>
      </c>
      <c r="L113" s="278">
        <v>6883.71</v>
      </c>
      <c r="M113" s="278">
        <v>6910.29</v>
      </c>
      <c r="N113" s="278">
        <v>6955.34</v>
      </c>
      <c r="O113" s="278">
        <v>6914.83</v>
      </c>
      <c r="P113" s="278">
        <v>6918.03</v>
      </c>
      <c r="Q113" s="326">
        <f>IF((L114=""),"",MAX(D115:P115))</f>
        <v>5309.8</v>
      </c>
      <c r="R113" s="317">
        <f>IF(P114="","",MIN(D115:P115))</f>
        <v>5199.18</v>
      </c>
      <c r="S113" s="318">
        <f>IF((P115=""),"",AVERAGE(D115:P115))</f>
        <v>5262.9892307692317</v>
      </c>
      <c r="T113" s="318">
        <f>IF((P114=""),"",(Q113-R113)/(Q113+R113)*100)</f>
        <v>1.0526235657504335</v>
      </c>
      <c r="U113" s="319">
        <f>STDEV(D115:P115)</f>
        <v>38.090489508757969</v>
      </c>
      <c r="V113" s="320" t="str">
        <f>IF(P114="","",IF(T113&lt;2.7,IF(S113&gt;5150,IF(S113&lt;5600,"Pass","Fail"),"Fail"),"Fail"))</f>
        <v>Pass</v>
      </c>
      <c r="W113" s="315">
        <v>1400</v>
      </c>
      <c r="X113" s="303" t="s">
        <v>262</v>
      </c>
      <c r="Y113" s="304" t="s">
        <v>259</v>
      </c>
      <c r="Z113" s="321">
        <v>4470</v>
      </c>
      <c r="AA113" s="321">
        <v>6020</v>
      </c>
      <c r="AB113" s="321">
        <v>5150</v>
      </c>
      <c r="AC113" s="321">
        <v>5600</v>
      </c>
      <c r="AD113" s="305">
        <v>10</v>
      </c>
      <c r="AE113" s="322">
        <v>2.7</v>
      </c>
    </row>
    <row r="114" spans="1:31" ht="12.75" customHeight="1">
      <c r="A114" s="306"/>
      <c r="B114" s="298"/>
      <c r="C114" s="307" t="s">
        <v>198</v>
      </c>
      <c r="D114" s="278">
        <v>1658.96</v>
      </c>
      <c r="E114" s="278">
        <v>1743.11</v>
      </c>
      <c r="F114" s="278">
        <v>1647.37</v>
      </c>
      <c r="G114" s="278">
        <v>1632.14</v>
      </c>
      <c r="H114" s="278">
        <v>1588.55</v>
      </c>
      <c r="I114" s="278">
        <v>1579.77</v>
      </c>
      <c r="J114" s="278">
        <v>1616.19</v>
      </c>
      <c r="K114" s="278">
        <v>1581.17</v>
      </c>
      <c r="L114" s="278">
        <v>1677.92</v>
      </c>
      <c r="M114" s="278">
        <v>1600.49</v>
      </c>
      <c r="N114" s="278">
        <v>1674.39</v>
      </c>
      <c r="O114" s="278">
        <v>1672.24</v>
      </c>
      <c r="P114" s="278">
        <v>1651.71</v>
      </c>
      <c r="Q114" s="298"/>
      <c r="R114" s="298"/>
      <c r="S114" s="298"/>
      <c r="T114" s="298"/>
      <c r="U114" s="298"/>
      <c r="V114" s="302"/>
      <c r="W114" s="298"/>
      <c r="X114" s="303"/>
      <c r="Y114" s="308"/>
      <c r="Z114" s="267"/>
      <c r="AA114" s="267"/>
      <c r="AB114" s="267"/>
      <c r="AC114" s="267"/>
      <c r="AD114" s="305"/>
      <c r="AE114" s="305"/>
    </row>
    <row r="115" spans="1:31" ht="24.75" customHeight="1" thickBot="1">
      <c r="A115" s="306"/>
      <c r="B115" s="299"/>
      <c r="C115" s="307" t="s">
        <v>197</v>
      </c>
      <c r="D115" s="323">
        <f t="shared" ref="D115:P115" si="33">IF(((D113="")*AND(D114="")),"",(D113-D114))</f>
        <v>5211.33</v>
      </c>
      <c r="E115" s="323">
        <f t="shared" si="33"/>
        <v>5252.8600000000006</v>
      </c>
      <c r="F115" s="323">
        <f t="shared" si="33"/>
        <v>5199.18</v>
      </c>
      <c r="G115" s="323">
        <f t="shared" si="33"/>
        <v>5271.7</v>
      </c>
      <c r="H115" s="323">
        <f t="shared" si="33"/>
        <v>5284.34</v>
      </c>
      <c r="I115" s="323">
        <f t="shared" si="33"/>
        <v>5307.7199999999993</v>
      </c>
      <c r="J115" s="323">
        <f t="shared" si="33"/>
        <v>5291.6900000000005</v>
      </c>
      <c r="K115" s="323">
        <f t="shared" si="33"/>
        <v>5294.59</v>
      </c>
      <c r="L115" s="323">
        <f t="shared" si="33"/>
        <v>5205.79</v>
      </c>
      <c r="M115" s="323">
        <f t="shared" si="33"/>
        <v>5309.8</v>
      </c>
      <c r="N115" s="323">
        <f t="shared" si="33"/>
        <v>5280.95</v>
      </c>
      <c r="O115" s="323">
        <f t="shared" si="33"/>
        <v>5242.59</v>
      </c>
      <c r="P115" s="323">
        <f t="shared" si="33"/>
        <v>5266.32</v>
      </c>
      <c r="Q115" s="299"/>
      <c r="R115" s="299"/>
      <c r="S115" s="299"/>
      <c r="T115" s="299"/>
      <c r="U115" s="299"/>
      <c r="V115" s="324"/>
      <c r="W115" s="299"/>
      <c r="X115" s="303"/>
      <c r="Y115" s="308"/>
      <c r="Z115" s="267"/>
      <c r="AA115" s="267"/>
      <c r="AB115" s="267"/>
      <c r="AC115" s="267"/>
      <c r="AD115" s="305"/>
      <c r="AE115" s="305"/>
    </row>
    <row r="116" spans="1:31" ht="12.75" customHeight="1">
      <c r="A116" s="325">
        <v>42668</v>
      </c>
      <c r="B116" s="326" t="s">
        <v>202</v>
      </c>
      <c r="C116" s="307" t="s">
        <v>199</v>
      </c>
      <c r="D116" s="278">
        <v>5938.94</v>
      </c>
      <c r="E116" s="278">
        <v>6118.94</v>
      </c>
      <c r="F116" s="278">
        <v>6130.19</v>
      </c>
      <c r="G116" s="278">
        <v>6122.13</v>
      </c>
      <c r="H116" s="278">
        <v>5950.52</v>
      </c>
      <c r="I116" s="278">
        <v>6144.06</v>
      </c>
      <c r="J116" s="278">
        <v>6102.53</v>
      </c>
      <c r="K116" s="278">
        <v>6115.45</v>
      </c>
      <c r="L116" s="278">
        <v>6028.7</v>
      </c>
      <c r="M116" s="290"/>
      <c r="N116" s="290"/>
      <c r="O116" s="290"/>
      <c r="P116" s="290"/>
      <c r="Q116" s="326">
        <f>IF((L117=""),"",MAX(D118:L118))</f>
        <v>7028.6600000000008</v>
      </c>
      <c r="R116" s="326">
        <f>IF(L117="","",MIN(D118:L118))</f>
        <v>6508.7199999999993</v>
      </c>
      <c r="S116" s="327">
        <f>IF((L118=""),"",AVERAGE(D118:L118))</f>
        <v>6635.286666666666</v>
      </c>
      <c r="T116" s="318">
        <f>IF((L117=""),"",(Q116-R116)/(Q116+R116)*100)</f>
        <v>3.8407727344582288</v>
      </c>
      <c r="U116" s="326">
        <f>STDEV(D118:P118)</f>
        <v>173.0491074811161</v>
      </c>
      <c r="V116" s="328" t="str">
        <f>IF(L117="","",IF(T116&lt;7.3,IF(S116&gt;5700,IF(S116&lt;7200,"Pass","Fail"),"Fail"),"Fail"))</f>
        <v>Pass</v>
      </c>
      <c r="W116" s="315">
        <v>1400</v>
      </c>
      <c r="X116" s="303" t="s">
        <v>262</v>
      </c>
      <c r="Y116" s="304" t="s">
        <v>259</v>
      </c>
      <c r="Z116" s="267">
        <v>4955</v>
      </c>
      <c r="AA116" s="267">
        <v>9645</v>
      </c>
      <c r="AB116" s="267">
        <v>5100</v>
      </c>
      <c r="AC116" s="267">
        <v>8300</v>
      </c>
      <c r="AD116" s="305">
        <v>10</v>
      </c>
      <c r="AE116" s="305">
        <v>9.8000000000000007</v>
      </c>
    </row>
    <row r="117" spans="1:31" ht="12.75" customHeight="1">
      <c r="A117" s="306"/>
      <c r="B117" s="298"/>
      <c r="C117" s="307" t="s">
        <v>198</v>
      </c>
      <c r="D117" s="278">
        <v>2669.6</v>
      </c>
      <c r="E117" s="278">
        <v>2864.58</v>
      </c>
      <c r="F117" s="278">
        <v>2862.61</v>
      </c>
      <c r="G117" s="278">
        <v>2794.64</v>
      </c>
      <c r="H117" s="278">
        <v>2550.91</v>
      </c>
      <c r="I117" s="278">
        <v>2629.73</v>
      </c>
      <c r="J117" s="278">
        <v>2816.68</v>
      </c>
      <c r="K117" s="278">
        <v>2848.32</v>
      </c>
      <c r="L117" s="278">
        <v>2755.6</v>
      </c>
      <c r="M117" s="290"/>
      <c r="N117" s="290"/>
      <c r="O117" s="290"/>
      <c r="P117" s="290"/>
      <c r="Q117" s="298"/>
      <c r="R117" s="298"/>
      <c r="S117" s="298"/>
      <c r="T117" s="298"/>
      <c r="U117" s="298"/>
      <c r="V117" s="302"/>
      <c r="W117" s="298"/>
      <c r="X117" s="303"/>
      <c r="Y117" s="308"/>
      <c r="Z117" s="267"/>
      <c r="AA117" s="267"/>
      <c r="AB117" s="267"/>
      <c r="AC117" s="267"/>
      <c r="AD117" s="305"/>
      <c r="AE117" s="305"/>
    </row>
    <row r="118" spans="1:31" ht="24.75" customHeight="1" thickBot="1">
      <c r="A118" s="306"/>
      <c r="B118" s="309"/>
      <c r="C118" s="310" t="s">
        <v>197</v>
      </c>
      <c r="D118" s="311">
        <f t="shared" ref="D118:L118" si="34">IF(((D116="")*AND(D117="")),"",(D116-D117)*2)</f>
        <v>6538.6799999999994</v>
      </c>
      <c r="E118" s="311">
        <f t="shared" si="34"/>
        <v>6508.7199999999993</v>
      </c>
      <c r="F118" s="311">
        <f t="shared" si="34"/>
        <v>6535.1599999999989</v>
      </c>
      <c r="G118" s="311">
        <f t="shared" si="34"/>
        <v>6654.9800000000005</v>
      </c>
      <c r="H118" s="311">
        <f t="shared" si="34"/>
        <v>6799.2200000000012</v>
      </c>
      <c r="I118" s="311">
        <f t="shared" si="34"/>
        <v>7028.6600000000008</v>
      </c>
      <c r="J118" s="311">
        <f t="shared" si="34"/>
        <v>6571.7</v>
      </c>
      <c r="K118" s="311">
        <f t="shared" si="34"/>
        <v>6534.2599999999993</v>
      </c>
      <c r="L118" s="311">
        <f t="shared" si="34"/>
        <v>6546.2</v>
      </c>
      <c r="M118" s="311"/>
      <c r="N118" s="311"/>
      <c r="O118" s="311"/>
      <c r="P118" s="311" t="str">
        <f>IF(((P116="")*AND(P117="")),"",(P116-P117)*2)</f>
        <v/>
      </c>
      <c r="Q118" s="309"/>
      <c r="R118" s="309"/>
      <c r="S118" s="309"/>
      <c r="T118" s="309"/>
      <c r="U118" s="299"/>
      <c r="V118" s="312"/>
      <c r="W118" s="309"/>
      <c r="X118" s="303"/>
      <c r="Y118" s="313"/>
      <c r="Z118" s="267"/>
      <c r="AA118" s="267"/>
      <c r="AB118" s="267"/>
      <c r="AC118" s="267"/>
      <c r="AD118" s="305"/>
      <c r="AE118" s="305"/>
    </row>
    <row r="119" spans="1:31" ht="12.75" customHeight="1">
      <c r="A119" s="325">
        <v>42674</v>
      </c>
      <c r="B119" s="315" t="s">
        <v>200</v>
      </c>
      <c r="C119" s="316" t="s">
        <v>199</v>
      </c>
      <c r="D119" s="278">
        <v>6782.02</v>
      </c>
      <c r="E119" s="278">
        <v>6915.45</v>
      </c>
      <c r="F119" s="278">
        <v>6751.75</v>
      </c>
      <c r="G119" s="278">
        <v>6804.12</v>
      </c>
      <c r="H119" s="278">
        <v>6795.09</v>
      </c>
      <c r="I119" s="278">
        <v>6798.07</v>
      </c>
      <c r="J119" s="278">
        <v>6804.41</v>
      </c>
      <c r="K119" s="278">
        <v>6771.34</v>
      </c>
      <c r="L119" s="278">
        <v>6787.41</v>
      </c>
      <c r="M119" s="278">
        <v>6804.85</v>
      </c>
      <c r="N119" s="278">
        <v>6870.02</v>
      </c>
      <c r="O119" s="278">
        <v>6816.48</v>
      </c>
      <c r="P119" s="278">
        <v>6828.97</v>
      </c>
      <c r="Q119" s="326">
        <f>IF((L120=""),"",MAX(D121:P121))</f>
        <v>5288.5599999999995</v>
      </c>
      <c r="R119" s="317">
        <f>IF(P120="","",MIN(D121:P121))</f>
        <v>5184.7700000000004</v>
      </c>
      <c r="S119" s="318">
        <f>IF((P121=""),"",AVERAGE(D121:P121))</f>
        <v>5234.7384615384617</v>
      </c>
      <c r="T119" s="318">
        <f>IF((P120=""),"",(Q119-R119)/(Q119+R119)*100)</f>
        <v>0.99099331349245223</v>
      </c>
      <c r="U119" s="319">
        <f>STDEV(D121:P121)</f>
        <v>36.054214466101236</v>
      </c>
      <c r="V119" s="320" t="str">
        <f>IF(P120="","",IF(T119&lt;2.7,IF(S119&gt;5150,IF(S119&lt;5600,"Pass","Fail"),"Fail"),"Fail"))</f>
        <v>Pass</v>
      </c>
      <c r="W119" s="315">
        <v>1400</v>
      </c>
      <c r="X119" s="303" t="s">
        <v>261</v>
      </c>
      <c r="Y119" s="304" t="s">
        <v>259</v>
      </c>
      <c r="Z119" s="321">
        <v>4470</v>
      </c>
      <c r="AA119" s="321">
        <v>6020</v>
      </c>
      <c r="AB119" s="321">
        <v>5150</v>
      </c>
      <c r="AC119" s="321">
        <v>5600</v>
      </c>
      <c r="AD119" s="305">
        <v>10</v>
      </c>
      <c r="AE119" s="322">
        <v>2.7</v>
      </c>
    </row>
    <row r="120" spans="1:31" ht="12.75" customHeight="1">
      <c r="A120" s="306"/>
      <c r="B120" s="298"/>
      <c r="C120" s="307" t="s">
        <v>198</v>
      </c>
      <c r="D120" s="278">
        <v>1595.9</v>
      </c>
      <c r="E120" s="278">
        <v>1706.81</v>
      </c>
      <c r="F120" s="278">
        <v>1566.98</v>
      </c>
      <c r="G120" s="278">
        <v>1531.72</v>
      </c>
      <c r="H120" s="278">
        <v>1568.55</v>
      </c>
      <c r="I120" s="278">
        <v>1536.98</v>
      </c>
      <c r="J120" s="278">
        <v>1515.85</v>
      </c>
      <c r="K120" s="278">
        <v>1497.95</v>
      </c>
      <c r="L120" s="278">
        <v>1592.66</v>
      </c>
      <c r="M120" s="278">
        <v>1529.45</v>
      </c>
      <c r="N120" s="278">
        <v>1642.31</v>
      </c>
      <c r="O120" s="278">
        <v>1594.6</v>
      </c>
      <c r="P120" s="278">
        <v>1598.62</v>
      </c>
      <c r="Q120" s="298"/>
      <c r="R120" s="298"/>
      <c r="S120" s="298"/>
      <c r="T120" s="298"/>
      <c r="U120" s="298"/>
      <c r="V120" s="302"/>
      <c r="W120" s="298"/>
      <c r="X120" s="303"/>
      <c r="Y120" s="308"/>
      <c r="Z120" s="267"/>
      <c r="AA120" s="267"/>
      <c r="AB120" s="267"/>
      <c r="AC120" s="267"/>
      <c r="AD120" s="305"/>
      <c r="AE120" s="305"/>
    </row>
    <row r="121" spans="1:31" ht="24.75" customHeight="1" thickBot="1">
      <c r="A121" s="306"/>
      <c r="B121" s="299"/>
      <c r="C121" s="307" t="s">
        <v>197</v>
      </c>
      <c r="D121" s="323">
        <f t="shared" ref="D121:P121" si="35">IF(((D119="")*AND(D120="")),"",(D119-D120))</f>
        <v>5186.1200000000008</v>
      </c>
      <c r="E121" s="323">
        <f t="shared" si="35"/>
        <v>5208.6399999999994</v>
      </c>
      <c r="F121" s="323">
        <f t="shared" si="35"/>
        <v>5184.7700000000004</v>
      </c>
      <c r="G121" s="323">
        <f t="shared" si="35"/>
        <v>5272.4</v>
      </c>
      <c r="H121" s="323">
        <f t="shared" si="35"/>
        <v>5226.54</v>
      </c>
      <c r="I121" s="323">
        <f t="shared" si="35"/>
        <v>5261.09</v>
      </c>
      <c r="J121" s="323">
        <f t="shared" si="35"/>
        <v>5288.5599999999995</v>
      </c>
      <c r="K121" s="323">
        <f t="shared" si="35"/>
        <v>5273.39</v>
      </c>
      <c r="L121" s="323">
        <f t="shared" si="35"/>
        <v>5194.75</v>
      </c>
      <c r="M121" s="323">
        <f t="shared" si="35"/>
        <v>5275.4000000000005</v>
      </c>
      <c r="N121" s="323">
        <f t="shared" si="35"/>
        <v>5227.7100000000009</v>
      </c>
      <c r="O121" s="323">
        <f t="shared" si="35"/>
        <v>5221.8799999999992</v>
      </c>
      <c r="P121" s="323">
        <f t="shared" si="35"/>
        <v>5230.3500000000004</v>
      </c>
      <c r="Q121" s="299"/>
      <c r="R121" s="299"/>
      <c r="S121" s="299"/>
      <c r="T121" s="299"/>
      <c r="U121" s="299"/>
      <c r="V121" s="324"/>
      <c r="W121" s="299"/>
      <c r="X121" s="303"/>
      <c r="Y121" s="308"/>
      <c r="Z121" s="267"/>
      <c r="AA121" s="267"/>
      <c r="AB121" s="267"/>
      <c r="AC121" s="267"/>
      <c r="AD121" s="305"/>
      <c r="AE121" s="305"/>
    </row>
    <row r="122" spans="1:31" ht="12.75" customHeight="1">
      <c r="A122" s="325">
        <v>42674</v>
      </c>
      <c r="B122" s="326" t="s">
        <v>202</v>
      </c>
      <c r="C122" s="307" t="s">
        <v>199</v>
      </c>
      <c r="D122" s="278">
        <v>5941.5</v>
      </c>
      <c r="E122" s="278">
        <v>6121.16</v>
      </c>
      <c r="F122" s="278">
        <v>6133.32</v>
      </c>
      <c r="G122" s="278">
        <v>6124.54</v>
      </c>
      <c r="H122" s="278">
        <v>5959.55</v>
      </c>
      <c r="I122" s="278">
        <v>6256.47</v>
      </c>
      <c r="J122" s="278">
        <v>6106.11</v>
      </c>
      <c r="K122" s="278">
        <v>6115.59</v>
      </c>
      <c r="L122" s="278">
        <v>6029.64</v>
      </c>
      <c r="M122" s="290"/>
      <c r="N122" s="290"/>
      <c r="O122" s="290"/>
      <c r="P122" s="290"/>
      <c r="Q122" s="326">
        <f>IF((L123=""),"",MAX(D124:L124))</f>
        <v>7505.4600000000009</v>
      </c>
      <c r="R122" s="326">
        <f>IF(L123="","",MIN(D124:L124))</f>
        <v>6987.96</v>
      </c>
      <c r="S122" s="327">
        <f>IF((L124=""),"",AVERAGE(D124:L124))</f>
        <v>7162.6533333333327</v>
      </c>
      <c r="T122" s="318">
        <f>IF((L123=""),"",(Q122-R122)/(Q122+R122)*100)</f>
        <v>3.5705858244637971</v>
      </c>
      <c r="U122" s="326">
        <f>STDEV(D124:P124)</f>
        <v>140.95651457098413</v>
      </c>
      <c r="V122" s="328" t="str">
        <f>IF(L123="","",IF(T122&lt;7.3,IF(S122&gt;5700,IF(S122&lt;7200,"Pass","Fail"),"Fail"),"Fail"))</f>
        <v>Pass</v>
      </c>
      <c r="W122" s="315">
        <v>1400</v>
      </c>
      <c r="X122" s="303" t="s">
        <v>261</v>
      </c>
      <c r="Y122" s="304" t="s">
        <v>259</v>
      </c>
      <c r="Z122" s="267">
        <v>4955</v>
      </c>
      <c r="AA122" s="267">
        <v>9645</v>
      </c>
      <c r="AB122" s="267">
        <v>5100</v>
      </c>
      <c r="AC122" s="267">
        <v>8300</v>
      </c>
      <c r="AD122" s="305">
        <v>10</v>
      </c>
      <c r="AE122" s="305">
        <v>9.8000000000000007</v>
      </c>
    </row>
    <row r="123" spans="1:31" ht="12.75" customHeight="1">
      <c r="A123" s="306"/>
      <c r="B123" s="298"/>
      <c r="C123" s="307" t="s">
        <v>198</v>
      </c>
      <c r="D123" s="278">
        <v>2447.52</v>
      </c>
      <c r="E123" s="278">
        <v>2549.35</v>
      </c>
      <c r="F123" s="278">
        <v>2569.3000000000002</v>
      </c>
      <c r="G123" s="278">
        <v>2526.62</v>
      </c>
      <c r="H123" s="278">
        <v>2418.84</v>
      </c>
      <c r="I123" s="278">
        <v>2503.7399999999998</v>
      </c>
      <c r="J123" s="278">
        <v>2541.37</v>
      </c>
      <c r="K123" s="278">
        <v>2543.08</v>
      </c>
      <c r="L123" s="278">
        <v>2456.12</v>
      </c>
      <c r="M123" s="290"/>
      <c r="N123" s="290"/>
      <c r="O123" s="290"/>
      <c r="P123" s="290"/>
      <c r="Q123" s="298"/>
      <c r="R123" s="298"/>
      <c r="S123" s="298"/>
      <c r="T123" s="298"/>
      <c r="U123" s="298"/>
      <c r="V123" s="302"/>
      <c r="W123" s="298"/>
      <c r="X123" s="303"/>
      <c r="Y123" s="308"/>
      <c r="Z123" s="267"/>
      <c r="AA123" s="267"/>
      <c r="AB123" s="267"/>
      <c r="AC123" s="267"/>
      <c r="AD123" s="305"/>
      <c r="AE123" s="305"/>
    </row>
    <row r="124" spans="1:31" ht="24.75" customHeight="1" thickBot="1">
      <c r="A124" s="306"/>
      <c r="B124" s="309"/>
      <c r="C124" s="310" t="s">
        <v>197</v>
      </c>
      <c r="D124" s="311">
        <f t="shared" ref="D124:L124" si="36">IF(((D122="")*AND(D123="")),"",(D122-D123)*2)</f>
        <v>6987.96</v>
      </c>
      <c r="E124" s="311">
        <f t="shared" si="36"/>
        <v>7143.62</v>
      </c>
      <c r="F124" s="311">
        <f t="shared" si="36"/>
        <v>7128.0399999999991</v>
      </c>
      <c r="G124" s="311">
        <f t="shared" si="36"/>
        <v>7195.84</v>
      </c>
      <c r="H124" s="311">
        <f t="shared" si="36"/>
        <v>7081.42</v>
      </c>
      <c r="I124" s="311">
        <f t="shared" si="36"/>
        <v>7505.4600000000009</v>
      </c>
      <c r="J124" s="311">
        <f t="shared" si="36"/>
        <v>7129.48</v>
      </c>
      <c r="K124" s="311">
        <f t="shared" si="36"/>
        <v>7145.02</v>
      </c>
      <c r="L124" s="311">
        <f t="shared" si="36"/>
        <v>7147.0400000000009</v>
      </c>
      <c r="M124" s="311"/>
      <c r="N124" s="311"/>
      <c r="O124" s="311"/>
      <c r="P124" s="311" t="str">
        <f>IF(((P122="")*AND(P123="")),"",(P122-P123)*2)</f>
        <v/>
      </c>
      <c r="Q124" s="309"/>
      <c r="R124" s="309"/>
      <c r="S124" s="309"/>
      <c r="T124" s="309"/>
      <c r="U124" s="299"/>
      <c r="V124" s="312"/>
      <c r="W124" s="309"/>
      <c r="X124" s="303"/>
      <c r="Y124" s="313"/>
      <c r="Z124" s="267"/>
      <c r="AA124" s="267"/>
      <c r="AB124" s="267"/>
      <c r="AC124" s="267"/>
      <c r="AD124" s="305"/>
      <c r="AE124" s="305"/>
    </row>
    <row r="125" spans="1:31" ht="12.75" customHeight="1">
      <c r="A125" s="325">
        <v>42678</v>
      </c>
      <c r="B125" s="315" t="s">
        <v>200</v>
      </c>
      <c r="C125" s="316" t="s">
        <v>199</v>
      </c>
      <c r="D125" s="278">
        <v>6785.13</v>
      </c>
      <c r="E125" s="278">
        <v>6914.14</v>
      </c>
      <c r="F125" s="278">
        <v>6757.38</v>
      </c>
      <c r="G125" s="278">
        <v>6824.67</v>
      </c>
      <c r="H125" s="278">
        <v>6778.28</v>
      </c>
      <c r="I125" s="278">
        <v>6800.52</v>
      </c>
      <c r="J125" s="278">
        <v>6828.38</v>
      </c>
      <c r="K125" s="278">
        <v>6795.48</v>
      </c>
      <c r="L125" s="278">
        <v>6795.9</v>
      </c>
      <c r="M125" s="278">
        <v>6824.14</v>
      </c>
      <c r="N125" s="278">
        <v>6864.62</v>
      </c>
      <c r="O125" s="278">
        <v>6824.94</v>
      </c>
      <c r="P125" s="278">
        <v>6823.33</v>
      </c>
      <c r="Q125" s="326">
        <f>IF((L126=""),"",MAX(D127:P127))</f>
        <v>5348.31</v>
      </c>
      <c r="R125" s="317">
        <f>IF(P126="","",MIN(D127:P127))</f>
        <v>5229.6000000000004</v>
      </c>
      <c r="S125" s="318">
        <f>IF((P127=""),"",AVERAGE(D127:P127))</f>
        <v>5297.3384615384621</v>
      </c>
      <c r="T125" s="318">
        <f>IF((P126=""),"",(Q125-R125)/(Q125+R125)*100)</f>
        <v>1.1222443753066536</v>
      </c>
      <c r="U125" s="319">
        <f>STDEV(D127:P127)</f>
        <v>42.465776386335499</v>
      </c>
      <c r="V125" s="320" t="str">
        <f>IF(P126="","",IF(T125&lt;2.7,IF(S125&gt;5150,IF(S125&lt;5600,"Pass","Fail"),"Fail"),"Fail"))</f>
        <v>Pass</v>
      </c>
      <c r="W125" s="315">
        <v>1400</v>
      </c>
      <c r="X125" s="303" t="s">
        <v>260</v>
      </c>
      <c r="Y125" s="304" t="s">
        <v>259</v>
      </c>
      <c r="Z125" s="321">
        <v>4470</v>
      </c>
      <c r="AA125" s="321">
        <v>6020</v>
      </c>
      <c r="AB125" s="321">
        <v>5150</v>
      </c>
      <c r="AC125" s="321">
        <v>5600</v>
      </c>
      <c r="AD125" s="305">
        <v>10</v>
      </c>
      <c r="AE125" s="322">
        <v>2.7</v>
      </c>
    </row>
    <row r="126" spans="1:31" ht="12.75" customHeight="1">
      <c r="A126" s="306"/>
      <c r="B126" s="298"/>
      <c r="C126" s="307" t="s">
        <v>198</v>
      </c>
      <c r="D126" s="278">
        <v>1547.87</v>
      </c>
      <c r="E126" s="278">
        <v>1638.27</v>
      </c>
      <c r="F126" s="278">
        <v>1527.78</v>
      </c>
      <c r="G126" s="278">
        <v>1496.15</v>
      </c>
      <c r="H126" s="278">
        <v>1470.83</v>
      </c>
      <c r="I126" s="278">
        <v>1461.17</v>
      </c>
      <c r="J126" s="278">
        <v>1480.07</v>
      </c>
      <c r="K126" s="278">
        <v>1465.13</v>
      </c>
      <c r="L126" s="278">
        <v>1559.39</v>
      </c>
      <c r="M126" s="278">
        <v>1481.56</v>
      </c>
      <c r="N126" s="278">
        <v>1552.23</v>
      </c>
      <c r="O126" s="278">
        <v>1549.14</v>
      </c>
      <c r="P126" s="278">
        <v>1521.92</v>
      </c>
      <c r="Q126" s="298"/>
      <c r="R126" s="298"/>
      <c r="S126" s="298"/>
      <c r="T126" s="298"/>
      <c r="U126" s="298"/>
      <c r="V126" s="302"/>
      <c r="W126" s="298"/>
      <c r="X126" s="303"/>
      <c r="Y126" s="308"/>
      <c r="Z126" s="267"/>
      <c r="AA126" s="267"/>
      <c r="AB126" s="267"/>
      <c r="AC126" s="267"/>
      <c r="AD126" s="305"/>
      <c r="AE126" s="305"/>
    </row>
    <row r="127" spans="1:31" ht="24.75" customHeight="1" thickBot="1">
      <c r="A127" s="306"/>
      <c r="B127" s="299"/>
      <c r="C127" s="307" t="s">
        <v>197</v>
      </c>
      <c r="D127" s="323">
        <f t="shared" ref="D127:P127" si="37">IF(((D125="")*AND(D126="")),"",(D125-D126))</f>
        <v>5237.26</v>
      </c>
      <c r="E127" s="323">
        <f t="shared" si="37"/>
        <v>5275.8700000000008</v>
      </c>
      <c r="F127" s="323">
        <f t="shared" si="37"/>
        <v>5229.6000000000004</v>
      </c>
      <c r="G127" s="323">
        <f t="shared" si="37"/>
        <v>5328.52</v>
      </c>
      <c r="H127" s="323">
        <f t="shared" si="37"/>
        <v>5307.45</v>
      </c>
      <c r="I127" s="323">
        <f t="shared" si="37"/>
        <v>5339.35</v>
      </c>
      <c r="J127" s="323">
        <f t="shared" si="37"/>
        <v>5348.31</v>
      </c>
      <c r="K127" s="323">
        <f t="shared" si="37"/>
        <v>5330.3499999999995</v>
      </c>
      <c r="L127" s="323">
        <f t="shared" si="37"/>
        <v>5236.5099999999993</v>
      </c>
      <c r="M127" s="323">
        <f t="shared" si="37"/>
        <v>5342.58</v>
      </c>
      <c r="N127" s="323">
        <f t="shared" si="37"/>
        <v>5312.3899999999994</v>
      </c>
      <c r="O127" s="323">
        <f t="shared" si="37"/>
        <v>5275.7999999999993</v>
      </c>
      <c r="P127" s="323">
        <f t="shared" si="37"/>
        <v>5301.41</v>
      </c>
      <c r="Q127" s="299"/>
      <c r="R127" s="299"/>
      <c r="S127" s="299"/>
      <c r="T127" s="299"/>
      <c r="U127" s="299"/>
      <c r="V127" s="324"/>
      <c r="W127" s="299"/>
      <c r="X127" s="303"/>
      <c r="Y127" s="308"/>
      <c r="Z127" s="267"/>
      <c r="AA127" s="267"/>
      <c r="AB127" s="267"/>
      <c r="AC127" s="267"/>
      <c r="AD127" s="305"/>
      <c r="AE127" s="305"/>
    </row>
    <row r="128" spans="1:31" ht="12.75" customHeight="1">
      <c r="A128" s="325">
        <v>42678</v>
      </c>
      <c r="B128" s="326" t="s">
        <v>202</v>
      </c>
      <c r="C128" s="307" t="s">
        <v>199</v>
      </c>
      <c r="D128" s="278">
        <v>5953.81</v>
      </c>
      <c r="E128" s="278">
        <v>6111.48</v>
      </c>
      <c r="F128" s="278">
        <v>6128.32</v>
      </c>
      <c r="G128" s="278">
        <v>6122.81</v>
      </c>
      <c r="H128" s="278">
        <v>5960.13</v>
      </c>
      <c r="I128" s="278">
        <v>6250.75</v>
      </c>
      <c r="J128" s="278">
        <v>6105.17</v>
      </c>
      <c r="K128" s="278">
        <v>6120.38</v>
      </c>
      <c r="L128" s="278">
        <v>6032.2</v>
      </c>
      <c r="M128" s="290"/>
      <c r="N128" s="290"/>
      <c r="O128" s="290"/>
      <c r="P128" s="290"/>
      <c r="Q128" s="326">
        <f>IF((L129=""),"",MAX(D130:L130))</f>
        <v>6482.2</v>
      </c>
      <c r="R128" s="326">
        <f>IF(L129="","",MIN(D130:L130))</f>
        <v>6111.5199999999995</v>
      </c>
      <c r="S128" s="327">
        <f>IF((L130=""),"",AVERAGE(D130:L130))</f>
        <v>6228.1977777777765</v>
      </c>
      <c r="T128" s="318">
        <f>IF((L129=""),"",(Q128-R128)/(Q128+R128)*100)</f>
        <v>2.9433717757739597</v>
      </c>
      <c r="U128" s="326">
        <f>STDEV(D130:P130)</f>
        <v>113.62603198413341</v>
      </c>
      <c r="V128" s="328" t="str">
        <f>IF(L129="","",IF(T128&lt;7.3,IF(S128&gt;5700,IF(S128&lt;7200,"Pass","Fail"),"Fail"),"Fail"))</f>
        <v>Pass</v>
      </c>
      <c r="W128" s="315">
        <v>1400</v>
      </c>
      <c r="X128" s="303" t="s">
        <v>260</v>
      </c>
      <c r="Y128" s="304" t="s">
        <v>259</v>
      </c>
      <c r="Z128" s="267">
        <v>4955</v>
      </c>
      <c r="AA128" s="267">
        <v>9645</v>
      </c>
      <c r="AB128" s="267">
        <v>5100</v>
      </c>
      <c r="AC128" s="267">
        <v>8300</v>
      </c>
      <c r="AD128" s="305">
        <v>10</v>
      </c>
      <c r="AE128" s="305">
        <v>9.8000000000000007</v>
      </c>
    </row>
    <row r="129" spans="1:31" ht="12.75" customHeight="1">
      <c r="A129" s="306"/>
      <c r="B129" s="298"/>
      <c r="C129" s="307" t="s">
        <v>198</v>
      </c>
      <c r="D129" s="278">
        <v>2854.91</v>
      </c>
      <c r="E129" s="278">
        <v>3055.72</v>
      </c>
      <c r="F129" s="278">
        <v>3066.59</v>
      </c>
      <c r="G129" s="278">
        <v>3008.01</v>
      </c>
      <c r="H129" s="278">
        <v>2819.56</v>
      </c>
      <c r="I129" s="278">
        <v>3009.65</v>
      </c>
      <c r="J129" s="278">
        <v>3031.47</v>
      </c>
      <c r="K129" s="278">
        <v>3021.53</v>
      </c>
      <c r="L129" s="278">
        <v>2890.72</v>
      </c>
      <c r="M129" s="290"/>
      <c r="N129" s="290"/>
      <c r="O129" s="290"/>
      <c r="P129" s="290"/>
      <c r="Q129" s="298"/>
      <c r="R129" s="298"/>
      <c r="S129" s="298"/>
      <c r="T129" s="298"/>
      <c r="U129" s="298"/>
      <c r="V129" s="302"/>
      <c r="W129" s="298"/>
      <c r="X129" s="303"/>
      <c r="Y129" s="308"/>
      <c r="Z129" s="267"/>
      <c r="AA129" s="267"/>
      <c r="AB129" s="267"/>
      <c r="AC129" s="267"/>
      <c r="AD129" s="305"/>
      <c r="AE129" s="305"/>
    </row>
    <row r="130" spans="1:31" ht="24.75" customHeight="1" thickBot="1">
      <c r="A130" s="306"/>
      <c r="B130" s="309"/>
      <c r="C130" s="310" t="s">
        <v>197</v>
      </c>
      <c r="D130" s="311">
        <f t="shared" ref="D130:L130" si="38">IF(((D128="")*AND(D129="")),"",(D128-D129)*2)</f>
        <v>6197.8000000000011</v>
      </c>
      <c r="E130" s="311">
        <f t="shared" si="38"/>
        <v>6111.5199999999995</v>
      </c>
      <c r="F130" s="311">
        <f t="shared" si="38"/>
        <v>6123.4599999999991</v>
      </c>
      <c r="G130" s="311">
        <f t="shared" si="38"/>
        <v>6229.6</v>
      </c>
      <c r="H130" s="311">
        <f t="shared" si="38"/>
        <v>6281.14</v>
      </c>
      <c r="I130" s="311">
        <f t="shared" si="38"/>
        <v>6482.2</v>
      </c>
      <c r="J130" s="311">
        <f t="shared" si="38"/>
        <v>6147.4000000000005</v>
      </c>
      <c r="K130" s="311">
        <f t="shared" si="38"/>
        <v>6197.7</v>
      </c>
      <c r="L130" s="311">
        <f t="shared" si="38"/>
        <v>6282.96</v>
      </c>
      <c r="M130" s="311"/>
      <c r="N130" s="311"/>
      <c r="O130" s="311"/>
      <c r="P130" s="311" t="str">
        <f>IF(((P128="")*AND(P129="")),"",(P128-P129)*2)</f>
        <v/>
      </c>
      <c r="Q130" s="309"/>
      <c r="R130" s="309"/>
      <c r="S130" s="309"/>
      <c r="T130" s="309"/>
      <c r="U130" s="299"/>
      <c r="V130" s="312"/>
      <c r="W130" s="309"/>
      <c r="X130" s="303"/>
      <c r="Y130" s="313"/>
      <c r="Z130" s="267"/>
      <c r="AA130" s="267"/>
      <c r="AB130" s="267"/>
      <c r="AC130" s="267"/>
      <c r="AD130" s="305"/>
      <c r="AE130" s="305"/>
    </row>
    <row r="131" spans="1:31" ht="12.75" customHeight="1">
      <c r="A131" s="325">
        <v>42682</v>
      </c>
      <c r="B131" s="315" t="s">
        <v>200</v>
      </c>
      <c r="C131" s="316" t="s">
        <v>199</v>
      </c>
      <c r="D131" s="278">
        <v>6629.16</v>
      </c>
      <c r="E131" s="278">
        <v>6748.12</v>
      </c>
      <c r="F131" s="278">
        <v>6624.64</v>
      </c>
      <c r="G131" s="278">
        <v>6686.51</v>
      </c>
      <c r="H131" s="278">
        <v>6605.86</v>
      </c>
      <c r="I131" s="278">
        <v>6659.52</v>
      </c>
      <c r="J131" s="278">
        <v>6692.83</v>
      </c>
      <c r="K131" s="278">
        <v>6650.85</v>
      </c>
      <c r="L131" s="278">
        <v>6667.25</v>
      </c>
      <c r="M131" s="278">
        <v>6693.8</v>
      </c>
      <c r="N131" s="278">
        <v>6708.17</v>
      </c>
      <c r="O131" s="278">
        <v>6692.38</v>
      </c>
      <c r="P131" s="278">
        <v>6667.07</v>
      </c>
      <c r="Q131" s="326">
        <f>IF((L132=""),"",MAX(D133:P133))</f>
        <v>5346.0599999999995</v>
      </c>
      <c r="R131" s="317">
        <f>IF(P132="","",MIN(D133:P133))</f>
        <v>5185.01</v>
      </c>
      <c r="S131" s="318">
        <f>IF((P133=""),"",AVERAGE(D133:P133))</f>
        <v>5239.3438461538462</v>
      </c>
      <c r="T131" s="318">
        <f>IF((P132=""),"",(Q131-R131)/(Q131+R131)*100)</f>
        <v>1.5292842987464643</v>
      </c>
      <c r="U131" s="319">
        <f>STDEV(D133:P133)</f>
        <v>52.972158652505534</v>
      </c>
      <c r="V131" s="320" t="str">
        <f>IF(P132="","",IF(T131&lt;2.7,IF(S131&gt;5150,IF(S131&lt;5600,"Pass","Fail"),"Fail"),"Fail"))</f>
        <v>Pass</v>
      </c>
      <c r="W131" s="315">
        <v>1428</v>
      </c>
      <c r="X131" s="303" t="s">
        <v>258</v>
      </c>
      <c r="Y131" s="304" t="s">
        <v>259</v>
      </c>
      <c r="Z131" s="321">
        <v>4470</v>
      </c>
      <c r="AA131" s="321">
        <v>6020</v>
      </c>
      <c r="AB131" s="321">
        <v>5150</v>
      </c>
      <c r="AC131" s="321">
        <v>5600</v>
      </c>
      <c r="AD131" s="305">
        <v>10</v>
      </c>
      <c r="AE131" s="322">
        <v>2.7</v>
      </c>
    </row>
    <row r="132" spans="1:31" ht="12.75" customHeight="1">
      <c r="A132" s="306"/>
      <c r="B132" s="298"/>
      <c r="C132" s="307" t="s">
        <v>198</v>
      </c>
      <c r="D132" s="278">
        <v>1442.5</v>
      </c>
      <c r="E132" s="278">
        <v>1544.14</v>
      </c>
      <c r="F132" s="278">
        <v>1439.63</v>
      </c>
      <c r="G132" s="278">
        <v>1355.52</v>
      </c>
      <c r="H132" s="278">
        <v>1381.15</v>
      </c>
      <c r="I132" s="278">
        <v>1400.71</v>
      </c>
      <c r="J132" s="278">
        <v>1346.77</v>
      </c>
      <c r="K132" s="278">
        <v>1376.65</v>
      </c>
      <c r="L132" s="278">
        <v>1478.39</v>
      </c>
      <c r="M132" s="278">
        <v>1426.72</v>
      </c>
      <c r="N132" s="278">
        <v>1493.24</v>
      </c>
      <c r="O132" s="278">
        <v>1479.34</v>
      </c>
      <c r="P132" s="278">
        <v>1449.93</v>
      </c>
      <c r="Q132" s="298"/>
      <c r="R132" s="298"/>
      <c r="S132" s="298"/>
      <c r="T132" s="298"/>
      <c r="U132" s="298"/>
      <c r="V132" s="302"/>
      <c r="W132" s="298"/>
      <c r="X132" s="303"/>
      <c r="Y132" s="308"/>
      <c r="Z132" s="267"/>
      <c r="AA132" s="267"/>
      <c r="AB132" s="267"/>
      <c r="AC132" s="267"/>
      <c r="AD132" s="268"/>
      <c r="AE132" s="269"/>
    </row>
    <row r="133" spans="1:31" ht="24.75" customHeight="1" thickBot="1">
      <c r="A133" s="306"/>
      <c r="B133" s="299"/>
      <c r="C133" s="307" t="s">
        <v>197</v>
      </c>
      <c r="D133" s="323">
        <f t="shared" ref="D133:P133" si="39">IF(((D131="")*AND(D132="")),"",(D131-D132))</f>
        <v>5186.66</v>
      </c>
      <c r="E133" s="323">
        <f t="shared" si="39"/>
        <v>5203.9799999999996</v>
      </c>
      <c r="F133" s="323">
        <f t="shared" si="39"/>
        <v>5185.01</v>
      </c>
      <c r="G133" s="323">
        <f t="shared" si="39"/>
        <v>5330.99</v>
      </c>
      <c r="H133" s="323">
        <f t="shared" si="39"/>
        <v>5224.7099999999991</v>
      </c>
      <c r="I133" s="323">
        <f t="shared" si="39"/>
        <v>5258.81</v>
      </c>
      <c r="J133" s="323">
        <f t="shared" si="39"/>
        <v>5346.0599999999995</v>
      </c>
      <c r="K133" s="323">
        <f t="shared" si="39"/>
        <v>5274.2000000000007</v>
      </c>
      <c r="L133" s="323">
        <f t="shared" si="39"/>
        <v>5188.8599999999997</v>
      </c>
      <c r="M133" s="323">
        <f t="shared" si="39"/>
        <v>5267.08</v>
      </c>
      <c r="N133" s="323">
        <f t="shared" si="39"/>
        <v>5214.93</v>
      </c>
      <c r="O133" s="323">
        <f t="shared" si="39"/>
        <v>5213.04</v>
      </c>
      <c r="P133" s="323">
        <f t="shared" si="39"/>
        <v>5217.1399999999994</v>
      </c>
      <c r="Q133" s="299"/>
      <c r="R133" s="299"/>
      <c r="S133" s="299"/>
      <c r="T133" s="299"/>
      <c r="U133" s="299"/>
      <c r="V133" s="324"/>
      <c r="W133" s="299"/>
      <c r="X133" s="303"/>
      <c r="Y133" s="308"/>
      <c r="Z133" s="267"/>
      <c r="AA133" s="267"/>
      <c r="AB133" s="267"/>
      <c r="AC133" s="267"/>
      <c r="AD133" s="268"/>
      <c r="AE133" s="269"/>
    </row>
    <row r="134" spans="1:31" ht="12.75" customHeight="1">
      <c r="A134" s="325">
        <v>42682</v>
      </c>
      <c r="B134" s="326" t="s">
        <v>202</v>
      </c>
      <c r="C134" s="307" t="s">
        <v>199</v>
      </c>
      <c r="D134" s="278">
        <v>5961.81</v>
      </c>
      <c r="E134" s="278">
        <v>6105.32</v>
      </c>
      <c r="F134" s="278">
        <v>6128.07</v>
      </c>
      <c r="G134" s="278">
        <v>6116.6</v>
      </c>
      <c r="H134" s="278">
        <v>5964.44</v>
      </c>
      <c r="I134" s="278">
        <v>6106.37</v>
      </c>
      <c r="J134" s="278">
        <v>6096.88</v>
      </c>
      <c r="K134" s="278">
        <v>6106.03</v>
      </c>
      <c r="L134" s="278">
        <v>6031.98</v>
      </c>
      <c r="M134" s="290"/>
      <c r="N134" s="290"/>
      <c r="O134" s="290"/>
      <c r="P134" s="290"/>
      <c r="Q134" s="326">
        <f>IF((L135=""),"",MAX(D136:L136))</f>
        <v>6850.3</v>
      </c>
      <c r="R134" s="326">
        <f>IF(L135="","",MIN(D136:L136))</f>
        <v>6565.66</v>
      </c>
      <c r="S134" s="327">
        <f>IF((L136=""),"",AVERAGE(D136:L136))</f>
        <v>6676.76</v>
      </c>
      <c r="T134" s="318">
        <f>IF((L135=""),"",(Q134-R134)/(Q134+R134)*100)</f>
        <v>2.1216521218012008</v>
      </c>
      <c r="U134" s="326">
        <f>STDEV(D136:P136)</f>
        <v>93.820460455040291</v>
      </c>
      <c r="V134" s="328" t="str">
        <f>IF(L135="","",IF(T134&lt;7.3,IF(S134&gt;5700,IF(S134&lt;7200,"Pass","Fail"),"Fail"),"Fail"))</f>
        <v>Pass</v>
      </c>
      <c r="W134" s="315">
        <v>1428</v>
      </c>
      <c r="X134" s="303" t="s">
        <v>258</v>
      </c>
      <c r="Y134" s="304" t="s">
        <v>259</v>
      </c>
      <c r="Z134" s="267">
        <v>4955</v>
      </c>
      <c r="AA134" s="267">
        <v>9645</v>
      </c>
      <c r="AB134" s="267">
        <v>5100</v>
      </c>
      <c r="AC134" s="267">
        <v>8300</v>
      </c>
      <c r="AD134" s="305">
        <v>10</v>
      </c>
      <c r="AE134" s="305">
        <v>9.8000000000000007</v>
      </c>
    </row>
    <row r="135" spans="1:31" ht="12.75" customHeight="1">
      <c r="A135" s="306"/>
      <c r="B135" s="298"/>
      <c r="C135" s="307" t="s">
        <v>198</v>
      </c>
      <c r="D135" s="278">
        <v>2622.6</v>
      </c>
      <c r="E135" s="278">
        <v>2822.49</v>
      </c>
      <c r="F135" s="278">
        <v>2836.51</v>
      </c>
      <c r="G135" s="278">
        <v>2773.66</v>
      </c>
      <c r="H135" s="278">
        <v>2601.9699999999998</v>
      </c>
      <c r="I135" s="278">
        <v>2681.22</v>
      </c>
      <c r="J135" s="278">
        <v>2794.74</v>
      </c>
      <c r="K135" s="278">
        <v>2792.75</v>
      </c>
      <c r="L135" s="278">
        <v>2646.14</v>
      </c>
      <c r="M135" s="290"/>
      <c r="N135" s="290"/>
      <c r="O135" s="290"/>
      <c r="P135" s="290"/>
      <c r="Q135" s="298"/>
      <c r="R135" s="298"/>
      <c r="S135" s="298"/>
      <c r="T135" s="298"/>
      <c r="U135" s="298"/>
      <c r="V135" s="302"/>
      <c r="W135" s="298"/>
      <c r="X135" s="303"/>
      <c r="Y135" s="308"/>
      <c r="Z135" s="267"/>
      <c r="AA135" s="267"/>
      <c r="AB135" s="267"/>
      <c r="AC135" s="267"/>
      <c r="AD135" s="268"/>
      <c r="AE135" s="269"/>
    </row>
    <row r="136" spans="1:31" ht="24.75" customHeight="1" thickBot="1">
      <c r="A136" s="306"/>
      <c r="B136" s="309"/>
      <c r="C136" s="310" t="s">
        <v>197</v>
      </c>
      <c r="D136" s="311">
        <f t="shared" ref="D136:L136" si="40">IF(((D134="")*AND(D135="")),"",(D134-D135)*2)</f>
        <v>6678.420000000001</v>
      </c>
      <c r="E136" s="311">
        <f t="shared" si="40"/>
        <v>6565.66</v>
      </c>
      <c r="F136" s="311">
        <f t="shared" si="40"/>
        <v>6583.119999999999</v>
      </c>
      <c r="G136" s="311">
        <f t="shared" si="40"/>
        <v>6685.880000000001</v>
      </c>
      <c r="H136" s="311">
        <f t="shared" si="40"/>
        <v>6724.94</v>
      </c>
      <c r="I136" s="311">
        <f t="shared" si="40"/>
        <v>6850.3</v>
      </c>
      <c r="J136" s="311">
        <f t="shared" si="40"/>
        <v>6604.2800000000007</v>
      </c>
      <c r="K136" s="311">
        <f t="shared" si="40"/>
        <v>6626.5599999999995</v>
      </c>
      <c r="L136" s="311">
        <f t="shared" si="40"/>
        <v>6771.6799999999994</v>
      </c>
      <c r="M136" s="311"/>
      <c r="N136" s="311"/>
      <c r="O136" s="311"/>
      <c r="P136" s="311" t="str">
        <f>IF(((P134="")*AND(P135="")),"",(P134-P135)*2)</f>
        <v/>
      </c>
      <c r="Q136" s="309"/>
      <c r="R136" s="309"/>
      <c r="S136" s="309"/>
      <c r="T136" s="309"/>
      <c r="U136" s="299"/>
      <c r="V136" s="312"/>
      <c r="W136" s="309"/>
      <c r="X136" s="303"/>
      <c r="Y136" s="313"/>
      <c r="Z136" s="267"/>
      <c r="AA136" s="267"/>
      <c r="AB136" s="267"/>
      <c r="AC136" s="267"/>
      <c r="AD136" s="268"/>
      <c r="AE136" s="269"/>
    </row>
    <row r="137" spans="1:31" ht="12.75" customHeight="1">
      <c r="A137" s="325">
        <v>42689</v>
      </c>
      <c r="B137" s="315" t="s">
        <v>200</v>
      </c>
      <c r="C137" s="316" t="s">
        <v>199</v>
      </c>
      <c r="D137" s="278">
        <v>6924.24</v>
      </c>
      <c r="E137" s="278">
        <v>7044</v>
      </c>
      <c r="F137" s="278">
        <v>6897.32</v>
      </c>
      <c r="G137" s="278">
        <v>6955.04</v>
      </c>
      <c r="H137" s="278">
        <v>6914.75</v>
      </c>
      <c r="I137" s="278">
        <v>6936.4</v>
      </c>
      <c r="J137" s="278">
        <v>6956.58</v>
      </c>
      <c r="K137" s="278">
        <v>6921.11</v>
      </c>
      <c r="L137" s="278">
        <v>6936.13</v>
      </c>
      <c r="M137" s="278">
        <v>6955.95</v>
      </c>
      <c r="N137" s="278">
        <v>6997.25</v>
      </c>
      <c r="O137" s="278">
        <v>6962.05</v>
      </c>
      <c r="P137" s="278">
        <v>6960.67</v>
      </c>
      <c r="Q137" s="326">
        <f>IF((L138=""),"",MAX(D139:P139))</f>
        <v>5322.9699999999993</v>
      </c>
      <c r="R137" s="326">
        <f>IF(L138="","",MIN(D139:L139))</f>
        <v>5211.2999999999993</v>
      </c>
      <c r="S137" s="318">
        <f>IF((P139=""),"",AVERAGE(D139:P139))</f>
        <v>5275.38</v>
      </c>
      <c r="T137" s="318">
        <f>IF((L138=""),"",(Q137-R137)/(Q137+R137)*100)</f>
        <v>1.060063962666612</v>
      </c>
      <c r="U137" s="326">
        <f>STDEV(D139:P139)</f>
        <v>38.05756560779065</v>
      </c>
      <c r="V137" s="320" t="str">
        <f>IF(P138="","",IF(T137&lt;2.7,IF(S137&gt;5150,IF(S137&lt;5600,"Pass","Fail"),"Fail"),"Fail"))</f>
        <v>Pass</v>
      </c>
      <c r="W137" s="315">
        <v>1159</v>
      </c>
      <c r="X137" s="338" t="s">
        <v>257</v>
      </c>
      <c r="Y137" s="268"/>
      <c r="Z137" s="321">
        <v>4470</v>
      </c>
      <c r="AA137" s="321">
        <v>6020</v>
      </c>
      <c r="AB137" s="321">
        <v>5150</v>
      </c>
      <c r="AC137" s="321">
        <v>5600</v>
      </c>
      <c r="AD137" s="305">
        <v>10</v>
      </c>
      <c r="AE137" s="322">
        <v>2.7</v>
      </c>
    </row>
    <row r="138" spans="1:31" ht="12.75" customHeight="1">
      <c r="A138" s="306"/>
      <c r="B138" s="298"/>
      <c r="C138" s="307" t="s">
        <v>198</v>
      </c>
      <c r="D138" s="278">
        <v>1702.6</v>
      </c>
      <c r="E138" s="278">
        <v>1780.23</v>
      </c>
      <c r="F138" s="278">
        <v>1686.02</v>
      </c>
      <c r="G138" s="278">
        <v>1671.97</v>
      </c>
      <c r="H138" s="278">
        <v>1619.48</v>
      </c>
      <c r="I138" s="278">
        <v>1616.38</v>
      </c>
      <c r="J138" s="278">
        <v>1654.65</v>
      </c>
      <c r="K138" s="278">
        <v>1616.72</v>
      </c>
      <c r="L138" s="278">
        <v>1717.16</v>
      </c>
      <c r="M138" s="278">
        <v>1632.98</v>
      </c>
      <c r="N138" s="278">
        <v>1700.59</v>
      </c>
      <c r="O138" s="278">
        <v>1704.31</v>
      </c>
      <c r="P138" s="278">
        <v>1678.46</v>
      </c>
      <c r="Q138" s="298"/>
      <c r="R138" s="298"/>
      <c r="S138" s="298"/>
      <c r="T138" s="298"/>
      <c r="U138" s="298"/>
      <c r="V138" s="302"/>
      <c r="W138" s="298"/>
      <c r="X138" s="339"/>
      <c r="Y138" s="340"/>
      <c r="Z138" s="267"/>
      <c r="AA138" s="267"/>
      <c r="AB138" s="267"/>
      <c r="AC138" s="267"/>
      <c r="AD138" s="268"/>
      <c r="AE138" s="269"/>
    </row>
    <row r="139" spans="1:31" ht="24.75" customHeight="1" thickBot="1">
      <c r="A139" s="306"/>
      <c r="B139" s="299"/>
      <c r="C139" s="307" t="s">
        <v>197</v>
      </c>
      <c r="D139" s="323">
        <f t="shared" ref="D139:P139" si="41">IF(((D137="")*AND(D138="")),"",(D137-D138))</f>
        <v>5221.6399999999994</v>
      </c>
      <c r="E139" s="323">
        <f t="shared" si="41"/>
        <v>5263.77</v>
      </c>
      <c r="F139" s="323">
        <f t="shared" si="41"/>
        <v>5211.2999999999993</v>
      </c>
      <c r="G139" s="323">
        <f t="shared" si="41"/>
        <v>5283.07</v>
      </c>
      <c r="H139" s="323">
        <f t="shared" si="41"/>
        <v>5295.27</v>
      </c>
      <c r="I139" s="323">
        <f t="shared" si="41"/>
        <v>5320.0199999999995</v>
      </c>
      <c r="J139" s="323">
        <f t="shared" si="41"/>
        <v>5301.93</v>
      </c>
      <c r="K139" s="323">
        <f t="shared" si="41"/>
        <v>5304.3899999999994</v>
      </c>
      <c r="L139" s="323">
        <f t="shared" si="41"/>
        <v>5218.97</v>
      </c>
      <c r="M139" s="323">
        <f t="shared" si="41"/>
        <v>5322.9699999999993</v>
      </c>
      <c r="N139" s="323">
        <f t="shared" si="41"/>
        <v>5296.66</v>
      </c>
      <c r="O139" s="323">
        <f t="shared" si="41"/>
        <v>5257.74</v>
      </c>
      <c r="P139" s="323">
        <f t="shared" si="41"/>
        <v>5282.21</v>
      </c>
      <c r="Q139" s="299"/>
      <c r="R139" s="299"/>
      <c r="S139" s="299"/>
      <c r="T139" s="299"/>
      <c r="U139" s="299"/>
      <c r="V139" s="324"/>
      <c r="W139" s="299"/>
      <c r="X139" s="339"/>
      <c r="Y139" s="340"/>
      <c r="Z139" s="267"/>
      <c r="AA139" s="267"/>
      <c r="AB139" s="267"/>
      <c r="AC139" s="267"/>
      <c r="AD139" s="268"/>
      <c r="AE139" s="269"/>
    </row>
    <row r="140" spans="1:31" ht="12.75" customHeight="1">
      <c r="A140" s="325">
        <v>42689</v>
      </c>
      <c r="B140" s="326" t="s">
        <v>202</v>
      </c>
      <c r="C140" s="307" t="s">
        <v>199</v>
      </c>
      <c r="D140" s="278">
        <v>5946.34</v>
      </c>
      <c r="E140" s="278">
        <v>6117.44</v>
      </c>
      <c r="F140" s="278">
        <v>6128.64</v>
      </c>
      <c r="G140" s="278">
        <v>6123.9</v>
      </c>
      <c r="H140" s="278">
        <v>5972.3</v>
      </c>
      <c r="I140" s="278">
        <v>6283.14</v>
      </c>
      <c r="J140" s="278">
        <v>6109.91</v>
      </c>
      <c r="K140" s="278">
        <v>6116.88</v>
      </c>
      <c r="L140" s="278">
        <v>6035.61</v>
      </c>
      <c r="M140" s="290"/>
      <c r="N140" s="290"/>
      <c r="O140" s="290"/>
      <c r="P140" s="290"/>
      <c r="Q140" s="326">
        <f>IF((L141=""),"",MAX(D142:L142))</f>
        <v>7235.68</v>
      </c>
      <c r="R140" s="326">
        <f>IF(L141="","",MIN(D142:L142))</f>
        <v>6401.8600000000006</v>
      </c>
      <c r="S140" s="327">
        <f>IF((L142=""),"",AVERAGE(D142:L142))</f>
        <v>6559.4</v>
      </c>
      <c r="T140" s="318">
        <f>IF((L141=""),"",(Q140-R140)/(Q140+R140)*100)</f>
        <v>6.1141525524398066</v>
      </c>
      <c r="U140" s="326">
        <f>STDEV(D142:P142)</f>
        <v>270.67516287979549</v>
      </c>
      <c r="V140" s="328" t="str">
        <f>IF(L141="","",IF(T140&lt;7.3,IF(S140&gt;5700,IF(S140&lt;7200,"Pass","Fail"),"Fail"),"Fail"))</f>
        <v>Pass</v>
      </c>
      <c r="W140" s="315">
        <v>1159</v>
      </c>
      <c r="X140" s="338" t="s">
        <v>257</v>
      </c>
      <c r="Y140" s="338"/>
      <c r="Z140" s="267">
        <v>4955</v>
      </c>
      <c r="AA140" s="267">
        <v>9645</v>
      </c>
      <c r="AB140" s="267">
        <v>5100</v>
      </c>
      <c r="AC140" s="267">
        <v>8300</v>
      </c>
      <c r="AD140" s="305">
        <v>10</v>
      </c>
      <c r="AE140" s="305">
        <v>9.8000000000000007</v>
      </c>
    </row>
    <row r="141" spans="1:31" ht="12.75" customHeight="1">
      <c r="A141" s="306"/>
      <c r="B141" s="298"/>
      <c r="C141" s="307" t="s">
        <v>198</v>
      </c>
      <c r="D141" s="278">
        <v>2736.96</v>
      </c>
      <c r="E141" s="278">
        <v>2910.52</v>
      </c>
      <c r="F141" s="278">
        <v>2927.71</v>
      </c>
      <c r="G141" s="278">
        <v>2850.13</v>
      </c>
      <c r="H141" s="278">
        <v>2624.87</v>
      </c>
      <c r="I141" s="278">
        <v>2665.3</v>
      </c>
      <c r="J141" s="278">
        <v>2871.39</v>
      </c>
      <c r="K141" s="278">
        <v>2900.28</v>
      </c>
      <c r="L141" s="278">
        <v>2829.7</v>
      </c>
      <c r="M141" s="290"/>
      <c r="N141" s="290"/>
      <c r="O141" s="290"/>
      <c r="P141" s="290"/>
      <c r="Q141" s="298"/>
      <c r="R141" s="298"/>
      <c r="S141" s="298"/>
      <c r="T141" s="298"/>
      <c r="U141" s="298"/>
      <c r="V141" s="302"/>
      <c r="W141" s="298"/>
      <c r="X141" s="340"/>
      <c r="Y141" s="340"/>
      <c r="Z141" s="267"/>
      <c r="AA141" s="267"/>
      <c r="AB141" s="267"/>
      <c r="AC141" s="267"/>
      <c r="AD141" s="268"/>
      <c r="AE141" s="269"/>
    </row>
    <row r="142" spans="1:31" ht="24.75" customHeight="1" thickBot="1">
      <c r="A142" s="306"/>
      <c r="B142" s="309"/>
      <c r="C142" s="310" t="s">
        <v>197</v>
      </c>
      <c r="D142" s="311">
        <f t="shared" ref="D142:L142" si="42">IF(((D140="")*AND(D141="")),"",(D140-D141)*2)</f>
        <v>6418.76</v>
      </c>
      <c r="E142" s="311">
        <f t="shared" si="42"/>
        <v>6413.8399999999992</v>
      </c>
      <c r="F142" s="311">
        <f t="shared" si="42"/>
        <v>6401.8600000000006</v>
      </c>
      <c r="G142" s="311">
        <f t="shared" si="42"/>
        <v>6547.5399999999991</v>
      </c>
      <c r="H142" s="311">
        <f t="shared" si="42"/>
        <v>6694.8600000000006</v>
      </c>
      <c r="I142" s="311">
        <f t="shared" si="42"/>
        <v>7235.68</v>
      </c>
      <c r="J142" s="311">
        <f t="shared" si="42"/>
        <v>6477.04</v>
      </c>
      <c r="K142" s="311">
        <f t="shared" si="42"/>
        <v>6433.2</v>
      </c>
      <c r="L142" s="311">
        <f t="shared" si="42"/>
        <v>6411.82</v>
      </c>
      <c r="M142" s="311"/>
      <c r="N142" s="311"/>
      <c r="O142" s="311"/>
      <c r="P142" s="311" t="str">
        <f>IF(((P140="")*AND(P141="")),"",(P140-P141)*2)</f>
        <v/>
      </c>
      <c r="Q142" s="309"/>
      <c r="R142" s="309"/>
      <c r="S142" s="309"/>
      <c r="T142" s="309"/>
      <c r="U142" s="299"/>
      <c r="V142" s="312"/>
      <c r="W142" s="309"/>
      <c r="X142" s="341"/>
      <c r="Y142" s="341"/>
      <c r="Z142" s="267"/>
      <c r="AA142" s="267"/>
      <c r="AB142" s="267"/>
      <c r="AC142" s="267"/>
      <c r="AD142" s="268"/>
      <c r="AE142" s="269"/>
    </row>
    <row r="143" spans="1:31" ht="12.75" customHeight="1">
      <c r="A143" s="342">
        <v>42692</v>
      </c>
      <c r="B143" s="326" t="s">
        <v>202</v>
      </c>
      <c r="C143" s="307" t="s">
        <v>199</v>
      </c>
      <c r="D143" s="278">
        <v>5948.39</v>
      </c>
      <c r="E143" s="278">
        <v>6116.29</v>
      </c>
      <c r="F143" s="278">
        <v>6135.46</v>
      </c>
      <c r="G143" s="278">
        <v>6124.16</v>
      </c>
      <c r="H143" s="278">
        <v>5972.46</v>
      </c>
      <c r="I143" s="278">
        <v>5932.1</v>
      </c>
      <c r="J143" s="278">
        <v>6106.77</v>
      </c>
      <c r="K143" s="278">
        <v>6116.83</v>
      </c>
      <c r="L143" s="278">
        <v>6034.3</v>
      </c>
      <c r="M143" s="290"/>
      <c r="N143" s="290"/>
      <c r="O143" s="290"/>
      <c r="P143" s="290"/>
      <c r="Q143" s="326">
        <f>IF((L144=""),"",MAX(D145:L145))</f>
        <v>7000.1</v>
      </c>
      <c r="R143" s="326">
        <f>IF(L144="","",MIN(D145:L145))</f>
        <v>6696.4800000000005</v>
      </c>
      <c r="S143" s="327">
        <f>IF((L145=""),"",AVERAGE(D145:L145))</f>
        <v>6885.66</v>
      </c>
      <c r="T143" s="318">
        <f>IF((L144=""),"",(Q143-R143)/(Q143+R143)*100)</f>
        <v>2.2167577599663555</v>
      </c>
      <c r="U143" s="326">
        <f>STDEV(D145:P145)</f>
        <v>86.782717173378686</v>
      </c>
      <c r="V143" s="328" t="str">
        <f>IF(L144="","",IF(T143&lt;7.3,IF(S143&gt;5700,IF(S143&lt;7200,"Pass","Fail"),"Fail"),"Fail"))</f>
        <v>Pass</v>
      </c>
      <c r="W143" s="315">
        <v>1335</v>
      </c>
      <c r="X143" s="338" t="s">
        <v>256</v>
      </c>
      <c r="Y143" s="338"/>
      <c r="Z143" s="267">
        <v>4955</v>
      </c>
      <c r="AA143" s="267">
        <v>9645</v>
      </c>
      <c r="AB143" s="267">
        <v>5100</v>
      </c>
      <c r="AC143" s="267">
        <v>8300</v>
      </c>
      <c r="AD143" s="305">
        <v>10</v>
      </c>
      <c r="AE143" s="305">
        <v>9.8000000000000007</v>
      </c>
    </row>
    <row r="144" spans="1:31" ht="12.75" customHeight="1">
      <c r="A144" s="306"/>
      <c r="B144" s="298"/>
      <c r="C144" s="307" t="s">
        <v>198</v>
      </c>
      <c r="D144" s="278">
        <v>2518.0300000000002</v>
      </c>
      <c r="E144" s="278">
        <v>2686.57</v>
      </c>
      <c r="F144" s="278">
        <v>2708.35</v>
      </c>
      <c r="G144" s="278">
        <v>2641.57</v>
      </c>
      <c r="H144" s="278">
        <v>2505.79</v>
      </c>
      <c r="I144" s="278">
        <v>2583.86</v>
      </c>
      <c r="J144" s="278">
        <v>2657.79</v>
      </c>
      <c r="K144" s="278">
        <v>2665.08</v>
      </c>
      <c r="L144" s="278">
        <v>2534.25</v>
      </c>
      <c r="M144" s="290"/>
      <c r="N144" s="290"/>
      <c r="O144" s="290"/>
      <c r="P144" s="290"/>
      <c r="Q144" s="298"/>
      <c r="R144" s="298"/>
      <c r="S144" s="298"/>
      <c r="T144" s="298"/>
      <c r="U144" s="298"/>
      <c r="V144" s="302"/>
      <c r="W144" s="298"/>
      <c r="X144" s="340"/>
      <c r="Y144" s="340"/>
      <c r="Z144" s="267"/>
      <c r="AA144" s="267"/>
      <c r="AB144" s="267"/>
      <c r="AC144" s="267"/>
      <c r="AD144" s="268"/>
      <c r="AE144" s="269"/>
    </row>
    <row r="145" spans="1:31" ht="24.75" customHeight="1" thickBot="1">
      <c r="A145" s="306"/>
      <c r="B145" s="309"/>
      <c r="C145" s="310" t="s">
        <v>197</v>
      </c>
      <c r="D145" s="311">
        <f t="shared" ref="D145:L145" si="43">IF(((D143="")*AND(D144="")),"",(D143-D144)*2)</f>
        <v>6860.72</v>
      </c>
      <c r="E145" s="311">
        <f t="shared" si="43"/>
        <v>6859.44</v>
      </c>
      <c r="F145" s="311">
        <f t="shared" si="43"/>
        <v>6854.22</v>
      </c>
      <c r="G145" s="311">
        <f t="shared" si="43"/>
        <v>6965.1799999999994</v>
      </c>
      <c r="H145" s="311">
        <f t="shared" si="43"/>
        <v>6933.34</v>
      </c>
      <c r="I145" s="311">
        <f t="shared" si="43"/>
        <v>6696.4800000000005</v>
      </c>
      <c r="J145" s="311">
        <f t="shared" si="43"/>
        <v>6897.9600000000009</v>
      </c>
      <c r="K145" s="311">
        <f t="shared" si="43"/>
        <v>6903.5</v>
      </c>
      <c r="L145" s="311">
        <f t="shared" si="43"/>
        <v>7000.1</v>
      </c>
      <c r="M145" s="311"/>
      <c r="N145" s="311"/>
      <c r="O145" s="311"/>
      <c r="P145" s="311" t="str">
        <f>IF(((P143="")*AND(P144="")),"",(P143-P144)*2)</f>
        <v/>
      </c>
      <c r="Q145" s="309"/>
      <c r="R145" s="309"/>
      <c r="S145" s="309"/>
      <c r="T145" s="309"/>
      <c r="U145" s="299"/>
      <c r="V145" s="312"/>
      <c r="W145" s="309"/>
      <c r="X145" s="340"/>
      <c r="Y145" s="340"/>
      <c r="Z145" s="267"/>
      <c r="AA145" s="267"/>
      <c r="AB145" s="267"/>
      <c r="AC145" s="267"/>
      <c r="AD145" s="268"/>
      <c r="AE145" s="269"/>
    </row>
    <row r="146" spans="1:31" ht="12.75" customHeight="1">
      <c r="A146" s="342">
        <v>42692</v>
      </c>
      <c r="B146" s="315" t="s">
        <v>200</v>
      </c>
      <c r="C146" s="316" t="s">
        <v>199</v>
      </c>
      <c r="D146" s="278">
        <v>6799.18</v>
      </c>
      <c r="E146" s="278">
        <v>6926.18</v>
      </c>
      <c r="F146" s="278">
        <v>6775.03</v>
      </c>
      <c r="G146" s="278">
        <v>6823.98</v>
      </c>
      <c r="H146" s="278">
        <v>6799.51</v>
      </c>
      <c r="I146" s="278">
        <v>6815.13</v>
      </c>
      <c r="J146" s="278">
        <v>6824.35</v>
      </c>
      <c r="K146" s="278">
        <v>6788.29</v>
      </c>
      <c r="L146" s="278">
        <v>6814.39</v>
      </c>
      <c r="M146" s="278">
        <v>6825.24</v>
      </c>
      <c r="N146" s="278">
        <v>6883.1</v>
      </c>
      <c r="O146" s="278">
        <v>6839.65</v>
      </c>
      <c r="P146" s="278">
        <v>6840.26</v>
      </c>
      <c r="Q146" s="326">
        <f>IF((L147=""),"",MAX(D148:P148))</f>
        <v>5304.18</v>
      </c>
      <c r="R146" s="326">
        <f>IF(L147="","",MIN(D148:L148))</f>
        <v>5203.1299999999992</v>
      </c>
      <c r="S146" s="318">
        <f>IF((P148=""),"",AVERAGE(D148:P148))</f>
        <v>5250.4346153846145</v>
      </c>
      <c r="T146" s="318">
        <f>IF((L147=""),"",(Q146-R146)/(Q146+R146)*100)</f>
        <v>0.96171141805087224</v>
      </c>
      <c r="U146" s="326">
        <f>STDEV(D148:P148)</f>
        <v>35.065967503031317</v>
      </c>
      <c r="V146" s="320" t="str">
        <f>IF(P147="","",IF(T146&lt;2.7,IF(S146&gt;5150,IF(S146&lt;5600,"Pass","Fail"),"Fail"),"Fail"))</f>
        <v>Pass</v>
      </c>
      <c r="W146" s="315">
        <v>1335</v>
      </c>
      <c r="X146" s="338" t="s">
        <v>256</v>
      </c>
      <c r="Y146" s="338"/>
      <c r="Z146" s="321">
        <v>4470</v>
      </c>
      <c r="AA146" s="321">
        <v>6020</v>
      </c>
      <c r="AB146" s="321">
        <v>5150</v>
      </c>
      <c r="AC146" s="321">
        <v>5600</v>
      </c>
      <c r="AD146" s="305">
        <v>10</v>
      </c>
      <c r="AE146" s="322">
        <v>2.7</v>
      </c>
    </row>
    <row r="147" spans="1:31" ht="12.75" customHeight="1">
      <c r="A147" s="306"/>
      <c r="B147" s="298"/>
      <c r="C147" s="307" t="s">
        <v>198</v>
      </c>
      <c r="D147" s="278">
        <v>1593.3</v>
      </c>
      <c r="E147" s="278">
        <v>1702.53</v>
      </c>
      <c r="F147" s="278">
        <v>1571.9</v>
      </c>
      <c r="G147" s="278">
        <v>1537.64</v>
      </c>
      <c r="H147" s="278">
        <v>1558.81</v>
      </c>
      <c r="I147" s="278">
        <v>1537.22</v>
      </c>
      <c r="J147" s="278">
        <v>1520.17</v>
      </c>
      <c r="K147" s="278">
        <v>1500.8</v>
      </c>
      <c r="L147" s="278">
        <v>1602.69</v>
      </c>
      <c r="M147" s="278">
        <v>1534.3</v>
      </c>
      <c r="N147" s="278">
        <v>1640.6</v>
      </c>
      <c r="O147" s="278">
        <v>1602.02</v>
      </c>
      <c r="P147" s="278">
        <v>1596.66</v>
      </c>
      <c r="Q147" s="298"/>
      <c r="R147" s="298"/>
      <c r="S147" s="298"/>
      <c r="T147" s="298"/>
      <c r="U147" s="298"/>
      <c r="V147" s="302"/>
      <c r="W147" s="298"/>
      <c r="X147" s="340"/>
      <c r="Y147" s="340"/>
      <c r="Z147" s="267"/>
      <c r="AA147" s="267"/>
      <c r="AB147" s="267"/>
      <c r="AC147" s="267"/>
      <c r="AD147" s="268"/>
      <c r="AE147" s="269"/>
    </row>
    <row r="148" spans="1:31" ht="24.75" customHeight="1" thickBot="1">
      <c r="A148" s="306"/>
      <c r="B148" s="298"/>
      <c r="C148" s="326" t="s">
        <v>197</v>
      </c>
      <c r="D148" s="343">
        <f t="shared" ref="D148:P148" si="44">IF(((D146="")*AND(D147="")),"",(D146-D147))</f>
        <v>5205.88</v>
      </c>
      <c r="E148" s="343">
        <f t="shared" si="44"/>
        <v>5223.6500000000005</v>
      </c>
      <c r="F148" s="343">
        <f t="shared" si="44"/>
        <v>5203.1299999999992</v>
      </c>
      <c r="G148" s="343">
        <f t="shared" si="44"/>
        <v>5286.3399999999992</v>
      </c>
      <c r="H148" s="343">
        <f t="shared" si="44"/>
        <v>5240.7000000000007</v>
      </c>
      <c r="I148" s="343">
        <f t="shared" si="44"/>
        <v>5277.91</v>
      </c>
      <c r="J148" s="343">
        <f t="shared" si="44"/>
        <v>5304.18</v>
      </c>
      <c r="K148" s="343">
        <f t="shared" si="44"/>
        <v>5287.49</v>
      </c>
      <c r="L148" s="343">
        <f t="shared" si="44"/>
        <v>5211.7000000000007</v>
      </c>
      <c r="M148" s="343">
        <f t="shared" si="44"/>
        <v>5290.94</v>
      </c>
      <c r="N148" s="343">
        <f t="shared" si="44"/>
        <v>5242.5</v>
      </c>
      <c r="O148" s="343">
        <f t="shared" si="44"/>
        <v>5237.6299999999992</v>
      </c>
      <c r="P148" s="343">
        <f t="shared" si="44"/>
        <v>5243.6</v>
      </c>
      <c r="Q148" s="298"/>
      <c r="R148" s="298"/>
      <c r="S148" s="298"/>
      <c r="T148" s="298"/>
      <c r="U148" s="298"/>
      <c r="V148" s="302"/>
      <c r="W148" s="298"/>
      <c r="X148" s="341"/>
      <c r="Y148" s="341"/>
      <c r="Z148" s="267"/>
      <c r="AA148" s="267"/>
      <c r="AB148" s="267"/>
      <c r="AC148" s="267"/>
      <c r="AD148" s="268"/>
      <c r="AE148" s="269"/>
    </row>
    <row r="149" spans="1:31" ht="12.75" customHeight="1">
      <c r="A149" s="344">
        <v>42697</v>
      </c>
      <c r="B149" s="315" t="s">
        <v>202</v>
      </c>
      <c r="C149" s="316" t="s">
        <v>199</v>
      </c>
      <c r="D149" s="345">
        <v>5949.94</v>
      </c>
      <c r="E149" s="345">
        <v>6110.17</v>
      </c>
      <c r="F149" s="345">
        <v>6128.35</v>
      </c>
      <c r="G149" s="345">
        <v>6125.39</v>
      </c>
      <c r="H149" s="345">
        <v>5967.46</v>
      </c>
      <c r="I149" s="345">
        <v>6212.1</v>
      </c>
      <c r="J149" s="345">
        <v>6099.32</v>
      </c>
      <c r="K149" s="345">
        <v>6116.3</v>
      </c>
      <c r="L149" s="345">
        <v>6033.9</v>
      </c>
      <c r="M149" s="346"/>
      <c r="N149" s="346"/>
      <c r="O149" s="346"/>
      <c r="P149" s="346"/>
      <c r="Q149" s="315">
        <f>IF((L150=""),"",MAX(D151:L151))</f>
        <v>7032.2400000000007</v>
      </c>
      <c r="R149" s="315">
        <f>IF(L150="","",MIN(D151:L151))</f>
        <v>6433.28</v>
      </c>
      <c r="S149" s="347">
        <f>IF((L151=""),"",AVERAGE(D151:L151))</f>
        <v>6562.8355555555554</v>
      </c>
      <c r="T149" s="318">
        <f>IF((L150=""),"",(Q149-R149)/(Q149+R149)*100)</f>
        <v>4.4481015215157003</v>
      </c>
      <c r="U149" s="315">
        <f>STDEV(D151:P151)</f>
        <v>193.22264302557431</v>
      </c>
      <c r="V149" s="328" t="str">
        <f>IF(L150="","",IF(T149&lt;7.3,IF(S149&gt;5700,IF(S149&lt;7200,"Pass","Fail"),"Fail"),"Fail"))</f>
        <v>Pass</v>
      </c>
      <c r="W149" s="315">
        <v>1335</v>
      </c>
      <c r="X149" s="338" t="s">
        <v>255</v>
      </c>
      <c r="Y149" s="338"/>
      <c r="Z149" s="267">
        <v>4955</v>
      </c>
      <c r="AA149" s="267">
        <v>9645</v>
      </c>
      <c r="AB149" s="267">
        <v>5100</v>
      </c>
      <c r="AC149" s="267">
        <v>8300</v>
      </c>
      <c r="AD149" s="305">
        <v>10</v>
      </c>
      <c r="AE149" s="305">
        <v>9.8000000000000007</v>
      </c>
    </row>
    <row r="150" spans="1:31" ht="12.75" customHeight="1">
      <c r="A150" s="306"/>
      <c r="B150" s="298"/>
      <c r="C150" s="307" t="s">
        <v>198</v>
      </c>
      <c r="D150" s="259">
        <v>2703.3</v>
      </c>
      <c r="E150" s="259">
        <v>2893.53</v>
      </c>
      <c r="F150" s="259">
        <v>2911.43</v>
      </c>
      <c r="G150" s="259">
        <v>2842.37</v>
      </c>
      <c r="H150" s="259">
        <v>2623.43</v>
      </c>
      <c r="I150" s="259">
        <v>2695.98</v>
      </c>
      <c r="J150" s="259">
        <v>2859.31</v>
      </c>
      <c r="K150" s="259">
        <v>2884.33</v>
      </c>
      <c r="L150" s="259">
        <v>2796.49</v>
      </c>
      <c r="M150" s="290"/>
      <c r="N150" s="290"/>
      <c r="O150" s="290"/>
      <c r="P150" s="290"/>
      <c r="Q150" s="298"/>
      <c r="R150" s="298"/>
      <c r="S150" s="298"/>
      <c r="T150" s="298"/>
      <c r="U150" s="298"/>
      <c r="V150" s="302"/>
      <c r="W150" s="298"/>
      <c r="X150" s="340"/>
      <c r="Y150" s="340"/>
      <c r="Z150" s="267"/>
      <c r="AA150" s="267"/>
      <c r="AB150" s="267"/>
      <c r="AC150" s="267"/>
      <c r="AD150" s="268"/>
      <c r="AE150" s="269"/>
    </row>
    <row r="151" spans="1:31" ht="24" customHeight="1" thickBot="1">
      <c r="A151" s="306"/>
      <c r="B151" s="299"/>
      <c r="C151" s="307" t="s">
        <v>197</v>
      </c>
      <c r="D151" s="323">
        <f t="shared" ref="D151:L151" si="45">IF(((D149="")*AND(D150="")),"",(D149-D150)*2)</f>
        <v>6493.2799999999988</v>
      </c>
      <c r="E151" s="323">
        <f t="shared" si="45"/>
        <v>6433.28</v>
      </c>
      <c r="F151" s="323">
        <f t="shared" si="45"/>
        <v>6433.8400000000011</v>
      </c>
      <c r="G151" s="323">
        <f t="shared" si="45"/>
        <v>6566.0400000000009</v>
      </c>
      <c r="H151" s="323">
        <f t="shared" si="45"/>
        <v>6688.06</v>
      </c>
      <c r="I151" s="323">
        <f t="shared" si="45"/>
        <v>7032.2400000000007</v>
      </c>
      <c r="J151" s="323">
        <f t="shared" si="45"/>
        <v>6480.0199999999995</v>
      </c>
      <c r="K151" s="323">
        <f t="shared" si="45"/>
        <v>6463.9400000000005</v>
      </c>
      <c r="L151" s="323">
        <f t="shared" si="45"/>
        <v>6474.82</v>
      </c>
      <c r="M151" s="323"/>
      <c r="N151" s="323"/>
      <c r="O151" s="323"/>
      <c r="P151" s="323" t="str">
        <f>IF(((P149="")*AND(P150="")),"",(P149-P150)*2)</f>
        <v/>
      </c>
      <c r="Q151" s="299"/>
      <c r="R151" s="299"/>
      <c r="S151" s="299"/>
      <c r="T151" s="299"/>
      <c r="U151" s="299"/>
      <c r="V151" s="324"/>
      <c r="W151" s="299"/>
      <c r="X151" s="340"/>
      <c r="Y151" s="340"/>
      <c r="Z151" s="267"/>
      <c r="AA151" s="267"/>
      <c r="AB151" s="267"/>
      <c r="AC151" s="267"/>
      <c r="AD151" s="268"/>
      <c r="AE151" s="269"/>
    </row>
    <row r="152" spans="1:31" ht="12.75" customHeight="1">
      <c r="A152" s="348">
        <v>42697</v>
      </c>
      <c r="B152" s="298" t="s">
        <v>200</v>
      </c>
      <c r="C152" s="299" t="s">
        <v>199</v>
      </c>
      <c r="D152" s="259">
        <v>6792.13</v>
      </c>
      <c r="E152" s="259">
        <v>6913.49</v>
      </c>
      <c r="F152" s="259">
        <v>6777.22</v>
      </c>
      <c r="G152" s="259">
        <v>6831.16</v>
      </c>
      <c r="H152" s="259">
        <v>6781</v>
      </c>
      <c r="I152" s="259">
        <v>6811.73</v>
      </c>
      <c r="J152" s="259">
        <v>6833.57</v>
      </c>
      <c r="K152" s="259">
        <v>6795.22</v>
      </c>
      <c r="L152" s="259">
        <v>6819.67</v>
      </c>
      <c r="M152" s="259">
        <v>6834.77</v>
      </c>
      <c r="N152" s="259">
        <v>6872.6</v>
      </c>
      <c r="O152" s="259">
        <v>6842.46</v>
      </c>
      <c r="P152" s="259">
        <v>6831.59</v>
      </c>
      <c r="Q152" s="326">
        <f>IF((L153=""),"",MAX(D154:P154))</f>
        <v>5315.0199999999995</v>
      </c>
      <c r="R152" s="298">
        <f>IF(L153="","",MIN(D154:L154))</f>
        <v>5196.43</v>
      </c>
      <c r="S152" s="318">
        <f>IF((P154=""),"",AVERAGE(D154:P154))</f>
        <v>5265.8538461538465</v>
      </c>
      <c r="T152" s="336">
        <f>IF((L153=""),"",(Q152-R152)/(Q152+R152)*100)</f>
        <v>1.1281982980464087</v>
      </c>
      <c r="U152" s="298">
        <f>STDEV(D154:P154)</f>
        <v>42.625254552149627</v>
      </c>
      <c r="V152" s="320" t="str">
        <f>IF(P153="","",IF(T152&lt;2.7,IF(S152&gt;5150,IF(S152&lt;5600,"Pass","Fail"),"Fail"),"Fail"))</f>
        <v>Pass</v>
      </c>
      <c r="W152" s="298">
        <v>1335</v>
      </c>
      <c r="X152" s="340" t="s">
        <v>255</v>
      </c>
      <c r="Y152" s="340"/>
      <c r="Z152" s="321">
        <v>4470</v>
      </c>
      <c r="AA152" s="321">
        <v>6020</v>
      </c>
      <c r="AB152" s="321">
        <v>5150</v>
      </c>
      <c r="AC152" s="321">
        <v>5600</v>
      </c>
      <c r="AD152" s="305">
        <v>10</v>
      </c>
      <c r="AE152" s="322">
        <v>2.7</v>
      </c>
    </row>
    <row r="153" spans="1:31" ht="12.75" customHeight="1">
      <c r="A153" s="306"/>
      <c r="B153" s="298"/>
      <c r="C153" s="307" t="s">
        <v>198</v>
      </c>
      <c r="D153" s="259">
        <v>1582.03</v>
      </c>
      <c r="E153" s="259">
        <v>1665.12</v>
      </c>
      <c r="F153" s="259">
        <v>1580.79</v>
      </c>
      <c r="G153" s="259">
        <v>1516.14</v>
      </c>
      <c r="H153" s="259">
        <v>1500.19</v>
      </c>
      <c r="I153" s="259">
        <v>1507.84</v>
      </c>
      <c r="J153" s="259">
        <v>1518.93</v>
      </c>
      <c r="K153" s="259">
        <v>1499.21</v>
      </c>
      <c r="L153" s="259">
        <v>1616.69</v>
      </c>
      <c r="M153" s="259">
        <v>1531.14</v>
      </c>
      <c r="N153" s="259">
        <v>1594.63</v>
      </c>
      <c r="O153" s="259">
        <v>1602.39</v>
      </c>
      <c r="P153" s="259">
        <v>1565.41</v>
      </c>
      <c r="Q153" s="298"/>
      <c r="R153" s="298"/>
      <c r="S153" s="298"/>
      <c r="T153" s="298"/>
      <c r="U153" s="298"/>
      <c r="V153" s="302"/>
      <c r="W153" s="298"/>
      <c r="X153" s="340"/>
      <c r="Y153" s="340"/>
      <c r="Z153" s="267"/>
      <c r="AA153" s="267"/>
      <c r="AB153" s="267"/>
      <c r="AC153" s="267"/>
      <c r="AD153" s="268"/>
      <c r="AE153" s="269"/>
    </row>
    <row r="154" spans="1:31" ht="24.75" customHeight="1" thickBot="1">
      <c r="A154" s="306"/>
      <c r="B154" s="309"/>
      <c r="C154" s="310" t="s">
        <v>197</v>
      </c>
      <c r="D154" s="311">
        <f t="shared" ref="D154:P154" si="46">IF(((D152="")*AND(D153="")),"",(D152-D153))</f>
        <v>5210.1000000000004</v>
      </c>
      <c r="E154" s="311">
        <f t="shared" si="46"/>
        <v>5248.37</v>
      </c>
      <c r="F154" s="311">
        <f t="shared" si="46"/>
        <v>5196.43</v>
      </c>
      <c r="G154" s="311">
        <f t="shared" si="46"/>
        <v>5315.0199999999995</v>
      </c>
      <c r="H154" s="311">
        <f t="shared" si="46"/>
        <v>5280.8099999999995</v>
      </c>
      <c r="I154" s="311">
        <f t="shared" si="46"/>
        <v>5303.8899999999994</v>
      </c>
      <c r="J154" s="311">
        <f t="shared" si="46"/>
        <v>5314.6399999999994</v>
      </c>
      <c r="K154" s="311">
        <f t="shared" si="46"/>
        <v>5296.01</v>
      </c>
      <c r="L154" s="311">
        <f t="shared" si="46"/>
        <v>5202.9799999999996</v>
      </c>
      <c r="M154" s="311">
        <f t="shared" si="46"/>
        <v>5303.63</v>
      </c>
      <c r="N154" s="311">
        <f t="shared" si="46"/>
        <v>5277.97</v>
      </c>
      <c r="O154" s="311">
        <f t="shared" si="46"/>
        <v>5240.07</v>
      </c>
      <c r="P154" s="311">
        <f t="shared" si="46"/>
        <v>5266.18</v>
      </c>
      <c r="Q154" s="309"/>
      <c r="R154" s="309"/>
      <c r="S154" s="309"/>
      <c r="T154" s="309"/>
      <c r="U154" s="309"/>
      <c r="V154" s="312"/>
      <c r="W154" s="309"/>
      <c r="X154" s="341"/>
      <c r="Y154" s="341"/>
      <c r="Z154" s="267"/>
      <c r="AA154" s="267"/>
      <c r="AB154" s="267"/>
      <c r="AC154" s="267"/>
      <c r="AD154" s="268"/>
      <c r="AE154" s="269"/>
    </row>
    <row r="155" spans="1:31" ht="12.75" customHeight="1">
      <c r="A155" s="349">
        <v>42706</v>
      </c>
      <c r="B155" s="315" t="s">
        <v>200</v>
      </c>
      <c r="C155" s="316" t="s">
        <v>199</v>
      </c>
      <c r="D155" s="345">
        <v>10980.13</v>
      </c>
      <c r="E155" s="345">
        <v>11183.76</v>
      </c>
      <c r="F155" s="345">
        <v>10992.63</v>
      </c>
      <c r="G155" s="345">
        <v>11106.25</v>
      </c>
      <c r="H155" s="345">
        <v>10935.86</v>
      </c>
      <c r="I155" s="345">
        <v>11026.83</v>
      </c>
      <c r="J155" s="345">
        <v>11106.17</v>
      </c>
      <c r="K155" s="345">
        <v>11042.63</v>
      </c>
      <c r="L155" s="345">
        <v>11062.19</v>
      </c>
      <c r="M155" s="345">
        <v>11109.86</v>
      </c>
      <c r="N155" s="345">
        <v>11105.04</v>
      </c>
      <c r="O155" s="345">
        <v>11105</v>
      </c>
      <c r="P155" s="345">
        <v>11036.92</v>
      </c>
      <c r="Q155" s="326">
        <f>IF((L156=""),"",MAX(D157:P157))</f>
        <v>5306.72</v>
      </c>
      <c r="R155" s="315">
        <f>IF(L156="","",MIN(D157:L157))</f>
        <v>5248.06</v>
      </c>
      <c r="S155" s="318">
        <f>IF((P157=""),"",AVERAGE(D157:P157))</f>
        <v>5282.6192307692309</v>
      </c>
      <c r="T155" s="318">
        <f>IF((L156=""),"",(Q155-R155)/(Q155+R155)*100)</f>
        <v>0.55576715004954957</v>
      </c>
      <c r="U155" s="315">
        <f>STDEV(D157:P157)</f>
        <v>19.121113749549806</v>
      </c>
      <c r="V155" s="320" t="str">
        <f>IF(P156="","",IF(T155&lt;2.7,IF(S155&gt;5150,IF(S155&lt;5600,"Pass","Fail"),"Fail"),"Fail"))</f>
        <v>Pass</v>
      </c>
      <c r="W155" s="315">
        <v>1400</v>
      </c>
      <c r="X155" s="338" t="s">
        <v>254</v>
      </c>
      <c r="Y155" s="338"/>
      <c r="Z155" s="321">
        <v>4470</v>
      </c>
      <c r="AA155" s="321">
        <v>6020</v>
      </c>
      <c r="AB155" s="321">
        <v>5150</v>
      </c>
      <c r="AC155" s="321">
        <v>5600</v>
      </c>
      <c r="AD155" s="305">
        <v>10</v>
      </c>
      <c r="AE155" s="322">
        <v>2.7</v>
      </c>
    </row>
    <row r="156" spans="1:31" ht="12.75" customHeight="1">
      <c r="A156" s="306"/>
      <c r="B156" s="298"/>
      <c r="C156" s="307" t="s">
        <v>198</v>
      </c>
      <c r="D156" s="259">
        <v>5710.82</v>
      </c>
      <c r="E156" s="259">
        <v>5907.26</v>
      </c>
      <c r="F156" s="259">
        <v>5742.97</v>
      </c>
      <c r="G156" s="259">
        <v>5826.53</v>
      </c>
      <c r="H156" s="259">
        <v>5642.91</v>
      </c>
      <c r="I156" s="259">
        <v>5720.31</v>
      </c>
      <c r="J156" s="259">
        <v>5811.45</v>
      </c>
      <c r="K156" s="259">
        <v>5744.27</v>
      </c>
      <c r="L156" s="259">
        <v>5814.13</v>
      </c>
      <c r="M156" s="259">
        <v>5803.14</v>
      </c>
      <c r="N156" s="259">
        <v>5813.34</v>
      </c>
      <c r="O156" s="259">
        <v>5833.26</v>
      </c>
      <c r="P156" s="259">
        <v>5748.83</v>
      </c>
      <c r="Q156" s="298"/>
      <c r="R156" s="298"/>
      <c r="S156" s="298"/>
      <c r="T156" s="298"/>
      <c r="U156" s="298"/>
      <c r="V156" s="302"/>
      <c r="W156" s="298"/>
      <c r="X156" s="340"/>
      <c r="Y156" s="340"/>
      <c r="Z156" s="267"/>
      <c r="AA156" s="267"/>
      <c r="AB156" s="267"/>
      <c r="AC156" s="267"/>
      <c r="AD156" s="268"/>
      <c r="AE156" s="269"/>
    </row>
    <row r="157" spans="1:31" ht="24.75" customHeight="1" thickBot="1">
      <c r="A157" s="306"/>
      <c r="B157" s="299"/>
      <c r="C157" s="307" t="s">
        <v>197</v>
      </c>
      <c r="D157" s="323">
        <f t="shared" ref="D157:P157" si="47">IF(((D155="")*AND(D156="")),"",(D155-D156))</f>
        <v>5269.3099999999995</v>
      </c>
      <c r="E157" s="323">
        <f t="shared" si="47"/>
        <v>5276.5</v>
      </c>
      <c r="F157" s="323">
        <f t="shared" si="47"/>
        <v>5249.6599999999989</v>
      </c>
      <c r="G157" s="323">
        <f t="shared" si="47"/>
        <v>5279.72</v>
      </c>
      <c r="H157" s="323">
        <f t="shared" si="47"/>
        <v>5292.9500000000007</v>
      </c>
      <c r="I157" s="323">
        <f t="shared" si="47"/>
        <v>5306.5199999999995</v>
      </c>
      <c r="J157" s="323">
        <f t="shared" si="47"/>
        <v>5294.72</v>
      </c>
      <c r="K157" s="323">
        <f t="shared" si="47"/>
        <v>5298.3599999999988</v>
      </c>
      <c r="L157" s="323">
        <f t="shared" si="47"/>
        <v>5248.06</v>
      </c>
      <c r="M157" s="323">
        <f t="shared" si="47"/>
        <v>5306.72</v>
      </c>
      <c r="N157" s="323">
        <f t="shared" si="47"/>
        <v>5291.7000000000007</v>
      </c>
      <c r="O157" s="323">
        <f t="shared" si="47"/>
        <v>5271.74</v>
      </c>
      <c r="P157" s="323">
        <f t="shared" si="47"/>
        <v>5288.09</v>
      </c>
      <c r="Q157" s="299"/>
      <c r="R157" s="299"/>
      <c r="S157" s="299"/>
      <c r="T157" s="299"/>
      <c r="U157" s="299"/>
      <c r="V157" s="324"/>
      <c r="W157" s="299"/>
      <c r="X157" s="340"/>
      <c r="Y157" s="340"/>
      <c r="Z157" s="267"/>
      <c r="AA157" s="267"/>
      <c r="AB157" s="267"/>
      <c r="AC157" s="267"/>
      <c r="AD157" s="268"/>
      <c r="AE157" s="269"/>
    </row>
    <row r="158" spans="1:31" ht="12.75" customHeight="1">
      <c r="A158" s="348">
        <v>42706</v>
      </c>
      <c r="B158" s="326" t="s">
        <v>202</v>
      </c>
      <c r="C158" s="307" t="s">
        <v>199</v>
      </c>
      <c r="D158" s="259">
        <v>5970.79</v>
      </c>
      <c r="E158" s="259">
        <v>6116.27</v>
      </c>
      <c r="F158" s="259">
        <v>6126.37</v>
      </c>
      <c r="G158" s="259">
        <v>6117.37</v>
      </c>
      <c r="H158" s="259">
        <v>5976.2</v>
      </c>
      <c r="I158" s="259">
        <v>6041.94</v>
      </c>
      <c r="J158" s="259">
        <v>6102.21</v>
      </c>
      <c r="K158" s="259">
        <v>6106.61</v>
      </c>
      <c r="L158" s="259">
        <v>6025.81</v>
      </c>
      <c r="M158" s="290"/>
      <c r="N158" s="290"/>
      <c r="O158" s="290"/>
      <c r="P158" s="290"/>
      <c r="Q158" s="326">
        <f>IF((L159=""),"",MAX(D160:L160))</f>
        <v>6739.7999999999993</v>
      </c>
      <c r="R158" s="326">
        <f>IF(L159="","",MIN(D160:L160))</f>
        <v>6534.0199999999995</v>
      </c>
      <c r="S158" s="327">
        <f>IF((L160=""),"",AVERAGE(D160:L160))</f>
        <v>6623.0311111111105</v>
      </c>
      <c r="T158" s="318">
        <f>IF((L159=""),"",(Q158-R158)/(Q158+R158)*100)</f>
        <v>1.5502696284867488</v>
      </c>
      <c r="U158" s="326">
        <f>STDEV(D160:P160)</f>
        <v>71.6117805331412</v>
      </c>
      <c r="V158" s="328" t="str">
        <f>IF(L159="","",IF(T158&lt;7.3,IF(S158&gt;5700,IF(S158&lt;7200,"Pass","Fail"),"Fail"),"Fail"))</f>
        <v>Pass</v>
      </c>
      <c r="W158" s="315">
        <v>1400</v>
      </c>
      <c r="X158" s="340" t="s">
        <v>254</v>
      </c>
      <c r="Y158" s="340"/>
      <c r="Z158" s="267">
        <v>4955</v>
      </c>
      <c r="AA158" s="267">
        <v>9645</v>
      </c>
      <c r="AB158" s="267">
        <v>5100</v>
      </c>
      <c r="AC158" s="267">
        <v>8300</v>
      </c>
      <c r="AD158" s="305">
        <v>10</v>
      </c>
      <c r="AE158" s="305">
        <v>9.8000000000000007</v>
      </c>
    </row>
    <row r="159" spans="1:31" ht="12.75" customHeight="1">
      <c r="A159" s="306"/>
      <c r="B159" s="298"/>
      <c r="C159" s="307" t="s">
        <v>198</v>
      </c>
      <c r="D159" s="259">
        <v>2648.83</v>
      </c>
      <c r="E159" s="259">
        <v>2845.41</v>
      </c>
      <c r="F159" s="259">
        <v>2859.36</v>
      </c>
      <c r="G159" s="259">
        <v>2794.68</v>
      </c>
      <c r="H159" s="259">
        <v>2606.3000000000002</v>
      </c>
      <c r="I159" s="259">
        <v>2732.46</v>
      </c>
      <c r="J159" s="259">
        <v>2819.02</v>
      </c>
      <c r="K159" s="259">
        <v>2805.11</v>
      </c>
      <c r="L159" s="259">
        <v>2668.76</v>
      </c>
      <c r="M159" s="290"/>
      <c r="N159" s="290"/>
      <c r="O159" s="290"/>
      <c r="P159" s="290"/>
      <c r="Q159" s="298"/>
      <c r="R159" s="298"/>
      <c r="S159" s="298"/>
      <c r="T159" s="298"/>
      <c r="U159" s="298"/>
      <c r="V159" s="302"/>
      <c r="W159" s="298"/>
      <c r="X159" s="340"/>
      <c r="Y159" s="340"/>
      <c r="Z159" s="267"/>
      <c r="AA159" s="267"/>
      <c r="AB159" s="267"/>
      <c r="AC159" s="267"/>
      <c r="AD159" s="268"/>
      <c r="AE159" s="269"/>
    </row>
    <row r="160" spans="1:31" ht="24.75" customHeight="1" thickBot="1">
      <c r="A160" s="306"/>
      <c r="B160" s="309"/>
      <c r="C160" s="310" t="s">
        <v>197</v>
      </c>
      <c r="D160" s="311">
        <f t="shared" ref="D160:L160" si="48">IF(((D158="")*AND(D159="")),"",(D158-D159)*2)</f>
        <v>6643.92</v>
      </c>
      <c r="E160" s="311">
        <f t="shared" si="48"/>
        <v>6541.7200000000012</v>
      </c>
      <c r="F160" s="311">
        <f t="shared" si="48"/>
        <v>6534.0199999999995</v>
      </c>
      <c r="G160" s="311">
        <f t="shared" si="48"/>
        <v>6645.38</v>
      </c>
      <c r="H160" s="311">
        <f t="shared" si="48"/>
        <v>6739.7999999999993</v>
      </c>
      <c r="I160" s="311">
        <f t="shared" si="48"/>
        <v>6618.9599999999991</v>
      </c>
      <c r="J160" s="311">
        <f t="shared" si="48"/>
        <v>6566.38</v>
      </c>
      <c r="K160" s="311">
        <f t="shared" si="48"/>
        <v>6602.9999999999991</v>
      </c>
      <c r="L160" s="311">
        <f t="shared" si="48"/>
        <v>6714.1</v>
      </c>
      <c r="M160" s="311"/>
      <c r="N160" s="311"/>
      <c r="O160" s="311"/>
      <c r="P160" s="311" t="str">
        <f>IF(((P158="")*AND(P159="")),"",(P158-P159)*2)</f>
        <v/>
      </c>
      <c r="Q160" s="309"/>
      <c r="R160" s="309"/>
      <c r="S160" s="309"/>
      <c r="T160" s="309"/>
      <c r="U160" s="309"/>
      <c r="V160" s="312"/>
      <c r="W160" s="309"/>
      <c r="X160" s="341"/>
      <c r="Y160" s="341"/>
      <c r="Z160" s="267"/>
      <c r="AA160" s="267"/>
      <c r="AB160" s="267"/>
      <c r="AC160" s="267"/>
      <c r="AD160" s="268"/>
      <c r="AE160" s="269"/>
    </row>
    <row r="161" spans="1:31" ht="12.75" customHeight="1">
      <c r="A161" s="350">
        <v>42709</v>
      </c>
      <c r="B161" s="298" t="s">
        <v>200</v>
      </c>
      <c r="C161" s="299" t="s">
        <v>199</v>
      </c>
      <c r="D161" s="278">
        <v>6824</v>
      </c>
      <c r="E161" s="278">
        <v>6947.41</v>
      </c>
      <c r="F161" s="278">
        <v>6803.48</v>
      </c>
      <c r="G161" s="278">
        <v>6868.46</v>
      </c>
      <c r="H161" s="278">
        <v>6807.71</v>
      </c>
      <c r="I161" s="278">
        <v>6836.81</v>
      </c>
      <c r="J161" s="278">
        <v>6872.5</v>
      </c>
      <c r="K161" s="278">
        <v>6840.2</v>
      </c>
      <c r="L161" s="278">
        <v>6842.22</v>
      </c>
      <c r="M161" s="278">
        <v>6869.8</v>
      </c>
      <c r="N161" s="278">
        <v>6896.33</v>
      </c>
      <c r="O161" s="278">
        <v>6868.33</v>
      </c>
      <c r="P161" s="278">
        <v>6857.72</v>
      </c>
      <c r="Q161" s="326">
        <f>IF((L162=""),"",MAX(D163:P163))</f>
        <v>5332.6900000000005</v>
      </c>
      <c r="R161" s="298">
        <f>IF(L162="","",MIN(D163:L163))</f>
        <v>5216.3099999999995</v>
      </c>
      <c r="S161" s="318">
        <f>IF((P163=""),"",AVERAGE(D163:P163))</f>
        <v>5283.8423076923082</v>
      </c>
      <c r="T161" s="336">
        <f>IF((L162=""),"",(Q161-R161)/(Q161+R161)*100)</f>
        <v>1.103232533889478</v>
      </c>
      <c r="U161" s="298">
        <f>STDEV(D163:P163)</f>
        <v>40.269896977243661</v>
      </c>
      <c r="V161" s="320" t="str">
        <f>IF(P162="","",IF(T161&lt;2.7,IF(S161&gt;5150,IF(S161&lt;5600,"Pass","Fail"),"Fail"),"Fail"))</f>
        <v>Pass</v>
      </c>
      <c r="W161" s="298">
        <v>102</v>
      </c>
      <c r="X161" s="338" t="s">
        <v>253</v>
      </c>
      <c r="Y161" s="338"/>
      <c r="Z161" s="321">
        <v>4470</v>
      </c>
      <c r="AA161" s="321">
        <v>6020</v>
      </c>
      <c r="AB161" s="321">
        <v>5150</v>
      </c>
      <c r="AC161" s="321">
        <v>5600</v>
      </c>
      <c r="AD161" s="305">
        <v>10</v>
      </c>
      <c r="AE161" s="322">
        <v>2.7</v>
      </c>
    </row>
    <row r="162" spans="1:31" ht="12.75" customHeight="1">
      <c r="A162" s="306"/>
      <c r="B162" s="298"/>
      <c r="C162" s="307" t="s">
        <v>198</v>
      </c>
      <c r="D162" s="278">
        <v>1596.68</v>
      </c>
      <c r="E162" s="278">
        <v>1678.93</v>
      </c>
      <c r="F162" s="278">
        <v>1587.17</v>
      </c>
      <c r="G162" s="278">
        <v>1568.42</v>
      </c>
      <c r="H162" s="278">
        <v>1505.57</v>
      </c>
      <c r="I162" s="278">
        <v>1509.47</v>
      </c>
      <c r="J162" s="278">
        <v>1553.27</v>
      </c>
      <c r="K162" s="278">
        <v>1524.91</v>
      </c>
      <c r="L162" s="278">
        <v>1617.88</v>
      </c>
      <c r="M162" s="278">
        <v>1537.11</v>
      </c>
      <c r="N162" s="278">
        <v>1593.21</v>
      </c>
      <c r="O162" s="278">
        <v>1604.57</v>
      </c>
      <c r="P162" s="278">
        <v>1567.83</v>
      </c>
      <c r="Q162" s="298"/>
      <c r="R162" s="298"/>
      <c r="S162" s="298"/>
      <c r="T162" s="298"/>
      <c r="U162" s="298"/>
      <c r="V162" s="302"/>
      <c r="W162" s="298"/>
      <c r="X162" s="340"/>
      <c r="Y162" s="340"/>
      <c r="Z162" s="267"/>
      <c r="AA162" s="267"/>
      <c r="AB162" s="267"/>
      <c r="AC162" s="267"/>
      <c r="AD162" s="268"/>
      <c r="AE162" s="269"/>
    </row>
    <row r="163" spans="1:31" ht="24.75" customHeight="1" thickBot="1">
      <c r="A163" s="306"/>
      <c r="B163" s="299"/>
      <c r="C163" s="307" t="s">
        <v>197</v>
      </c>
      <c r="D163" s="323">
        <f t="shared" ref="D163:P163" si="49">IF(((D161="")*AND(D162="")),"",(D161-D162))</f>
        <v>5227.32</v>
      </c>
      <c r="E163" s="323">
        <f t="shared" si="49"/>
        <v>5268.48</v>
      </c>
      <c r="F163" s="323">
        <f t="shared" si="49"/>
        <v>5216.3099999999995</v>
      </c>
      <c r="G163" s="323">
        <f t="shared" si="49"/>
        <v>5300.04</v>
      </c>
      <c r="H163" s="323">
        <f t="shared" si="49"/>
        <v>5302.14</v>
      </c>
      <c r="I163" s="323">
        <f t="shared" si="49"/>
        <v>5327.34</v>
      </c>
      <c r="J163" s="323">
        <f t="shared" si="49"/>
        <v>5319.23</v>
      </c>
      <c r="K163" s="323">
        <f t="shared" si="49"/>
        <v>5315.29</v>
      </c>
      <c r="L163" s="323">
        <f t="shared" si="49"/>
        <v>5224.34</v>
      </c>
      <c r="M163" s="323">
        <f t="shared" si="49"/>
        <v>5332.6900000000005</v>
      </c>
      <c r="N163" s="323">
        <f t="shared" si="49"/>
        <v>5303.12</v>
      </c>
      <c r="O163" s="323">
        <f t="shared" si="49"/>
        <v>5263.76</v>
      </c>
      <c r="P163" s="323">
        <f t="shared" si="49"/>
        <v>5289.89</v>
      </c>
      <c r="Q163" s="299"/>
      <c r="R163" s="299"/>
      <c r="S163" s="299"/>
      <c r="T163" s="299"/>
      <c r="U163" s="299"/>
      <c r="V163" s="324"/>
      <c r="W163" s="299"/>
      <c r="X163" s="340"/>
      <c r="Y163" s="340"/>
      <c r="Z163" s="267"/>
      <c r="AA163" s="267"/>
      <c r="AB163" s="267"/>
      <c r="AC163" s="267"/>
      <c r="AD163" s="268"/>
      <c r="AE163" s="269"/>
    </row>
    <row r="164" spans="1:31" ht="12.75" customHeight="1">
      <c r="A164" s="351">
        <v>42709</v>
      </c>
      <c r="B164" s="326" t="s">
        <v>202</v>
      </c>
      <c r="C164" s="307" t="s">
        <v>199</v>
      </c>
      <c r="D164" s="278">
        <v>5956.92</v>
      </c>
      <c r="E164" s="278">
        <v>6115.95</v>
      </c>
      <c r="F164" s="278">
        <v>6128.6</v>
      </c>
      <c r="G164" s="278">
        <v>6124.46</v>
      </c>
      <c r="H164" s="278">
        <v>5972.44</v>
      </c>
      <c r="I164" s="278">
        <v>6153.74</v>
      </c>
      <c r="J164" s="278">
        <v>6101.44</v>
      </c>
      <c r="K164" s="278">
        <v>6124.15</v>
      </c>
      <c r="L164" s="278">
        <v>6039.63</v>
      </c>
      <c r="M164" s="290"/>
      <c r="N164" s="290"/>
      <c r="O164" s="290"/>
      <c r="P164" s="290"/>
      <c r="Q164" s="326">
        <f>IF((L165=""),"",MAX(D166:L166))</f>
        <v>7243.92</v>
      </c>
      <c r="R164" s="326">
        <f>IF(L165="","",MIN(D166:L166))</f>
        <v>7081.68</v>
      </c>
      <c r="S164" s="327">
        <f>IF((L166=""),"",AVERAGE(D166:L166))</f>
        <v>7174.5422222222223</v>
      </c>
      <c r="T164" s="318">
        <f>IF((L165=""),"",(Q164-R164)/(Q164+R164)*100)</f>
        <v>1.1325180097168688</v>
      </c>
      <c r="U164" s="326">
        <f>STDEV(D166:P166)</f>
        <v>47.380622035260458</v>
      </c>
      <c r="V164" s="328" t="str">
        <f>IF(L165="","",IF(T164&lt;7.3,IF(S164&gt;5700,IF(S164&lt;7200,"Pass","Fail"),"Fail"),"Fail"))</f>
        <v>Pass</v>
      </c>
      <c r="W164" s="315">
        <v>102</v>
      </c>
      <c r="X164" s="340" t="s">
        <v>253</v>
      </c>
      <c r="Y164" s="340"/>
      <c r="Z164" s="267">
        <v>4955</v>
      </c>
      <c r="AA164" s="267">
        <v>9645</v>
      </c>
      <c r="AB164" s="267">
        <v>5100</v>
      </c>
      <c r="AC164" s="267">
        <v>8300</v>
      </c>
      <c r="AD164" s="305">
        <v>10</v>
      </c>
      <c r="AE164" s="305">
        <v>9.8000000000000007</v>
      </c>
    </row>
    <row r="165" spans="1:31" ht="12.75" customHeight="1">
      <c r="A165" s="306"/>
      <c r="B165" s="298"/>
      <c r="C165" s="307" t="s">
        <v>198</v>
      </c>
      <c r="D165" s="278">
        <v>2416.08</v>
      </c>
      <c r="E165" s="278">
        <v>2533.0500000000002</v>
      </c>
      <c r="F165" s="278">
        <v>2545.9499999999998</v>
      </c>
      <c r="G165" s="278">
        <v>2511.34</v>
      </c>
      <c r="H165" s="278">
        <v>2393.1999999999998</v>
      </c>
      <c r="I165" s="278">
        <v>2575.84</v>
      </c>
      <c r="J165" s="278">
        <v>2517.88</v>
      </c>
      <c r="K165" s="278">
        <v>2520.88</v>
      </c>
      <c r="L165" s="278">
        <v>2417.67</v>
      </c>
      <c r="M165" s="290"/>
      <c r="N165" s="290"/>
      <c r="O165" s="290"/>
      <c r="P165" s="290"/>
      <c r="Q165" s="298"/>
      <c r="R165" s="298"/>
      <c r="S165" s="298"/>
      <c r="T165" s="298"/>
      <c r="U165" s="298"/>
      <c r="V165" s="302"/>
      <c r="W165" s="298"/>
      <c r="X165" s="340"/>
      <c r="Y165" s="340"/>
      <c r="Z165" s="267"/>
      <c r="AA165" s="267"/>
      <c r="AB165" s="267"/>
      <c r="AC165" s="267"/>
      <c r="AD165" s="268"/>
      <c r="AE165" s="269"/>
    </row>
    <row r="166" spans="1:31" ht="24.75" customHeight="1" thickBot="1">
      <c r="A166" s="306"/>
      <c r="B166" s="309"/>
      <c r="C166" s="310" t="s">
        <v>197</v>
      </c>
      <c r="D166" s="311">
        <f t="shared" ref="D166:L166" si="50">IF(((D164="")*AND(D165="")),"",(D164-D165)*2)</f>
        <v>7081.68</v>
      </c>
      <c r="E166" s="311">
        <f t="shared" si="50"/>
        <v>7165.7999999999993</v>
      </c>
      <c r="F166" s="311">
        <f t="shared" si="50"/>
        <v>7165.3000000000011</v>
      </c>
      <c r="G166" s="311">
        <f t="shared" si="50"/>
        <v>7226.24</v>
      </c>
      <c r="H166" s="311">
        <f t="shared" si="50"/>
        <v>7158.48</v>
      </c>
      <c r="I166" s="311">
        <f t="shared" si="50"/>
        <v>7155.7999999999993</v>
      </c>
      <c r="J166" s="311">
        <f t="shared" si="50"/>
        <v>7167.119999999999</v>
      </c>
      <c r="K166" s="311">
        <f t="shared" si="50"/>
        <v>7206.5399999999991</v>
      </c>
      <c r="L166" s="311">
        <f t="shared" si="50"/>
        <v>7243.92</v>
      </c>
      <c r="M166" s="311"/>
      <c r="N166" s="311"/>
      <c r="O166" s="311"/>
      <c r="P166" s="311" t="str">
        <f>IF(((P164="")*AND(P165="")),"",(P164-P165)*2)</f>
        <v/>
      </c>
      <c r="Q166" s="309"/>
      <c r="R166" s="309"/>
      <c r="S166" s="309"/>
      <c r="T166" s="309"/>
      <c r="U166" s="299"/>
      <c r="V166" s="312"/>
      <c r="W166" s="309"/>
      <c r="X166" s="341"/>
      <c r="Y166" s="341"/>
      <c r="Z166" s="267"/>
      <c r="AA166" s="267"/>
      <c r="AB166" s="267"/>
      <c r="AC166" s="267"/>
      <c r="AD166" s="268"/>
      <c r="AE166" s="269"/>
    </row>
    <row r="167" spans="1:31" ht="12.75" customHeight="1">
      <c r="A167" s="350">
        <v>42714</v>
      </c>
      <c r="B167" s="298" t="s">
        <v>200</v>
      </c>
      <c r="C167" s="299" t="s">
        <v>199</v>
      </c>
      <c r="D167" s="278">
        <v>6656.19</v>
      </c>
      <c r="E167" s="278">
        <v>6774.83</v>
      </c>
      <c r="F167" s="278">
        <v>6646.4</v>
      </c>
      <c r="G167" s="278">
        <v>6707.52</v>
      </c>
      <c r="H167" s="278">
        <v>6630.75</v>
      </c>
      <c r="I167" s="278">
        <v>6680.1</v>
      </c>
      <c r="J167" s="278">
        <v>6711.53</v>
      </c>
      <c r="K167" s="278">
        <v>6668.84</v>
      </c>
      <c r="L167" s="278">
        <v>6688.23</v>
      </c>
      <c r="M167" s="278">
        <v>6712.86</v>
      </c>
      <c r="N167" s="278">
        <v>6729.43</v>
      </c>
      <c r="O167" s="278">
        <v>6713.99</v>
      </c>
      <c r="P167" s="278">
        <v>6687.81</v>
      </c>
      <c r="Q167" s="326">
        <f>IF((L168=""),"",MAX(D169:P169))</f>
        <v>5403.7</v>
      </c>
      <c r="R167" s="298">
        <f>IF(L168="","",MIN(D169:L169))</f>
        <v>5223.07</v>
      </c>
      <c r="S167" s="318">
        <f>IF((P169=""),"",AVERAGE(D169:P169))</f>
        <v>5299.5515384615392</v>
      </c>
      <c r="T167" s="336">
        <f>IF((L168=""),"",(Q167-R167)/(Q167+R167)*100)</f>
        <v>1.6997638981553198</v>
      </c>
      <c r="U167" s="298">
        <f>STDEV(D169:P169)</f>
        <v>57.52499700788993</v>
      </c>
      <c r="V167" s="320" t="str">
        <f>IF(P168="","",IF(T167&lt;2.7,IF(S167&gt;5150,IF(S167&lt;5600,"Pass","Fail"),"Fail"),"Fail"))</f>
        <v>Pass</v>
      </c>
      <c r="W167" s="298">
        <v>64</v>
      </c>
      <c r="X167" s="338" t="s">
        <v>252</v>
      </c>
      <c r="Y167" s="338"/>
      <c r="Z167" s="321">
        <v>4470</v>
      </c>
      <c r="AA167" s="321">
        <v>6020</v>
      </c>
      <c r="AB167" s="321">
        <v>5150</v>
      </c>
      <c r="AC167" s="321">
        <v>5600</v>
      </c>
      <c r="AD167" s="305">
        <v>10</v>
      </c>
      <c r="AE167" s="322">
        <v>2.7</v>
      </c>
    </row>
    <row r="168" spans="1:31" ht="12.75" customHeight="1">
      <c r="A168" s="306"/>
      <c r="B168" s="298"/>
      <c r="C168" s="307" t="s">
        <v>198</v>
      </c>
      <c r="D168" s="278">
        <v>1425.53</v>
      </c>
      <c r="E168" s="278">
        <v>1506.56</v>
      </c>
      <c r="F168" s="278">
        <v>1423.33</v>
      </c>
      <c r="G168" s="278">
        <v>1319.22</v>
      </c>
      <c r="H168" s="278">
        <v>1327.64</v>
      </c>
      <c r="I168" s="278">
        <v>1346.29</v>
      </c>
      <c r="J168" s="278">
        <v>1307.83</v>
      </c>
      <c r="K168" s="278">
        <v>1342.86</v>
      </c>
      <c r="L168" s="278">
        <v>1461.11</v>
      </c>
      <c r="M168" s="278">
        <v>1382.03</v>
      </c>
      <c r="N168" s="278">
        <v>1426.94</v>
      </c>
      <c r="O168" s="278">
        <v>1449.73</v>
      </c>
      <c r="P168" s="278">
        <v>1395.24</v>
      </c>
      <c r="Q168" s="298"/>
      <c r="R168" s="298"/>
      <c r="S168" s="298"/>
      <c r="T168" s="298"/>
      <c r="U168" s="298"/>
      <c r="V168" s="302"/>
      <c r="W168" s="298"/>
      <c r="X168" s="340"/>
      <c r="Y168" s="340"/>
      <c r="Z168" s="267"/>
      <c r="AA168" s="267"/>
      <c r="AB168" s="267"/>
      <c r="AC168" s="267"/>
      <c r="AD168" s="268"/>
      <c r="AE168" s="269"/>
    </row>
    <row r="169" spans="1:31" ht="24.75" customHeight="1" thickBot="1">
      <c r="A169" s="306"/>
      <c r="B169" s="299"/>
      <c r="C169" s="307" t="s">
        <v>197</v>
      </c>
      <c r="D169" s="323">
        <f t="shared" ref="D169:P169" si="51">IF(((D167="")*AND(D168="")),"",(D167-D168))</f>
        <v>5230.66</v>
      </c>
      <c r="E169" s="323">
        <f t="shared" si="51"/>
        <v>5268.27</v>
      </c>
      <c r="F169" s="323">
        <f t="shared" si="51"/>
        <v>5223.07</v>
      </c>
      <c r="G169" s="323">
        <f t="shared" si="51"/>
        <v>5388.3</v>
      </c>
      <c r="H169" s="323">
        <f t="shared" si="51"/>
        <v>5303.11</v>
      </c>
      <c r="I169" s="323">
        <f t="shared" si="51"/>
        <v>5333.81</v>
      </c>
      <c r="J169" s="323">
        <f t="shared" si="51"/>
        <v>5403.7</v>
      </c>
      <c r="K169" s="323">
        <f t="shared" si="51"/>
        <v>5325.9800000000005</v>
      </c>
      <c r="L169" s="323">
        <f t="shared" si="51"/>
        <v>5227.12</v>
      </c>
      <c r="M169" s="323">
        <f t="shared" si="51"/>
        <v>5330.83</v>
      </c>
      <c r="N169" s="323">
        <f t="shared" si="51"/>
        <v>5302.49</v>
      </c>
      <c r="O169" s="323">
        <f t="shared" si="51"/>
        <v>5264.26</v>
      </c>
      <c r="P169" s="323">
        <f t="shared" si="51"/>
        <v>5292.5700000000006</v>
      </c>
      <c r="Q169" s="299"/>
      <c r="R169" s="299"/>
      <c r="S169" s="299"/>
      <c r="T169" s="299"/>
      <c r="U169" s="299"/>
      <c r="V169" s="324"/>
      <c r="W169" s="299"/>
      <c r="X169" s="340"/>
      <c r="Y169" s="340"/>
      <c r="Z169" s="267"/>
      <c r="AA169" s="267"/>
      <c r="AB169" s="267"/>
      <c r="AC169" s="267"/>
      <c r="AD169" s="268"/>
      <c r="AE169" s="269"/>
    </row>
    <row r="170" spans="1:31" ht="12.75" customHeight="1">
      <c r="A170" s="351">
        <v>42714</v>
      </c>
      <c r="B170" s="326" t="s">
        <v>202</v>
      </c>
      <c r="C170" s="307" t="s">
        <v>199</v>
      </c>
      <c r="D170" s="278">
        <v>5948.67</v>
      </c>
      <c r="E170" s="278">
        <v>6029.42</v>
      </c>
      <c r="F170" s="278">
        <v>6037.17</v>
      </c>
      <c r="G170" s="278">
        <v>5982.24</v>
      </c>
      <c r="H170" s="278">
        <v>5877.05</v>
      </c>
      <c r="I170" s="278">
        <v>5697.34</v>
      </c>
      <c r="J170" s="278">
        <v>6034.74</v>
      </c>
      <c r="K170" s="278">
        <v>6050.6</v>
      </c>
      <c r="L170" s="278">
        <v>5894.4</v>
      </c>
      <c r="M170" s="290"/>
      <c r="N170" s="290"/>
      <c r="O170" s="290"/>
      <c r="P170" s="290"/>
      <c r="Q170" s="326">
        <f>IF((L171=""),"",MAX(D172:L172))</f>
        <v>6363.66</v>
      </c>
      <c r="R170" s="326">
        <f>IF(L171="","",MIN(D172:L172))</f>
        <v>5938.82</v>
      </c>
      <c r="S170" s="327">
        <f>IF((L172=""),"",AVERAGE(D172:L172))</f>
        <v>6166.6177777777775</v>
      </c>
      <c r="T170" s="318">
        <f>IF((L171=""),"",(Q170-R170)/(Q170+R170)*100)</f>
        <v>3.4532874672423781</v>
      </c>
      <c r="U170" s="326">
        <f>STDEV(D172:P172)</f>
        <v>140.97715894589308</v>
      </c>
      <c r="V170" s="328" t="str">
        <f>IF(L171="","",IF(T170&lt;7.3,IF(S170&gt;5700,IF(S170&lt;7200,"Pass","Fail"),"Fail"),"Fail"))</f>
        <v>Pass</v>
      </c>
      <c r="W170" s="315">
        <v>64</v>
      </c>
      <c r="X170" s="340" t="s">
        <v>252</v>
      </c>
      <c r="Y170" s="340"/>
      <c r="Z170" s="267">
        <v>4955</v>
      </c>
      <c r="AA170" s="267">
        <v>9645</v>
      </c>
      <c r="AB170" s="267">
        <v>5100</v>
      </c>
      <c r="AC170" s="267">
        <v>8300</v>
      </c>
      <c r="AD170" s="305">
        <v>10</v>
      </c>
      <c r="AE170" s="305">
        <v>9.8000000000000007</v>
      </c>
    </row>
    <row r="171" spans="1:31" ht="12.75" customHeight="1">
      <c r="A171" s="306"/>
      <c r="B171" s="298"/>
      <c r="C171" s="307" t="s">
        <v>198</v>
      </c>
      <c r="D171" s="278">
        <v>2979.26</v>
      </c>
      <c r="E171" s="278">
        <v>2931.06</v>
      </c>
      <c r="F171" s="278">
        <v>2924.85</v>
      </c>
      <c r="G171" s="278">
        <v>2800.41</v>
      </c>
      <c r="H171" s="278">
        <v>2748.29</v>
      </c>
      <c r="I171" s="278">
        <v>2647.99</v>
      </c>
      <c r="J171" s="278">
        <v>2893.49</v>
      </c>
      <c r="K171" s="278">
        <v>2968.33</v>
      </c>
      <c r="L171" s="278">
        <v>2908.17</v>
      </c>
      <c r="M171" s="290"/>
      <c r="N171" s="290"/>
      <c r="O171" s="290"/>
      <c r="P171" s="290"/>
      <c r="Q171" s="298"/>
      <c r="R171" s="298"/>
      <c r="S171" s="298"/>
      <c r="T171" s="298"/>
      <c r="U171" s="298"/>
      <c r="V171" s="302"/>
      <c r="W171" s="298"/>
      <c r="X171" s="340"/>
      <c r="Y171" s="340"/>
      <c r="Z171" s="267"/>
      <c r="AA171" s="267"/>
      <c r="AB171" s="267"/>
      <c r="AC171" s="267"/>
      <c r="AD171" s="268"/>
      <c r="AE171" s="269"/>
    </row>
    <row r="172" spans="1:31" ht="24.75" customHeight="1" thickBot="1">
      <c r="A172" s="306"/>
      <c r="B172" s="309"/>
      <c r="C172" s="310" t="s">
        <v>197</v>
      </c>
      <c r="D172" s="311">
        <f t="shared" ref="D172:L172" si="52">IF(((D170="")*AND(D171="")),"",(D170-D171)*2)</f>
        <v>5938.82</v>
      </c>
      <c r="E172" s="311">
        <f t="shared" si="52"/>
        <v>6196.72</v>
      </c>
      <c r="F172" s="311">
        <f t="shared" si="52"/>
        <v>6224.64</v>
      </c>
      <c r="G172" s="311">
        <f t="shared" si="52"/>
        <v>6363.66</v>
      </c>
      <c r="H172" s="311">
        <f t="shared" si="52"/>
        <v>6257.52</v>
      </c>
      <c r="I172" s="311">
        <f t="shared" si="52"/>
        <v>6098.7000000000007</v>
      </c>
      <c r="J172" s="311">
        <f t="shared" si="52"/>
        <v>6282.5</v>
      </c>
      <c r="K172" s="311">
        <f t="shared" si="52"/>
        <v>6164.5400000000009</v>
      </c>
      <c r="L172" s="311">
        <f t="shared" si="52"/>
        <v>5972.4599999999991</v>
      </c>
      <c r="M172" s="311"/>
      <c r="N172" s="311"/>
      <c r="O172" s="311"/>
      <c r="P172" s="311" t="str">
        <f>IF(((P170="")*AND(P171="")),"",(P170-P171)*2)</f>
        <v/>
      </c>
      <c r="Q172" s="309"/>
      <c r="R172" s="309"/>
      <c r="S172" s="309"/>
      <c r="T172" s="309"/>
      <c r="U172" s="299"/>
      <c r="V172" s="312"/>
      <c r="W172" s="309"/>
      <c r="X172" s="341"/>
      <c r="Y172" s="341"/>
      <c r="Z172" s="267"/>
      <c r="AA172" s="267"/>
      <c r="AB172" s="267"/>
      <c r="AC172" s="267"/>
      <c r="AD172" s="268"/>
      <c r="AE172" s="269"/>
    </row>
    <row r="173" spans="1:31" ht="12.75" customHeight="1">
      <c r="A173" s="350">
        <v>42723</v>
      </c>
      <c r="B173" s="298" t="s">
        <v>200</v>
      </c>
      <c r="C173" s="299" t="s">
        <v>199</v>
      </c>
      <c r="D173" s="278">
        <v>6793.83</v>
      </c>
      <c r="E173" s="278">
        <v>6920.62</v>
      </c>
      <c r="F173" s="278">
        <v>6769.33</v>
      </c>
      <c r="G173" s="278">
        <v>6814.75</v>
      </c>
      <c r="H173" s="278">
        <v>6795.58</v>
      </c>
      <c r="I173" s="278">
        <v>6807.1</v>
      </c>
      <c r="J173" s="278">
        <v>6815.09</v>
      </c>
      <c r="K173" s="278">
        <v>6780.38</v>
      </c>
      <c r="L173" s="278">
        <v>6810.02</v>
      </c>
      <c r="M173" s="278">
        <v>6818.21</v>
      </c>
      <c r="N173" s="278">
        <v>6877.72</v>
      </c>
      <c r="O173" s="278">
        <v>6833.94</v>
      </c>
      <c r="P173" s="278">
        <v>6835.35</v>
      </c>
      <c r="Q173" s="326">
        <f>IF((L174=""),"",MAX(D175:P175))</f>
        <v>5355.51</v>
      </c>
      <c r="R173" s="298">
        <f>IF(L174="","",MIN(D175:L175))</f>
        <v>5232.41</v>
      </c>
      <c r="S173" s="318">
        <f>IF((P175=""),"",AVERAGE(D175:P175))</f>
        <v>5303.6353846153852</v>
      </c>
      <c r="T173" s="336">
        <f>IF((L174=""),"",(Q173-R173)/(Q173+R173)*100)</f>
        <v>1.1626457321173598</v>
      </c>
      <c r="U173" s="298">
        <f>STDEV(D175:P175)</f>
        <v>44.222408274270457</v>
      </c>
      <c r="V173" s="320" t="str">
        <f>IF(P174="","",IF(T173&lt;2.7,IF(S173&gt;5150,IF(S173&lt;5600,"Pass","Fail"),"Fail"),"Fail"))</f>
        <v>Pass</v>
      </c>
      <c r="W173" s="298">
        <v>1428</v>
      </c>
      <c r="X173" s="338" t="s">
        <v>251</v>
      </c>
      <c r="Y173" s="338"/>
      <c r="Z173" s="321">
        <v>4470</v>
      </c>
      <c r="AA173" s="321">
        <v>6020</v>
      </c>
      <c r="AB173" s="321">
        <v>5150</v>
      </c>
      <c r="AC173" s="321">
        <v>5600</v>
      </c>
      <c r="AD173" s="305">
        <v>10</v>
      </c>
      <c r="AE173" s="322">
        <v>2.7</v>
      </c>
    </row>
    <row r="174" spans="1:31" ht="12.75" customHeight="1">
      <c r="A174" s="306"/>
      <c r="B174" s="298"/>
      <c r="C174" s="307" t="s">
        <v>198</v>
      </c>
      <c r="D174" s="278">
        <v>1550.33</v>
      </c>
      <c r="E174" s="278">
        <v>1637.4</v>
      </c>
      <c r="F174" s="278">
        <v>1536.92</v>
      </c>
      <c r="G174" s="278">
        <v>1468.46</v>
      </c>
      <c r="H174" s="278">
        <v>1478.42</v>
      </c>
      <c r="I174" s="278">
        <v>1462.55</v>
      </c>
      <c r="J174" s="278">
        <v>1459.58</v>
      </c>
      <c r="K174" s="278">
        <v>1446.94</v>
      </c>
      <c r="L174" s="278">
        <v>1571.94</v>
      </c>
      <c r="M174" s="278">
        <v>1472.16</v>
      </c>
      <c r="N174" s="278">
        <v>1556.46</v>
      </c>
      <c r="O174" s="278">
        <v>1556.34</v>
      </c>
      <c r="P174" s="278">
        <v>1527.16</v>
      </c>
      <c r="Q174" s="298"/>
      <c r="R174" s="298"/>
      <c r="S174" s="298"/>
      <c r="T174" s="298"/>
      <c r="U174" s="298"/>
      <c r="V174" s="302"/>
      <c r="W174" s="298"/>
      <c r="X174" s="340"/>
      <c r="Y174" s="340"/>
      <c r="Z174" s="267"/>
      <c r="AA174" s="267"/>
      <c r="AB174" s="267"/>
      <c r="AC174" s="267"/>
      <c r="AD174" s="268"/>
      <c r="AE174" s="269"/>
    </row>
    <row r="175" spans="1:31" ht="24.75" customHeight="1" thickBot="1">
      <c r="A175" s="306"/>
      <c r="B175" s="299"/>
      <c r="C175" s="307" t="s">
        <v>197</v>
      </c>
      <c r="D175" s="323">
        <f t="shared" ref="D175:P175" si="53">IF(((D173="")*AND(D174="")),"",(D173-D174))</f>
        <v>5243.5</v>
      </c>
      <c r="E175" s="323">
        <f t="shared" si="53"/>
        <v>5283.2199999999993</v>
      </c>
      <c r="F175" s="323">
        <f t="shared" si="53"/>
        <v>5232.41</v>
      </c>
      <c r="G175" s="323">
        <f t="shared" si="53"/>
        <v>5346.29</v>
      </c>
      <c r="H175" s="323">
        <f t="shared" si="53"/>
        <v>5317.16</v>
      </c>
      <c r="I175" s="323">
        <f t="shared" si="53"/>
        <v>5344.55</v>
      </c>
      <c r="J175" s="323">
        <f t="shared" si="53"/>
        <v>5355.51</v>
      </c>
      <c r="K175" s="323">
        <f t="shared" si="53"/>
        <v>5333.4400000000005</v>
      </c>
      <c r="L175" s="323">
        <f t="shared" si="53"/>
        <v>5238.08</v>
      </c>
      <c r="M175" s="323">
        <f t="shared" si="53"/>
        <v>5346.05</v>
      </c>
      <c r="N175" s="323">
        <f t="shared" si="53"/>
        <v>5321.26</v>
      </c>
      <c r="O175" s="323">
        <f t="shared" si="53"/>
        <v>5277.5999999999995</v>
      </c>
      <c r="P175" s="323">
        <f t="shared" si="53"/>
        <v>5308.1900000000005</v>
      </c>
      <c r="Q175" s="299"/>
      <c r="R175" s="299"/>
      <c r="S175" s="299"/>
      <c r="T175" s="299"/>
      <c r="U175" s="299"/>
      <c r="V175" s="324"/>
      <c r="W175" s="299"/>
      <c r="X175" s="340"/>
      <c r="Y175" s="340"/>
      <c r="Z175" s="267"/>
      <c r="AA175" s="267"/>
      <c r="AB175" s="267"/>
      <c r="AC175" s="267"/>
      <c r="AD175" s="268"/>
      <c r="AE175" s="269"/>
    </row>
    <row r="176" spans="1:31" ht="12.75" customHeight="1">
      <c r="A176" s="351">
        <v>42723</v>
      </c>
      <c r="B176" s="326" t="s">
        <v>202</v>
      </c>
      <c r="C176" s="307" t="s">
        <v>199</v>
      </c>
      <c r="D176" s="278">
        <v>5952.28</v>
      </c>
      <c r="E176" s="278">
        <v>6015.73</v>
      </c>
      <c r="F176" s="278">
        <v>6042.44</v>
      </c>
      <c r="G176" s="278">
        <v>5982.35</v>
      </c>
      <c r="H176" s="278">
        <v>5924.23</v>
      </c>
      <c r="I176" s="278">
        <v>5735.54</v>
      </c>
      <c r="J176" s="278">
        <v>6002.33</v>
      </c>
      <c r="K176" s="278">
        <v>6037.94</v>
      </c>
      <c r="L176" s="278">
        <v>5876.69</v>
      </c>
      <c r="M176" s="290"/>
      <c r="N176" s="290"/>
      <c r="O176" s="290"/>
      <c r="P176" s="290"/>
      <c r="Q176" s="326">
        <f>IF((L177=""),"",MAX(D178:L178))</f>
        <v>6515.420000000001</v>
      </c>
      <c r="R176" s="326">
        <f>IF(L177="","",MIN(D178:L178))</f>
        <v>6118.0199999999995</v>
      </c>
      <c r="S176" s="327">
        <f>IF((L178=""),"",AVERAGE(D178:L178))</f>
        <v>6360.7844444444445</v>
      </c>
      <c r="T176" s="318">
        <f>IF((L177=""),"",(Q176-R176)/(Q176+R176)*100)</f>
        <v>3.1456198786712206</v>
      </c>
      <c r="U176" s="326">
        <f>STDEV(D178:P178)</f>
        <v>140.4893262058759</v>
      </c>
      <c r="V176" s="328" t="str">
        <f>IF(L177="","",IF(T176&lt;7.3,IF(S176&gt;5700,IF(S176&lt;7200,"Pass","Fail"),"Fail"),"Fail"))</f>
        <v>Pass</v>
      </c>
      <c r="W176" s="315">
        <v>1428</v>
      </c>
      <c r="X176" s="340" t="s">
        <v>251</v>
      </c>
      <c r="Y176" s="340"/>
      <c r="Z176" s="267">
        <v>4955</v>
      </c>
      <c r="AA176" s="267">
        <v>9645</v>
      </c>
      <c r="AB176" s="267">
        <v>5100</v>
      </c>
      <c r="AC176" s="267">
        <v>8300</v>
      </c>
      <c r="AD176" s="305">
        <v>10</v>
      </c>
      <c r="AE176" s="305">
        <v>9.8000000000000007</v>
      </c>
    </row>
    <row r="177" spans="1:31" ht="12.75" customHeight="1">
      <c r="A177" s="306"/>
      <c r="B177" s="298"/>
      <c r="C177" s="307" t="s">
        <v>198</v>
      </c>
      <c r="D177" s="278">
        <v>2893.27</v>
      </c>
      <c r="E177" s="278">
        <v>2836.16</v>
      </c>
      <c r="F177" s="278">
        <v>2833.54</v>
      </c>
      <c r="G177" s="278">
        <v>2724.64</v>
      </c>
      <c r="H177" s="278">
        <v>2675.43</v>
      </c>
      <c r="I177" s="278">
        <v>2558.9299999999998</v>
      </c>
      <c r="J177" s="278">
        <v>2775.83</v>
      </c>
      <c r="K177" s="278">
        <v>2846.94</v>
      </c>
      <c r="L177" s="278">
        <v>2801.26</v>
      </c>
      <c r="M177" s="290"/>
      <c r="N177" s="290"/>
      <c r="O177" s="290"/>
      <c r="P177" s="290"/>
      <c r="Q177" s="298"/>
      <c r="R177" s="298"/>
      <c r="S177" s="298"/>
      <c r="T177" s="298"/>
      <c r="U177" s="298"/>
      <c r="V177" s="302"/>
      <c r="W177" s="298"/>
      <c r="X177" s="340"/>
      <c r="Y177" s="340"/>
      <c r="Z177" s="267"/>
      <c r="AA177" s="267"/>
      <c r="AB177" s="267"/>
      <c r="AC177" s="267"/>
      <c r="AD177" s="268"/>
      <c r="AE177" s="269"/>
    </row>
    <row r="178" spans="1:31" ht="24.75" customHeight="1" thickBot="1">
      <c r="A178" s="306"/>
      <c r="B178" s="309"/>
      <c r="C178" s="310" t="s">
        <v>197</v>
      </c>
      <c r="D178" s="311">
        <f t="shared" ref="D178:L178" si="54">IF(((D176="")*AND(D177="")),"",(D176-D177)*2)</f>
        <v>6118.0199999999995</v>
      </c>
      <c r="E178" s="311">
        <f t="shared" si="54"/>
        <v>6359.1399999999994</v>
      </c>
      <c r="F178" s="311">
        <f t="shared" si="54"/>
        <v>6417.7999999999993</v>
      </c>
      <c r="G178" s="311">
        <f t="shared" si="54"/>
        <v>6515.420000000001</v>
      </c>
      <c r="H178" s="311">
        <f t="shared" si="54"/>
        <v>6497.5999999999995</v>
      </c>
      <c r="I178" s="311">
        <f t="shared" si="54"/>
        <v>6353.22</v>
      </c>
      <c r="J178" s="311">
        <f t="shared" si="54"/>
        <v>6453</v>
      </c>
      <c r="K178" s="311">
        <f t="shared" si="54"/>
        <v>6381.9999999999991</v>
      </c>
      <c r="L178" s="311">
        <f t="shared" si="54"/>
        <v>6150.8599999999988</v>
      </c>
      <c r="M178" s="311"/>
      <c r="N178" s="311"/>
      <c r="O178" s="311"/>
      <c r="P178" s="311" t="str">
        <f>IF(((P176="")*AND(P177="")),"",(P176-P177)*2)</f>
        <v/>
      </c>
      <c r="Q178" s="309"/>
      <c r="R178" s="309"/>
      <c r="S178" s="309"/>
      <c r="T178" s="309"/>
      <c r="U178" s="299"/>
      <c r="V178" s="312"/>
      <c r="W178" s="309"/>
      <c r="X178" s="341"/>
      <c r="Y178" s="341"/>
      <c r="Z178" s="267"/>
      <c r="AA178" s="267"/>
      <c r="AB178" s="267"/>
      <c r="AC178" s="267"/>
      <c r="AD178" s="268"/>
      <c r="AE178" s="269"/>
    </row>
    <row r="179" spans="1:31" ht="12.75" customHeight="1">
      <c r="A179" s="350">
        <v>42727</v>
      </c>
      <c r="B179" s="298" t="s">
        <v>200</v>
      </c>
      <c r="C179" s="299" t="s">
        <v>199</v>
      </c>
      <c r="D179" s="278">
        <v>6810.38</v>
      </c>
      <c r="E179" s="278">
        <v>6890.76</v>
      </c>
      <c r="F179" s="278">
        <v>6797.28</v>
      </c>
      <c r="G179" s="278">
        <v>6877.16</v>
      </c>
      <c r="H179" s="278">
        <v>6762.03</v>
      </c>
      <c r="I179" s="278">
        <v>6831</v>
      </c>
      <c r="J179" s="278">
        <v>6888.76</v>
      </c>
      <c r="K179" s="278">
        <v>6844.18</v>
      </c>
      <c r="L179" s="278">
        <v>6837.08</v>
      </c>
      <c r="M179" s="278">
        <v>6884.79</v>
      </c>
      <c r="N179" s="278">
        <v>6866.52</v>
      </c>
      <c r="O179" s="278">
        <v>6862.43</v>
      </c>
      <c r="P179" s="278">
        <v>6829.48</v>
      </c>
      <c r="Q179" s="326">
        <f>IF((L180=""),"",MAX(D181:P181))</f>
        <v>5304.2</v>
      </c>
      <c r="R179" s="298">
        <f>IF(L180="","",MIN(D181:L181))</f>
        <v>5249.48</v>
      </c>
      <c r="S179" s="318">
        <f>IF((P181=""),"",AVERAGE(D181:P181))</f>
        <v>5280.8238461538467</v>
      </c>
      <c r="T179" s="336">
        <f>IF((L180=""),"",(Q179-R179)/(Q179+R179)*100)</f>
        <v>0.51849212786440613</v>
      </c>
      <c r="U179" s="298">
        <f>STDEV(D181:P181)</f>
        <v>18.635509803561266</v>
      </c>
      <c r="V179" s="320" t="str">
        <f>IF(P180="","",IF(T179&lt;2.7,IF(S179&gt;5150,IF(S179&lt;5600,"Pass","Fail"),"Fail"),"Fail"))</f>
        <v>Pass</v>
      </c>
      <c r="W179" s="298">
        <v>1428</v>
      </c>
      <c r="X179" s="304"/>
      <c r="Y179" s="304"/>
      <c r="Z179" s="321">
        <v>4470</v>
      </c>
      <c r="AA179" s="321">
        <v>6020</v>
      </c>
      <c r="AB179" s="321">
        <v>5150</v>
      </c>
      <c r="AC179" s="321">
        <v>5600</v>
      </c>
      <c r="AD179" s="305">
        <v>10</v>
      </c>
      <c r="AE179" s="322">
        <v>2.7</v>
      </c>
    </row>
    <row r="180" spans="1:31" ht="12.75" customHeight="1">
      <c r="A180" s="306"/>
      <c r="B180" s="298"/>
      <c r="C180" s="307" t="s">
        <v>198</v>
      </c>
      <c r="D180" s="278">
        <v>1539.91</v>
      </c>
      <c r="E180" s="278">
        <v>1619.38</v>
      </c>
      <c r="F180" s="278">
        <v>1547.8</v>
      </c>
      <c r="G180" s="278">
        <v>1608.22</v>
      </c>
      <c r="H180" s="278">
        <v>1477.28</v>
      </c>
      <c r="I180" s="278">
        <v>1530.87</v>
      </c>
      <c r="J180" s="278">
        <v>1610.26</v>
      </c>
      <c r="K180" s="278">
        <v>1550.76</v>
      </c>
      <c r="L180" s="278">
        <v>1586.82</v>
      </c>
      <c r="M180" s="278">
        <v>1580.59</v>
      </c>
      <c r="N180" s="278">
        <v>1569.55</v>
      </c>
      <c r="O180" s="278">
        <v>1584.41</v>
      </c>
      <c r="P180" s="278">
        <v>1525.29</v>
      </c>
      <c r="Q180" s="298"/>
      <c r="R180" s="298"/>
      <c r="S180" s="298"/>
      <c r="T180" s="298"/>
      <c r="U180" s="298"/>
      <c r="V180" s="302"/>
      <c r="W180" s="298"/>
      <c r="X180" s="337"/>
      <c r="Y180" s="337"/>
      <c r="Z180" s="267"/>
      <c r="AA180" s="267"/>
      <c r="AB180" s="267"/>
      <c r="AC180" s="267"/>
      <c r="AD180" s="268"/>
      <c r="AE180" s="269"/>
    </row>
    <row r="181" spans="1:31" ht="24.75" customHeight="1" thickBot="1">
      <c r="A181" s="306"/>
      <c r="B181" s="299"/>
      <c r="C181" s="307" t="s">
        <v>197</v>
      </c>
      <c r="D181" s="323">
        <f t="shared" ref="D181:P181" si="55">IF(((D179="")*AND(D180="")),"",(D179-D180))</f>
        <v>5270.47</v>
      </c>
      <c r="E181" s="323">
        <f t="shared" si="55"/>
        <v>5271.38</v>
      </c>
      <c r="F181" s="323">
        <f t="shared" si="55"/>
        <v>5249.48</v>
      </c>
      <c r="G181" s="323">
        <f t="shared" si="55"/>
        <v>5268.94</v>
      </c>
      <c r="H181" s="323">
        <f t="shared" si="55"/>
        <v>5284.75</v>
      </c>
      <c r="I181" s="323">
        <f t="shared" si="55"/>
        <v>5300.13</v>
      </c>
      <c r="J181" s="323">
        <f t="shared" si="55"/>
        <v>5278.5</v>
      </c>
      <c r="K181" s="323">
        <f t="shared" si="55"/>
        <v>5293.42</v>
      </c>
      <c r="L181" s="323">
        <f t="shared" si="55"/>
        <v>5250.26</v>
      </c>
      <c r="M181" s="323">
        <f t="shared" si="55"/>
        <v>5304.2</v>
      </c>
      <c r="N181" s="323">
        <f t="shared" si="55"/>
        <v>5296.97</v>
      </c>
      <c r="O181" s="323">
        <f t="shared" si="55"/>
        <v>5278.02</v>
      </c>
      <c r="P181" s="323">
        <f t="shared" si="55"/>
        <v>5304.19</v>
      </c>
      <c r="Q181" s="299"/>
      <c r="R181" s="299"/>
      <c r="S181" s="299"/>
      <c r="T181" s="299"/>
      <c r="U181" s="299"/>
      <c r="V181" s="324"/>
      <c r="W181" s="299"/>
      <c r="X181" s="337"/>
      <c r="Y181" s="337"/>
      <c r="Z181" s="267"/>
      <c r="AA181" s="267"/>
      <c r="AB181" s="267"/>
      <c r="AC181" s="267"/>
      <c r="AD181" s="268"/>
      <c r="AE181" s="269"/>
    </row>
    <row r="182" spans="1:31" ht="12.75" customHeight="1">
      <c r="A182" s="351">
        <v>42727</v>
      </c>
      <c r="B182" s="326" t="s">
        <v>202</v>
      </c>
      <c r="C182" s="307" t="s">
        <v>199</v>
      </c>
      <c r="D182" s="278">
        <v>5950.76</v>
      </c>
      <c r="E182" s="278">
        <v>6020.68</v>
      </c>
      <c r="F182" s="278">
        <v>6046.15</v>
      </c>
      <c r="G182" s="278">
        <v>5984.69</v>
      </c>
      <c r="H182" s="278">
        <v>5908.21</v>
      </c>
      <c r="I182" s="278">
        <v>5818.7</v>
      </c>
      <c r="J182" s="278">
        <v>6008.97</v>
      </c>
      <c r="K182" s="278">
        <v>6042.73</v>
      </c>
      <c r="L182" s="278">
        <v>5878.12</v>
      </c>
      <c r="M182" s="290"/>
      <c r="N182" s="290"/>
      <c r="O182" s="290"/>
      <c r="P182" s="290"/>
      <c r="Q182" s="326">
        <f>IF((L183=""),"",MAX(D184:L184))</f>
        <v>6436.4199999999992</v>
      </c>
      <c r="R182" s="326">
        <f>IF(L183="","",MIN(D184:L184))</f>
        <v>5929.8200000000006</v>
      </c>
      <c r="S182" s="327">
        <f>IF((L184=""),"",AVERAGE(D184:L184))</f>
        <v>6250.0088888888895</v>
      </c>
      <c r="T182" s="318">
        <f>IF((L183=""),"",(Q182-R182)/(Q182+R182)*100)</f>
        <v>4.0966372963811031</v>
      </c>
      <c r="U182" s="326">
        <f>STDEV(D184:P184)</f>
        <v>168.82334498254346</v>
      </c>
      <c r="V182" s="328" t="str">
        <f>IF(L183="","",IF(T182&lt;7.3,IF(S182&gt;5700,IF(S182&lt;7200,"Pass","Fail"),"Fail"),"Fail"))</f>
        <v>Pass</v>
      </c>
      <c r="W182" s="315">
        <v>1428</v>
      </c>
      <c r="X182" s="337"/>
      <c r="Y182" s="337"/>
      <c r="Z182" s="267">
        <v>4955</v>
      </c>
      <c r="AA182" s="267">
        <v>9645</v>
      </c>
      <c r="AB182" s="267">
        <v>5100</v>
      </c>
      <c r="AC182" s="267">
        <v>8300</v>
      </c>
      <c r="AD182" s="305">
        <v>10</v>
      </c>
      <c r="AE182" s="305">
        <v>9.8000000000000007</v>
      </c>
    </row>
    <row r="183" spans="1:31" ht="12.75" customHeight="1">
      <c r="A183" s="306"/>
      <c r="B183" s="298"/>
      <c r="C183" s="307" t="s">
        <v>198</v>
      </c>
      <c r="D183" s="278">
        <v>2985.85</v>
      </c>
      <c r="E183" s="278">
        <v>2885.75</v>
      </c>
      <c r="F183" s="278">
        <v>2876.8</v>
      </c>
      <c r="G183" s="278">
        <v>2766.48</v>
      </c>
      <c r="H183" s="278">
        <v>2753.76</v>
      </c>
      <c r="I183" s="278">
        <v>2651.18</v>
      </c>
      <c r="J183" s="278">
        <v>2836.93</v>
      </c>
      <c r="K183" s="278">
        <v>2899.94</v>
      </c>
      <c r="L183" s="278">
        <v>2877.28</v>
      </c>
      <c r="M183" s="290"/>
      <c r="N183" s="290"/>
      <c r="O183" s="290"/>
      <c r="P183" s="290"/>
      <c r="Q183" s="298"/>
      <c r="R183" s="298"/>
      <c r="S183" s="298"/>
      <c r="T183" s="298"/>
      <c r="U183" s="298"/>
      <c r="V183" s="302"/>
      <c r="W183" s="298"/>
      <c r="X183" s="337"/>
      <c r="Y183" s="337"/>
      <c r="Z183" s="267"/>
      <c r="AA183" s="267"/>
      <c r="AB183" s="267"/>
      <c r="AC183" s="267"/>
      <c r="AD183" s="268"/>
      <c r="AE183" s="269"/>
    </row>
    <row r="184" spans="1:31" ht="24.75" customHeight="1" thickBot="1">
      <c r="A184" s="306"/>
      <c r="B184" s="309"/>
      <c r="C184" s="310" t="s">
        <v>197</v>
      </c>
      <c r="D184" s="311">
        <f t="shared" ref="D184:L184" si="56">IF(((D182="")*AND(D183="")),"",(D182-D183)*2)</f>
        <v>5929.8200000000006</v>
      </c>
      <c r="E184" s="311">
        <f t="shared" si="56"/>
        <v>6269.8600000000006</v>
      </c>
      <c r="F184" s="311">
        <f t="shared" si="56"/>
        <v>6338.6999999999989</v>
      </c>
      <c r="G184" s="311">
        <f t="shared" si="56"/>
        <v>6436.4199999999992</v>
      </c>
      <c r="H184" s="311">
        <f t="shared" si="56"/>
        <v>6308.9</v>
      </c>
      <c r="I184" s="311">
        <f t="shared" si="56"/>
        <v>6335.04</v>
      </c>
      <c r="J184" s="311">
        <f t="shared" si="56"/>
        <v>6344.0800000000008</v>
      </c>
      <c r="K184" s="311">
        <f t="shared" si="56"/>
        <v>6285.579999999999</v>
      </c>
      <c r="L184" s="311">
        <f t="shared" si="56"/>
        <v>6001.6799999999994</v>
      </c>
      <c r="M184" s="311"/>
      <c r="N184" s="311"/>
      <c r="O184" s="311"/>
      <c r="P184" s="311" t="str">
        <f>IF(((P182="")*AND(P183="")),"",(P182-P183)*2)</f>
        <v/>
      </c>
      <c r="Q184" s="309"/>
      <c r="R184" s="309"/>
      <c r="S184" s="309"/>
      <c r="T184" s="309"/>
      <c r="U184" s="299"/>
      <c r="V184" s="312"/>
      <c r="W184" s="309"/>
      <c r="X184" s="352"/>
      <c r="Y184" s="352"/>
      <c r="Z184" s="267"/>
      <c r="AA184" s="267"/>
      <c r="AB184" s="267"/>
      <c r="AC184" s="267"/>
      <c r="AD184" s="268"/>
      <c r="AE184" s="269"/>
    </row>
    <row r="185" spans="1:31" ht="12.75" customHeight="1">
      <c r="A185" s="351">
        <v>42732</v>
      </c>
      <c r="B185" s="298" t="s">
        <v>200</v>
      </c>
      <c r="C185" s="299" t="s">
        <v>199</v>
      </c>
      <c r="D185" s="278">
        <v>6818.17</v>
      </c>
      <c r="E185" s="278">
        <v>6906.93</v>
      </c>
      <c r="F185" s="278">
        <v>6798.01</v>
      </c>
      <c r="G185" s="278">
        <v>6863.63</v>
      </c>
      <c r="H185" s="278">
        <v>6792.81</v>
      </c>
      <c r="I185" s="278">
        <v>6830.9</v>
      </c>
      <c r="J185" s="278">
        <v>6870.78</v>
      </c>
      <c r="K185" s="278">
        <v>6829.9</v>
      </c>
      <c r="L185" s="278">
        <v>6835.96</v>
      </c>
      <c r="M185" s="278">
        <v>6867.96</v>
      </c>
      <c r="N185" s="278">
        <v>6884.12</v>
      </c>
      <c r="O185" s="278">
        <v>6856.82</v>
      </c>
      <c r="P185" s="278">
        <v>6844.9</v>
      </c>
      <c r="Q185" s="326">
        <f>IF((L186=""),"",MAX(D187:P187))</f>
        <v>5240.3499999999995</v>
      </c>
      <c r="R185" s="298">
        <f>IF(L186="","",MIN(D187:L187))</f>
        <v>5199.8900000000003</v>
      </c>
      <c r="S185" s="318">
        <f>IF((P187=""),"",AVERAGE(D187:P187))</f>
        <v>5220.6669230769239</v>
      </c>
      <c r="T185" s="336">
        <f>IF((L186=""),"",(Q185-R185)/(Q185+R185)*100)</f>
        <v>0.38753898377814233</v>
      </c>
      <c r="U185" s="298">
        <f>STDEV(D187:P187)</f>
        <v>12.64336610229488</v>
      </c>
      <c r="V185" s="320" t="str">
        <f>IF(P186="","",IF(T185&lt;2.7,IF(S185&gt;5150,IF(S185&lt;5600,"Pass","Fail"),"Fail"),"Fail"))</f>
        <v>Pass</v>
      </c>
      <c r="W185" s="298">
        <v>1335</v>
      </c>
      <c r="X185" s="338"/>
      <c r="Y185" s="338"/>
      <c r="Z185" s="321">
        <v>4470</v>
      </c>
      <c r="AA185" s="321">
        <v>6020</v>
      </c>
      <c r="AB185" s="321">
        <v>5150</v>
      </c>
      <c r="AC185" s="321">
        <v>5600</v>
      </c>
      <c r="AD185" s="305">
        <v>10</v>
      </c>
      <c r="AE185" s="322">
        <v>2.7</v>
      </c>
    </row>
    <row r="186" spans="1:31" ht="12.75" customHeight="1">
      <c r="A186" s="306"/>
      <c r="B186" s="298"/>
      <c r="C186" s="307" t="s">
        <v>198</v>
      </c>
      <c r="D186" s="278">
        <v>1600.76</v>
      </c>
      <c r="E186" s="278">
        <v>1695.74</v>
      </c>
      <c r="F186" s="278">
        <v>1598.12</v>
      </c>
      <c r="G186" s="278">
        <v>1655.16</v>
      </c>
      <c r="H186" s="278">
        <v>1566.5</v>
      </c>
      <c r="I186" s="278">
        <v>1598.28</v>
      </c>
      <c r="J186" s="278">
        <v>1655.47</v>
      </c>
      <c r="K186" s="278">
        <v>1598.08</v>
      </c>
      <c r="L186" s="278">
        <v>1632.75</v>
      </c>
      <c r="M186" s="278">
        <v>1635.63</v>
      </c>
      <c r="N186" s="278">
        <v>1654.45</v>
      </c>
      <c r="O186" s="278">
        <v>1636.73</v>
      </c>
      <c r="P186" s="278">
        <v>1604.55</v>
      </c>
      <c r="Q186" s="298"/>
      <c r="R186" s="298"/>
      <c r="S186" s="298"/>
      <c r="T186" s="298"/>
      <c r="U186" s="298"/>
      <c r="V186" s="302"/>
      <c r="W186" s="298"/>
      <c r="X186" s="340"/>
      <c r="Y186" s="340"/>
      <c r="Z186" s="267"/>
      <c r="AA186" s="267"/>
      <c r="AB186" s="267"/>
      <c r="AC186" s="267"/>
      <c r="AD186" s="268"/>
      <c r="AE186" s="269"/>
    </row>
    <row r="187" spans="1:31" ht="24.75" customHeight="1" thickBot="1">
      <c r="A187" s="306"/>
      <c r="B187" s="299"/>
      <c r="C187" s="307" t="s">
        <v>197</v>
      </c>
      <c r="D187" s="323">
        <f t="shared" ref="D187:P187" si="57">IF(((D185="")*AND(D186="")),"",(D185-D186))</f>
        <v>5217.41</v>
      </c>
      <c r="E187" s="323">
        <f t="shared" si="57"/>
        <v>5211.1900000000005</v>
      </c>
      <c r="F187" s="323">
        <f t="shared" si="57"/>
        <v>5199.8900000000003</v>
      </c>
      <c r="G187" s="323">
        <f t="shared" si="57"/>
        <v>5208.47</v>
      </c>
      <c r="H187" s="323">
        <f t="shared" si="57"/>
        <v>5226.3100000000004</v>
      </c>
      <c r="I187" s="323">
        <f t="shared" si="57"/>
        <v>5232.62</v>
      </c>
      <c r="J187" s="323">
        <f t="shared" si="57"/>
        <v>5215.3099999999995</v>
      </c>
      <c r="K187" s="323">
        <f t="shared" si="57"/>
        <v>5231.82</v>
      </c>
      <c r="L187" s="323">
        <f t="shared" si="57"/>
        <v>5203.21</v>
      </c>
      <c r="M187" s="323">
        <f t="shared" si="57"/>
        <v>5232.33</v>
      </c>
      <c r="N187" s="323">
        <f t="shared" si="57"/>
        <v>5229.67</v>
      </c>
      <c r="O187" s="323">
        <f t="shared" si="57"/>
        <v>5220.09</v>
      </c>
      <c r="P187" s="323">
        <f t="shared" si="57"/>
        <v>5240.3499999999995</v>
      </c>
      <c r="Q187" s="299"/>
      <c r="R187" s="299"/>
      <c r="S187" s="299"/>
      <c r="T187" s="299"/>
      <c r="U187" s="299"/>
      <c r="V187" s="324"/>
      <c r="W187" s="299"/>
      <c r="X187" s="340"/>
      <c r="Y187" s="340"/>
      <c r="Z187" s="267"/>
      <c r="AA187" s="267"/>
      <c r="AB187" s="267"/>
      <c r="AC187" s="267"/>
      <c r="AD187" s="268"/>
      <c r="AE187" s="269"/>
    </row>
    <row r="188" spans="1:31" ht="12.75" customHeight="1">
      <c r="A188" s="351">
        <v>42732</v>
      </c>
      <c r="B188" s="326" t="s">
        <v>202</v>
      </c>
      <c r="C188" s="307" t="s">
        <v>199</v>
      </c>
      <c r="D188" s="278">
        <v>5970.37</v>
      </c>
      <c r="E188" s="278">
        <v>6022.18</v>
      </c>
      <c r="F188" s="278">
        <v>6046.69</v>
      </c>
      <c r="G188" s="278">
        <v>6004.41</v>
      </c>
      <c r="H188" s="278">
        <v>5930.27</v>
      </c>
      <c r="I188" s="278">
        <v>5871.56</v>
      </c>
      <c r="J188" s="278">
        <v>6013.17</v>
      </c>
      <c r="K188" s="278">
        <v>6042.82</v>
      </c>
      <c r="L188" s="278">
        <v>5891.58</v>
      </c>
      <c r="M188" s="290"/>
      <c r="N188" s="290"/>
      <c r="O188" s="290"/>
      <c r="P188" s="290"/>
      <c r="Q188" s="326">
        <f>IF((L189=""),"",MAX(D190:L190))</f>
        <v>7065.1399999999994</v>
      </c>
      <c r="R188" s="326">
        <f>IF(L189="","",MIN(D190:L190))</f>
        <v>6810.6</v>
      </c>
      <c r="S188" s="327">
        <f>IF((L190=""),"",AVERAGE(D190:L190))</f>
        <v>6945.3155555555559</v>
      </c>
      <c r="T188" s="318">
        <f>IF((L189=""),"",(Q188-R188)/(Q188+R188)*100)</f>
        <v>1.8344246865392335</v>
      </c>
      <c r="U188" s="326">
        <f>STDEV(D190:P190)</f>
        <v>100.17554480896088</v>
      </c>
      <c r="V188" s="328" t="str">
        <f>IF(L189="","",IF(T188&lt;7.3,IF(S188&gt;5700,IF(S188&lt;7200,"Pass","Fail"),"Fail"),"Fail"))</f>
        <v>Pass</v>
      </c>
      <c r="W188" s="315">
        <v>1335</v>
      </c>
      <c r="X188" s="340"/>
      <c r="Y188" s="340"/>
      <c r="Z188" s="267">
        <v>4955</v>
      </c>
      <c r="AA188" s="267">
        <v>9645</v>
      </c>
      <c r="AB188" s="267">
        <v>5100</v>
      </c>
      <c r="AC188" s="267">
        <v>8300</v>
      </c>
      <c r="AD188" s="305">
        <v>10</v>
      </c>
      <c r="AE188" s="305">
        <v>9.8000000000000007</v>
      </c>
    </row>
    <row r="189" spans="1:31" ht="12.75" customHeight="1">
      <c r="A189" s="306"/>
      <c r="B189" s="298"/>
      <c r="C189" s="307" t="s">
        <v>198</v>
      </c>
      <c r="D189" s="278">
        <v>2554.27</v>
      </c>
      <c r="E189" s="278">
        <v>2534.4899999999998</v>
      </c>
      <c r="F189" s="278">
        <v>2531.77</v>
      </c>
      <c r="G189" s="278">
        <v>2471.84</v>
      </c>
      <c r="H189" s="278">
        <v>2492.58</v>
      </c>
      <c r="I189" s="278">
        <v>2466.2600000000002</v>
      </c>
      <c r="J189" s="278">
        <v>2501.9299999999998</v>
      </c>
      <c r="K189" s="278">
        <v>2523.8000000000002</v>
      </c>
      <c r="L189" s="278">
        <v>2462.19</v>
      </c>
      <c r="M189" s="290"/>
      <c r="N189" s="290"/>
      <c r="O189" s="290"/>
      <c r="P189" s="290"/>
      <c r="Q189" s="298"/>
      <c r="R189" s="298"/>
      <c r="S189" s="298"/>
      <c r="T189" s="298"/>
      <c r="U189" s="298"/>
      <c r="V189" s="302"/>
      <c r="W189" s="298"/>
      <c r="X189" s="340"/>
      <c r="Y189" s="340"/>
      <c r="Z189" s="267"/>
      <c r="AA189" s="267"/>
      <c r="AB189" s="267"/>
      <c r="AC189" s="267"/>
      <c r="AD189" s="268"/>
      <c r="AE189" s="269"/>
    </row>
    <row r="190" spans="1:31" ht="24.75" customHeight="1" thickBot="1">
      <c r="A190" s="306"/>
      <c r="B190" s="309"/>
      <c r="C190" s="310" t="s">
        <v>197</v>
      </c>
      <c r="D190" s="311">
        <f t="shared" ref="D190:L190" si="58">IF(((D188="")*AND(D189="")),"",(D188-D189)*2)</f>
        <v>6832.2</v>
      </c>
      <c r="E190" s="311">
        <f t="shared" si="58"/>
        <v>6975.380000000001</v>
      </c>
      <c r="F190" s="311">
        <f t="shared" si="58"/>
        <v>7029.8399999999992</v>
      </c>
      <c r="G190" s="311">
        <f t="shared" si="58"/>
        <v>7065.1399999999994</v>
      </c>
      <c r="H190" s="311">
        <f t="shared" si="58"/>
        <v>6875.380000000001</v>
      </c>
      <c r="I190" s="311">
        <f t="shared" si="58"/>
        <v>6810.6</v>
      </c>
      <c r="J190" s="311">
        <f t="shared" si="58"/>
        <v>7022.4800000000005</v>
      </c>
      <c r="K190" s="311">
        <f t="shared" si="58"/>
        <v>7038.0399999999991</v>
      </c>
      <c r="L190" s="311">
        <f t="shared" si="58"/>
        <v>6858.78</v>
      </c>
      <c r="M190" s="311"/>
      <c r="N190" s="311"/>
      <c r="O190" s="311"/>
      <c r="P190" s="311" t="str">
        <f>IF(((P188="")*AND(P189="")),"",(P188-P189)*2)</f>
        <v/>
      </c>
      <c r="Q190" s="309"/>
      <c r="R190" s="309"/>
      <c r="S190" s="309"/>
      <c r="T190" s="309"/>
      <c r="U190" s="299"/>
      <c r="V190" s="312"/>
      <c r="W190" s="309"/>
      <c r="X190" s="341"/>
      <c r="Y190" s="341"/>
      <c r="Z190" s="267"/>
      <c r="AA190" s="267"/>
      <c r="AB190" s="267"/>
      <c r="AC190" s="267"/>
      <c r="AD190" s="268"/>
      <c r="AE190" s="269"/>
    </row>
    <row r="191" spans="1:31" ht="12.75" customHeight="1">
      <c r="A191" s="350">
        <v>42739</v>
      </c>
      <c r="B191" s="298" t="s">
        <v>200</v>
      </c>
      <c r="C191" s="299" t="s">
        <v>199</v>
      </c>
      <c r="D191" s="278">
        <v>6840.16</v>
      </c>
      <c r="E191" s="278">
        <v>6938.9</v>
      </c>
      <c r="F191" s="278">
        <v>6811.5</v>
      </c>
      <c r="G191" s="278">
        <v>6865.54</v>
      </c>
      <c r="H191" s="278">
        <v>6839.36</v>
      </c>
      <c r="I191" s="278">
        <v>6854.98</v>
      </c>
      <c r="J191" s="278">
        <v>6871.92</v>
      </c>
      <c r="K191" s="278">
        <v>6833.31</v>
      </c>
      <c r="L191" s="278">
        <v>6849.64</v>
      </c>
      <c r="M191" s="278">
        <v>6872.84</v>
      </c>
      <c r="N191" s="278">
        <v>6922.55</v>
      </c>
      <c r="O191" s="278">
        <v>6877.15</v>
      </c>
      <c r="P191" s="278">
        <v>6884.27</v>
      </c>
      <c r="Q191" s="326">
        <f>IF((L192=""),"",MAX(D193:P193))</f>
        <v>5274.08</v>
      </c>
      <c r="R191" s="298">
        <f>IF(L192="","",MIN(D193:L193))</f>
        <v>5228.66</v>
      </c>
      <c r="S191" s="318">
        <f>IF((P193=""),"",AVERAGE(D193:P193))</f>
        <v>5252.1346153846152</v>
      </c>
      <c r="T191" s="336">
        <f>IF((L192=""),"",(Q191-R191)/(Q191+R191)*100)</f>
        <v>0.4324585774759736</v>
      </c>
      <c r="U191" s="298">
        <f>STDEV(D193:P193)</f>
        <v>14.191213017940257</v>
      </c>
      <c r="V191" s="320" t="str">
        <f>IF(P192="","",IF(T191&lt;2.7,IF(S191&gt;5150,IF(S191&lt;5600,"Pass","Fail"),"Fail"),"Fail"))</f>
        <v>Pass</v>
      </c>
      <c r="W191" s="298">
        <v>1335</v>
      </c>
      <c r="X191" s="338"/>
      <c r="Y191" s="338"/>
      <c r="Z191" s="321">
        <v>4470</v>
      </c>
      <c r="AA191" s="321">
        <v>6020</v>
      </c>
      <c r="AB191" s="321">
        <v>5150</v>
      </c>
      <c r="AC191" s="321">
        <v>5600</v>
      </c>
      <c r="AD191" s="305">
        <v>10</v>
      </c>
      <c r="AE191" s="322">
        <v>2.7</v>
      </c>
    </row>
    <row r="192" spans="1:31" ht="12.75" customHeight="1">
      <c r="A192" s="306"/>
      <c r="B192" s="298"/>
      <c r="C192" s="307" t="s">
        <v>198</v>
      </c>
      <c r="D192" s="278">
        <v>1594.12</v>
      </c>
      <c r="E192" s="278">
        <v>1696.98</v>
      </c>
      <c r="F192" s="278">
        <v>1582.84</v>
      </c>
      <c r="G192" s="278">
        <v>1626.01</v>
      </c>
      <c r="H192" s="278">
        <v>1584.6</v>
      </c>
      <c r="I192" s="278">
        <v>1589.48</v>
      </c>
      <c r="J192" s="278">
        <v>1627.94</v>
      </c>
      <c r="K192" s="278">
        <v>1568.93</v>
      </c>
      <c r="L192" s="278">
        <v>1615.29</v>
      </c>
      <c r="M192" s="278">
        <v>1606.05</v>
      </c>
      <c r="N192" s="278">
        <v>1658.21</v>
      </c>
      <c r="O192" s="278">
        <v>1623.73</v>
      </c>
      <c r="P192" s="278">
        <v>1610.19</v>
      </c>
      <c r="Q192" s="298"/>
      <c r="R192" s="298"/>
      <c r="S192" s="298"/>
      <c r="T192" s="298"/>
      <c r="U192" s="298"/>
      <c r="V192" s="302"/>
      <c r="W192" s="298"/>
      <c r="X192" s="340"/>
      <c r="Y192" s="340"/>
      <c r="Z192" s="267"/>
      <c r="AA192" s="267"/>
      <c r="AB192" s="267"/>
      <c r="AC192" s="267"/>
      <c r="AD192" s="268"/>
      <c r="AE192" s="269"/>
    </row>
    <row r="193" spans="1:31" ht="24.75" customHeight="1" thickBot="1">
      <c r="A193" s="306"/>
      <c r="B193" s="299"/>
      <c r="C193" s="307" t="s">
        <v>197</v>
      </c>
      <c r="D193" s="323">
        <f t="shared" ref="D193:P193" si="59">IF(((D191="")*AND(D192="")),"",(D191-D192))</f>
        <v>5246.04</v>
      </c>
      <c r="E193" s="323">
        <f t="shared" si="59"/>
        <v>5241.92</v>
      </c>
      <c r="F193" s="323">
        <f t="shared" si="59"/>
        <v>5228.66</v>
      </c>
      <c r="G193" s="323">
        <f t="shared" si="59"/>
        <v>5239.53</v>
      </c>
      <c r="H193" s="323">
        <f t="shared" si="59"/>
        <v>5254.76</v>
      </c>
      <c r="I193" s="323">
        <f t="shared" si="59"/>
        <v>5265.5</v>
      </c>
      <c r="J193" s="323">
        <f t="shared" si="59"/>
        <v>5243.98</v>
      </c>
      <c r="K193" s="323">
        <f t="shared" si="59"/>
        <v>5264.38</v>
      </c>
      <c r="L193" s="323">
        <f t="shared" si="59"/>
        <v>5234.3500000000004</v>
      </c>
      <c r="M193" s="323">
        <f t="shared" si="59"/>
        <v>5266.79</v>
      </c>
      <c r="N193" s="323">
        <f t="shared" si="59"/>
        <v>5264.34</v>
      </c>
      <c r="O193" s="323">
        <f t="shared" si="59"/>
        <v>5253.42</v>
      </c>
      <c r="P193" s="323">
        <f t="shared" si="59"/>
        <v>5274.08</v>
      </c>
      <c r="Q193" s="299"/>
      <c r="R193" s="299"/>
      <c r="S193" s="299"/>
      <c r="T193" s="299"/>
      <c r="U193" s="299"/>
      <c r="V193" s="324"/>
      <c r="W193" s="299"/>
      <c r="X193" s="340"/>
      <c r="Y193" s="340"/>
      <c r="Z193" s="267"/>
      <c r="AA193" s="267"/>
      <c r="AB193" s="267"/>
      <c r="AC193" s="267"/>
      <c r="AD193" s="268"/>
      <c r="AE193" s="269"/>
    </row>
    <row r="194" spans="1:31" ht="12.75" customHeight="1">
      <c r="A194" s="351">
        <v>42739</v>
      </c>
      <c r="B194" s="326" t="s">
        <v>202</v>
      </c>
      <c r="C194" s="307" t="s">
        <v>199</v>
      </c>
      <c r="D194" s="278">
        <v>5973.36</v>
      </c>
      <c r="E194" s="278">
        <v>6012.52</v>
      </c>
      <c r="F194" s="278">
        <v>6044.71</v>
      </c>
      <c r="G194" s="278">
        <v>6020.76</v>
      </c>
      <c r="H194" s="278">
        <v>5933.73</v>
      </c>
      <c r="I194" s="278">
        <v>5859.67</v>
      </c>
      <c r="J194" s="278">
        <v>6005.86</v>
      </c>
      <c r="K194" s="278">
        <v>6029.12</v>
      </c>
      <c r="L194" s="278">
        <v>5899.12</v>
      </c>
      <c r="M194" s="290"/>
      <c r="N194" s="290"/>
      <c r="O194" s="290"/>
      <c r="P194" s="290"/>
      <c r="Q194" s="326">
        <f>IF((L195=""),"",MAX(D196:L196))</f>
        <v>6745.38</v>
      </c>
      <c r="R194" s="326">
        <f>IF(L195="","",MIN(D196:L196))</f>
        <v>6404.88</v>
      </c>
      <c r="S194" s="327">
        <f>IF((L196=""),"",AVERAGE(D196:L196))</f>
        <v>6598.137777777777</v>
      </c>
      <c r="T194" s="318">
        <f>IF((L195=""),"",(Q194-R194)/(Q194+R194)*100)</f>
        <v>2.5893024168343439</v>
      </c>
      <c r="U194" s="326">
        <f>STDEV(D196:P196)</f>
        <v>117.01036810667696</v>
      </c>
      <c r="V194" s="328" t="str">
        <f>IF(L195="","",IF(T194&lt;7.3,IF(S194&gt;5700,IF(S194&lt;7200,"Pass","Fail"),"Fail"),"Fail"))</f>
        <v>Pass</v>
      </c>
      <c r="W194" s="315">
        <v>1335</v>
      </c>
      <c r="X194" s="340"/>
      <c r="Y194" s="340"/>
      <c r="Z194" s="267">
        <v>4955</v>
      </c>
      <c r="AA194" s="267">
        <v>9645</v>
      </c>
      <c r="AB194" s="267">
        <v>5100</v>
      </c>
      <c r="AC194" s="267">
        <v>8300</v>
      </c>
      <c r="AD194" s="305">
        <v>10</v>
      </c>
      <c r="AE194" s="305">
        <v>9.8000000000000007</v>
      </c>
    </row>
    <row r="195" spans="1:31" ht="12.75" customHeight="1">
      <c r="A195" s="306"/>
      <c r="B195" s="298"/>
      <c r="C195" s="307" t="s">
        <v>198</v>
      </c>
      <c r="D195" s="278">
        <v>2724.04</v>
      </c>
      <c r="E195" s="278">
        <v>2697.49</v>
      </c>
      <c r="F195" s="278">
        <v>2694.89</v>
      </c>
      <c r="G195" s="278">
        <v>2648.07</v>
      </c>
      <c r="H195" s="278">
        <v>2666.03</v>
      </c>
      <c r="I195" s="278">
        <v>2657.23</v>
      </c>
      <c r="J195" s="278">
        <v>2662.37</v>
      </c>
      <c r="K195" s="278">
        <v>2686.98</v>
      </c>
      <c r="L195" s="278">
        <v>2650.13</v>
      </c>
      <c r="M195" s="290"/>
      <c r="N195" s="290"/>
      <c r="O195" s="290"/>
      <c r="P195" s="290"/>
      <c r="Q195" s="298"/>
      <c r="R195" s="298"/>
      <c r="S195" s="298"/>
      <c r="T195" s="298"/>
      <c r="U195" s="298"/>
      <c r="V195" s="302"/>
      <c r="W195" s="298"/>
      <c r="X195" s="340"/>
      <c r="Y195" s="340"/>
      <c r="Z195" s="267"/>
      <c r="AA195" s="267"/>
      <c r="AB195" s="267"/>
      <c r="AC195" s="267"/>
      <c r="AD195" s="268"/>
      <c r="AE195" s="269"/>
    </row>
    <row r="196" spans="1:31" ht="24.75" customHeight="1" thickBot="1">
      <c r="A196" s="306"/>
      <c r="B196" s="309"/>
      <c r="C196" s="310" t="s">
        <v>197</v>
      </c>
      <c r="D196" s="311">
        <f t="shared" ref="D196:L196" si="60">IF(((D194="")*AND(D195="")),"",(D194-D195)*2)</f>
        <v>6498.6399999999994</v>
      </c>
      <c r="E196" s="311">
        <f t="shared" si="60"/>
        <v>6630.0600000000013</v>
      </c>
      <c r="F196" s="311">
        <f t="shared" si="60"/>
        <v>6699.64</v>
      </c>
      <c r="G196" s="311">
        <f t="shared" si="60"/>
        <v>6745.38</v>
      </c>
      <c r="H196" s="311">
        <f t="shared" si="60"/>
        <v>6535.3999999999987</v>
      </c>
      <c r="I196" s="311">
        <f t="shared" si="60"/>
        <v>6404.88</v>
      </c>
      <c r="J196" s="311">
        <f t="shared" si="60"/>
        <v>6686.98</v>
      </c>
      <c r="K196" s="311">
        <f t="shared" si="60"/>
        <v>6684.28</v>
      </c>
      <c r="L196" s="311">
        <f t="shared" si="60"/>
        <v>6497.98</v>
      </c>
      <c r="M196" s="311"/>
      <c r="N196" s="311"/>
      <c r="O196" s="311"/>
      <c r="P196" s="311" t="str">
        <f>IF(((P194="")*AND(P195="")),"",(P194-P195)*2)</f>
        <v/>
      </c>
      <c r="Q196" s="309"/>
      <c r="R196" s="309"/>
      <c r="S196" s="309"/>
      <c r="T196" s="309"/>
      <c r="U196" s="299"/>
      <c r="V196" s="312"/>
      <c r="W196" s="309"/>
      <c r="X196" s="341"/>
      <c r="Y196" s="341"/>
      <c r="Z196" s="267"/>
      <c r="AA196" s="267"/>
      <c r="AB196" s="267"/>
      <c r="AC196" s="267"/>
      <c r="AD196" s="268"/>
      <c r="AE196" s="269"/>
    </row>
    <row r="197" spans="1:31" ht="12.75" customHeight="1">
      <c r="A197" s="351">
        <v>42746</v>
      </c>
      <c r="B197" s="298" t="s">
        <v>200</v>
      </c>
      <c r="C197" s="299" t="s">
        <v>199</v>
      </c>
      <c r="D197" s="278">
        <v>6828.76</v>
      </c>
      <c r="E197" s="278">
        <v>6923.89</v>
      </c>
      <c r="F197" s="278">
        <v>6791.22</v>
      </c>
      <c r="G197" s="278">
        <v>6864.5</v>
      </c>
      <c r="H197" s="278">
        <v>6814.64</v>
      </c>
      <c r="I197" s="278">
        <v>6839.09</v>
      </c>
      <c r="J197" s="278">
        <v>6873.95</v>
      </c>
      <c r="K197" s="278">
        <v>6836.72</v>
      </c>
      <c r="L197" s="278">
        <v>6828.19</v>
      </c>
      <c r="M197" s="278">
        <v>6869.47</v>
      </c>
      <c r="N197" s="278">
        <v>6904.25</v>
      </c>
      <c r="O197" s="278">
        <v>6858.14</v>
      </c>
      <c r="P197" s="278">
        <v>6866.14</v>
      </c>
      <c r="Q197" s="326">
        <f>IF((L198=""),"",MAX(D199:P199))</f>
        <v>5274.76</v>
      </c>
      <c r="R197" s="298">
        <f>IF(L198="","",MIN(D199:L199))</f>
        <v>5226.66</v>
      </c>
      <c r="S197" s="318">
        <f>IF((P199=""),"",AVERAGE(D199:P199))</f>
        <v>5250.6530769230776</v>
      </c>
      <c r="T197" s="336">
        <f>IF((L198=""),"",(Q197-R197)/(Q197+R197)*100)</f>
        <v>0.45803329454493164</v>
      </c>
      <c r="U197" s="298">
        <f>STDEV(D199:P199)</f>
        <v>14.39033783744534</v>
      </c>
      <c r="V197" s="320" t="str">
        <f>IF(P198="","",IF(T197&lt;2.7,IF(S197&gt;5150,IF(S197&lt;5600,"Pass","Fail"),"Fail"),"Fail"))</f>
        <v>Pass</v>
      </c>
      <c r="W197" s="298">
        <v>1159</v>
      </c>
      <c r="X197" s="338" t="s">
        <v>250</v>
      </c>
      <c r="Y197" s="338"/>
      <c r="Z197" s="321">
        <v>4470</v>
      </c>
      <c r="AA197" s="321">
        <v>6020</v>
      </c>
      <c r="AB197" s="321">
        <v>5150</v>
      </c>
      <c r="AC197" s="321">
        <v>5600</v>
      </c>
      <c r="AD197" s="305">
        <v>10</v>
      </c>
      <c r="AE197" s="322">
        <v>2.7</v>
      </c>
    </row>
    <row r="198" spans="1:31" ht="12.75" customHeight="1">
      <c r="A198" s="306"/>
      <c r="B198" s="298"/>
      <c r="C198" s="307" t="s">
        <v>198</v>
      </c>
      <c r="D198" s="278">
        <v>1584.86</v>
      </c>
      <c r="E198" s="278">
        <v>1681.07</v>
      </c>
      <c r="F198" s="278">
        <v>1564.56</v>
      </c>
      <c r="G198" s="278">
        <v>1627.16</v>
      </c>
      <c r="H198" s="278">
        <v>1562.4</v>
      </c>
      <c r="I198" s="278">
        <v>1578.08</v>
      </c>
      <c r="J198" s="278">
        <v>1629.86</v>
      </c>
      <c r="K198" s="278">
        <v>1573.67</v>
      </c>
      <c r="L198" s="278">
        <v>1596.54</v>
      </c>
      <c r="M198" s="278">
        <v>1604.29</v>
      </c>
      <c r="N198" s="278">
        <v>1640.86</v>
      </c>
      <c r="O198" s="278">
        <v>1605.74</v>
      </c>
      <c r="P198" s="278">
        <v>1591.38</v>
      </c>
      <c r="Q198" s="298"/>
      <c r="R198" s="298"/>
      <c r="S198" s="298"/>
      <c r="T198" s="298"/>
      <c r="U198" s="298"/>
      <c r="V198" s="302"/>
      <c r="W198" s="298"/>
      <c r="X198" s="340"/>
      <c r="Y198" s="340"/>
      <c r="Z198" s="267"/>
      <c r="AA198" s="267"/>
      <c r="AB198" s="267"/>
      <c r="AC198" s="267"/>
      <c r="AD198" s="268"/>
      <c r="AE198" s="269"/>
    </row>
    <row r="199" spans="1:31" ht="24.75" customHeight="1" thickBot="1">
      <c r="A199" s="306"/>
      <c r="B199" s="299"/>
      <c r="C199" s="307" t="s">
        <v>197</v>
      </c>
      <c r="D199" s="323">
        <f t="shared" ref="D199:P199" si="61">IF(((D197="")*AND(D198="")),"",(D197-D198))</f>
        <v>5243.9000000000005</v>
      </c>
      <c r="E199" s="323">
        <f t="shared" si="61"/>
        <v>5242.8200000000006</v>
      </c>
      <c r="F199" s="323">
        <f t="shared" si="61"/>
        <v>5226.66</v>
      </c>
      <c r="G199" s="323">
        <f t="shared" si="61"/>
        <v>5237.34</v>
      </c>
      <c r="H199" s="323">
        <f t="shared" si="61"/>
        <v>5252.24</v>
      </c>
      <c r="I199" s="323">
        <f t="shared" si="61"/>
        <v>5261.01</v>
      </c>
      <c r="J199" s="323">
        <f t="shared" si="61"/>
        <v>5244.09</v>
      </c>
      <c r="K199" s="323">
        <f t="shared" si="61"/>
        <v>5263.05</v>
      </c>
      <c r="L199" s="323">
        <f t="shared" si="61"/>
        <v>5231.6499999999996</v>
      </c>
      <c r="M199" s="323">
        <f t="shared" si="61"/>
        <v>5265.18</v>
      </c>
      <c r="N199" s="323">
        <f t="shared" si="61"/>
        <v>5263.39</v>
      </c>
      <c r="O199" s="323">
        <f t="shared" si="61"/>
        <v>5252.4000000000005</v>
      </c>
      <c r="P199" s="323">
        <f t="shared" si="61"/>
        <v>5274.76</v>
      </c>
      <c r="Q199" s="299"/>
      <c r="R199" s="299"/>
      <c r="S199" s="299"/>
      <c r="T199" s="299"/>
      <c r="U199" s="299"/>
      <c r="V199" s="324"/>
      <c r="W199" s="299"/>
      <c r="X199" s="340"/>
      <c r="Y199" s="340"/>
      <c r="Z199" s="267"/>
      <c r="AA199" s="267"/>
      <c r="AB199" s="267"/>
      <c r="AC199" s="267"/>
      <c r="AD199" s="268"/>
      <c r="AE199" s="269"/>
    </row>
    <row r="200" spans="1:31" ht="12.75" customHeight="1">
      <c r="A200" s="351">
        <v>42746</v>
      </c>
      <c r="B200" s="326" t="s">
        <v>202</v>
      </c>
      <c r="C200" s="307" t="s">
        <v>199</v>
      </c>
      <c r="D200" s="278">
        <v>5987.18</v>
      </c>
      <c r="E200" s="278">
        <v>6027.14</v>
      </c>
      <c r="F200" s="278">
        <v>6052.41</v>
      </c>
      <c r="G200" s="278">
        <v>6015.15</v>
      </c>
      <c r="H200" s="278">
        <v>5949</v>
      </c>
      <c r="I200" s="278">
        <v>5893.38</v>
      </c>
      <c r="J200" s="278">
        <v>6018.59</v>
      </c>
      <c r="K200" s="278">
        <v>6042.19</v>
      </c>
      <c r="L200" s="278">
        <v>5924.28</v>
      </c>
      <c r="M200" s="290"/>
      <c r="N200" s="290"/>
      <c r="O200" s="290"/>
      <c r="P200" s="290"/>
      <c r="Q200" s="326">
        <f>IF((L201=""),"",MAX(D202:L202))</f>
        <v>6742.5599999999995</v>
      </c>
      <c r="R200" s="326">
        <f>IF(L201="","",MIN(D202:L202))</f>
        <v>6387.880000000001</v>
      </c>
      <c r="S200" s="327">
        <f>IF((L202=""),"",AVERAGE(D202:L202))</f>
        <v>6576.3488888888887</v>
      </c>
      <c r="T200" s="318">
        <f>IF((L201=""),"",(Q200-R200)/(Q200+R200)*100)</f>
        <v>2.7012042246870513</v>
      </c>
      <c r="U200" s="326">
        <f>STDEV(D202:P202)</f>
        <v>96.598786799392585</v>
      </c>
      <c r="V200" s="328" t="str">
        <f>IF(L201="","",IF(T200&lt;7.3,IF(S200&gt;5700,IF(S200&lt;7200,"Pass","Fail"),"Fail"),"Fail"))</f>
        <v>Pass</v>
      </c>
      <c r="W200" s="315">
        <v>1159</v>
      </c>
      <c r="X200" s="340" t="s">
        <v>250</v>
      </c>
      <c r="Y200" s="340"/>
      <c r="Z200" s="267">
        <v>4955</v>
      </c>
      <c r="AA200" s="267">
        <v>9645</v>
      </c>
      <c r="AB200" s="267">
        <v>5100</v>
      </c>
      <c r="AC200" s="267">
        <v>8300</v>
      </c>
      <c r="AD200" s="305">
        <v>10</v>
      </c>
      <c r="AE200" s="305">
        <v>9.8000000000000007</v>
      </c>
    </row>
    <row r="201" spans="1:31" ht="12.75" customHeight="1">
      <c r="A201" s="306"/>
      <c r="B201" s="298"/>
      <c r="C201" s="307" t="s">
        <v>198</v>
      </c>
      <c r="D201" s="278">
        <v>2793.24</v>
      </c>
      <c r="E201" s="278">
        <v>2754.14</v>
      </c>
      <c r="F201" s="278">
        <v>2753.08</v>
      </c>
      <c r="G201" s="278">
        <v>2643.87</v>
      </c>
      <c r="H201" s="278">
        <v>2688.54</v>
      </c>
      <c r="I201" s="278">
        <v>2612.4</v>
      </c>
      <c r="J201" s="278">
        <v>2690.16</v>
      </c>
      <c r="K201" s="278">
        <v>2745.06</v>
      </c>
      <c r="L201" s="278">
        <v>2635.26</v>
      </c>
      <c r="M201" s="290"/>
      <c r="N201" s="290"/>
      <c r="O201" s="290"/>
      <c r="P201" s="290"/>
      <c r="Q201" s="298"/>
      <c r="R201" s="298"/>
      <c r="S201" s="298"/>
      <c r="T201" s="298"/>
      <c r="U201" s="298"/>
      <c r="V201" s="302"/>
      <c r="W201" s="298"/>
      <c r="X201" s="340"/>
      <c r="Y201" s="340"/>
      <c r="Z201" s="267"/>
      <c r="AA201" s="267"/>
      <c r="AB201" s="267"/>
      <c r="AC201" s="267"/>
      <c r="AD201" s="268"/>
      <c r="AE201" s="269"/>
    </row>
    <row r="202" spans="1:31" ht="24.75" customHeight="1" thickBot="1">
      <c r="A202" s="306"/>
      <c r="B202" s="309"/>
      <c r="C202" s="310" t="s">
        <v>197</v>
      </c>
      <c r="D202" s="311">
        <f t="shared" ref="D202:L202" si="62">IF(((D200="")*AND(D201="")),"",(D200-D201)*2)</f>
        <v>6387.880000000001</v>
      </c>
      <c r="E202" s="311">
        <f t="shared" si="62"/>
        <v>6546.0000000000009</v>
      </c>
      <c r="F202" s="311">
        <f t="shared" si="62"/>
        <v>6598.66</v>
      </c>
      <c r="G202" s="311">
        <f t="shared" si="62"/>
        <v>6742.5599999999995</v>
      </c>
      <c r="H202" s="311">
        <f t="shared" si="62"/>
        <v>6520.92</v>
      </c>
      <c r="I202" s="311">
        <f t="shared" si="62"/>
        <v>6561.96</v>
      </c>
      <c r="J202" s="311">
        <f t="shared" si="62"/>
        <v>6656.8600000000006</v>
      </c>
      <c r="K202" s="311">
        <f t="shared" si="62"/>
        <v>6594.2599999999993</v>
      </c>
      <c r="L202" s="311">
        <f t="shared" si="62"/>
        <v>6578.0399999999991</v>
      </c>
      <c r="M202" s="311"/>
      <c r="N202" s="311"/>
      <c r="O202" s="311"/>
      <c r="P202" s="311" t="str">
        <f>IF(((P200="")*AND(P201="")),"",(P200-P201)*2)</f>
        <v/>
      </c>
      <c r="Q202" s="309"/>
      <c r="R202" s="309"/>
      <c r="S202" s="309"/>
      <c r="T202" s="309"/>
      <c r="U202" s="299"/>
      <c r="V202" s="312"/>
      <c r="W202" s="309"/>
      <c r="X202" s="341"/>
      <c r="Y202" s="341"/>
      <c r="Z202" s="267"/>
      <c r="AA202" s="267"/>
      <c r="AB202" s="267"/>
      <c r="AC202" s="267"/>
      <c r="AD202" s="268"/>
      <c r="AE202" s="269"/>
    </row>
    <row r="203" spans="1:31" ht="12.75" customHeight="1">
      <c r="A203" s="351">
        <v>42750</v>
      </c>
      <c r="B203" s="298" t="s">
        <v>200</v>
      </c>
      <c r="C203" s="299" t="s">
        <v>199</v>
      </c>
      <c r="D203" s="278">
        <v>6968.64</v>
      </c>
      <c r="E203" s="278">
        <v>7059.04</v>
      </c>
      <c r="F203" s="278">
        <v>6933.8</v>
      </c>
      <c r="G203" s="278">
        <v>6990.14</v>
      </c>
      <c r="H203" s="278">
        <v>6963.46</v>
      </c>
      <c r="I203" s="278">
        <v>6978.02</v>
      </c>
      <c r="J203" s="278">
        <v>6997.66</v>
      </c>
      <c r="K203" s="278">
        <v>6959.02</v>
      </c>
      <c r="L203" s="278">
        <v>6971.36</v>
      </c>
      <c r="M203" s="278">
        <v>6999.2</v>
      </c>
      <c r="N203" s="278">
        <v>7046.05</v>
      </c>
      <c r="O203" s="278">
        <v>6998.42</v>
      </c>
      <c r="P203" s="278">
        <v>7011.89</v>
      </c>
      <c r="Q203" s="326">
        <f>IF((L204=""),"",MAX(D205:P205))</f>
        <v>5310.0700000000006</v>
      </c>
      <c r="R203" s="298">
        <f>IF(L204="","",MIN(D205:L205))</f>
        <v>5264.74</v>
      </c>
      <c r="S203" s="318">
        <f>IF((P205=""),"",AVERAGE(D205:P205))</f>
        <v>5286.2338461538466</v>
      </c>
      <c r="T203" s="336">
        <f>IF((L204=""),"",(Q203-R203)/(Q203+R203)*100)</f>
        <v>0.42866018396548805</v>
      </c>
      <c r="U203" s="298">
        <f>STDEV(D205:P205)</f>
        <v>14.299253790628596</v>
      </c>
      <c r="V203" s="320" t="str">
        <f>IF(P204="","",IF(T203&lt;2.7,IF(S203&gt;5150,IF(S203&lt;5600,"Pass","Fail"),"Fail"),"Fail"))</f>
        <v>Pass</v>
      </c>
      <c r="W203" s="298">
        <v>1159</v>
      </c>
      <c r="X203" s="353" t="s">
        <v>311</v>
      </c>
      <c r="Y203" s="353" t="s">
        <v>310</v>
      </c>
      <c r="Z203" s="321">
        <v>4470</v>
      </c>
      <c r="AA203" s="321">
        <v>6020</v>
      </c>
      <c r="AB203" s="321">
        <v>5150</v>
      </c>
      <c r="AC203" s="321">
        <v>5600</v>
      </c>
      <c r="AD203" s="305">
        <v>10</v>
      </c>
      <c r="AE203" s="322">
        <v>2.7</v>
      </c>
    </row>
    <row r="204" spans="1:31" ht="12.75" customHeight="1">
      <c r="A204" s="306"/>
      <c r="B204" s="298"/>
      <c r="C204" s="307" t="s">
        <v>198</v>
      </c>
      <c r="D204" s="278">
        <v>1689.87</v>
      </c>
      <c r="E204" s="278">
        <v>1783.48</v>
      </c>
      <c r="F204" s="278">
        <v>1669.06</v>
      </c>
      <c r="G204" s="278">
        <v>1717.3</v>
      </c>
      <c r="H204" s="278">
        <v>1685.09</v>
      </c>
      <c r="I204" s="278">
        <v>1683.3</v>
      </c>
      <c r="J204" s="278">
        <v>1718.7</v>
      </c>
      <c r="K204" s="278">
        <v>1659.95</v>
      </c>
      <c r="L204" s="278">
        <v>1698.92</v>
      </c>
      <c r="M204" s="278">
        <v>1693.42</v>
      </c>
      <c r="N204" s="278">
        <v>1750.25</v>
      </c>
      <c r="O204" s="278">
        <v>1704.5</v>
      </c>
      <c r="P204" s="278">
        <v>1701.82</v>
      </c>
      <c r="Q204" s="298"/>
      <c r="R204" s="298"/>
      <c r="S204" s="298"/>
      <c r="T204" s="298"/>
      <c r="U204" s="298"/>
      <c r="V204" s="302"/>
      <c r="W204" s="298"/>
      <c r="X204" s="354"/>
      <c r="Y204" s="354"/>
      <c r="Z204" s="321"/>
      <c r="AA204" s="321"/>
      <c r="AB204" s="321"/>
      <c r="AC204" s="321"/>
      <c r="AD204" s="305"/>
      <c r="AE204" s="322"/>
    </row>
    <row r="205" spans="1:31" ht="24.75" customHeight="1" thickBot="1">
      <c r="A205" s="306"/>
      <c r="B205" s="299"/>
      <c r="C205" s="307" t="s">
        <v>197</v>
      </c>
      <c r="D205" s="323">
        <f t="shared" ref="D205:P205" si="63">IF(((D203="")*AND(D204="")),"",(D203-D204))</f>
        <v>5278.77</v>
      </c>
      <c r="E205" s="323">
        <f t="shared" si="63"/>
        <v>5275.5599999999995</v>
      </c>
      <c r="F205" s="323">
        <f t="shared" si="63"/>
        <v>5264.74</v>
      </c>
      <c r="G205" s="323">
        <f t="shared" si="63"/>
        <v>5272.84</v>
      </c>
      <c r="H205" s="323">
        <f t="shared" si="63"/>
        <v>5278.37</v>
      </c>
      <c r="I205" s="323">
        <f t="shared" si="63"/>
        <v>5294.72</v>
      </c>
      <c r="J205" s="323">
        <f t="shared" si="63"/>
        <v>5278.96</v>
      </c>
      <c r="K205" s="323">
        <f t="shared" si="63"/>
        <v>5299.0700000000006</v>
      </c>
      <c r="L205" s="323">
        <f t="shared" si="63"/>
        <v>5272.44</v>
      </c>
      <c r="M205" s="323">
        <f t="shared" si="63"/>
        <v>5305.78</v>
      </c>
      <c r="N205" s="323">
        <f t="shared" si="63"/>
        <v>5295.8</v>
      </c>
      <c r="O205" s="323">
        <f t="shared" si="63"/>
        <v>5293.92</v>
      </c>
      <c r="P205" s="323">
        <f t="shared" si="63"/>
        <v>5310.0700000000006</v>
      </c>
      <c r="Q205" s="299"/>
      <c r="R205" s="299"/>
      <c r="S205" s="299"/>
      <c r="T205" s="299"/>
      <c r="U205" s="299"/>
      <c r="V205" s="324"/>
      <c r="W205" s="299"/>
      <c r="X205" s="354"/>
      <c r="Y205" s="354"/>
      <c r="Z205" s="267"/>
      <c r="AA205" s="267"/>
      <c r="AB205" s="267"/>
      <c r="AC205" s="267"/>
      <c r="AD205" s="268"/>
      <c r="AE205" s="269"/>
    </row>
    <row r="206" spans="1:31" ht="12.75" customHeight="1">
      <c r="A206" s="351">
        <v>42750</v>
      </c>
      <c r="B206" s="326" t="s">
        <v>202</v>
      </c>
      <c r="C206" s="307" t="s">
        <v>199</v>
      </c>
      <c r="D206" s="278">
        <v>5973.35</v>
      </c>
      <c r="E206" s="278">
        <v>6015.21</v>
      </c>
      <c r="F206" s="278">
        <v>6041.59</v>
      </c>
      <c r="G206" s="278">
        <v>5992.92</v>
      </c>
      <c r="H206" s="278">
        <v>5915.05</v>
      </c>
      <c r="I206" s="278">
        <v>5930</v>
      </c>
      <c r="J206" s="278">
        <v>6018.88</v>
      </c>
      <c r="K206" s="278">
        <v>6035</v>
      </c>
      <c r="L206" s="278">
        <v>5902.08</v>
      </c>
      <c r="M206" s="290"/>
      <c r="N206" s="290"/>
      <c r="O206" s="290"/>
      <c r="P206" s="290"/>
      <c r="Q206" s="326">
        <f>IF((L207=""),"",MAX(D208:L208))</f>
        <v>6423.06</v>
      </c>
      <c r="R206" s="326">
        <f>IF(L207="","",MIN(D208:L208))</f>
        <v>6015.7200000000012</v>
      </c>
      <c r="S206" s="327">
        <f>IF((L208=""),"",AVERAGE(D208:L208))</f>
        <v>6227.7022222222222</v>
      </c>
      <c r="T206" s="318">
        <f>IF((L207=""),"",(Q206-R206)/(Q206+R206)*100)</f>
        <v>3.27475845701909</v>
      </c>
      <c r="U206" s="326">
        <f>STDEV(D208:P208)</f>
        <v>127.63063912885858</v>
      </c>
      <c r="V206" s="328" t="str">
        <f>IF(L207="","",IF(T206&lt;7.3,IF(S206&gt;5700,IF(S206&lt;7200,"Pass","Fail"),"Fail"),"Fail"))</f>
        <v>Pass</v>
      </c>
      <c r="W206" s="315">
        <v>1159</v>
      </c>
      <c r="X206" s="354" t="s">
        <v>311</v>
      </c>
      <c r="Y206" s="354" t="s">
        <v>310</v>
      </c>
      <c r="Z206" s="267">
        <v>4955</v>
      </c>
      <c r="AA206" s="267">
        <v>9645</v>
      </c>
      <c r="AB206" s="267">
        <v>5100</v>
      </c>
      <c r="AC206" s="267">
        <v>8300</v>
      </c>
      <c r="AD206" s="305">
        <v>10</v>
      </c>
      <c r="AE206" s="305">
        <v>9.8000000000000007</v>
      </c>
    </row>
    <row r="207" spans="1:31" ht="12.75" customHeight="1">
      <c r="A207" s="306"/>
      <c r="B207" s="298"/>
      <c r="C207" s="307" t="s">
        <v>198</v>
      </c>
      <c r="D207" s="278">
        <v>2965.49</v>
      </c>
      <c r="E207" s="278">
        <v>2924.07</v>
      </c>
      <c r="F207" s="278">
        <v>2919.3</v>
      </c>
      <c r="G207" s="278">
        <v>2808.94</v>
      </c>
      <c r="H207" s="278">
        <v>2870.42</v>
      </c>
      <c r="I207" s="278">
        <v>2718.47</v>
      </c>
      <c r="J207" s="278">
        <v>2870.62</v>
      </c>
      <c r="K207" s="278">
        <v>2916.51</v>
      </c>
      <c r="L207" s="278">
        <v>2805.6</v>
      </c>
      <c r="M207" s="290"/>
      <c r="N207" s="290"/>
      <c r="O207" s="290"/>
      <c r="P207" s="290"/>
      <c r="Q207" s="298"/>
      <c r="R207" s="298"/>
      <c r="S207" s="298"/>
      <c r="T207" s="298"/>
      <c r="U207" s="298"/>
      <c r="V207" s="302"/>
      <c r="W207" s="298"/>
      <c r="X207" s="354"/>
      <c r="Y207" s="354"/>
      <c r="Z207" s="267"/>
      <c r="AA207" s="267"/>
      <c r="AB207" s="267"/>
      <c r="AC207" s="267"/>
      <c r="AD207" s="305"/>
      <c r="AE207" s="305"/>
    </row>
    <row r="208" spans="1:31" ht="24.75" customHeight="1" thickBot="1">
      <c r="A208" s="306"/>
      <c r="B208" s="309"/>
      <c r="C208" s="310" t="s">
        <v>197</v>
      </c>
      <c r="D208" s="311">
        <f t="shared" ref="D208:L208" si="64">IF(((D206="")*AND(D207="")),"",(D206-D207)*2)</f>
        <v>6015.7200000000012</v>
      </c>
      <c r="E208" s="311">
        <f t="shared" si="64"/>
        <v>6182.28</v>
      </c>
      <c r="F208" s="311">
        <f t="shared" si="64"/>
        <v>6244.58</v>
      </c>
      <c r="G208" s="311">
        <f t="shared" si="64"/>
        <v>6367.96</v>
      </c>
      <c r="H208" s="311">
        <f t="shared" si="64"/>
        <v>6089.26</v>
      </c>
      <c r="I208" s="311">
        <f t="shared" si="64"/>
        <v>6423.06</v>
      </c>
      <c r="J208" s="311">
        <f t="shared" si="64"/>
        <v>6296.52</v>
      </c>
      <c r="K208" s="311">
        <f t="shared" si="64"/>
        <v>6236.98</v>
      </c>
      <c r="L208" s="311">
        <f t="shared" si="64"/>
        <v>6192.96</v>
      </c>
      <c r="M208" s="311"/>
      <c r="N208" s="311"/>
      <c r="O208" s="311"/>
      <c r="P208" s="311" t="str">
        <f>IF(((P206="")*AND(P207="")),"",(P206-P207)*2)</f>
        <v/>
      </c>
      <c r="Q208" s="309"/>
      <c r="R208" s="309"/>
      <c r="S208" s="309"/>
      <c r="T208" s="309"/>
      <c r="U208" s="299"/>
      <c r="V208" s="312"/>
      <c r="W208" s="309"/>
      <c r="X208" s="355"/>
      <c r="Y208" s="355"/>
      <c r="Z208" s="267"/>
      <c r="AA208" s="267"/>
      <c r="AB208" s="267"/>
      <c r="AC208" s="267"/>
      <c r="AD208" s="305"/>
      <c r="AE208" s="305"/>
    </row>
    <row r="209" spans="1:31" ht="12.75" customHeight="1">
      <c r="A209" s="351">
        <v>42773</v>
      </c>
      <c r="B209" s="298" t="s">
        <v>200</v>
      </c>
      <c r="C209" s="299" t="s">
        <v>199</v>
      </c>
      <c r="D209" s="278">
        <v>6840.14</v>
      </c>
      <c r="E209" s="278">
        <v>6931.58</v>
      </c>
      <c r="F209" s="278">
        <v>6808.1</v>
      </c>
      <c r="G209" s="278">
        <v>6882.56</v>
      </c>
      <c r="H209" s="278">
        <v>6813.66</v>
      </c>
      <c r="I209" s="278">
        <v>6846.11</v>
      </c>
      <c r="J209" s="278">
        <v>6888.15</v>
      </c>
      <c r="K209" s="278">
        <v>6850.47</v>
      </c>
      <c r="L209" s="278">
        <v>6843.25</v>
      </c>
      <c r="M209" s="278">
        <v>6878.75</v>
      </c>
      <c r="N209" s="278">
        <v>6901.51</v>
      </c>
      <c r="O209" s="278">
        <v>6864.87</v>
      </c>
      <c r="P209" s="278">
        <v>6860.17</v>
      </c>
      <c r="Q209" s="326">
        <f>IF((L210=""),"",MAX(D211:P211))</f>
        <v>5279.89</v>
      </c>
      <c r="R209" s="298">
        <f>IF(L210="","",MIN(D211:L211))</f>
        <v>5209.7300000000005</v>
      </c>
      <c r="S209" s="318">
        <f>IF((P211=""),"",AVERAGE(D211:P211))</f>
        <v>5248.4061538461547</v>
      </c>
      <c r="T209" s="336">
        <f>IF((L210=""),"",(Q209-R209)/(Q209+R209)*100)</f>
        <v>0.66885168385508575</v>
      </c>
      <c r="U209" s="298">
        <f>STDEV(D211:P211)</f>
        <v>22.549124719809424</v>
      </c>
      <c r="V209" s="320" t="str">
        <f>IF(P210="","",IF(T209&lt;2.7,IF(S209&gt;5150,IF(S209&lt;5600,"Pass","Fail"),"Fail"),"Fail"))</f>
        <v>Pass</v>
      </c>
      <c r="W209" s="298">
        <v>1400</v>
      </c>
      <c r="X209" s="338" t="s">
        <v>249</v>
      </c>
      <c r="Y209" s="338"/>
      <c r="Z209" s="321">
        <v>4470</v>
      </c>
      <c r="AA209" s="321">
        <v>6020</v>
      </c>
      <c r="AB209" s="321">
        <v>5150</v>
      </c>
      <c r="AC209" s="321">
        <v>5600</v>
      </c>
      <c r="AD209" s="305">
        <v>10</v>
      </c>
      <c r="AE209" s="322">
        <v>2.7</v>
      </c>
    </row>
    <row r="210" spans="1:31" ht="12.75" customHeight="1">
      <c r="A210" s="306"/>
      <c r="B210" s="298"/>
      <c r="C210" s="307" t="s">
        <v>198</v>
      </c>
      <c r="D210" s="278">
        <v>1611.2</v>
      </c>
      <c r="E210" s="278">
        <v>1690.33</v>
      </c>
      <c r="F210" s="278">
        <v>1598.37</v>
      </c>
      <c r="G210" s="278">
        <v>1650.07</v>
      </c>
      <c r="H210" s="278">
        <v>1546.59</v>
      </c>
      <c r="I210" s="278">
        <v>1577.21</v>
      </c>
      <c r="J210" s="278">
        <v>1648.87</v>
      </c>
      <c r="K210" s="278">
        <v>1596.04</v>
      </c>
      <c r="L210" s="278">
        <v>1624.52</v>
      </c>
      <c r="M210" s="278">
        <v>1615.41</v>
      </c>
      <c r="N210" s="278">
        <v>1622.53</v>
      </c>
      <c r="O210" s="278">
        <v>1618.62</v>
      </c>
      <c r="P210" s="278">
        <v>1580.28</v>
      </c>
      <c r="Q210" s="298"/>
      <c r="R210" s="298"/>
      <c r="S210" s="298"/>
      <c r="T210" s="298"/>
      <c r="U210" s="298"/>
      <c r="V210" s="302"/>
      <c r="W210" s="298"/>
      <c r="X210" s="340"/>
      <c r="Y210" s="340"/>
      <c r="Z210" s="267"/>
      <c r="AA210" s="267"/>
      <c r="AB210" s="267"/>
      <c r="AC210" s="267"/>
      <c r="AD210" s="305"/>
      <c r="AE210" s="305"/>
    </row>
    <row r="211" spans="1:31" ht="24.75" customHeight="1" thickBot="1">
      <c r="A211" s="306"/>
      <c r="B211" s="299"/>
      <c r="C211" s="307" t="s">
        <v>197</v>
      </c>
      <c r="D211" s="323">
        <f t="shared" ref="D211:P211" si="65">IF(((D209="")*AND(D210="")),"",(D209-D210))</f>
        <v>5228.9400000000005</v>
      </c>
      <c r="E211" s="323">
        <f t="shared" si="65"/>
        <v>5241.25</v>
      </c>
      <c r="F211" s="323">
        <f t="shared" si="65"/>
        <v>5209.7300000000005</v>
      </c>
      <c r="G211" s="323">
        <f t="shared" si="65"/>
        <v>5232.4900000000007</v>
      </c>
      <c r="H211" s="323">
        <f t="shared" si="65"/>
        <v>5267.07</v>
      </c>
      <c r="I211" s="323">
        <f t="shared" si="65"/>
        <v>5268.9</v>
      </c>
      <c r="J211" s="323">
        <f t="shared" si="65"/>
        <v>5239.28</v>
      </c>
      <c r="K211" s="323">
        <f t="shared" si="65"/>
        <v>5254.43</v>
      </c>
      <c r="L211" s="323">
        <f t="shared" si="65"/>
        <v>5218.7299999999996</v>
      </c>
      <c r="M211" s="323">
        <f t="shared" si="65"/>
        <v>5263.34</v>
      </c>
      <c r="N211" s="323">
        <f t="shared" si="65"/>
        <v>5278.9800000000005</v>
      </c>
      <c r="O211" s="323">
        <f t="shared" si="65"/>
        <v>5246.25</v>
      </c>
      <c r="P211" s="323">
        <f t="shared" si="65"/>
        <v>5279.89</v>
      </c>
      <c r="Q211" s="299"/>
      <c r="R211" s="299"/>
      <c r="S211" s="299"/>
      <c r="T211" s="299"/>
      <c r="U211" s="299"/>
      <c r="V211" s="324"/>
      <c r="W211" s="299"/>
      <c r="X211" s="340"/>
      <c r="Y211" s="340"/>
      <c r="Z211" s="267"/>
      <c r="AA211" s="267"/>
      <c r="AB211" s="267"/>
      <c r="AC211" s="267"/>
      <c r="AD211" s="305"/>
      <c r="AE211" s="305"/>
    </row>
    <row r="212" spans="1:31" ht="12.75" customHeight="1">
      <c r="A212" s="351">
        <v>42773</v>
      </c>
      <c r="B212" s="326" t="s">
        <v>202</v>
      </c>
      <c r="C212" s="307" t="s">
        <v>199</v>
      </c>
      <c r="D212" s="278">
        <v>5980.93</v>
      </c>
      <c r="E212" s="278">
        <v>6018.15</v>
      </c>
      <c r="F212" s="278">
        <v>6047.58</v>
      </c>
      <c r="G212" s="278">
        <v>6020.02</v>
      </c>
      <c r="H212" s="278">
        <v>5947.86</v>
      </c>
      <c r="I212" s="278">
        <v>5877.47</v>
      </c>
      <c r="J212" s="278">
        <v>6008.51</v>
      </c>
      <c r="K212" s="278">
        <v>6031.38</v>
      </c>
      <c r="L212" s="278">
        <v>5918.34</v>
      </c>
      <c r="M212" s="290"/>
      <c r="N212" s="290"/>
      <c r="O212" s="290"/>
      <c r="P212" s="290"/>
      <c r="Q212" s="326">
        <f>IF((L213=""),"",MAX(D214:L214))</f>
        <v>6884.8600000000006</v>
      </c>
      <c r="R212" s="326">
        <f>IF(L213="","",MIN(D214:L214))</f>
        <v>6455.14</v>
      </c>
      <c r="S212" s="327">
        <f>IF((L214=""),"",AVERAGE(D214:L214))</f>
        <v>6675.0355555555543</v>
      </c>
      <c r="T212" s="318">
        <f>IF((L213=""),"",(Q212-R212)/(Q212+R212)*100)</f>
        <v>3.2212893553223405</v>
      </c>
      <c r="U212" s="326">
        <f>STDEV(D214:P214)</f>
        <v>126.36825304560863</v>
      </c>
      <c r="V212" s="328" t="str">
        <f>IF(L213="","",IF(T212&lt;7.3,IF(S212&gt;5700,IF(S212&lt;7200,"Pass","Fail"),"Fail"),"Fail"))</f>
        <v>Pass</v>
      </c>
      <c r="W212" s="315">
        <v>1400</v>
      </c>
      <c r="X212" s="340" t="s">
        <v>249</v>
      </c>
      <c r="Y212" s="340"/>
      <c r="Z212" s="267">
        <v>4955</v>
      </c>
      <c r="AA212" s="267">
        <v>9645</v>
      </c>
      <c r="AB212" s="267">
        <v>5100</v>
      </c>
      <c r="AC212" s="267">
        <v>8300</v>
      </c>
      <c r="AD212" s="305">
        <v>10</v>
      </c>
      <c r="AE212" s="305">
        <v>9.8000000000000007</v>
      </c>
    </row>
    <row r="213" spans="1:31" ht="12.75" customHeight="1">
      <c r="A213" s="306"/>
      <c r="B213" s="298"/>
      <c r="C213" s="307" t="s">
        <v>198</v>
      </c>
      <c r="D213" s="278">
        <v>2753.36</v>
      </c>
      <c r="E213" s="278">
        <v>2700.33</v>
      </c>
      <c r="F213" s="278">
        <v>2697.96</v>
      </c>
      <c r="G213" s="278">
        <v>2577.59</v>
      </c>
      <c r="H213" s="278">
        <v>2643.69</v>
      </c>
      <c r="I213" s="278">
        <v>2490.19</v>
      </c>
      <c r="J213" s="278">
        <v>2623.75</v>
      </c>
      <c r="K213" s="278">
        <v>2695.02</v>
      </c>
      <c r="L213" s="278">
        <v>2630.69</v>
      </c>
      <c r="M213" s="290"/>
      <c r="N213" s="290"/>
      <c r="O213" s="290"/>
      <c r="P213" s="290"/>
      <c r="Q213" s="298"/>
      <c r="R213" s="298"/>
      <c r="S213" s="298"/>
      <c r="T213" s="298"/>
      <c r="U213" s="298"/>
      <c r="V213" s="302"/>
      <c r="W213" s="298"/>
      <c r="X213" s="340"/>
      <c r="Y213" s="340"/>
      <c r="Z213" s="267"/>
      <c r="AA213" s="267"/>
      <c r="AB213" s="267"/>
      <c r="AC213" s="267"/>
      <c r="AD213" s="305"/>
      <c r="AE213" s="305"/>
    </row>
    <row r="214" spans="1:31" ht="24.75" customHeight="1" thickBot="1">
      <c r="A214" s="306"/>
      <c r="B214" s="309"/>
      <c r="C214" s="310" t="s">
        <v>197</v>
      </c>
      <c r="D214" s="311">
        <f t="shared" ref="D214:L214" si="66">IF(((D212="")*AND(D213="")),"",(D212-D213)*2)</f>
        <v>6455.14</v>
      </c>
      <c r="E214" s="311">
        <f t="shared" si="66"/>
        <v>6635.6399999999994</v>
      </c>
      <c r="F214" s="311">
        <f t="shared" si="66"/>
        <v>6699.24</v>
      </c>
      <c r="G214" s="311">
        <f t="shared" si="66"/>
        <v>6884.8600000000006</v>
      </c>
      <c r="H214" s="311">
        <f t="shared" si="66"/>
        <v>6608.3399999999992</v>
      </c>
      <c r="I214" s="311">
        <f t="shared" si="66"/>
        <v>6774.56</v>
      </c>
      <c r="J214" s="311">
        <f t="shared" si="66"/>
        <v>6769.52</v>
      </c>
      <c r="K214" s="311">
        <f t="shared" si="66"/>
        <v>6672.72</v>
      </c>
      <c r="L214" s="311">
        <f t="shared" si="66"/>
        <v>6575.3</v>
      </c>
      <c r="M214" s="311"/>
      <c r="N214" s="311"/>
      <c r="O214" s="311"/>
      <c r="P214" s="311" t="str">
        <f>IF(((P212="")*AND(P213="")),"",(P212-P213)*2)</f>
        <v/>
      </c>
      <c r="Q214" s="309"/>
      <c r="R214" s="309"/>
      <c r="S214" s="309"/>
      <c r="T214" s="309"/>
      <c r="U214" s="299"/>
      <c r="V214" s="312"/>
      <c r="W214" s="309"/>
      <c r="X214" s="341"/>
      <c r="Y214" s="341"/>
      <c r="Z214" s="267"/>
      <c r="AA214" s="267"/>
      <c r="AB214" s="267"/>
      <c r="AC214" s="267"/>
      <c r="AD214" s="305"/>
      <c r="AE214" s="305"/>
    </row>
    <row r="215" spans="1:31" ht="12.75" customHeight="1">
      <c r="A215" s="351">
        <v>42792</v>
      </c>
      <c r="B215" s="298" t="s">
        <v>200</v>
      </c>
      <c r="C215" s="299" t="s">
        <v>199</v>
      </c>
      <c r="D215" s="278">
        <v>7154.94</v>
      </c>
      <c r="E215" s="278">
        <v>6934.79</v>
      </c>
      <c r="F215" s="278">
        <v>6879.33</v>
      </c>
      <c r="G215" s="278">
        <v>6963.48</v>
      </c>
      <c r="H215" s="278">
        <v>7229.32</v>
      </c>
      <c r="I215" s="278">
        <v>7222.51</v>
      </c>
      <c r="J215" s="278">
        <v>6956.77</v>
      </c>
      <c r="K215" s="278">
        <v>6960.28</v>
      </c>
      <c r="L215" s="278">
        <v>7236.29</v>
      </c>
      <c r="M215" s="278">
        <v>7154.94</v>
      </c>
      <c r="N215" s="278">
        <v>6934.79</v>
      </c>
      <c r="O215" s="278">
        <v>6879.33</v>
      </c>
      <c r="P215" s="278">
        <v>6963.48</v>
      </c>
      <c r="Q215" s="326">
        <f>IF((L216=""),"",MAX(D217:P217))</f>
        <v>5503.59</v>
      </c>
      <c r="R215" s="298">
        <f>IF(L216="","",MIN(D217:L217))</f>
        <v>5104.92</v>
      </c>
      <c r="S215" s="318">
        <f>IF((P217=""),"",AVERAGE(D217:P217))</f>
        <v>5287.0115384615383</v>
      </c>
      <c r="T215" s="336">
        <f>IF((L216=""),"",(Q215-R215)/(Q215+R215)*100)</f>
        <v>3.7580206833947472</v>
      </c>
      <c r="U215" s="298">
        <f>STDEV(D217:P217)</f>
        <v>153.99339460110414</v>
      </c>
      <c r="V215" s="320" t="str">
        <f>IF(P216="","",IF(T215&lt;2.7,IF(S215&gt;5150,IF(S215&lt;5600,"Pass","Fail"),"Fail"),"Fail"))</f>
        <v>Fail</v>
      </c>
      <c r="W215" s="298" t="s">
        <v>247</v>
      </c>
      <c r="X215" s="338" t="s">
        <v>248</v>
      </c>
      <c r="Y215" s="338"/>
      <c r="Z215" s="321">
        <v>4470</v>
      </c>
      <c r="AA215" s="321">
        <v>6020</v>
      </c>
      <c r="AB215" s="321">
        <v>5150</v>
      </c>
      <c r="AC215" s="321">
        <v>5600</v>
      </c>
      <c r="AD215" s="305">
        <v>10</v>
      </c>
      <c r="AE215" s="322">
        <v>2.7</v>
      </c>
    </row>
    <row r="216" spans="1:31" ht="12.75" customHeight="1">
      <c r="A216" s="306"/>
      <c r="B216" s="298"/>
      <c r="C216" s="307" t="s">
        <v>198</v>
      </c>
      <c r="D216" s="278">
        <v>1734.8</v>
      </c>
      <c r="E216" s="278">
        <v>1829.87</v>
      </c>
      <c r="F216" s="278">
        <v>1710.29</v>
      </c>
      <c r="G216" s="278">
        <v>1765.7</v>
      </c>
      <c r="H216" s="278">
        <v>1725.73</v>
      </c>
      <c r="I216" s="278">
        <v>1725.92</v>
      </c>
      <c r="J216" s="278">
        <v>1767.56</v>
      </c>
      <c r="K216" s="278">
        <v>1705.56</v>
      </c>
      <c r="L216" s="278">
        <v>1741.13</v>
      </c>
      <c r="M216" s="278">
        <v>1741.11</v>
      </c>
      <c r="N216" s="278">
        <v>1794.5</v>
      </c>
      <c r="O216" s="278">
        <v>1747.68</v>
      </c>
      <c r="P216" s="278">
        <v>1749.25</v>
      </c>
      <c r="Q216" s="298"/>
      <c r="R216" s="298"/>
      <c r="S216" s="298"/>
      <c r="T216" s="298"/>
      <c r="U216" s="298"/>
      <c r="V216" s="302"/>
      <c r="W216" s="298"/>
      <c r="X216" s="340"/>
      <c r="Y216" s="340"/>
      <c r="Z216" s="267"/>
      <c r="AA216" s="267"/>
      <c r="AB216" s="267"/>
      <c r="AC216" s="267"/>
      <c r="AD216" s="305"/>
      <c r="AE216" s="305"/>
    </row>
    <row r="217" spans="1:31" ht="24.75" customHeight="1" thickBot="1">
      <c r="A217" s="306"/>
      <c r="B217" s="299"/>
      <c r="C217" s="307" t="s">
        <v>197</v>
      </c>
      <c r="D217" s="323">
        <f t="shared" ref="D217:P217" si="67">IF(((D215="")*AND(D216="")),"",(D215-D216))</f>
        <v>5420.1399999999994</v>
      </c>
      <c r="E217" s="323">
        <f t="shared" si="67"/>
        <v>5104.92</v>
      </c>
      <c r="F217" s="323">
        <f t="shared" si="67"/>
        <v>5169.04</v>
      </c>
      <c r="G217" s="323">
        <f t="shared" si="67"/>
        <v>5197.78</v>
      </c>
      <c r="H217" s="323">
        <f t="shared" si="67"/>
        <v>5503.59</v>
      </c>
      <c r="I217" s="323">
        <f t="shared" si="67"/>
        <v>5496.59</v>
      </c>
      <c r="J217" s="323">
        <f t="shared" si="67"/>
        <v>5189.2100000000009</v>
      </c>
      <c r="K217" s="323">
        <f t="shared" si="67"/>
        <v>5254.7199999999993</v>
      </c>
      <c r="L217" s="323">
        <f t="shared" si="67"/>
        <v>5495.16</v>
      </c>
      <c r="M217" s="323">
        <f t="shared" si="67"/>
        <v>5413.83</v>
      </c>
      <c r="N217" s="323">
        <f t="shared" si="67"/>
        <v>5140.29</v>
      </c>
      <c r="O217" s="323">
        <f t="shared" si="67"/>
        <v>5131.6499999999996</v>
      </c>
      <c r="P217" s="323">
        <f t="shared" si="67"/>
        <v>5214.2299999999996</v>
      </c>
      <c r="Q217" s="299"/>
      <c r="R217" s="299"/>
      <c r="S217" s="299"/>
      <c r="T217" s="299"/>
      <c r="U217" s="299"/>
      <c r="V217" s="324"/>
      <c r="W217" s="299"/>
      <c r="X217" s="340"/>
      <c r="Y217" s="340"/>
      <c r="Z217" s="267"/>
      <c r="AA217" s="267"/>
      <c r="AB217" s="267"/>
      <c r="AC217" s="267"/>
      <c r="AD217" s="305"/>
      <c r="AE217" s="305"/>
    </row>
    <row r="218" spans="1:31" ht="12.75" customHeight="1">
      <c r="A218" s="351">
        <v>42792</v>
      </c>
      <c r="B218" s="326" t="s">
        <v>202</v>
      </c>
      <c r="C218" s="307" t="s">
        <v>199</v>
      </c>
      <c r="D218" s="278">
        <v>5948.39</v>
      </c>
      <c r="E218" s="278">
        <v>6116.29</v>
      </c>
      <c r="F218" s="278">
        <v>6135.46</v>
      </c>
      <c r="G218" s="278">
        <v>6124.16</v>
      </c>
      <c r="H218" s="278">
        <v>5972.46</v>
      </c>
      <c r="I218" s="278">
        <v>5932.1</v>
      </c>
      <c r="J218" s="278">
        <v>6106.77</v>
      </c>
      <c r="K218" s="278">
        <v>6116.83</v>
      </c>
      <c r="L218" s="278">
        <v>6034.3</v>
      </c>
      <c r="M218" s="290"/>
      <c r="N218" s="290"/>
      <c r="O218" s="290"/>
      <c r="P218" s="290"/>
      <c r="Q218" s="326">
        <f>IF((L219=""),"",MAX(D220:L220))</f>
        <v>7205.0199999999995</v>
      </c>
      <c r="R218" s="326">
        <f>IF(L219="","",MIN(D220:L220))</f>
        <v>6723.5800000000008</v>
      </c>
      <c r="S218" s="327">
        <f>IF((L220=""),"",AVERAGE(D220:L220))</f>
        <v>7040.3688888888901</v>
      </c>
      <c r="T218" s="318">
        <f>IF((L219=""),"",(Q218-R218)/(Q218+R218)*100)</f>
        <v>3.4564852174662111</v>
      </c>
      <c r="U218" s="326">
        <f>STDEV(D220:P220)</f>
        <v>142.4509719556427</v>
      </c>
      <c r="V218" s="328" t="str">
        <f>IF(L219="","",IF(T218&lt;7.3,IF(S218&gt;5700,IF(S218&lt;7200,"Pass","Fail"),"Fail"),"Fail"))</f>
        <v>Pass</v>
      </c>
      <c r="W218" s="315" t="s">
        <v>247</v>
      </c>
      <c r="X218" s="340" t="s">
        <v>248</v>
      </c>
      <c r="Y218" s="340"/>
      <c r="Z218" s="267">
        <v>4955</v>
      </c>
      <c r="AA218" s="267">
        <v>9645</v>
      </c>
      <c r="AB218" s="267">
        <v>5100</v>
      </c>
      <c r="AC218" s="267">
        <v>8300</v>
      </c>
      <c r="AD218" s="305">
        <v>10</v>
      </c>
      <c r="AE218" s="305">
        <v>9.8000000000000007</v>
      </c>
    </row>
    <row r="219" spans="1:31" ht="12.75" customHeight="1">
      <c r="A219" s="306"/>
      <c r="B219" s="298"/>
      <c r="C219" s="307" t="s">
        <v>198</v>
      </c>
      <c r="D219" s="278">
        <v>2586.6</v>
      </c>
      <c r="E219" s="278">
        <v>2582.19</v>
      </c>
      <c r="F219" s="278">
        <v>2579.71</v>
      </c>
      <c r="G219" s="278">
        <v>2521.65</v>
      </c>
      <c r="H219" s="278">
        <v>2452.41</v>
      </c>
      <c r="I219" s="278">
        <v>2470.4499999999998</v>
      </c>
      <c r="J219" s="278">
        <v>2532.39</v>
      </c>
      <c r="K219" s="278">
        <v>2566.73</v>
      </c>
      <c r="L219" s="278">
        <v>2512.9699999999998</v>
      </c>
      <c r="M219" s="290"/>
      <c r="N219" s="290"/>
      <c r="O219" s="290"/>
      <c r="P219" s="290"/>
      <c r="Q219" s="298"/>
      <c r="R219" s="298"/>
      <c r="S219" s="298"/>
      <c r="T219" s="298"/>
      <c r="U219" s="298"/>
      <c r="V219" s="302"/>
      <c r="W219" s="298"/>
      <c r="X219" s="340"/>
      <c r="Y219" s="340"/>
      <c r="Z219" s="267"/>
      <c r="AA219" s="267"/>
      <c r="AB219" s="267"/>
      <c r="AC219" s="267"/>
      <c r="AD219" s="305"/>
      <c r="AE219" s="305"/>
    </row>
    <row r="220" spans="1:31" ht="24.75" customHeight="1" thickBot="1">
      <c r="A220" s="306"/>
      <c r="B220" s="309"/>
      <c r="C220" s="310" t="s">
        <v>197</v>
      </c>
      <c r="D220" s="311">
        <f t="shared" ref="D220:L220" si="68">IF(((D218="")*AND(D219="")),"",(D218-D219)*2)</f>
        <v>6723.5800000000008</v>
      </c>
      <c r="E220" s="311">
        <f t="shared" si="68"/>
        <v>7068.2</v>
      </c>
      <c r="F220" s="311">
        <f t="shared" si="68"/>
        <v>7111.5</v>
      </c>
      <c r="G220" s="311">
        <f t="shared" si="68"/>
        <v>7205.0199999999995</v>
      </c>
      <c r="H220" s="311">
        <f t="shared" si="68"/>
        <v>7040.1</v>
      </c>
      <c r="I220" s="311">
        <f t="shared" si="68"/>
        <v>6923.3000000000011</v>
      </c>
      <c r="J220" s="311">
        <f t="shared" si="68"/>
        <v>7148.7600000000011</v>
      </c>
      <c r="K220" s="311">
        <f t="shared" si="68"/>
        <v>7100.2</v>
      </c>
      <c r="L220" s="311">
        <f t="shared" si="68"/>
        <v>7042.6600000000008</v>
      </c>
      <c r="M220" s="311"/>
      <c r="N220" s="311"/>
      <c r="O220" s="311"/>
      <c r="P220" s="311" t="str">
        <f>IF(((P218="")*AND(P219="")),"",(P218-P219)*2)</f>
        <v/>
      </c>
      <c r="Q220" s="309"/>
      <c r="R220" s="309"/>
      <c r="S220" s="309"/>
      <c r="T220" s="309"/>
      <c r="U220" s="299"/>
      <c r="V220" s="312"/>
      <c r="W220" s="309"/>
      <c r="X220" s="341"/>
      <c r="Y220" s="341"/>
      <c r="Z220" s="267"/>
      <c r="AA220" s="267"/>
      <c r="AB220" s="267"/>
      <c r="AC220" s="267"/>
      <c r="AD220" s="305"/>
      <c r="AE220" s="305"/>
    </row>
    <row r="221" spans="1:31" ht="12.75" customHeight="1">
      <c r="A221" s="351">
        <v>42836</v>
      </c>
      <c r="B221" s="298" t="s">
        <v>200</v>
      </c>
      <c r="C221" s="299" t="s">
        <v>199</v>
      </c>
      <c r="D221" s="278">
        <v>6864.79</v>
      </c>
      <c r="E221" s="278">
        <v>6946.3</v>
      </c>
      <c r="F221" s="278">
        <v>6817.01</v>
      </c>
      <c r="G221" s="278">
        <v>6889.39</v>
      </c>
      <c r="H221" s="278">
        <v>6823.55</v>
      </c>
      <c r="I221" s="278">
        <v>6875.4</v>
      </c>
      <c r="J221" s="278">
        <v>6912.64</v>
      </c>
      <c r="K221" s="278">
        <v>6837.04</v>
      </c>
      <c r="L221" s="278">
        <v>6853.31</v>
      </c>
      <c r="M221" s="278">
        <v>6896.65</v>
      </c>
      <c r="N221" s="278">
        <v>6932.41</v>
      </c>
      <c r="O221" s="278">
        <v>6874.65</v>
      </c>
      <c r="P221" s="278">
        <v>6890.61</v>
      </c>
      <c r="Q221" s="326">
        <f>IF((L222=""),"",MAX(D223:P223))</f>
        <v>5242.2</v>
      </c>
      <c r="R221" s="298">
        <f>IF(L222="","",MIN(D223:L223))</f>
        <v>5202.6900000000005</v>
      </c>
      <c r="S221" s="318">
        <f>IF((P223=""),"",AVERAGE(D223:P223))</f>
        <v>5225.584615384616</v>
      </c>
      <c r="T221" s="336">
        <f>IF((L222=""),"",(Q221-R221)/(Q221+R221)*100)</f>
        <v>0.37827109715850821</v>
      </c>
      <c r="U221" s="298">
        <f>STDEV(D223:P223)</f>
        <v>13.843817883289921</v>
      </c>
      <c r="V221" s="320" t="str">
        <f>IF(P222="","",IF(T221&lt;2.7,IF(S221&gt;5150,IF(S221&lt;5600,"Pass","Fail"),"Fail"),"Fail"))</f>
        <v>Pass</v>
      </c>
      <c r="W221" s="298">
        <v>1400</v>
      </c>
      <c r="X221" s="338" t="s">
        <v>246</v>
      </c>
      <c r="Y221" s="338"/>
      <c r="Z221" s="321">
        <v>4470</v>
      </c>
      <c r="AA221" s="321">
        <v>6020</v>
      </c>
      <c r="AB221" s="321">
        <v>5150</v>
      </c>
      <c r="AC221" s="321">
        <v>5600</v>
      </c>
      <c r="AD221" s="305">
        <v>10</v>
      </c>
      <c r="AE221" s="322">
        <v>2.7</v>
      </c>
    </row>
    <row r="222" spans="1:31" ht="12.75" customHeight="1">
      <c r="A222" s="306"/>
      <c r="B222" s="298"/>
      <c r="C222" s="307" t="s">
        <v>198</v>
      </c>
      <c r="D222" s="278">
        <v>1646.7</v>
      </c>
      <c r="E222" s="278">
        <v>1730.83</v>
      </c>
      <c r="F222" s="278">
        <v>1614.32</v>
      </c>
      <c r="G222" s="278">
        <v>1655.9</v>
      </c>
      <c r="H222" s="278">
        <v>1615.78</v>
      </c>
      <c r="I222" s="278">
        <v>1638.17</v>
      </c>
      <c r="J222" s="278">
        <v>1672.53</v>
      </c>
      <c r="K222" s="278">
        <v>1594.84</v>
      </c>
      <c r="L222" s="278">
        <v>1646.04</v>
      </c>
      <c r="M222" s="278">
        <v>1661.26</v>
      </c>
      <c r="N222" s="278">
        <v>1702.61</v>
      </c>
      <c r="O222" s="278">
        <v>1649.97</v>
      </c>
      <c r="P222" s="278">
        <v>1652.2</v>
      </c>
      <c r="Q222" s="298"/>
      <c r="R222" s="298"/>
      <c r="S222" s="298"/>
      <c r="T222" s="298"/>
      <c r="U222" s="298"/>
      <c r="V222" s="302"/>
      <c r="W222" s="298"/>
      <c r="X222" s="340"/>
      <c r="Y222" s="340"/>
      <c r="Z222" s="267"/>
      <c r="AA222" s="267"/>
      <c r="AB222" s="267"/>
      <c r="AC222" s="267"/>
      <c r="AD222" s="305"/>
      <c r="AE222" s="305"/>
    </row>
    <row r="223" spans="1:31" ht="24.75" customHeight="1" thickBot="1">
      <c r="A223" s="306"/>
      <c r="B223" s="299"/>
      <c r="C223" s="307" t="s">
        <v>197</v>
      </c>
      <c r="D223" s="323">
        <f t="shared" ref="D223:P223" si="69">IF(((D221="")*AND(D222="")),"",(D221-D222))</f>
        <v>5218.09</v>
      </c>
      <c r="E223" s="323">
        <f t="shared" si="69"/>
        <v>5215.47</v>
      </c>
      <c r="F223" s="323">
        <f t="shared" si="69"/>
        <v>5202.6900000000005</v>
      </c>
      <c r="G223" s="323">
        <f t="shared" si="69"/>
        <v>5233.49</v>
      </c>
      <c r="H223" s="323">
        <f t="shared" si="69"/>
        <v>5207.7700000000004</v>
      </c>
      <c r="I223" s="323">
        <f t="shared" si="69"/>
        <v>5237.2299999999996</v>
      </c>
      <c r="J223" s="323">
        <f t="shared" si="69"/>
        <v>5240.1100000000006</v>
      </c>
      <c r="K223" s="323">
        <f t="shared" si="69"/>
        <v>5242.2</v>
      </c>
      <c r="L223" s="323">
        <f t="shared" si="69"/>
        <v>5207.2700000000004</v>
      </c>
      <c r="M223" s="323">
        <f t="shared" si="69"/>
        <v>5235.3899999999994</v>
      </c>
      <c r="N223" s="323">
        <f t="shared" si="69"/>
        <v>5229.8</v>
      </c>
      <c r="O223" s="323">
        <f t="shared" si="69"/>
        <v>5224.6799999999994</v>
      </c>
      <c r="P223" s="323">
        <f t="shared" si="69"/>
        <v>5238.41</v>
      </c>
      <c r="Q223" s="299"/>
      <c r="R223" s="299"/>
      <c r="S223" s="299"/>
      <c r="T223" s="299"/>
      <c r="U223" s="299"/>
      <c r="V223" s="324"/>
      <c r="W223" s="299"/>
      <c r="X223" s="340"/>
      <c r="Y223" s="340"/>
      <c r="Z223" s="267"/>
      <c r="AA223" s="267"/>
      <c r="AB223" s="267"/>
      <c r="AC223" s="267"/>
      <c r="AD223" s="305"/>
      <c r="AE223" s="305"/>
    </row>
    <row r="224" spans="1:31" ht="12.75" customHeight="1">
      <c r="A224" s="351">
        <v>42836</v>
      </c>
      <c r="B224" s="326" t="s">
        <v>202</v>
      </c>
      <c r="C224" s="307" t="s">
        <v>199</v>
      </c>
      <c r="D224" s="278">
        <v>5953.6</v>
      </c>
      <c r="E224" s="278">
        <v>6019.26</v>
      </c>
      <c r="F224" s="278">
        <v>6041.19</v>
      </c>
      <c r="G224" s="278">
        <v>5973.89</v>
      </c>
      <c r="H224" s="278">
        <v>5915.06</v>
      </c>
      <c r="I224" s="278">
        <v>5855.69</v>
      </c>
      <c r="J224" s="278">
        <v>6009.79</v>
      </c>
      <c r="K224" s="278">
        <v>6039</v>
      </c>
      <c r="L224" s="278">
        <v>5885.68</v>
      </c>
      <c r="M224" s="290"/>
      <c r="N224" s="290"/>
      <c r="O224" s="290"/>
      <c r="P224" s="290"/>
      <c r="Q224" s="326">
        <f>IF((L225=""),"",MAX(D226:L226))</f>
        <v>6914.66</v>
      </c>
      <c r="R224" s="326">
        <f>IF(L225="","",MIN(D226:L226))</f>
        <v>6680.0400000000009</v>
      </c>
      <c r="S224" s="327">
        <f>IF((L226=""),"",AVERAGE(D226:L226))</f>
        <v>6803.8088888888897</v>
      </c>
      <c r="T224" s="318">
        <f>IF((L225=""),"",(Q224-R224)/(Q224+R224)*100)</f>
        <v>1.7258196208816596</v>
      </c>
      <c r="U224" s="326">
        <f>STDEV(D226:P226)</f>
        <v>88.950848849805851</v>
      </c>
      <c r="V224" s="328" t="str">
        <f>IF(L225="","",IF(T224&lt;7.3,IF(S224&gt;5700,IF(S224&lt;7200,"Pass","Fail"),"Fail"),"Fail"))</f>
        <v>Pass</v>
      </c>
      <c r="W224" s="315">
        <v>1400</v>
      </c>
      <c r="X224" s="340" t="s">
        <v>246</v>
      </c>
      <c r="Y224" s="340"/>
      <c r="Z224" s="267">
        <v>4955</v>
      </c>
      <c r="AA224" s="267">
        <v>9645</v>
      </c>
      <c r="AB224" s="267">
        <v>5100</v>
      </c>
      <c r="AC224" s="267">
        <v>8300</v>
      </c>
      <c r="AD224" s="305">
        <v>10</v>
      </c>
      <c r="AE224" s="305">
        <v>9.8000000000000007</v>
      </c>
    </row>
    <row r="225" spans="1:31" ht="12.75" customHeight="1">
      <c r="A225" s="306"/>
      <c r="B225" s="298"/>
      <c r="C225" s="307" t="s">
        <v>198</v>
      </c>
      <c r="D225" s="278">
        <v>2613.58</v>
      </c>
      <c r="E225" s="278">
        <v>2605.67</v>
      </c>
      <c r="F225" s="278">
        <v>2623</v>
      </c>
      <c r="G225" s="278">
        <v>2520.5300000000002</v>
      </c>
      <c r="H225" s="278">
        <v>2520.3000000000002</v>
      </c>
      <c r="I225" s="278">
        <v>2510.83</v>
      </c>
      <c r="J225" s="278">
        <v>2552.46</v>
      </c>
      <c r="K225" s="278">
        <v>2605.92</v>
      </c>
      <c r="L225" s="278">
        <v>2523.73</v>
      </c>
      <c r="M225" s="290"/>
      <c r="N225" s="290"/>
      <c r="O225" s="290"/>
      <c r="P225" s="290"/>
      <c r="Q225" s="298"/>
      <c r="R225" s="298"/>
      <c r="S225" s="298"/>
      <c r="T225" s="298"/>
      <c r="U225" s="298"/>
      <c r="V225" s="302"/>
      <c r="W225" s="298"/>
      <c r="X225" s="340"/>
      <c r="Y225" s="340"/>
      <c r="Z225" s="267"/>
      <c r="AA225" s="267"/>
      <c r="AB225" s="267"/>
      <c r="AC225" s="267"/>
      <c r="AD225" s="305"/>
      <c r="AE225" s="305"/>
    </row>
    <row r="226" spans="1:31" ht="24.75" customHeight="1" thickBot="1">
      <c r="A226" s="306"/>
      <c r="B226" s="309"/>
      <c r="C226" s="310" t="s">
        <v>197</v>
      </c>
      <c r="D226" s="311">
        <f t="shared" ref="D226:L226" si="70">IF(((D224="")*AND(D225="")),"",(D224-D225)*2)</f>
        <v>6680.0400000000009</v>
      </c>
      <c r="E226" s="311">
        <f t="shared" si="70"/>
        <v>6827.18</v>
      </c>
      <c r="F226" s="311">
        <f t="shared" si="70"/>
        <v>6836.3799999999992</v>
      </c>
      <c r="G226" s="311">
        <f t="shared" si="70"/>
        <v>6906.72</v>
      </c>
      <c r="H226" s="311">
        <f t="shared" si="70"/>
        <v>6789.52</v>
      </c>
      <c r="I226" s="311">
        <f t="shared" si="70"/>
        <v>6689.7199999999993</v>
      </c>
      <c r="J226" s="311">
        <f t="shared" si="70"/>
        <v>6914.66</v>
      </c>
      <c r="K226" s="311">
        <f t="shared" si="70"/>
        <v>6866.16</v>
      </c>
      <c r="L226" s="311">
        <f t="shared" si="70"/>
        <v>6723.9000000000005</v>
      </c>
      <c r="M226" s="311"/>
      <c r="N226" s="311"/>
      <c r="O226" s="311"/>
      <c r="P226" s="311" t="str">
        <f>IF(((P224="")*AND(P225="")),"",(P224-P225)*2)</f>
        <v/>
      </c>
      <c r="Q226" s="309"/>
      <c r="R226" s="309"/>
      <c r="S226" s="309"/>
      <c r="T226" s="309"/>
      <c r="U226" s="299"/>
      <c r="V226" s="312"/>
      <c r="W226" s="309"/>
      <c r="X226" s="341"/>
      <c r="Y226" s="341"/>
      <c r="Z226" s="267"/>
      <c r="AA226" s="267"/>
      <c r="AB226" s="267"/>
      <c r="AC226" s="267"/>
      <c r="AD226" s="305"/>
      <c r="AE226" s="305"/>
    </row>
    <row r="227" spans="1:31" ht="12.75" customHeight="1">
      <c r="A227" s="351">
        <v>42845</v>
      </c>
      <c r="B227" s="298" t="s">
        <v>200</v>
      </c>
      <c r="C227" s="299" t="s">
        <v>199</v>
      </c>
      <c r="D227" s="278">
        <v>6875.89</v>
      </c>
      <c r="E227" s="278">
        <v>6967.89</v>
      </c>
      <c r="F227" s="278">
        <v>6820.66</v>
      </c>
      <c r="G227" s="278">
        <v>6882.37</v>
      </c>
      <c r="H227" s="278">
        <v>6856.94</v>
      </c>
      <c r="I227" s="278">
        <v>6891.99</v>
      </c>
      <c r="J227" s="278">
        <v>6901.58</v>
      </c>
      <c r="K227" s="278">
        <v>6823.69</v>
      </c>
      <c r="L227" s="278">
        <v>6854.47</v>
      </c>
      <c r="M227" s="278">
        <v>6889.08</v>
      </c>
      <c r="N227" s="278">
        <v>6957.81</v>
      </c>
      <c r="O227" s="278">
        <v>6878.56</v>
      </c>
      <c r="P227" s="278">
        <v>6911.42</v>
      </c>
      <c r="Q227" s="326">
        <f>IF((L228=""),"",MAX(D229:P229))</f>
        <v>5253.96</v>
      </c>
      <c r="R227" s="298">
        <f>IF(L228="","",MIN(D229:L229))</f>
        <v>5199.6399999999994</v>
      </c>
      <c r="S227" s="318">
        <f>IF((P229=""),"",AVERAGE(D229:P229))</f>
        <v>5228.0476923076922</v>
      </c>
      <c r="T227" s="336">
        <f>IF((L228=""),"",(Q227-R227)/(Q227+R227)*100)</f>
        <v>0.51962960128568747</v>
      </c>
      <c r="U227" s="298">
        <f>STDEV(D229:P229)</f>
        <v>18.574704642881603</v>
      </c>
      <c r="V227" s="320" t="str">
        <f>IF(P228="","",IF(T227&lt;2.7,IF(S227&gt;5150,IF(S227&lt;5600,"Pass","Fail"),"Fail"),"Fail"))</f>
        <v>Pass</v>
      </c>
      <c r="W227" s="298">
        <v>1335</v>
      </c>
      <c r="X227" s="338" t="s">
        <v>245</v>
      </c>
      <c r="Y227" s="338"/>
      <c r="Z227" s="321">
        <v>4470</v>
      </c>
      <c r="AA227" s="321">
        <v>6020</v>
      </c>
      <c r="AB227" s="321">
        <v>5150</v>
      </c>
      <c r="AC227" s="321">
        <v>5600</v>
      </c>
      <c r="AD227" s="305">
        <v>10</v>
      </c>
      <c r="AE227" s="322">
        <v>2.7</v>
      </c>
    </row>
    <row r="228" spans="1:31" ht="12.75" customHeight="1">
      <c r="A228" s="306"/>
      <c r="B228" s="298"/>
      <c r="C228" s="307" t="s">
        <v>198</v>
      </c>
      <c r="D228" s="278">
        <v>1643.34</v>
      </c>
      <c r="E228" s="278">
        <v>1743.68</v>
      </c>
      <c r="F228" s="278">
        <v>1621.02</v>
      </c>
      <c r="G228" s="278">
        <v>1662.85</v>
      </c>
      <c r="H228" s="278">
        <v>1639.97</v>
      </c>
      <c r="I228" s="278">
        <v>1638.03</v>
      </c>
      <c r="J228" s="278">
        <v>1662.41</v>
      </c>
      <c r="K228" s="278">
        <v>1617.38</v>
      </c>
      <c r="L228" s="278">
        <v>1649.06</v>
      </c>
      <c r="M228" s="278">
        <v>1646.26</v>
      </c>
      <c r="N228" s="278">
        <v>1708.75</v>
      </c>
      <c r="O228" s="278">
        <v>1656.62</v>
      </c>
      <c r="P228" s="278">
        <v>1658.36</v>
      </c>
      <c r="Q228" s="298"/>
      <c r="R228" s="298"/>
      <c r="S228" s="298"/>
      <c r="T228" s="298"/>
      <c r="U228" s="298"/>
      <c r="V228" s="302"/>
      <c r="W228" s="298"/>
      <c r="X228" s="340"/>
      <c r="Y228" s="340"/>
      <c r="Z228" s="267"/>
      <c r="AA228" s="267"/>
      <c r="AB228" s="267"/>
      <c r="AC228" s="267"/>
      <c r="AD228" s="305"/>
      <c r="AE228" s="305"/>
    </row>
    <row r="229" spans="1:31" ht="24.75" customHeight="1" thickBot="1">
      <c r="A229" s="306"/>
      <c r="B229" s="299"/>
      <c r="C229" s="307" t="s">
        <v>197</v>
      </c>
      <c r="D229" s="323">
        <f t="shared" ref="D229:P229" si="71">IF(((D227="")*AND(D228="")),"",(D227-D228))</f>
        <v>5232.55</v>
      </c>
      <c r="E229" s="323">
        <f t="shared" si="71"/>
        <v>5224.21</v>
      </c>
      <c r="F229" s="323">
        <f t="shared" si="71"/>
        <v>5199.6399999999994</v>
      </c>
      <c r="G229" s="323">
        <f t="shared" si="71"/>
        <v>5219.5200000000004</v>
      </c>
      <c r="H229" s="323">
        <f t="shared" si="71"/>
        <v>5216.9699999999993</v>
      </c>
      <c r="I229" s="323">
        <f t="shared" si="71"/>
        <v>5253.96</v>
      </c>
      <c r="J229" s="323">
        <f t="shared" si="71"/>
        <v>5239.17</v>
      </c>
      <c r="K229" s="323">
        <f t="shared" si="71"/>
        <v>5206.3099999999995</v>
      </c>
      <c r="L229" s="323">
        <f t="shared" si="71"/>
        <v>5205.41</v>
      </c>
      <c r="M229" s="323">
        <f t="shared" si="71"/>
        <v>5242.82</v>
      </c>
      <c r="N229" s="323">
        <f t="shared" si="71"/>
        <v>5249.06</v>
      </c>
      <c r="O229" s="323">
        <f t="shared" si="71"/>
        <v>5221.9400000000005</v>
      </c>
      <c r="P229" s="323">
        <f t="shared" si="71"/>
        <v>5253.06</v>
      </c>
      <c r="Q229" s="299"/>
      <c r="R229" s="299"/>
      <c r="S229" s="299"/>
      <c r="T229" s="299"/>
      <c r="U229" s="299"/>
      <c r="V229" s="324"/>
      <c r="W229" s="299"/>
      <c r="X229" s="340"/>
      <c r="Y229" s="340"/>
      <c r="Z229" s="267"/>
      <c r="AA229" s="267"/>
      <c r="AB229" s="267"/>
      <c r="AC229" s="267"/>
      <c r="AD229" s="305"/>
      <c r="AE229" s="305"/>
    </row>
    <row r="230" spans="1:31" ht="12.75" customHeight="1">
      <c r="A230" s="351">
        <v>42845</v>
      </c>
      <c r="B230" s="326" t="s">
        <v>202</v>
      </c>
      <c r="C230" s="307" t="s">
        <v>199</v>
      </c>
      <c r="D230" s="278">
        <v>5970.56</v>
      </c>
      <c r="E230" s="278">
        <v>6029.37</v>
      </c>
      <c r="F230" s="278">
        <v>6050.12</v>
      </c>
      <c r="G230" s="278">
        <v>5986.22</v>
      </c>
      <c r="H230" s="278">
        <v>5929.5</v>
      </c>
      <c r="I230" s="278">
        <v>5887.58</v>
      </c>
      <c r="J230" s="278">
        <v>6010.48</v>
      </c>
      <c r="K230" s="278">
        <v>6050.27</v>
      </c>
      <c r="L230" s="278">
        <v>5898.18</v>
      </c>
      <c r="M230" s="290"/>
      <c r="N230" s="290"/>
      <c r="O230" s="290"/>
      <c r="P230" s="290"/>
      <c r="Q230" s="326">
        <f>IF((L231=""),"",MAX(D232:L232))</f>
        <v>6892.88</v>
      </c>
      <c r="R230" s="326">
        <f>IF(L231="","",MIN(D232:L232))</f>
        <v>6700.8600000000006</v>
      </c>
      <c r="S230" s="327">
        <f>IF((L232=""),"",AVERAGE(D232:L232))</f>
        <v>6797.4044444444453</v>
      </c>
      <c r="T230" s="318">
        <f>IF((L231=""),"",(Q230-R230)/(Q230+R230)*100)</f>
        <v>1.4125619586662648</v>
      </c>
      <c r="U230" s="326">
        <f>STDEV(D232:P232)</f>
        <v>73.793670309646416</v>
      </c>
      <c r="V230" s="328" t="str">
        <f>IF(L231="","",IF(T230&lt;7.3,IF(S230&gt;5700,IF(S230&lt;7200,"Pass","Fail"),"Fail"),"Fail"))</f>
        <v>Pass</v>
      </c>
      <c r="W230" s="315">
        <v>1335</v>
      </c>
      <c r="X230" s="340" t="s">
        <v>245</v>
      </c>
      <c r="Y230" s="340"/>
      <c r="Z230" s="267">
        <v>4955</v>
      </c>
      <c r="AA230" s="267">
        <v>9645</v>
      </c>
      <c r="AB230" s="267">
        <v>5100</v>
      </c>
      <c r="AC230" s="267">
        <v>8300</v>
      </c>
      <c r="AD230" s="305">
        <v>10</v>
      </c>
      <c r="AE230" s="305">
        <v>9.8000000000000007</v>
      </c>
    </row>
    <row r="231" spans="1:31" ht="12.75" customHeight="1">
      <c r="A231" s="306"/>
      <c r="B231" s="298"/>
      <c r="C231" s="307" t="s">
        <v>198</v>
      </c>
      <c r="D231" s="278">
        <v>2620.13</v>
      </c>
      <c r="E231" s="278">
        <v>2652.58</v>
      </c>
      <c r="F231" s="278">
        <v>2646.64</v>
      </c>
      <c r="G231" s="278">
        <v>2545.1</v>
      </c>
      <c r="H231" s="278">
        <v>2483.06</v>
      </c>
      <c r="I231" s="278">
        <v>2512.9699999999998</v>
      </c>
      <c r="J231" s="278">
        <v>2577.3000000000002</v>
      </c>
      <c r="K231" s="278">
        <v>2640.91</v>
      </c>
      <c r="L231" s="278">
        <v>2545.27</v>
      </c>
      <c r="M231" s="290"/>
      <c r="N231" s="290"/>
      <c r="O231" s="290"/>
      <c r="P231" s="290"/>
      <c r="Q231" s="298"/>
      <c r="R231" s="298"/>
      <c r="S231" s="298"/>
      <c r="T231" s="298"/>
      <c r="U231" s="298"/>
      <c r="V231" s="302"/>
      <c r="W231" s="298"/>
      <c r="X231" s="340"/>
      <c r="Y231" s="340"/>
      <c r="Z231" s="267"/>
      <c r="AA231" s="267"/>
      <c r="AB231" s="267"/>
      <c r="AC231" s="267"/>
      <c r="AD231" s="305"/>
      <c r="AE231" s="305"/>
    </row>
    <row r="232" spans="1:31" ht="24.75" customHeight="1" thickBot="1">
      <c r="A232" s="306"/>
      <c r="B232" s="309"/>
      <c r="C232" s="310" t="s">
        <v>197</v>
      </c>
      <c r="D232" s="311">
        <f t="shared" ref="D232:L232" si="72">IF(((D230="")*AND(D231="")),"",(D230-D231)*2)</f>
        <v>6700.8600000000006</v>
      </c>
      <c r="E232" s="311">
        <f t="shared" si="72"/>
        <v>6753.58</v>
      </c>
      <c r="F232" s="311">
        <f t="shared" si="72"/>
        <v>6806.96</v>
      </c>
      <c r="G232" s="311">
        <f t="shared" si="72"/>
        <v>6882.2400000000007</v>
      </c>
      <c r="H232" s="311">
        <f t="shared" si="72"/>
        <v>6892.88</v>
      </c>
      <c r="I232" s="311">
        <f t="shared" si="72"/>
        <v>6749.22</v>
      </c>
      <c r="J232" s="311">
        <f t="shared" si="72"/>
        <v>6866.3599999999988</v>
      </c>
      <c r="K232" s="311">
        <f t="shared" si="72"/>
        <v>6818.7200000000012</v>
      </c>
      <c r="L232" s="311">
        <f t="shared" si="72"/>
        <v>6705.8200000000006</v>
      </c>
      <c r="M232" s="311"/>
      <c r="N232" s="311"/>
      <c r="O232" s="311"/>
      <c r="P232" s="311" t="str">
        <f>IF(((P230="")*AND(P231="")),"",(P230-P231)*2)</f>
        <v/>
      </c>
      <c r="Q232" s="309"/>
      <c r="R232" s="309"/>
      <c r="S232" s="309"/>
      <c r="T232" s="309"/>
      <c r="U232" s="299"/>
      <c r="V232" s="312"/>
      <c r="W232" s="309"/>
      <c r="X232" s="341"/>
      <c r="Y232" s="341"/>
      <c r="Z232" s="267"/>
      <c r="AA232" s="267"/>
      <c r="AB232" s="267"/>
      <c r="AC232" s="267"/>
      <c r="AD232" s="305"/>
      <c r="AE232" s="305"/>
    </row>
    <row r="233" spans="1:31" ht="12.75" customHeight="1">
      <c r="A233" s="351">
        <v>42849</v>
      </c>
      <c r="B233" s="298" t="s">
        <v>200</v>
      </c>
      <c r="C233" s="299" t="s">
        <v>199</v>
      </c>
      <c r="D233" s="278">
        <v>6984.52</v>
      </c>
      <c r="E233" s="278">
        <v>7072.31</v>
      </c>
      <c r="F233" s="278">
        <v>6928.46</v>
      </c>
      <c r="G233" s="278">
        <v>6990.35</v>
      </c>
      <c r="H233" s="278">
        <v>6965.34</v>
      </c>
      <c r="I233" s="278">
        <v>6999.78</v>
      </c>
      <c r="J233" s="278">
        <v>7011.53</v>
      </c>
      <c r="K233" s="278">
        <v>6933.9</v>
      </c>
      <c r="L233" s="278">
        <v>6963.37</v>
      </c>
      <c r="M233" s="278">
        <v>7000.81</v>
      </c>
      <c r="N233" s="278">
        <v>7064.39</v>
      </c>
      <c r="O233" s="278">
        <v>6990.45</v>
      </c>
      <c r="P233" s="278">
        <v>7022.9</v>
      </c>
      <c r="Q233" s="326">
        <f>IF((L234=""),"",MAX(D235:P235))</f>
        <v>5245.21</v>
      </c>
      <c r="R233" s="298">
        <f>IF(L234="","",MIN(D235:L235))</f>
        <v>5187.0700000000006</v>
      </c>
      <c r="S233" s="318">
        <f>IF((P235=""),"",AVERAGE(D235:P235))</f>
        <v>5216.7761538461546</v>
      </c>
      <c r="T233" s="336">
        <f>IF((L234=""),"",(Q233-R233)/(Q233+R233)*100)</f>
        <v>0.5573086611939041</v>
      </c>
      <c r="U233" s="298">
        <f>STDEV(D235:P235)</f>
        <v>19.892136024952041</v>
      </c>
      <c r="V233" s="320" t="str">
        <f>IF(P234="","",IF(T233&lt;2.7,IF(S233&gt;5150,IF(S233&lt;5600,"Pass","Fail"),"Fail"),"Fail"))</f>
        <v>Pass</v>
      </c>
      <c r="W233" s="298">
        <v>64</v>
      </c>
      <c r="X233" s="338" t="s">
        <v>244</v>
      </c>
      <c r="Y233" s="338"/>
      <c r="Z233" s="321">
        <v>4470</v>
      </c>
      <c r="AA233" s="321">
        <v>6020</v>
      </c>
      <c r="AB233" s="321">
        <v>5150</v>
      </c>
      <c r="AC233" s="321">
        <v>5600</v>
      </c>
      <c r="AD233" s="305">
        <v>10</v>
      </c>
      <c r="AE233" s="322">
        <v>2.7</v>
      </c>
    </row>
    <row r="234" spans="1:31" ht="12.75" customHeight="1">
      <c r="A234" s="306"/>
      <c r="B234" s="298"/>
      <c r="C234" s="307" t="s">
        <v>198</v>
      </c>
      <c r="D234" s="278">
        <v>1785.57</v>
      </c>
      <c r="E234" s="278">
        <v>1885.24</v>
      </c>
      <c r="F234" s="278">
        <v>1738.54</v>
      </c>
      <c r="G234" s="278">
        <v>1750.74</v>
      </c>
      <c r="H234" s="278">
        <v>1764.91</v>
      </c>
      <c r="I234" s="278">
        <v>1773.55</v>
      </c>
      <c r="J234" s="278">
        <v>1766.32</v>
      </c>
      <c r="K234" s="278">
        <v>1701.03</v>
      </c>
      <c r="L234" s="278">
        <v>1767.41</v>
      </c>
      <c r="M234" s="278">
        <v>1772.92</v>
      </c>
      <c r="N234" s="278">
        <v>1841.86</v>
      </c>
      <c r="O234" s="278">
        <v>1772.86</v>
      </c>
      <c r="P234" s="278">
        <v>1789.07</v>
      </c>
      <c r="Q234" s="298"/>
      <c r="R234" s="298"/>
      <c r="S234" s="298"/>
      <c r="T234" s="298"/>
      <c r="U234" s="298"/>
      <c r="V234" s="302"/>
      <c r="W234" s="298"/>
      <c r="X234" s="340"/>
      <c r="Y234" s="340"/>
      <c r="Z234" s="267"/>
      <c r="AA234" s="267"/>
      <c r="AB234" s="267"/>
      <c r="AC234" s="267"/>
      <c r="AD234" s="305"/>
      <c r="AE234" s="305"/>
    </row>
    <row r="235" spans="1:31" ht="24.75" customHeight="1" thickBot="1">
      <c r="A235" s="306"/>
      <c r="B235" s="299"/>
      <c r="C235" s="307" t="s">
        <v>197</v>
      </c>
      <c r="D235" s="323">
        <f t="shared" ref="D235:P235" si="73">IF(((D233="")*AND(D234="")),"",(D233-D234))</f>
        <v>5198.9500000000007</v>
      </c>
      <c r="E235" s="323">
        <f t="shared" si="73"/>
        <v>5187.0700000000006</v>
      </c>
      <c r="F235" s="323">
        <f t="shared" si="73"/>
        <v>5189.92</v>
      </c>
      <c r="G235" s="323">
        <f t="shared" si="73"/>
        <v>5239.6100000000006</v>
      </c>
      <c r="H235" s="323">
        <f t="shared" si="73"/>
        <v>5200.43</v>
      </c>
      <c r="I235" s="323">
        <f t="shared" si="73"/>
        <v>5226.2299999999996</v>
      </c>
      <c r="J235" s="323">
        <f t="shared" si="73"/>
        <v>5245.21</v>
      </c>
      <c r="K235" s="323">
        <f t="shared" si="73"/>
        <v>5232.87</v>
      </c>
      <c r="L235" s="323">
        <f t="shared" si="73"/>
        <v>5195.96</v>
      </c>
      <c r="M235" s="323">
        <f t="shared" si="73"/>
        <v>5227.8900000000003</v>
      </c>
      <c r="N235" s="323">
        <f t="shared" si="73"/>
        <v>5222.5300000000007</v>
      </c>
      <c r="O235" s="323">
        <f t="shared" si="73"/>
        <v>5217.59</v>
      </c>
      <c r="P235" s="323">
        <f t="shared" si="73"/>
        <v>5233.83</v>
      </c>
      <c r="Q235" s="299"/>
      <c r="R235" s="299"/>
      <c r="S235" s="299"/>
      <c r="T235" s="299"/>
      <c r="U235" s="299"/>
      <c r="V235" s="324"/>
      <c r="W235" s="299"/>
      <c r="X235" s="340"/>
      <c r="Y235" s="340"/>
      <c r="Z235" s="267"/>
      <c r="AA235" s="267"/>
      <c r="AB235" s="267"/>
      <c r="AC235" s="267"/>
      <c r="AD235" s="305"/>
      <c r="AE235" s="305"/>
    </row>
    <row r="236" spans="1:31" ht="12.75" customHeight="1">
      <c r="A236" s="351">
        <v>42849</v>
      </c>
      <c r="B236" s="326" t="s">
        <v>202</v>
      </c>
      <c r="C236" s="307" t="s">
        <v>199</v>
      </c>
      <c r="D236" s="278">
        <v>5970.08</v>
      </c>
      <c r="E236" s="278">
        <v>6024.62</v>
      </c>
      <c r="F236" s="278">
        <v>6047.51</v>
      </c>
      <c r="G236" s="278">
        <v>5992.53</v>
      </c>
      <c r="H236" s="278">
        <v>5947.41</v>
      </c>
      <c r="I236" s="278">
        <v>5892.97</v>
      </c>
      <c r="J236" s="278">
        <v>6002.61</v>
      </c>
      <c r="K236" s="278">
        <v>6045.7</v>
      </c>
      <c r="L236" s="278">
        <v>5896.98</v>
      </c>
      <c r="M236" s="290"/>
      <c r="N236" s="290"/>
      <c r="O236" s="290"/>
      <c r="P236" s="290"/>
      <c r="Q236" s="326">
        <f>IF((L237=""),"",MAX(D238:L238))</f>
        <v>6697.7599999999993</v>
      </c>
      <c r="R236" s="326">
        <f>IF(L237="","",MIN(D238:L238))</f>
        <v>6222.24</v>
      </c>
      <c r="S236" s="327">
        <f>IF((L238=""),"",AVERAGE(D238:L238))</f>
        <v>6531.5155555555557</v>
      </c>
      <c r="T236" s="318">
        <f>IF((L237=""),"",(Q236-R236)/(Q236+R236)*100)</f>
        <v>3.6804953560371478</v>
      </c>
      <c r="U236" s="326">
        <f>STDEV(D238:P238)</f>
        <v>131.01142956920651</v>
      </c>
      <c r="V236" s="328" t="str">
        <f>IF(L237="","",IF(T236&lt;7.3,IF(S236&gt;5700,IF(S236&lt;7200,"Pass","Fail"),"Fail"),"Fail"))</f>
        <v>Pass</v>
      </c>
      <c r="W236" s="315">
        <v>64</v>
      </c>
      <c r="X236" s="340" t="s">
        <v>244</v>
      </c>
      <c r="Y236" s="340"/>
      <c r="Z236" s="267">
        <v>4955</v>
      </c>
      <c r="AA236" s="267">
        <v>9645</v>
      </c>
      <c r="AB236" s="267">
        <v>5100</v>
      </c>
      <c r="AC236" s="267">
        <v>8300</v>
      </c>
      <c r="AD236" s="305">
        <v>10</v>
      </c>
      <c r="AE236" s="305">
        <v>9.8000000000000007</v>
      </c>
    </row>
    <row r="237" spans="1:31" ht="12.75" customHeight="1">
      <c r="A237" s="306"/>
      <c r="B237" s="298"/>
      <c r="C237" s="307" t="s">
        <v>198</v>
      </c>
      <c r="D237" s="278">
        <v>2858.96</v>
      </c>
      <c r="E237" s="278">
        <v>2759.74</v>
      </c>
      <c r="F237" s="278">
        <v>2759.26</v>
      </c>
      <c r="G237" s="278">
        <v>2643.65</v>
      </c>
      <c r="H237" s="278">
        <v>2690.47</v>
      </c>
      <c r="I237" s="278">
        <v>2646.51</v>
      </c>
      <c r="J237" s="278">
        <v>2692.63</v>
      </c>
      <c r="K237" s="278">
        <v>2759.7</v>
      </c>
      <c r="L237" s="278">
        <v>2617.67</v>
      </c>
      <c r="M237" s="290"/>
      <c r="N237" s="290"/>
      <c r="O237" s="290"/>
      <c r="P237" s="290"/>
      <c r="Q237" s="298"/>
      <c r="R237" s="298"/>
      <c r="S237" s="298"/>
      <c r="T237" s="298"/>
      <c r="U237" s="298"/>
      <c r="V237" s="302"/>
      <c r="W237" s="298"/>
      <c r="X237" s="340"/>
      <c r="Y237" s="340"/>
      <c r="Z237" s="267"/>
      <c r="AA237" s="267"/>
      <c r="AB237" s="267"/>
      <c r="AC237" s="267"/>
      <c r="AD237" s="305"/>
      <c r="AE237" s="305"/>
    </row>
    <row r="238" spans="1:31" ht="24.75" customHeight="1" thickBot="1">
      <c r="A238" s="306"/>
      <c r="B238" s="309"/>
      <c r="C238" s="310" t="s">
        <v>197</v>
      </c>
      <c r="D238" s="311">
        <f t="shared" ref="D238:L238" si="74">IF(((D236="")*AND(D237="")),"",(D236-D237)*2)</f>
        <v>6222.24</v>
      </c>
      <c r="E238" s="311">
        <f t="shared" si="74"/>
        <v>6529.76</v>
      </c>
      <c r="F238" s="311">
        <f t="shared" si="74"/>
        <v>6576.5</v>
      </c>
      <c r="G238" s="311">
        <f t="shared" si="74"/>
        <v>6697.7599999999993</v>
      </c>
      <c r="H238" s="311">
        <f t="shared" si="74"/>
        <v>6513.88</v>
      </c>
      <c r="I238" s="311">
        <f t="shared" si="74"/>
        <v>6492.92</v>
      </c>
      <c r="J238" s="311">
        <f t="shared" si="74"/>
        <v>6619.9599999999991</v>
      </c>
      <c r="K238" s="311">
        <f t="shared" si="74"/>
        <v>6572</v>
      </c>
      <c r="L238" s="311">
        <f t="shared" si="74"/>
        <v>6558.619999999999</v>
      </c>
      <c r="M238" s="311"/>
      <c r="N238" s="311"/>
      <c r="O238" s="311"/>
      <c r="P238" s="311" t="str">
        <f>IF(((P236="")*AND(P237="")),"",(P236-P237)*2)</f>
        <v/>
      </c>
      <c r="Q238" s="309"/>
      <c r="R238" s="309"/>
      <c r="S238" s="309"/>
      <c r="T238" s="309"/>
      <c r="U238" s="299"/>
      <c r="V238" s="312"/>
      <c r="W238" s="309"/>
      <c r="X238" s="341"/>
      <c r="Y238" s="341"/>
      <c r="Z238" s="267"/>
      <c r="AA238" s="267"/>
      <c r="AB238" s="267"/>
      <c r="AC238" s="267"/>
      <c r="AD238" s="305"/>
      <c r="AE238" s="305"/>
    </row>
    <row r="239" spans="1:31" ht="12.75" customHeight="1">
      <c r="A239" s="351">
        <v>42905</v>
      </c>
      <c r="B239" s="298" t="s">
        <v>200</v>
      </c>
      <c r="C239" s="299" t="s">
        <v>199</v>
      </c>
      <c r="D239" s="278">
        <v>6877</v>
      </c>
      <c r="E239" s="278">
        <v>6971</v>
      </c>
      <c r="F239" s="278">
        <v>6820</v>
      </c>
      <c r="G239" s="278">
        <v>6880</v>
      </c>
      <c r="H239" s="278">
        <v>6859</v>
      </c>
      <c r="I239" s="278">
        <v>6891</v>
      </c>
      <c r="J239" s="356">
        <v>6899</v>
      </c>
      <c r="K239" s="356">
        <v>6822</v>
      </c>
      <c r="L239" s="356">
        <v>6853</v>
      </c>
      <c r="M239" s="356">
        <v>6887</v>
      </c>
      <c r="N239" s="356">
        <v>6956</v>
      </c>
      <c r="O239" s="356">
        <v>6880</v>
      </c>
      <c r="P239" s="356">
        <v>6910</v>
      </c>
      <c r="Q239" s="326">
        <f>IF((L240=""),"",MAX(D241:P241))</f>
        <v>5587</v>
      </c>
      <c r="R239" s="298">
        <f>IF(L240="","",MIN(D241:L241))</f>
        <v>5488</v>
      </c>
      <c r="S239" s="318">
        <f>IF((P241=""),"",AVERAGE(D241:P241))</f>
        <v>5533.4615384615381</v>
      </c>
      <c r="T239" s="336">
        <f>IF((L240=""),"",(Q239-R239)/(Q239+R239)*100)</f>
        <v>0.89390519187358908</v>
      </c>
      <c r="U239" s="298">
        <f>STDEV(D241:P241)</f>
        <v>33.360693899179488</v>
      </c>
      <c r="V239" s="320" t="str">
        <f>IF(P240="","",IF(T239&lt;2.7,IF(S239&gt;5150,IF(S239&lt;5600,"Pass","Fail"),"Fail"),"Fail"))</f>
        <v>Pass</v>
      </c>
      <c r="W239" s="298">
        <v>1159</v>
      </c>
      <c r="X239" s="338" t="s">
        <v>243</v>
      </c>
      <c r="Y239" s="338"/>
      <c r="Z239" s="321">
        <v>4470</v>
      </c>
      <c r="AA239" s="321">
        <v>6020</v>
      </c>
      <c r="AB239" s="321">
        <v>5150</v>
      </c>
      <c r="AC239" s="321">
        <v>5600</v>
      </c>
      <c r="AD239" s="305">
        <v>10</v>
      </c>
      <c r="AE239" s="322">
        <v>2.7</v>
      </c>
    </row>
    <row r="240" spans="1:31" ht="12.75" customHeight="1">
      <c r="A240" s="306"/>
      <c r="B240" s="298"/>
      <c r="C240" s="307" t="s">
        <v>198</v>
      </c>
      <c r="D240" s="278">
        <v>1373</v>
      </c>
      <c r="E240" s="278">
        <v>1474</v>
      </c>
      <c r="F240" s="278">
        <v>1304</v>
      </c>
      <c r="G240" s="278">
        <v>1319</v>
      </c>
      <c r="H240" s="278">
        <v>1371</v>
      </c>
      <c r="I240" s="278">
        <v>1353</v>
      </c>
      <c r="J240" s="356">
        <v>1322</v>
      </c>
      <c r="K240" s="356">
        <v>1235</v>
      </c>
      <c r="L240" s="356">
        <v>1330</v>
      </c>
      <c r="M240" s="356">
        <v>1304</v>
      </c>
      <c r="N240" s="356">
        <v>1444</v>
      </c>
      <c r="O240" s="356">
        <v>1350</v>
      </c>
      <c r="P240" s="356">
        <v>1391</v>
      </c>
      <c r="Q240" s="298"/>
      <c r="R240" s="298"/>
      <c r="S240" s="298"/>
      <c r="T240" s="298"/>
      <c r="U240" s="298"/>
      <c r="V240" s="302"/>
      <c r="W240" s="298"/>
      <c r="X240" s="340"/>
      <c r="Y240" s="340"/>
      <c r="Z240" s="267"/>
      <c r="AA240" s="267"/>
      <c r="AB240" s="267"/>
      <c r="AC240" s="267"/>
      <c r="AD240" s="305"/>
      <c r="AE240" s="305"/>
    </row>
    <row r="241" spans="1:31" ht="24.75" customHeight="1" thickBot="1">
      <c r="A241" s="306"/>
      <c r="B241" s="299"/>
      <c r="C241" s="307" t="s">
        <v>197</v>
      </c>
      <c r="D241" s="323">
        <f t="shared" ref="D241:P241" si="75">IF(((D239="")*AND(D240="")),"",(D239-D240))</f>
        <v>5504</v>
      </c>
      <c r="E241" s="323">
        <f t="shared" si="75"/>
        <v>5497</v>
      </c>
      <c r="F241" s="323">
        <f t="shared" si="75"/>
        <v>5516</v>
      </c>
      <c r="G241" s="323">
        <f t="shared" si="75"/>
        <v>5561</v>
      </c>
      <c r="H241" s="323">
        <f t="shared" si="75"/>
        <v>5488</v>
      </c>
      <c r="I241" s="323">
        <f t="shared" si="75"/>
        <v>5538</v>
      </c>
      <c r="J241" s="323">
        <f t="shared" si="75"/>
        <v>5577</v>
      </c>
      <c r="K241" s="323">
        <f t="shared" si="75"/>
        <v>5587</v>
      </c>
      <c r="L241" s="323">
        <f t="shared" si="75"/>
        <v>5523</v>
      </c>
      <c r="M241" s="323">
        <f t="shared" si="75"/>
        <v>5583</v>
      </c>
      <c r="N241" s="323">
        <f t="shared" si="75"/>
        <v>5512</v>
      </c>
      <c r="O241" s="323">
        <f t="shared" si="75"/>
        <v>5530</v>
      </c>
      <c r="P241" s="323">
        <f t="shared" si="75"/>
        <v>5519</v>
      </c>
      <c r="Q241" s="299"/>
      <c r="R241" s="299"/>
      <c r="S241" s="299"/>
      <c r="T241" s="299"/>
      <c r="U241" s="299"/>
      <c r="V241" s="324"/>
      <c r="W241" s="299"/>
      <c r="X241" s="340"/>
      <c r="Y241" s="340"/>
      <c r="Z241" s="267"/>
      <c r="AA241" s="267"/>
      <c r="AB241" s="267"/>
      <c r="AC241" s="267"/>
      <c r="AD241" s="305"/>
      <c r="AE241" s="305"/>
    </row>
    <row r="242" spans="1:31" ht="12.75" customHeight="1">
      <c r="A242" s="351">
        <v>42905</v>
      </c>
      <c r="B242" s="326" t="s">
        <v>202</v>
      </c>
      <c r="C242" s="307" t="s">
        <v>199</v>
      </c>
      <c r="D242" s="278">
        <v>5961</v>
      </c>
      <c r="E242" s="278">
        <v>6008</v>
      </c>
      <c r="F242" s="278">
        <v>6032</v>
      </c>
      <c r="G242" s="278">
        <v>5993</v>
      </c>
      <c r="H242" s="278">
        <v>5963</v>
      </c>
      <c r="I242" s="278">
        <v>5954</v>
      </c>
      <c r="J242" s="356">
        <v>5999</v>
      </c>
      <c r="K242" s="356">
        <v>6024</v>
      </c>
      <c r="L242" s="356">
        <v>5900</v>
      </c>
      <c r="M242" s="290"/>
      <c r="N242" s="290"/>
      <c r="O242" s="290"/>
      <c r="P242" s="290"/>
      <c r="Q242" s="326">
        <f>IF((L243=""),"",MAX(D244:L244))</f>
        <v>7568</v>
      </c>
      <c r="R242" s="326">
        <f>IF(L243="","",MIN(D244:L244))</f>
        <v>7356</v>
      </c>
      <c r="S242" s="327">
        <f>IF((L244=""),"",AVERAGE(D244:L244))</f>
        <v>7497.1111111111113</v>
      </c>
      <c r="T242" s="318">
        <f>IF((L243=""),"",(Q242-R242)/(Q242+R242)*100)</f>
        <v>1.4205306888233717</v>
      </c>
      <c r="U242" s="326">
        <f>STDEV(D244:P244)</f>
        <v>77.994301786168577</v>
      </c>
      <c r="V242" s="328" t="str">
        <f>IF(L243="","",IF(T242&lt;7.3,IF(S242&gt;5700,IF(S242&lt;7200,"Pass","Fail"),"Fail"),"Fail"))</f>
        <v>Fail</v>
      </c>
      <c r="W242" s="315">
        <v>1159</v>
      </c>
      <c r="X242" s="340" t="s">
        <v>243</v>
      </c>
      <c r="Y242" s="340"/>
      <c r="Z242" s="267">
        <v>4955</v>
      </c>
      <c r="AA242" s="267">
        <v>9645</v>
      </c>
      <c r="AB242" s="267">
        <v>5100</v>
      </c>
      <c r="AC242" s="267">
        <v>8300</v>
      </c>
      <c r="AD242" s="305">
        <v>10</v>
      </c>
      <c r="AE242" s="305">
        <v>9.8000000000000007</v>
      </c>
    </row>
    <row r="243" spans="1:31" ht="12.75" customHeight="1">
      <c r="A243" s="306"/>
      <c r="B243" s="298"/>
      <c r="C243" s="307" t="s">
        <v>198</v>
      </c>
      <c r="D243" s="278">
        <v>2260</v>
      </c>
      <c r="E243" s="278">
        <v>2253</v>
      </c>
      <c r="F243" s="278">
        <v>2256</v>
      </c>
      <c r="G243" s="278">
        <v>2212</v>
      </c>
      <c r="H243" s="278">
        <v>2243</v>
      </c>
      <c r="I243" s="278">
        <v>2170</v>
      </c>
      <c r="J243" s="278">
        <v>2228</v>
      </c>
      <c r="K243" s="278">
        <v>2253</v>
      </c>
      <c r="L243" s="278">
        <v>2222</v>
      </c>
      <c r="M243" s="290"/>
      <c r="N243" s="290"/>
      <c r="O243" s="290"/>
      <c r="P243" s="290"/>
      <c r="Q243" s="298"/>
      <c r="R243" s="298"/>
      <c r="S243" s="298"/>
      <c r="T243" s="298"/>
      <c r="U243" s="298"/>
      <c r="V243" s="302"/>
      <c r="W243" s="298"/>
      <c r="X243" s="340"/>
      <c r="Y243" s="340"/>
      <c r="Z243" s="267"/>
      <c r="AA243" s="267"/>
      <c r="AB243" s="267"/>
      <c r="AC243" s="267"/>
      <c r="AD243" s="305"/>
      <c r="AE243" s="305"/>
    </row>
    <row r="244" spans="1:31" ht="24.75" customHeight="1" thickBot="1">
      <c r="A244" s="306"/>
      <c r="B244" s="309"/>
      <c r="C244" s="310" t="s">
        <v>197</v>
      </c>
      <c r="D244" s="311">
        <f t="shared" ref="D244:L244" si="76">IF(((D242="")*AND(D243="")),"",(D242-D243)*2)</f>
        <v>7402</v>
      </c>
      <c r="E244" s="311">
        <f t="shared" si="76"/>
        <v>7510</v>
      </c>
      <c r="F244" s="311">
        <f t="shared" si="76"/>
        <v>7552</v>
      </c>
      <c r="G244" s="311">
        <f t="shared" si="76"/>
        <v>7562</v>
      </c>
      <c r="H244" s="311">
        <f t="shared" si="76"/>
        <v>7440</v>
      </c>
      <c r="I244" s="311">
        <f t="shared" si="76"/>
        <v>7568</v>
      </c>
      <c r="J244" s="311">
        <f t="shared" si="76"/>
        <v>7542</v>
      </c>
      <c r="K244" s="311">
        <f t="shared" si="76"/>
        <v>7542</v>
      </c>
      <c r="L244" s="311">
        <f t="shared" si="76"/>
        <v>7356</v>
      </c>
      <c r="M244" s="311"/>
      <c r="N244" s="311"/>
      <c r="O244" s="311"/>
      <c r="P244" s="311" t="str">
        <f>IF(((P242="")*AND(P243="")),"",(P242-P243)*2)</f>
        <v/>
      </c>
      <c r="Q244" s="309"/>
      <c r="R244" s="309"/>
      <c r="S244" s="309"/>
      <c r="T244" s="309"/>
      <c r="U244" s="299"/>
      <c r="V244" s="312"/>
      <c r="W244" s="309"/>
      <c r="X244" s="341"/>
      <c r="Y244" s="341"/>
      <c r="Z244" s="267"/>
      <c r="AA244" s="267"/>
      <c r="AB244" s="267"/>
      <c r="AC244" s="267"/>
      <c r="AD244" s="305"/>
      <c r="AE244" s="305"/>
    </row>
    <row r="245" spans="1:31" ht="12.75" customHeight="1">
      <c r="A245" s="351">
        <v>42912</v>
      </c>
      <c r="B245" s="298" t="s">
        <v>200</v>
      </c>
      <c r="C245" s="299" t="s">
        <v>199</v>
      </c>
      <c r="D245" s="278">
        <v>6995</v>
      </c>
      <c r="E245" s="278">
        <v>7084</v>
      </c>
      <c r="F245" s="278">
        <v>6937</v>
      </c>
      <c r="G245" s="278">
        <v>6998</v>
      </c>
      <c r="H245" s="278">
        <v>6977</v>
      </c>
      <c r="I245" s="278">
        <v>7009</v>
      </c>
      <c r="J245" s="356">
        <v>7017</v>
      </c>
      <c r="K245" s="356">
        <v>6938</v>
      </c>
      <c r="L245" s="356">
        <v>6970</v>
      </c>
      <c r="M245" s="356">
        <v>7005</v>
      </c>
      <c r="N245" s="356">
        <v>7073</v>
      </c>
      <c r="O245" s="356">
        <v>6997</v>
      </c>
      <c r="P245" s="356">
        <v>7030</v>
      </c>
      <c r="Q245" s="326">
        <f>IF((L246=""),"",MAX(D247:P247))</f>
        <v>5451</v>
      </c>
      <c r="R245" s="298">
        <f>IF(L246="","",MIN(D247:L247))</f>
        <v>5405</v>
      </c>
      <c r="S245" s="318">
        <f>IF((P247=""),"",AVERAGE(D247:P247))</f>
        <v>5429.9230769230771</v>
      </c>
      <c r="T245" s="336">
        <f>IF((L246=""),"",(Q245-R245)/(Q245+R245)*100)</f>
        <v>0.42372881355932202</v>
      </c>
      <c r="U245" s="298">
        <f>STDEV(D247:P247)</f>
        <v>14.517010358333835</v>
      </c>
      <c r="V245" s="320" t="str">
        <f>IF(P246="","",IF(T245&lt;2.7,IF(S245&gt;5150,IF(S245&lt;5600,"Pass","Fail"),"Fail"),"Fail"))</f>
        <v>Pass</v>
      </c>
      <c r="W245" s="298">
        <v>1159</v>
      </c>
      <c r="X245" s="357" t="s">
        <v>242</v>
      </c>
      <c r="Y245" s="357"/>
      <c r="Z245" s="321">
        <v>4470</v>
      </c>
      <c r="AA245" s="321">
        <v>6020</v>
      </c>
      <c r="AB245" s="321">
        <v>5150</v>
      </c>
      <c r="AC245" s="321">
        <v>5600</v>
      </c>
      <c r="AD245" s="305">
        <v>10</v>
      </c>
      <c r="AE245" s="322">
        <v>2.7</v>
      </c>
    </row>
    <row r="246" spans="1:31" ht="12.75" customHeight="1">
      <c r="A246" s="306"/>
      <c r="B246" s="298"/>
      <c r="C246" s="307" t="s">
        <v>198</v>
      </c>
      <c r="D246" s="278">
        <v>1568</v>
      </c>
      <c r="E246" s="278">
        <v>1660</v>
      </c>
      <c r="F246" s="278">
        <v>1525</v>
      </c>
      <c r="G246" s="278">
        <v>1549</v>
      </c>
      <c r="H246" s="278">
        <v>1545</v>
      </c>
      <c r="I246" s="278">
        <v>1574</v>
      </c>
      <c r="J246" s="356">
        <v>1566</v>
      </c>
      <c r="K246" s="356">
        <v>1490</v>
      </c>
      <c r="L246" s="356">
        <v>1565</v>
      </c>
      <c r="M246" s="356">
        <v>1569</v>
      </c>
      <c r="N246" s="356">
        <v>1641</v>
      </c>
      <c r="O246" s="356">
        <v>1585</v>
      </c>
      <c r="P246" s="356">
        <v>1604</v>
      </c>
      <c r="Q246" s="298"/>
      <c r="R246" s="298"/>
      <c r="S246" s="298"/>
      <c r="T246" s="298"/>
      <c r="U246" s="298"/>
      <c r="V246" s="302"/>
      <c r="W246" s="298"/>
      <c r="X246" s="340"/>
      <c r="Y246" s="340"/>
      <c r="Z246" s="267"/>
      <c r="AA246" s="267"/>
      <c r="AB246" s="267"/>
      <c r="AC246" s="267"/>
      <c r="AD246" s="305"/>
      <c r="AE246" s="305"/>
    </row>
    <row r="247" spans="1:31" ht="24.75" customHeight="1" thickBot="1">
      <c r="A247" s="306"/>
      <c r="B247" s="299"/>
      <c r="C247" s="307" t="s">
        <v>197</v>
      </c>
      <c r="D247" s="323">
        <f t="shared" ref="D247:P247" si="77">IF(((D245="")*AND(D246="")),"",(D245-D246))</f>
        <v>5427</v>
      </c>
      <c r="E247" s="323">
        <f t="shared" si="77"/>
        <v>5424</v>
      </c>
      <c r="F247" s="323">
        <f t="shared" si="77"/>
        <v>5412</v>
      </c>
      <c r="G247" s="323">
        <f t="shared" si="77"/>
        <v>5449</v>
      </c>
      <c r="H247" s="323">
        <f t="shared" si="77"/>
        <v>5432</v>
      </c>
      <c r="I247" s="323">
        <f t="shared" si="77"/>
        <v>5435</v>
      </c>
      <c r="J247" s="323">
        <f t="shared" si="77"/>
        <v>5451</v>
      </c>
      <c r="K247" s="323">
        <f t="shared" si="77"/>
        <v>5448</v>
      </c>
      <c r="L247" s="323">
        <f t="shared" si="77"/>
        <v>5405</v>
      </c>
      <c r="M247" s="323">
        <f t="shared" si="77"/>
        <v>5436</v>
      </c>
      <c r="N247" s="323">
        <f t="shared" si="77"/>
        <v>5432</v>
      </c>
      <c r="O247" s="323">
        <f t="shared" si="77"/>
        <v>5412</v>
      </c>
      <c r="P247" s="323">
        <f t="shared" si="77"/>
        <v>5426</v>
      </c>
      <c r="Q247" s="299"/>
      <c r="R247" s="299"/>
      <c r="S247" s="299"/>
      <c r="T247" s="299"/>
      <c r="U247" s="299"/>
      <c r="V247" s="324"/>
      <c r="W247" s="299"/>
      <c r="X247" s="340"/>
      <c r="Y247" s="340"/>
      <c r="Z247" s="267"/>
      <c r="AA247" s="267"/>
      <c r="AB247" s="267"/>
      <c r="AC247" s="267"/>
      <c r="AD247" s="305"/>
      <c r="AE247" s="305"/>
    </row>
    <row r="248" spans="1:31" ht="12.75" customHeight="1">
      <c r="A248" s="351">
        <v>42912</v>
      </c>
      <c r="B248" s="326" t="s">
        <v>202</v>
      </c>
      <c r="C248" s="307" t="s">
        <v>199</v>
      </c>
      <c r="D248" s="278">
        <v>5972</v>
      </c>
      <c r="E248" s="278">
        <v>6015</v>
      </c>
      <c r="F248" s="278">
        <v>6044</v>
      </c>
      <c r="G248" s="278">
        <v>6010</v>
      </c>
      <c r="H248" s="278">
        <v>5981</v>
      </c>
      <c r="I248" s="278">
        <v>5994</v>
      </c>
      <c r="J248" s="356">
        <v>6005</v>
      </c>
      <c r="K248" s="356">
        <v>6034</v>
      </c>
      <c r="L248" s="356">
        <v>5908</v>
      </c>
      <c r="M248" s="290"/>
      <c r="N248" s="290"/>
      <c r="O248" s="290"/>
      <c r="P248" s="290"/>
      <c r="Q248" s="326">
        <f>IF((L249=""),"",MAX(D250:L250))</f>
        <v>7520</v>
      </c>
      <c r="R248" s="326">
        <f>IF(L249="","",MIN(D250:L250))</f>
        <v>7230</v>
      </c>
      <c r="S248" s="327">
        <f>IF((L250=""),"",AVERAGE(D250:L250))</f>
        <v>7371.5555555555557</v>
      </c>
      <c r="T248" s="318">
        <f>IF((L249=""),"",(Q248-R248)/(Q248+R248)*100)</f>
        <v>1.9661016949152541</v>
      </c>
      <c r="U248" s="326">
        <f>STDEV(D250:P250)</f>
        <v>81.876600917332439</v>
      </c>
      <c r="V248" s="328" t="str">
        <f>IF(L249="","",IF(T248&lt;7.3,IF(S248&gt;5700,IF(S248&lt;7200,"Pass","Fail"),"Fail"),"Fail"))</f>
        <v>Fail</v>
      </c>
      <c r="W248" s="315">
        <v>1159</v>
      </c>
      <c r="X248" s="340" t="s">
        <v>242</v>
      </c>
      <c r="Y248" s="340"/>
      <c r="Z248" s="267">
        <v>4955</v>
      </c>
      <c r="AA248" s="267">
        <v>9645</v>
      </c>
      <c r="AB248" s="267">
        <v>5100</v>
      </c>
      <c r="AC248" s="267">
        <v>8300</v>
      </c>
      <c r="AD248" s="305">
        <v>10</v>
      </c>
      <c r="AE248" s="305">
        <v>9.8000000000000007</v>
      </c>
    </row>
    <row r="249" spans="1:31" ht="12.75" customHeight="1">
      <c r="A249" s="306"/>
      <c r="B249" s="298"/>
      <c r="C249" s="307" t="s">
        <v>198</v>
      </c>
      <c r="D249" s="278">
        <v>2332</v>
      </c>
      <c r="E249" s="278">
        <v>2334</v>
      </c>
      <c r="F249" s="278">
        <v>2340</v>
      </c>
      <c r="G249" s="278">
        <v>2304</v>
      </c>
      <c r="H249" s="278">
        <v>2294</v>
      </c>
      <c r="I249" s="278">
        <v>2234</v>
      </c>
      <c r="J249" s="278">
        <v>2315</v>
      </c>
      <c r="K249" s="278">
        <v>2345</v>
      </c>
      <c r="L249" s="278">
        <v>2293</v>
      </c>
      <c r="M249" s="290"/>
      <c r="N249" s="290"/>
      <c r="O249" s="290"/>
      <c r="P249" s="290"/>
      <c r="Q249" s="298"/>
      <c r="R249" s="298"/>
      <c r="S249" s="298"/>
      <c r="T249" s="298"/>
      <c r="U249" s="298"/>
      <c r="V249" s="302"/>
      <c r="W249" s="298"/>
      <c r="X249" s="340"/>
      <c r="Y249" s="340"/>
      <c r="Z249" s="267"/>
      <c r="AA249" s="267"/>
      <c r="AB249" s="267"/>
      <c r="AC249" s="267"/>
      <c r="AD249" s="305"/>
      <c r="AE249" s="305"/>
    </row>
    <row r="250" spans="1:31" ht="24.75" customHeight="1" thickBot="1">
      <c r="A250" s="306"/>
      <c r="B250" s="298"/>
      <c r="C250" s="326" t="s">
        <v>197</v>
      </c>
      <c r="D250" s="343">
        <f t="shared" ref="D250:L250" si="78">IF(((D248="")*AND(D249="")),"",(D248-D249)*2)</f>
        <v>7280</v>
      </c>
      <c r="E250" s="343">
        <f t="shared" si="78"/>
        <v>7362</v>
      </c>
      <c r="F250" s="343">
        <f t="shared" si="78"/>
        <v>7408</v>
      </c>
      <c r="G250" s="343">
        <f t="shared" si="78"/>
        <v>7412</v>
      </c>
      <c r="H250" s="343">
        <f t="shared" si="78"/>
        <v>7374</v>
      </c>
      <c r="I250" s="343">
        <f t="shared" si="78"/>
        <v>7520</v>
      </c>
      <c r="J250" s="343">
        <f t="shared" si="78"/>
        <v>7380</v>
      </c>
      <c r="K250" s="343">
        <f t="shared" si="78"/>
        <v>7378</v>
      </c>
      <c r="L250" s="343">
        <f t="shared" si="78"/>
        <v>7230</v>
      </c>
      <c r="M250" s="343"/>
      <c r="N250" s="343"/>
      <c r="O250" s="343"/>
      <c r="P250" s="343" t="str">
        <f>IF(((P248="")*AND(P249="")),"",(P248-P249)*2)</f>
        <v/>
      </c>
      <c r="Q250" s="298"/>
      <c r="R250" s="298"/>
      <c r="S250" s="298"/>
      <c r="T250" s="298"/>
      <c r="U250" s="298"/>
      <c r="V250" s="302"/>
      <c r="W250" s="298"/>
      <c r="X250" s="341"/>
      <c r="Y250" s="341"/>
      <c r="Z250" s="267"/>
      <c r="AA250" s="267"/>
      <c r="AB250" s="267"/>
      <c r="AC250" s="267"/>
      <c r="AD250" s="305"/>
      <c r="AE250" s="305"/>
    </row>
    <row r="251" spans="1:31" ht="12.75" customHeight="1">
      <c r="A251" s="351">
        <v>42916</v>
      </c>
      <c r="B251" s="315" t="s">
        <v>200</v>
      </c>
      <c r="C251" s="316" t="s">
        <v>199</v>
      </c>
      <c r="D251" s="278">
        <v>6877.77</v>
      </c>
      <c r="E251" s="278">
        <v>6963.91</v>
      </c>
      <c r="F251" s="278">
        <v>6830.2</v>
      </c>
      <c r="G251" s="278">
        <v>6902.35</v>
      </c>
      <c r="H251" s="278">
        <v>6841.69</v>
      </c>
      <c r="I251" s="278">
        <v>6890.68</v>
      </c>
      <c r="J251" s="278">
        <v>6925.5</v>
      </c>
      <c r="K251" s="278">
        <v>6850.82</v>
      </c>
      <c r="L251" s="278">
        <v>6865.99</v>
      </c>
      <c r="M251" s="278">
        <v>6910.42</v>
      </c>
      <c r="N251" s="278">
        <v>6950.09</v>
      </c>
      <c r="O251" s="278">
        <v>6889.22</v>
      </c>
      <c r="P251" s="278">
        <v>6907.72</v>
      </c>
      <c r="Q251" s="326">
        <f>IF((L252=""),"",MAX(D253:P253))</f>
        <v>5425.74</v>
      </c>
      <c r="R251" s="315">
        <f>IF(L252="","",MIN(D253:L253))</f>
        <v>5377.61</v>
      </c>
      <c r="S251" s="318">
        <f>IF((P253=""),"",AVERAGE(D253:P253))</f>
        <v>5398.3046153846144</v>
      </c>
      <c r="T251" s="318">
        <f>IF((L252=""),"",(Q251-R251)/(Q251+R251)*100)</f>
        <v>0.44550995755946177</v>
      </c>
      <c r="U251" s="315">
        <f>STDEV(D253:P253)</f>
        <v>16.436646868138208</v>
      </c>
      <c r="V251" s="320" t="str">
        <f>IF(P252="","",IF(T251&lt;2.7,IF(S251&gt;5150,IF(S251&lt;5600,"Pass","Fail"),"Fail"),"Fail"))</f>
        <v>Pass</v>
      </c>
      <c r="W251" s="315">
        <v>102</v>
      </c>
      <c r="X251" s="357" t="s">
        <v>241</v>
      </c>
      <c r="Y251" s="357"/>
      <c r="Z251" s="321">
        <v>4470</v>
      </c>
      <c r="AA251" s="321">
        <v>6020</v>
      </c>
      <c r="AB251" s="321">
        <v>5150</v>
      </c>
      <c r="AC251" s="321">
        <v>5600</v>
      </c>
      <c r="AD251" s="305">
        <v>10</v>
      </c>
      <c r="AE251" s="322">
        <v>2.7</v>
      </c>
    </row>
    <row r="252" spans="1:31" ht="12.75" customHeight="1">
      <c r="A252" s="306"/>
      <c r="B252" s="298"/>
      <c r="C252" s="307" t="s">
        <v>198</v>
      </c>
      <c r="D252" s="278">
        <v>1490.42</v>
      </c>
      <c r="E252" s="278">
        <v>1576.67</v>
      </c>
      <c r="F252" s="278">
        <v>1452.59</v>
      </c>
      <c r="G252" s="278">
        <v>1490.62</v>
      </c>
      <c r="H252" s="278">
        <v>1461.67</v>
      </c>
      <c r="I252" s="278">
        <v>1486.1</v>
      </c>
      <c r="J252" s="278">
        <v>1506.28</v>
      </c>
      <c r="K252" s="278">
        <v>1425.08</v>
      </c>
      <c r="L252" s="278">
        <v>1487.67</v>
      </c>
      <c r="M252" s="278">
        <v>1494.27</v>
      </c>
      <c r="N252" s="278">
        <v>1549.32</v>
      </c>
      <c r="O252" s="278">
        <v>1500.77</v>
      </c>
      <c r="P252" s="278">
        <v>1506.94</v>
      </c>
      <c r="Q252" s="298"/>
      <c r="R252" s="298"/>
      <c r="S252" s="298"/>
      <c r="T252" s="298"/>
      <c r="U252" s="298"/>
      <c r="V252" s="302"/>
      <c r="W252" s="298"/>
      <c r="X252" s="340"/>
      <c r="Y252" s="340"/>
      <c r="Z252" s="267"/>
      <c r="AA252" s="267"/>
      <c r="AB252" s="267"/>
      <c r="AC252" s="267"/>
      <c r="AD252" s="305"/>
      <c r="AE252" s="305"/>
    </row>
    <row r="253" spans="1:31" ht="24" customHeight="1">
      <c r="A253" s="306"/>
      <c r="B253" s="299"/>
      <c r="C253" s="307" t="s">
        <v>197</v>
      </c>
      <c r="D253" s="323">
        <f t="shared" ref="D253:P253" si="79">IF(((D251="")*AND(D252="")),"",(D251-D252))</f>
        <v>5387.35</v>
      </c>
      <c r="E253" s="323">
        <f t="shared" si="79"/>
        <v>5387.24</v>
      </c>
      <c r="F253" s="323">
        <f t="shared" si="79"/>
        <v>5377.61</v>
      </c>
      <c r="G253" s="323">
        <f t="shared" si="79"/>
        <v>5411.7300000000005</v>
      </c>
      <c r="H253" s="323">
        <f t="shared" si="79"/>
        <v>5380.0199999999995</v>
      </c>
      <c r="I253" s="323">
        <f t="shared" si="79"/>
        <v>5404.58</v>
      </c>
      <c r="J253" s="323">
        <f t="shared" si="79"/>
        <v>5419.22</v>
      </c>
      <c r="K253" s="323">
        <f t="shared" si="79"/>
        <v>5425.74</v>
      </c>
      <c r="L253" s="323">
        <f t="shared" si="79"/>
        <v>5378.32</v>
      </c>
      <c r="M253" s="323">
        <f t="shared" si="79"/>
        <v>5416.15</v>
      </c>
      <c r="N253" s="323">
        <f t="shared" si="79"/>
        <v>5400.77</v>
      </c>
      <c r="O253" s="323">
        <f t="shared" si="79"/>
        <v>5388.4500000000007</v>
      </c>
      <c r="P253" s="323">
        <f t="shared" si="79"/>
        <v>5400.7800000000007</v>
      </c>
      <c r="Q253" s="299"/>
      <c r="R253" s="299"/>
      <c r="S253" s="299"/>
      <c r="T253" s="298"/>
      <c r="U253" s="299"/>
      <c r="V253" s="324"/>
      <c r="W253" s="299"/>
      <c r="X253" s="340"/>
      <c r="Y253" s="340"/>
      <c r="Z253" s="267"/>
      <c r="AA253" s="267"/>
      <c r="AB253" s="267"/>
      <c r="AC253" s="267"/>
      <c r="AD253" s="305"/>
      <c r="AE253" s="305"/>
    </row>
    <row r="254" spans="1:31" ht="12.75" customHeight="1">
      <c r="A254" s="351">
        <v>42916</v>
      </c>
      <c r="B254" s="326" t="s">
        <v>202</v>
      </c>
      <c r="C254" s="307" t="s">
        <v>199</v>
      </c>
      <c r="D254" s="278">
        <v>5971.76</v>
      </c>
      <c r="E254" s="278">
        <v>6013.6</v>
      </c>
      <c r="F254" s="278">
        <v>6036.95</v>
      </c>
      <c r="G254" s="278">
        <v>5995.6</v>
      </c>
      <c r="H254" s="278">
        <v>5966.11</v>
      </c>
      <c r="I254" s="278">
        <v>5959.36</v>
      </c>
      <c r="J254" s="278">
        <v>6005.51</v>
      </c>
      <c r="K254" s="278">
        <v>6028.7</v>
      </c>
      <c r="L254" s="278">
        <v>5902.73</v>
      </c>
      <c r="M254" s="290"/>
      <c r="N254" s="290"/>
      <c r="O254" s="290"/>
      <c r="P254" s="290"/>
      <c r="Q254" s="326">
        <f>IF((L255=""),"",MAX(D256:L256))</f>
        <v>7544.7199999999993</v>
      </c>
      <c r="R254" s="326">
        <f>IF(L255="","",MIN(D256:L256))</f>
        <v>7072.2199999999993</v>
      </c>
      <c r="S254" s="327">
        <f>IF((L256=""),"",AVERAGE(D256:L256))</f>
        <v>7291.4177777777786</v>
      </c>
      <c r="T254" s="319">
        <f>IF((L255=""),"",(Q254-R254)/(Q254+R254)*100)</f>
        <v>3.2325507253912242</v>
      </c>
      <c r="U254" s="326">
        <f>STDEV(D256:P256)</f>
        <v>132.32011239575604</v>
      </c>
      <c r="V254" s="328" t="str">
        <f>IF(L255="","",IF(T254&lt;7.3,IF(S254&gt;5700,IF(S254&lt;7200,"Pass","Fail"),"Fail"),"Fail"))</f>
        <v>Fail</v>
      </c>
      <c r="W254" s="298">
        <v>102</v>
      </c>
      <c r="X254" s="340" t="s">
        <v>241</v>
      </c>
      <c r="Y254" s="340"/>
      <c r="Z254" s="267">
        <v>4955</v>
      </c>
      <c r="AA254" s="267">
        <v>9645</v>
      </c>
      <c r="AB254" s="267">
        <v>5100</v>
      </c>
      <c r="AC254" s="267">
        <v>8300</v>
      </c>
      <c r="AD254" s="305">
        <v>10</v>
      </c>
      <c r="AE254" s="305">
        <v>9.8000000000000007</v>
      </c>
    </row>
    <row r="255" spans="1:31" ht="12.75" customHeight="1">
      <c r="A255" s="306"/>
      <c r="B255" s="298"/>
      <c r="C255" s="307" t="s">
        <v>198</v>
      </c>
      <c r="D255" s="278">
        <v>2395.81</v>
      </c>
      <c r="E255" s="278">
        <v>2382.8200000000002</v>
      </c>
      <c r="F255" s="278">
        <v>2381.48</v>
      </c>
      <c r="G255" s="278">
        <v>2332.54</v>
      </c>
      <c r="H255" s="278">
        <v>2285.02</v>
      </c>
      <c r="I255" s="278">
        <v>2187</v>
      </c>
      <c r="J255" s="278">
        <v>2346.88</v>
      </c>
      <c r="K255" s="278">
        <v>2390.77</v>
      </c>
      <c r="L255" s="278">
        <v>2366.62</v>
      </c>
      <c r="M255" s="290"/>
      <c r="N255" s="290"/>
      <c r="O255" s="290"/>
      <c r="P255" s="290"/>
      <c r="Q255" s="298"/>
      <c r="R255" s="298"/>
      <c r="S255" s="298"/>
      <c r="T255" s="298"/>
      <c r="U255" s="298"/>
      <c r="V255" s="302"/>
      <c r="W255" s="298"/>
      <c r="X255" s="340"/>
      <c r="Y255" s="340"/>
      <c r="Z255" s="267"/>
      <c r="AA255" s="267"/>
      <c r="AB255" s="267"/>
      <c r="AC255" s="267"/>
      <c r="AD255" s="305"/>
      <c r="AE255" s="305"/>
    </row>
    <row r="256" spans="1:31" ht="24.75" customHeight="1" thickBot="1">
      <c r="A256" s="306"/>
      <c r="B256" s="309"/>
      <c r="C256" s="310" t="s">
        <v>197</v>
      </c>
      <c r="D256" s="311">
        <f t="shared" ref="D256:L256" si="80">IF(((D254="")*AND(D255="")),"",(D254-D255)*2)</f>
        <v>7151.9000000000005</v>
      </c>
      <c r="E256" s="311">
        <f t="shared" si="80"/>
        <v>7261.56</v>
      </c>
      <c r="F256" s="311">
        <f t="shared" si="80"/>
        <v>7310.94</v>
      </c>
      <c r="G256" s="311">
        <f t="shared" si="80"/>
        <v>7326.1200000000008</v>
      </c>
      <c r="H256" s="311">
        <f t="shared" si="80"/>
        <v>7362.1799999999994</v>
      </c>
      <c r="I256" s="311">
        <f t="shared" si="80"/>
        <v>7544.7199999999993</v>
      </c>
      <c r="J256" s="311">
        <f t="shared" si="80"/>
        <v>7317.26</v>
      </c>
      <c r="K256" s="311">
        <f t="shared" si="80"/>
        <v>7275.86</v>
      </c>
      <c r="L256" s="311">
        <f t="shared" si="80"/>
        <v>7072.2199999999993</v>
      </c>
      <c r="M256" s="311"/>
      <c r="N256" s="311"/>
      <c r="O256" s="311"/>
      <c r="P256" s="311" t="str">
        <f>IF(((P254="")*AND(P255="")),"",(P254-P255)*2)</f>
        <v/>
      </c>
      <c r="Q256" s="309"/>
      <c r="R256" s="309"/>
      <c r="S256" s="309"/>
      <c r="T256" s="309"/>
      <c r="U256" s="309"/>
      <c r="V256" s="312"/>
      <c r="W256" s="309"/>
      <c r="X256" s="341"/>
      <c r="Y256" s="341"/>
      <c r="Z256" s="267"/>
      <c r="AA256" s="267"/>
      <c r="AB256" s="267"/>
      <c r="AC256" s="267"/>
      <c r="AD256" s="305"/>
      <c r="AE256" s="305"/>
    </row>
    <row r="257" spans="1:31" ht="12.75" customHeight="1">
      <c r="A257" s="351">
        <v>42922</v>
      </c>
      <c r="B257" s="315" t="s">
        <v>200</v>
      </c>
      <c r="C257" s="316" t="s">
        <v>199</v>
      </c>
      <c r="D257" s="278">
        <v>6891.83</v>
      </c>
      <c r="E257" s="278">
        <v>6981.29</v>
      </c>
      <c r="F257" s="278">
        <v>6837.71</v>
      </c>
      <c r="G257" s="278">
        <v>6898.53</v>
      </c>
      <c r="H257" s="278">
        <v>6867.45</v>
      </c>
      <c r="I257" s="278">
        <v>6903.71</v>
      </c>
      <c r="J257" s="278">
        <v>6916.23</v>
      </c>
      <c r="K257" s="278">
        <v>6837.14</v>
      </c>
      <c r="L257" s="278">
        <v>6868.81</v>
      </c>
      <c r="M257" s="278">
        <v>6901.79</v>
      </c>
      <c r="N257" s="278">
        <v>6965.4</v>
      </c>
      <c r="O257" s="278">
        <v>6890.66</v>
      </c>
      <c r="P257" s="278">
        <v>6920.39</v>
      </c>
      <c r="Q257" s="326">
        <f>IF((L258=""),"",MAX(D259:P259))</f>
        <v>5404.3799999999992</v>
      </c>
      <c r="R257" s="315">
        <f>IF(L258="","",MIN(D259:L259))</f>
        <v>5353.01</v>
      </c>
      <c r="S257" s="318">
        <f>IF((P259=""),"",AVERAGE(D259:P259))</f>
        <v>5384.9669230769232</v>
      </c>
      <c r="T257" s="318">
        <f>IF((L258=""),"",(Q257-R257)/(Q257+R257)*100)</f>
        <v>0.47753218949948811</v>
      </c>
      <c r="U257" s="315">
        <f>STDEV(D259:P259)</f>
        <v>19.331863328208655</v>
      </c>
      <c r="V257" s="320" t="str">
        <f>IF(P258="","",IF(T257&lt;2.7,IF(S257&gt;5150,IF(S257&lt;5600,"Pass","Fail"),"Fail"),"Fail"))</f>
        <v>Pass</v>
      </c>
      <c r="W257" s="315">
        <v>102</v>
      </c>
      <c r="X257" s="357" t="s">
        <v>240</v>
      </c>
      <c r="Y257" s="357"/>
      <c r="Z257" s="321">
        <v>4470</v>
      </c>
      <c r="AA257" s="321">
        <v>6020</v>
      </c>
      <c r="AB257" s="321">
        <v>5150</v>
      </c>
      <c r="AC257" s="321">
        <v>5600</v>
      </c>
      <c r="AD257" s="305">
        <v>10</v>
      </c>
      <c r="AE257" s="322">
        <v>2.7</v>
      </c>
    </row>
    <row r="258" spans="1:31" ht="12.75" customHeight="1">
      <c r="A258" s="306"/>
      <c r="B258" s="298"/>
      <c r="C258" s="307" t="s">
        <v>198</v>
      </c>
      <c r="D258" s="278">
        <v>1522.68</v>
      </c>
      <c r="E258" s="278">
        <v>1603.3</v>
      </c>
      <c r="F258" s="278">
        <v>1484.14</v>
      </c>
      <c r="G258" s="278">
        <v>1510.63</v>
      </c>
      <c r="H258" s="278">
        <v>1493.9</v>
      </c>
      <c r="I258" s="278">
        <v>1500.46</v>
      </c>
      <c r="J258" s="278">
        <v>1514.75</v>
      </c>
      <c r="K258" s="278">
        <v>1433.17</v>
      </c>
      <c r="L258" s="278">
        <v>1515.8</v>
      </c>
      <c r="M258" s="278">
        <v>1498.53</v>
      </c>
      <c r="N258" s="278">
        <v>1561.02</v>
      </c>
      <c r="O258" s="278">
        <v>1517.46</v>
      </c>
      <c r="P258" s="278">
        <v>1520.53</v>
      </c>
      <c r="Q258" s="298"/>
      <c r="R258" s="298"/>
      <c r="S258" s="298"/>
      <c r="T258" s="298"/>
      <c r="U258" s="298"/>
      <c r="V258" s="302"/>
      <c r="W258" s="298"/>
      <c r="X258" s="340"/>
      <c r="Y258" s="340"/>
      <c r="Z258" s="267"/>
      <c r="AA258" s="267"/>
      <c r="AB258" s="267"/>
      <c r="AC258" s="267"/>
      <c r="AD258" s="305"/>
      <c r="AE258" s="305"/>
    </row>
    <row r="259" spans="1:31" ht="24" customHeight="1">
      <c r="A259" s="306"/>
      <c r="B259" s="299"/>
      <c r="C259" s="307" t="s">
        <v>197</v>
      </c>
      <c r="D259" s="323">
        <f t="shared" ref="D259:P259" si="81">IF(((D257="")*AND(D258="")),"",(D257-D258))</f>
        <v>5369.15</v>
      </c>
      <c r="E259" s="323">
        <f t="shared" si="81"/>
        <v>5377.99</v>
      </c>
      <c r="F259" s="323">
        <f t="shared" si="81"/>
        <v>5353.57</v>
      </c>
      <c r="G259" s="323">
        <f t="shared" si="81"/>
        <v>5387.9</v>
      </c>
      <c r="H259" s="323">
        <f t="shared" si="81"/>
        <v>5373.5499999999993</v>
      </c>
      <c r="I259" s="323">
        <f t="shared" si="81"/>
        <v>5403.25</v>
      </c>
      <c r="J259" s="323">
        <f t="shared" si="81"/>
        <v>5401.48</v>
      </c>
      <c r="K259" s="323">
        <f t="shared" si="81"/>
        <v>5403.97</v>
      </c>
      <c r="L259" s="323">
        <f t="shared" si="81"/>
        <v>5353.01</v>
      </c>
      <c r="M259" s="323">
        <f t="shared" si="81"/>
        <v>5403.26</v>
      </c>
      <c r="N259" s="323">
        <f t="shared" si="81"/>
        <v>5404.3799999999992</v>
      </c>
      <c r="O259" s="323">
        <f t="shared" si="81"/>
        <v>5373.2</v>
      </c>
      <c r="P259" s="323">
        <f t="shared" si="81"/>
        <v>5399.8600000000006</v>
      </c>
      <c r="Q259" s="299"/>
      <c r="R259" s="299"/>
      <c r="S259" s="299"/>
      <c r="T259" s="298"/>
      <c r="U259" s="299"/>
      <c r="V259" s="324"/>
      <c r="W259" s="299"/>
      <c r="X259" s="340"/>
      <c r="Y259" s="340"/>
      <c r="Z259" s="267"/>
      <c r="AA259" s="267"/>
      <c r="AB259" s="267"/>
      <c r="AC259" s="267"/>
      <c r="AD259" s="305"/>
      <c r="AE259" s="305"/>
    </row>
    <row r="260" spans="1:31" ht="12.75" customHeight="1">
      <c r="A260" s="351">
        <v>42922</v>
      </c>
      <c r="B260" s="326" t="s">
        <v>202</v>
      </c>
      <c r="C260" s="307" t="s">
        <v>199</v>
      </c>
      <c r="D260" s="278">
        <v>5979.15</v>
      </c>
      <c r="E260" s="278">
        <v>6021.68</v>
      </c>
      <c r="F260" s="278">
        <v>6046.85</v>
      </c>
      <c r="G260" s="278">
        <v>6003.73</v>
      </c>
      <c r="H260" s="278">
        <v>5958.39</v>
      </c>
      <c r="I260" s="278">
        <v>5962.14</v>
      </c>
      <c r="J260" s="278">
        <v>6017.28</v>
      </c>
      <c r="K260" s="278">
        <v>6034.47</v>
      </c>
      <c r="L260" s="278">
        <v>5903.97</v>
      </c>
      <c r="M260" s="290"/>
      <c r="N260" s="290"/>
      <c r="O260" s="290"/>
      <c r="P260" s="290"/>
      <c r="Q260" s="326">
        <f>IF((L261=""),"",MAX(D262:L262))</f>
        <v>7058.8000000000011</v>
      </c>
      <c r="R260" s="326">
        <f>IF(L261="","",MIN(D262:L262))</f>
        <v>6712.42</v>
      </c>
      <c r="S260" s="327">
        <f>IF((L262=""),"",AVERAGE(D262:L262))</f>
        <v>6930.1977777777784</v>
      </c>
      <c r="T260" s="319">
        <f>IF((L261=""),"",(Q260-R260)/(Q260+R260)*100)</f>
        <v>2.5152455628477433</v>
      </c>
      <c r="U260" s="326">
        <f>STDEV(D262:P262)</f>
        <v>130.43983304356183</v>
      </c>
      <c r="V260" s="328" t="str">
        <f>IF(L261="","",IF(T260&lt;7.3,IF(S260&gt;5700,IF(S260&lt;7200,"Pass","Fail"),"Fail"),"Fail"))</f>
        <v>Pass</v>
      </c>
      <c r="W260" s="298">
        <v>102</v>
      </c>
      <c r="X260" s="340" t="s">
        <v>240</v>
      </c>
      <c r="Y260" s="340"/>
      <c r="Z260" s="267">
        <v>4955</v>
      </c>
      <c r="AA260" s="267">
        <v>9645</v>
      </c>
      <c r="AB260" s="267">
        <v>5100</v>
      </c>
      <c r="AC260" s="267">
        <v>8300</v>
      </c>
      <c r="AD260" s="305">
        <v>10</v>
      </c>
      <c r="AE260" s="305">
        <v>9.8000000000000007</v>
      </c>
    </row>
    <row r="261" spans="1:31" ht="12.75" customHeight="1">
      <c r="A261" s="306"/>
      <c r="B261" s="298"/>
      <c r="C261" s="307" t="s">
        <v>198</v>
      </c>
      <c r="D261" s="278">
        <v>2621.0100000000002</v>
      </c>
      <c r="E261" s="278">
        <v>2559.0300000000002</v>
      </c>
      <c r="F261" s="278">
        <v>2548.0700000000002</v>
      </c>
      <c r="G261" s="278">
        <v>2484.14</v>
      </c>
      <c r="H261" s="278">
        <v>2464.0100000000002</v>
      </c>
      <c r="I261" s="278">
        <v>2432.7399999999998</v>
      </c>
      <c r="J261" s="278">
        <v>2511.9699999999998</v>
      </c>
      <c r="K261" s="278">
        <v>2573.04</v>
      </c>
      <c r="L261" s="278">
        <v>2547.7600000000002</v>
      </c>
      <c r="M261" s="290"/>
      <c r="N261" s="290"/>
      <c r="O261" s="290"/>
      <c r="P261" s="290"/>
      <c r="Q261" s="298"/>
      <c r="R261" s="298"/>
      <c r="S261" s="298"/>
      <c r="T261" s="298"/>
      <c r="U261" s="298"/>
      <c r="V261" s="302"/>
      <c r="W261" s="298"/>
      <c r="X261" s="340"/>
      <c r="Y261" s="340"/>
      <c r="Z261" s="267"/>
      <c r="AA261" s="267"/>
      <c r="AB261" s="267"/>
      <c r="AC261" s="267"/>
      <c r="AD261" s="305"/>
      <c r="AE261" s="305"/>
    </row>
    <row r="262" spans="1:31" ht="24.75" customHeight="1" thickBot="1">
      <c r="A262" s="306"/>
      <c r="B262" s="309"/>
      <c r="C262" s="310" t="s">
        <v>197</v>
      </c>
      <c r="D262" s="311">
        <f t="shared" ref="D262:L262" si="82">IF(((D260="")*AND(D261="")),"",(D260-D261)*2)</f>
        <v>6716.2799999999988</v>
      </c>
      <c r="E262" s="311">
        <f t="shared" si="82"/>
        <v>6925.3</v>
      </c>
      <c r="F262" s="311">
        <f t="shared" si="82"/>
        <v>6997.56</v>
      </c>
      <c r="G262" s="311">
        <f t="shared" si="82"/>
        <v>7039.1799999999994</v>
      </c>
      <c r="H262" s="311">
        <f t="shared" si="82"/>
        <v>6988.76</v>
      </c>
      <c r="I262" s="311">
        <f t="shared" si="82"/>
        <v>7058.8000000000011</v>
      </c>
      <c r="J262" s="311">
        <f t="shared" si="82"/>
        <v>7010.62</v>
      </c>
      <c r="K262" s="311">
        <f t="shared" si="82"/>
        <v>6922.8600000000006</v>
      </c>
      <c r="L262" s="311">
        <f t="shared" si="82"/>
        <v>6712.42</v>
      </c>
      <c r="M262" s="311"/>
      <c r="N262" s="311"/>
      <c r="O262" s="311"/>
      <c r="P262" s="311" t="str">
        <f>IF(((P260="")*AND(P261="")),"",(P260-P261)*2)</f>
        <v/>
      </c>
      <c r="Q262" s="309"/>
      <c r="R262" s="309"/>
      <c r="S262" s="309"/>
      <c r="T262" s="309"/>
      <c r="U262" s="309"/>
      <c r="V262" s="312"/>
      <c r="W262" s="309"/>
      <c r="X262" s="341"/>
      <c r="Y262" s="341"/>
      <c r="Z262" s="267"/>
      <c r="AA262" s="267"/>
      <c r="AB262" s="267"/>
      <c r="AC262" s="267"/>
      <c r="AD262" s="305"/>
      <c r="AE262" s="305"/>
    </row>
    <row r="263" spans="1:31" ht="12.75" customHeight="1">
      <c r="A263" s="351">
        <v>42930</v>
      </c>
      <c r="B263" s="315" t="s">
        <v>200</v>
      </c>
      <c r="C263" s="316" t="s">
        <v>199</v>
      </c>
      <c r="D263" s="278">
        <v>7006.02</v>
      </c>
      <c r="E263" s="278">
        <v>7095.79</v>
      </c>
      <c r="F263" s="278">
        <v>6948.54</v>
      </c>
      <c r="G263" s="278">
        <v>7011.6</v>
      </c>
      <c r="H263" s="278">
        <v>6988.49</v>
      </c>
      <c r="I263" s="278">
        <v>7021.74</v>
      </c>
      <c r="J263" s="278">
        <v>7032.01</v>
      </c>
      <c r="K263" s="278">
        <v>6951.22</v>
      </c>
      <c r="L263" s="278">
        <v>6982</v>
      </c>
      <c r="M263" s="278">
        <v>7020.03</v>
      </c>
      <c r="N263" s="278">
        <v>7085.65</v>
      </c>
      <c r="O263" s="278">
        <v>7008.05</v>
      </c>
      <c r="P263" s="278">
        <v>7040.64</v>
      </c>
      <c r="Q263" s="326">
        <f>IF((L264=""),"",MAX(D265:P265))</f>
        <v>5397.58</v>
      </c>
      <c r="R263" s="315">
        <f>IF(L264="","",MIN(D265:L265))</f>
        <v>5327.62</v>
      </c>
      <c r="S263" s="318">
        <f>IF((P265=""),"",AVERAGE(D265:P265))</f>
        <v>5374.668461538462</v>
      </c>
      <c r="T263" s="318">
        <f>IF((L264=""),"",(Q263-R263)/(Q263+R263)*100)</f>
        <v>0.652295528288517</v>
      </c>
      <c r="U263" s="315">
        <f>STDEV(D265:P265)</f>
        <v>24.622627413988873</v>
      </c>
      <c r="V263" s="320" t="str">
        <f>IF(P264="","",IF(T263&lt;2.7,IF(S263&gt;5150,IF(S263&lt;5600,"Pass","Fail"),"Fail"),"Fail"))</f>
        <v>Pass</v>
      </c>
      <c r="W263" s="315">
        <v>102</v>
      </c>
      <c r="X263" s="357" t="s">
        <v>239</v>
      </c>
      <c r="Y263" s="357"/>
      <c r="Z263" s="321">
        <v>4470</v>
      </c>
      <c r="AA263" s="321">
        <v>6020</v>
      </c>
      <c r="AB263" s="321">
        <v>5150</v>
      </c>
      <c r="AC263" s="321">
        <v>5600</v>
      </c>
      <c r="AD263" s="305">
        <v>10</v>
      </c>
      <c r="AE263" s="322">
        <v>2.7</v>
      </c>
    </row>
    <row r="264" spans="1:31" ht="12.75" customHeight="1">
      <c r="A264" s="306"/>
      <c r="B264" s="298"/>
      <c r="C264" s="307" t="s">
        <v>198</v>
      </c>
      <c r="D264" s="278">
        <v>1648.05</v>
      </c>
      <c r="E264" s="278">
        <v>1721.24</v>
      </c>
      <c r="F264" s="278">
        <v>1620.38</v>
      </c>
      <c r="G264" s="278">
        <v>1627.06</v>
      </c>
      <c r="H264" s="278">
        <v>1594.16</v>
      </c>
      <c r="I264" s="278">
        <v>1629.45</v>
      </c>
      <c r="J264" s="278">
        <v>1637.09</v>
      </c>
      <c r="K264" s="278">
        <v>1564.99</v>
      </c>
      <c r="L264" s="278">
        <v>1654.38</v>
      </c>
      <c r="M264" s="278">
        <v>1636.12</v>
      </c>
      <c r="N264" s="278">
        <v>1688.07</v>
      </c>
      <c r="O264" s="278">
        <v>1652.07</v>
      </c>
      <c r="P264" s="278">
        <v>1648.03</v>
      </c>
      <c r="Q264" s="298"/>
      <c r="R264" s="298"/>
      <c r="S264" s="298"/>
      <c r="T264" s="298"/>
      <c r="U264" s="298"/>
      <c r="V264" s="302"/>
      <c r="W264" s="298"/>
      <c r="X264" s="340"/>
      <c r="Y264" s="340"/>
      <c r="Z264" s="267"/>
      <c r="AA264" s="267"/>
      <c r="AB264" s="267"/>
      <c r="AC264" s="267"/>
      <c r="AD264" s="305"/>
      <c r="AE264" s="305"/>
    </row>
    <row r="265" spans="1:31" ht="24" customHeight="1">
      <c r="A265" s="306"/>
      <c r="B265" s="299"/>
      <c r="C265" s="307" t="s">
        <v>197</v>
      </c>
      <c r="D265" s="323">
        <f t="shared" ref="D265:P265" si="83">IF(((D263="")*AND(D264="")),"",(D263-D264))</f>
        <v>5357.97</v>
      </c>
      <c r="E265" s="323">
        <f t="shared" si="83"/>
        <v>5374.55</v>
      </c>
      <c r="F265" s="323">
        <f t="shared" si="83"/>
        <v>5328.16</v>
      </c>
      <c r="G265" s="323">
        <f t="shared" si="83"/>
        <v>5384.5400000000009</v>
      </c>
      <c r="H265" s="323">
        <f t="shared" si="83"/>
        <v>5394.33</v>
      </c>
      <c r="I265" s="323">
        <f t="shared" si="83"/>
        <v>5392.29</v>
      </c>
      <c r="J265" s="323">
        <f t="shared" si="83"/>
        <v>5394.92</v>
      </c>
      <c r="K265" s="323">
        <f t="shared" si="83"/>
        <v>5386.2300000000005</v>
      </c>
      <c r="L265" s="323">
        <f t="shared" si="83"/>
        <v>5327.62</v>
      </c>
      <c r="M265" s="323">
        <f t="shared" si="83"/>
        <v>5383.91</v>
      </c>
      <c r="N265" s="323">
        <f t="shared" si="83"/>
        <v>5397.58</v>
      </c>
      <c r="O265" s="323">
        <f t="shared" si="83"/>
        <v>5355.9800000000005</v>
      </c>
      <c r="P265" s="323">
        <f t="shared" si="83"/>
        <v>5392.6100000000006</v>
      </c>
      <c r="Q265" s="299"/>
      <c r="R265" s="299"/>
      <c r="S265" s="299"/>
      <c r="T265" s="298"/>
      <c r="U265" s="299"/>
      <c r="V265" s="324"/>
      <c r="W265" s="299"/>
      <c r="X265" s="340"/>
      <c r="Y265" s="340"/>
      <c r="Z265" s="267"/>
      <c r="AA265" s="267"/>
      <c r="AB265" s="267"/>
      <c r="AC265" s="267"/>
      <c r="AD265" s="305"/>
      <c r="AE265" s="305"/>
    </row>
    <row r="266" spans="1:31" ht="12.75" customHeight="1">
      <c r="A266" s="351">
        <v>42930</v>
      </c>
      <c r="B266" s="326" t="s">
        <v>202</v>
      </c>
      <c r="C266" s="307" t="s">
        <v>199</v>
      </c>
      <c r="D266" s="278">
        <v>5965.69</v>
      </c>
      <c r="E266" s="278">
        <v>6020.86</v>
      </c>
      <c r="F266" s="278">
        <v>6035.19</v>
      </c>
      <c r="G266" s="278">
        <v>5983.44</v>
      </c>
      <c r="H266" s="278">
        <v>5928.06</v>
      </c>
      <c r="I266" s="278">
        <v>5958.75</v>
      </c>
      <c r="J266" s="278">
        <v>6014.59</v>
      </c>
      <c r="K266" s="278">
        <v>6038.77</v>
      </c>
      <c r="L266" s="278">
        <v>5895.74</v>
      </c>
      <c r="M266" s="290"/>
      <c r="N266" s="290"/>
      <c r="O266" s="290"/>
      <c r="P266" s="290"/>
      <c r="Q266" s="326">
        <f>IF((L267=""),"",MAX(D268:L268))</f>
        <v>7571.36</v>
      </c>
      <c r="R266" s="326">
        <f>IF(L267="","",MIN(D268:L268))</f>
        <v>7050.1399999999994</v>
      </c>
      <c r="S266" s="327">
        <f>IF((L268=""),"",AVERAGE(D268:L268))</f>
        <v>7291.9155555555544</v>
      </c>
      <c r="T266" s="319">
        <f>IF((L267=""),"",(Q266-R266)/(Q266+R266)*100)</f>
        <v>3.5647505385904341</v>
      </c>
      <c r="U266" s="326">
        <f>STDEV(D268:P268)</f>
        <v>138.78685988877527</v>
      </c>
      <c r="V266" s="328" t="str">
        <f>IF(L267="","",IF(T266&lt;7.3,IF(S266&gt;5700,IF(S266&lt;7200,"Pass","Fail"),"Fail"),"Fail"))</f>
        <v>Fail</v>
      </c>
      <c r="W266" s="298">
        <v>102</v>
      </c>
      <c r="X266" s="340" t="s">
        <v>239</v>
      </c>
      <c r="Y266" s="340"/>
      <c r="Z266" s="267">
        <v>4955</v>
      </c>
      <c r="AA266" s="267">
        <v>9645</v>
      </c>
      <c r="AB266" s="267">
        <v>5100</v>
      </c>
      <c r="AC266" s="267">
        <v>8300</v>
      </c>
      <c r="AD266" s="305">
        <v>10</v>
      </c>
      <c r="AE266" s="305">
        <v>9.8000000000000007</v>
      </c>
    </row>
    <row r="267" spans="1:31" ht="12.75" customHeight="1">
      <c r="A267" s="306"/>
      <c r="B267" s="298"/>
      <c r="C267" s="307" t="s">
        <v>198</v>
      </c>
      <c r="D267" s="278">
        <v>2378.7399999999998</v>
      </c>
      <c r="E267" s="278">
        <v>2379.5700000000002</v>
      </c>
      <c r="F267" s="278">
        <v>2377.89</v>
      </c>
      <c r="G267" s="278">
        <v>2331.5100000000002</v>
      </c>
      <c r="H267" s="278">
        <v>2256.86</v>
      </c>
      <c r="I267" s="278">
        <v>2173.0700000000002</v>
      </c>
      <c r="J267" s="278">
        <v>2361.1799999999998</v>
      </c>
      <c r="K267" s="278">
        <v>2397.98</v>
      </c>
      <c r="L267" s="278">
        <v>2370.67</v>
      </c>
      <c r="M267" s="290"/>
      <c r="N267" s="290"/>
      <c r="O267" s="290"/>
      <c r="P267" s="290"/>
      <c r="Q267" s="298"/>
      <c r="R267" s="298"/>
      <c r="S267" s="298"/>
      <c r="T267" s="298"/>
      <c r="U267" s="298"/>
      <c r="V267" s="302"/>
      <c r="W267" s="298"/>
      <c r="X267" s="340"/>
      <c r="Y267" s="340"/>
      <c r="Z267" s="267"/>
      <c r="AA267" s="267"/>
      <c r="AB267" s="267"/>
      <c r="AC267" s="267"/>
      <c r="AD267" s="305"/>
      <c r="AE267" s="305"/>
    </row>
    <row r="268" spans="1:31" ht="24.75" customHeight="1" thickBot="1">
      <c r="A268" s="306"/>
      <c r="B268" s="309"/>
      <c r="C268" s="310" t="s">
        <v>197</v>
      </c>
      <c r="D268" s="311">
        <f t="shared" ref="D268:L268" si="84">IF(((D266="")*AND(D267="")),"",(D266-D267)*2)</f>
        <v>7173.9</v>
      </c>
      <c r="E268" s="311">
        <f t="shared" si="84"/>
        <v>7282.579999999999</v>
      </c>
      <c r="F268" s="311">
        <f t="shared" si="84"/>
        <v>7314.5999999999995</v>
      </c>
      <c r="G268" s="311">
        <f t="shared" si="84"/>
        <v>7303.8599999999988</v>
      </c>
      <c r="H268" s="311">
        <f t="shared" si="84"/>
        <v>7342.4000000000005</v>
      </c>
      <c r="I268" s="311">
        <f t="shared" si="84"/>
        <v>7571.36</v>
      </c>
      <c r="J268" s="311">
        <f t="shared" si="84"/>
        <v>7306.8200000000006</v>
      </c>
      <c r="K268" s="311">
        <f t="shared" si="84"/>
        <v>7281.5800000000008</v>
      </c>
      <c r="L268" s="311">
        <f t="shared" si="84"/>
        <v>7050.1399999999994</v>
      </c>
      <c r="M268" s="311"/>
      <c r="N268" s="311"/>
      <c r="O268" s="311"/>
      <c r="P268" s="311" t="str">
        <f>IF(((P266="")*AND(P267="")),"",(P266-P267)*2)</f>
        <v/>
      </c>
      <c r="Q268" s="309"/>
      <c r="R268" s="309"/>
      <c r="S268" s="309"/>
      <c r="T268" s="309"/>
      <c r="U268" s="309"/>
      <c r="V268" s="312"/>
      <c r="W268" s="309"/>
      <c r="X268" s="341"/>
      <c r="Y268" s="341"/>
      <c r="Z268" s="267"/>
      <c r="AA268" s="267"/>
      <c r="AB268" s="267"/>
      <c r="AC268" s="267"/>
      <c r="AD268" s="305"/>
      <c r="AE268" s="305"/>
    </row>
    <row r="269" spans="1:31" ht="12.75" customHeight="1">
      <c r="A269" s="351">
        <v>42941</v>
      </c>
      <c r="B269" s="315" t="s">
        <v>200</v>
      </c>
      <c r="C269" s="316" t="s">
        <v>199</v>
      </c>
      <c r="D269" s="278">
        <v>6885.92</v>
      </c>
      <c r="E269" s="278">
        <v>6977.29</v>
      </c>
      <c r="F269" s="278">
        <v>6829.29</v>
      </c>
      <c r="G269" s="278">
        <v>6890.58</v>
      </c>
      <c r="H269" s="278">
        <v>6867.13</v>
      </c>
      <c r="I269" s="278">
        <v>6900.87</v>
      </c>
      <c r="J269" s="278">
        <v>6910.4</v>
      </c>
      <c r="K269" s="278">
        <v>6832.99</v>
      </c>
      <c r="L269" s="278">
        <v>6864.89</v>
      </c>
      <c r="M269" s="278">
        <v>6898.29</v>
      </c>
      <c r="N269" s="278">
        <v>6965.84</v>
      </c>
      <c r="O269" s="278">
        <v>6886.64</v>
      </c>
      <c r="P269" s="278">
        <v>6917.15</v>
      </c>
      <c r="Q269" s="326">
        <f>IF((L270=""),"",MAX(D271:P271))</f>
        <v>5363.1399999999994</v>
      </c>
      <c r="R269" s="315">
        <f>IF(L270="","",MIN(D271:L271))</f>
        <v>5309.79</v>
      </c>
      <c r="S269" s="318">
        <f>IF((P271=""),"",AVERAGE(D271:P271))</f>
        <v>5344.1046153846155</v>
      </c>
      <c r="T269" s="318">
        <f>IF((L270=""),"",(Q269-R269)/(Q269+R269)*100)</f>
        <v>0.49986273684920124</v>
      </c>
      <c r="U269" s="315">
        <f>STDEV(D271:P271)</f>
        <v>17.576329070288843</v>
      </c>
      <c r="V269" s="320" t="str">
        <f>IF(P270="","",IF(T269&lt;2.7,IF(S269&gt;5150,IF(S269&lt;5600,"Pass","Fail"),"Fail"),"Fail"))</f>
        <v>Pass</v>
      </c>
      <c r="W269" s="315">
        <v>1159</v>
      </c>
      <c r="X269" s="357" t="s">
        <v>238</v>
      </c>
      <c r="Y269" s="357"/>
      <c r="Z269" s="321">
        <v>4470</v>
      </c>
      <c r="AA269" s="321">
        <v>6020</v>
      </c>
      <c r="AB269" s="321">
        <v>5150</v>
      </c>
      <c r="AC269" s="321">
        <v>5600</v>
      </c>
      <c r="AD269" s="305">
        <v>10</v>
      </c>
      <c r="AE269" s="322">
        <v>2.7</v>
      </c>
    </row>
    <row r="270" spans="1:31" ht="12.75" customHeight="1">
      <c r="A270" s="306"/>
      <c r="B270" s="298"/>
      <c r="C270" s="307" t="s">
        <v>198</v>
      </c>
      <c r="D270" s="278">
        <v>1551.07</v>
      </c>
      <c r="E270" s="278">
        <v>1630.08</v>
      </c>
      <c r="F270" s="278">
        <v>1519.5</v>
      </c>
      <c r="G270" s="278">
        <v>1543.13</v>
      </c>
      <c r="H270" s="278">
        <v>1517.59</v>
      </c>
      <c r="I270" s="278">
        <v>1537.73</v>
      </c>
      <c r="J270" s="278">
        <v>1555.22</v>
      </c>
      <c r="K270" s="278">
        <v>1482.26</v>
      </c>
      <c r="L270" s="278">
        <v>1554.11</v>
      </c>
      <c r="M270" s="278">
        <v>1545.42</v>
      </c>
      <c r="N270" s="278">
        <v>1604.73</v>
      </c>
      <c r="O270" s="278">
        <v>1555.16</v>
      </c>
      <c r="P270" s="278">
        <v>1557.92</v>
      </c>
      <c r="Q270" s="298"/>
      <c r="R270" s="298"/>
      <c r="S270" s="298"/>
      <c r="T270" s="298"/>
      <c r="U270" s="298"/>
      <c r="V270" s="302"/>
      <c r="W270" s="298"/>
      <c r="X270" s="340"/>
      <c r="Y270" s="340"/>
      <c r="Z270" s="321"/>
      <c r="AA270" s="321"/>
      <c r="AB270" s="321"/>
      <c r="AC270" s="321"/>
      <c r="AD270" s="305"/>
      <c r="AE270" s="322"/>
    </row>
    <row r="271" spans="1:31" ht="24.75" customHeight="1" thickBot="1">
      <c r="A271" s="306"/>
      <c r="B271" s="299"/>
      <c r="C271" s="307" t="s">
        <v>197</v>
      </c>
      <c r="D271" s="323">
        <f t="shared" ref="D271:P271" si="85">IF(((D269="")*AND(D270="")),"",(D269-D270))</f>
        <v>5334.85</v>
      </c>
      <c r="E271" s="323">
        <f t="shared" si="85"/>
        <v>5347.21</v>
      </c>
      <c r="F271" s="323">
        <f t="shared" si="85"/>
        <v>5309.79</v>
      </c>
      <c r="G271" s="323">
        <f t="shared" si="85"/>
        <v>5347.45</v>
      </c>
      <c r="H271" s="323">
        <f t="shared" si="85"/>
        <v>5349.54</v>
      </c>
      <c r="I271" s="323">
        <f t="shared" si="85"/>
        <v>5363.1399999999994</v>
      </c>
      <c r="J271" s="323">
        <f t="shared" si="85"/>
        <v>5355.1799999999994</v>
      </c>
      <c r="K271" s="323">
        <f t="shared" si="85"/>
        <v>5350.73</v>
      </c>
      <c r="L271" s="323">
        <f t="shared" si="85"/>
        <v>5310.7800000000007</v>
      </c>
      <c r="M271" s="323">
        <f t="shared" si="85"/>
        <v>5352.87</v>
      </c>
      <c r="N271" s="323">
        <f t="shared" si="85"/>
        <v>5361.1100000000006</v>
      </c>
      <c r="O271" s="323">
        <f t="shared" si="85"/>
        <v>5331.4800000000005</v>
      </c>
      <c r="P271" s="323">
        <f t="shared" si="85"/>
        <v>5359.23</v>
      </c>
      <c r="Q271" s="299"/>
      <c r="R271" s="299"/>
      <c r="S271" s="299"/>
      <c r="T271" s="298"/>
      <c r="U271" s="299"/>
      <c r="V271" s="324"/>
      <c r="W271" s="299"/>
      <c r="X271" s="340"/>
      <c r="Y271" s="340"/>
      <c r="Z271" s="321"/>
      <c r="AA271" s="321"/>
      <c r="AB271" s="321"/>
      <c r="AC271" s="321"/>
      <c r="AD271" s="305"/>
      <c r="AE271" s="322"/>
    </row>
    <row r="272" spans="1:31" ht="12.75" customHeight="1">
      <c r="A272" s="351">
        <v>42941</v>
      </c>
      <c r="B272" s="326" t="s">
        <v>202</v>
      </c>
      <c r="C272" s="307" t="s">
        <v>199</v>
      </c>
      <c r="D272" s="278">
        <v>5972.95</v>
      </c>
      <c r="E272" s="278">
        <v>6021.2</v>
      </c>
      <c r="F272" s="278">
        <v>6050.32</v>
      </c>
      <c r="G272" s="278">
        <v>5995.02</v>
      </c>
      <c r="H272" s="278">
        <v>5956.96</v>
      </c>
      <c r="I272" s="278">
        <v>5958.2</v>
      </c>
      <c r="J272" s="278">
        <v>6012.43</v>
      </c>
      <c r="K272" s="278">
        <v>6038.12</v>
      </c>
      <c r="L272" s="278">
        <v>5905.35</v>
      </c>
      <c r="M272" s="290"/>
      <c r="N272" s="290"/>
      <c r="O272" s="290"/>
      <c r="P272" s="290"/>
      <c r="Q272" s="326">
        <f>IF((L273=""),"",MAX(D274:L274))</f>
        <v>6967.98</v>
      </c>
      <c r="R272" s="326">
        <f>IF(L273="","",MIN(D274:L274))</f>
        <v>6530.9000000000005</v>
      </c>
      <c r="S272" s="327">
        <f>IF((L274=""),"",AVERAGE(D274:L274))</f>
        <v>6741.1533333333327</v>
      </c>
      <c r="T272" s="319">
        <f>IF((L273=""),"",(Q272-R272)/(Q272+R272)*100)</f>
        <v>3.2378982552626514</v>
      </c>
      <c r="U272" s="326">
        <f>STDEV(D274:P274)</f>
        <v>136.26165197886581</v>
      </c>
      <c r="V272" s="328" t="str">
        <f>IF(L273="","",IF(T272&lt;7.3,IF(S272&gt;5700,IF(S272&lt;7200,"Pass","Fail"),"Fail"),"Fail"))</f>
        <v>Pass</v>
      </c>
      <c r="W272" s="315">
        <v>1159</v>
      </c>
      <c r="X272" s="340" t="s">
        <v>238</v>
      </c>
      <c r="Y272" s="340"/>
      <c r="Z272" s="267">
        <v>4955</v>
      </c>
      <c r="AA272" s="267">
        <v>9645</v>
      </c>
      <c r="AB272" s="267">
        <v>5100</v>
      </c>
      <c r="AC272" s="267">
        <v>8300</v>
      </c>
      <c r="AD272" s="305">
        <v>10</v>
      </c>
      <c r="AE272" s="305">
        <v>9.8000000000000007</v>
      </c>
    </row>
    <row r="273" spans="1:31" ht="12.75" customHeight="1">
      <c r="A273" s="306"/>
      <c r="B273" s="298"/>
      <c r="C273" s="307" t="s">
        <v>198</v>
      </c>
      <c r="D273" s="278">
        <v>2676.28</v>
      </c>
      <c r="E273" s="278">
        <v>2669.51</v>
      </c>
      <c r="F273" s="278">
        <v>2684.78</v>
      </c>
      <c r="G273" s="278">
        <v>2593.44</v>
      </c>
      <c r="H273" s="278">
        <v>2509.58</v>
      </c>
      <c r="I273" s="278">
        <v>2474.21</v>
      </c>
      <c r="J273" s="278">
        <v>2637.77</v>
      </c>
      <c r="K273" s="278">
        <v>2689.89</v>
      </c>
      <c r="L273" s="278">
        <v>2639.9</v>
      </c>
      <c r="M273" s="290"/>
      <c r="N273" s="290"/>
      <c r="O273" s="290"/>
      <c r="P273" s="290"/>
      <c r="Q273" s="298"/>
      <c r="R273" s="298"/>
      <c r="S273" s="298"/>
      <c r="T273" s="298"/>
      <c r="U273" s="298"/>
      <c r="V273" s="302"/>
      <c r="W273" s="298"/>
      <c r="X273" s="340"/>
      <c r="Y273" s="340"/>
      <c r="Z273" s="267"/>
      <c r="AA273" s="267"/>
      <c r="AB273" s="267"/>
      <c r="AC273" s="267"/>
      <c r="AD273" s="268"/>
      <c r="AE273" s="269"/>
    </row>
    <row r="274" spans="1:31" ht="24.75" customHeight="1" thickBot="1">
      <c r="A274" s="306"/>
      <c r="B274" s="309"/>
      <c r="C274" s="310" t="s">
        <v>197</v>
      </c>
      <c r="D274" s="311">
        <f t="shared" ref="D274:L274" si="86">IF(((D272="")*AND(D273="")),"",(D272-D273)*2)</f>
        <v>6593.3399999999992</v>
      </c>
      <c r="E274" s="311">
        <f t="shared" si="86"/>
        <v>6703.3799999999992</v>
      </c>
      <c r="F274" s="311">
        <f t="shared" si="86"/>
        <v>6731.079999999999</v>
      </c>
      <c r="G274" s="311">
        <f t="shared" si="86"/>
        <v>6803.1600000000008</v>
      </c>
      <c r="H274" s="311">
        <f t="shared" si="86"/>
        <v>6894.76</v>
      </c>
      <c r="I274" s="311">
        <f t="shared" si="86"/>
        <v>6967.98</v>
      </c>
      <c r="J274" s="311">
        <f t="shared" si="86"/>
        <v>6749.3200000000006</v>
      </c>
      <c r="K274" s="311">
        <f t="shared" si="86"/>
        <v>6696.46</v>
      </c>
      <c r="L274" s="311">
        <f t="shared" si="86"/>
        <v>6530.9000000000005</v>
      </c>
      <c r="M274" s="311"/>
      <c r="N274" s="311"/>
      <c r="O274" s="311"/>
      <c r="P274" s="311" t="str">
        <f>IF(((P272="")*AND(P273="")),"",(P272-P273)*2)</f>
        <v/>
      </c>
      <c r="Q274" s="309"/>
      <c r="R274" s="309"/>
      <c r="S274" s="309"/>
      <c r="T274" s="309"/>
      <c r="U274" s="309"/>
      <c r="V274" s="312"/>
      <c r="W274" s="309"/>
      <c r="X274" s="341"/>
      <c r="Y274" s="341"/>
      <c r="Z274" s="267"/>
      <c r="AA274" s="267"/>
      <c r="AB274" s="267"/>
      <c r="AC274" s="267"/>
      <c r="AD274" s="268"/>
      <c r="AE274" s="269"/>
    </row>
    <row r="275" spans="1:31" ht="12.75" customHeight="1">
      <c r="A275" s="351">
        <v>42951</v>
      </c>
      <c r="B275" s="315" t="s">
        <v>200</v>
      </c>
      <c r="C275" s="316" t="s">
        <v>199</v>
      </c>
      <c r="D275" s="278">
        <v>6886.51</v>
      </c>
      <c r="E275" s="278">
        <v>6971.1</v>
      </c>
      <c r="F275" s="278">
        <v>6838.64</v>
      </c>
      <c r="G275" s="278">
        <v>6908.24</v>
      </c>
      <c r="H275" s="278">
        <v>6848.93</v>
      </c>
      <c r="I275" s="278">
        <v>6896.6</v>
      </c>
      <c r="J275" s="278">
        <v>6929.8</v>
      </c>
      <c r="K275" s="278">
        <v>6856.87</v>
      </c>
      <c r="L275" s="278">
        <v>6872.96</v>
      </c>
      <c r="M275" s="278">
        <v>6914.05</v>
      </c>
      <c r="N275" s="278">
        <v>6954.62</v>
      </c>
      <c r="O275" s="278">
        <v>6895.57</v>
      </c>
      <c r="P275" s="278">
        <v>6913.64</v>
      </c>
      <c r="Q275" s="326">
        <f>IF((L276=""),"",MAX(D277:P277))</f>
        <v>5366.3600000000006</v>
      </c>
      <c r="R275" s="315">
        <f>IF(L276="","",MIN(D277:L277))</f>
        <v>5313.55</v>
      </c>
      <c r="S275" s="318">
        <f>IF((P277=""),"",AVERAGE(D277:P277))</f>
        <v>5337.1523076923086</v>
      </c>
      <c r="T275" s="318">
        <f>IF((L276=""),"",(Q275-R275)/(Q275+R275)*100)</f>
        <v>0.4944798223955108</v>
      </c>
      <c r="U275" s="315">
        <f>STDEV(D277:P277)</f>
        <v>14.208468808568167</v>
      </c>
      <c r="V275" s="320" t="str">
        <f>IF(P276="","",IF(T275&lt;2.7,IF(S275&gt;5150,IF(S275&lt;5600,"Pass","Fail"),"Fail"),"Fail"))</f>
        <v>Pass</v>
      </c>
      <c r="W275" s="315">
        <v>1159</v>
      </c>
      <c r="X275" s="357" t="s">
        <v>237</v>
      </c>
      <c r="Y275" s="357"/>
      <c r="Z275" s="321">
        <v>4470</v>
      </c>
      <c r="AA275" s="321">
        <v>6020</v>
      </c>
      <c r="AB275" s="321">
        <v>5150</v>
      </c>
      <c r="AC275" s="321">
        <v>5600</v>
      </c>
      <c r="AD275" s="305">
        <v>10</v>
      </c>
      <c r="AE275" s="322">
        <v>2.7</v>
      </c>
    </row>
    <row r="276" spans="1:31" ht="12.75" customHeight="1">
      <c r="A276" s="306"/>
      <c r="B276" s="298"/>
      <c r="C276" s="307" t="s">
        <v>198</v>
      </c>
      <c r="D276" s="278">
        <v>1550.65</v>
      </c>
      <c r="E276" s="278">
        <v>1634.18</v>
      </c>
      <c r="F276" s="278">
        <v>1524.7</v>
      </c>
      <c r="G276" s="278">
        <v>1567.46</v>
      </c>
      <c r="H276" s="278">
        <v>1515.1</v>
      </c>
      <c r="I276" s="278">
        <v>1551.05</v>
      </c>
      <c r="J276" s="278">
        <v>1563.44</v>
      </c>
      <c r="K276" s="278">
        <v>1505.38</v>
      </c>
      <c r="L276" s="278">
        <v>1559.41</v>
      </c>
      <c r="M276" s="278">
        <v>1573.72</v>
      </c>
      <c r="N276" s="278">
        <v>1615.83</v>
      </c>
      <c r="O276" s="278">
        <v>1570.55</v>
      </c>
      <c r="P276" s="278">
        <v>1573.08</v>
      </c>
      <c r="Q276" s="298"/>
      <c r="R276" s="298"/>
      <c r="S276" s="298"/>
      <c r="T276" s="298"/>
      <c r="U276" s="298"/>
      <c r="V276" s="302"/>
      <c r="W276" s="298"/>
      <c r="X276" s="340"/>
      <c r="Y276" s="340"/>
      <c r="Z276" s="321"/>
      <c r="AA276" s="321"/>
      <c r="AB276" s="321"/>
      <c r="AC276" s="321"/>
      <c r="AD276" s="305"/>
      <c r="AE276" s="322"/>
    </row>
    <row r="277" spans="1:31" ht="24" customHeight="1">
      <c r="A277" s="306"/>
      <c r="B277" s="299"/>
      <c r="C277" s="307" t="s">
        <v>197</v>
      </c>
      <c r="D277" s="323">
        <f t="shared" ref="D277:P277" si="87">IF(((D275="")*AND(D276="")),"",(D275-D276))</f>
        <v>5335.8600000000006</v>
      </c>
      <c r="E277" s="323">
        <f t="shared" si="87"/>
        <v>5336.92</v>
      </c>
      <c r="F277" s="323">
        <f t="shared" si="87"/>
        <v>5313.9400000000005</v>
      </c>
      <c r="G277" s="323">
        <f t="shared" si="87"/>
        <v>5340.78</v>
      </c>
      <c r="H277" s="323">
        <f t="shared" si="87"/>
        <v>5333.83</v>
      </c>
      <c r="I277" s="323">
        <f t="shared" si="87"/>
        <v>5345.55</v>
      </c>
      <c r="J277" s="323">
        <f t="shared" si="87"/>
        <v>5366.3600000000006</v>
      </c>
      <c r="K277" s="323">
        <f t="shared" si="87"/>
        <v>5351.49</v>
      </c>
      <c r="L277" s="323">
        <f t="shared" si="87"/>
        <v>5313.55</v>
      </c>
      <c r="M277" s="323">
        <f t="shared" si="87"/>
        <v>5340.33</v>
      </c>
      <c r="N277" s="323">
        <f t="shared" si="87"/>
        <v>5338.79</v>
      </c>
      <c r="O277" s="323">
        <f t="shared" si="87"/>
        <v>5325.0199999999995</v>
      </c>
      <c r="P277" s="323">
        <f t="shared" si="87"/>
        <v>5340.56</v>
      </c>
      <c r="Q277" s="299"/>
      <c r="R277" s="299"/>
      <c r="S277" s="299"/>
      <c r="T277" s="298"/>
      <c r="U277" s="299"/>
      <c r="V277" s="324"/>
      <c r="W277" s="299"/>
      <c r="X277" s="340"/>
      <c r="Y277" s="340"/>
      <c r="Z277" s="321"/>
      <c r="AA277" s="321"/>
      <c r="AB277" s="321"/>
      <c r="AC277" s="321"/>
      <c r="AD277" s="305"/>
      <c r="AE277" s="322"/>
    </row>
    <row r="278" spans="1:31" ht="12.75" customHeight="1">
      <c r="A278" s="351">
        <v>42951</v>
      </c>
      <c r="B278" s="326" t="s">
        <v>202</v>
      </c>
      <c r="C278" s="307" t="s">
        <v>199</v>
      </c>
      <c r="D278" s="278">
        <v>5980.88</v>
      </c>
      <c r="E278" s="278">
        <v>6015.77</v>
      </c>
      <c r="F278" s="278">
        <v>6058.13</v>
      </c>
      <c r="G278" s="278">
        <v>6035.67</v>
      </c>
      <c r="H278" s="278">
        <v>5945.35</v>
      </c>
      <c r="I278" s="278">
        <v>5980.69</v>
      </c>
      <c r="J278" s="278">
        <v>6009.31</v>
      </c>
      <c r="K278" s="278">
        <v>6028.55</v>
      </c>
      <c r="L278" s="278">
        <v>5914.47</v>
      </c>
      <c r="M278" s="290"/>
      <c r="N278" s="290"/>
      <c r="O278" s="290"/>
      <c r="P278" s="290"/>
      <c r="Q278" s="326">
        <f>IF((L279=""),"",MAX(D280:L280))</f>
        <v>6998.4800000000005</v>
      </c>
      <c r="R278" s="326">
        <f>IF(L279="","",MIN(D280:L280))</f>
        <v>6794.54</v>
      </c>
      <c r="S278" s="327">
        <f>IF((L280=""),"",AVERAGE(D280:L280))</f>
        <v>6872.9866666666676</v>
      </c>
      <c r="T278" s="319">
        <f>IF((L279=""),"",(Q278-R278)/(Q278+R278)*100)</f>
        <v>1.4785739453723732</v>
      </c>
      <c r="U278" s="326">
        <f>STDEV(D280:P280)</f>
        <v>69.351325870512881</v>
      </c>
      <c r="V278" s="328" t="str">
        <f>IF(L279="","",IF(T278&lt;7.3,IF(S278&gt;5700,IF(S278&lt;7200,"Pass","Fail"),"Fail"),"Fail"))</f>
        <v>Pass</v>
      </c>
      <c r="W278" s="298">
        <v>1159</v>
      </c>
      <c r="X278" s="340" t="s">
        <v>237</v>
      </c>
      <c r="Y278" s="340"/>
      <c r="Z278" s="267">
        <v>4955</v>
      </c>
      <c r="AA278" s="267">
        <v>9645</v>
      </c>
      <c r="AB278" s="267">
        <v>5100</v>
      </c>
      <c r="AC278" s="267">
        <v>8300</v>
      </c>
      <c r="AD278" s="305">
        <v>10</v>
      </c>
      <c r="AE278" s="305">
        <v>9.8000000000000007</v>
      </c>
    </row>
    <row r="279" spans="1:31" ht="12.75" customHeight="1">
      <c r="A279" s="306"/>
      <c r="B279" s="298"/>
      <c r="C279" s="307" t="s">
        <v>198</v>
      </c>
      <c r="D279" s="278">
        <v>2583.61</v>
      </c>
      <c r="E279" s="278">
        <v>2608.7800000000002</v>
      </c>
      <c r="F279" s="278">
        <v>2628.21</v>
      </c>
      <c r="G279" s="278">
        <v>2536.4299999999998</v>
      </c>
      <c r="H279" s="278">
        <v>2517.39</v>
      </c>
      <c r="I279" s="278">
        <v>2503.58</v>
      </c>
      <c r="J279" s="278">
        <v>2551.86</v>
      </c>
      <c r="K279" s="278">
        <v>2601.15</v>
      </c>
      <c r="L279" s="278">
        <v>2509.37</v>
      </c>
      <c r="M279" s="290"/>
      <c r="N279" s="290"/>
      <c r="O279" s="290"/>
      <c r="P279" s="290"/>
      <c r="Q279" s="298"/>
      <c r="R279" s="298"/>
      <c r="S279" s="298"/>
      <c r="T279" s="298"/>
      <c r="U279" s="298"/>
      <c r="V279" s="302"/>
      <c r="W279" s="298"/>
      <c r="X279" s="340"/>
      <c r="Y279" s="340"/>
      <c r="Z279" s="267"/>
      <c r="AA279" s="267"/>
      <c r="AB279" s="267"/>
      <c r="AC279" s="267"/>
      <c r="AD279" s="268"/>
      <c r="AE279" s="269"/>
    </row>
    <row r="280" spans="1:31" ht="24.75" customHeight="1" thickBot="1">
      <c r="A280" s="306"/>
      <c r="B280" s="309"/>
      <c r="C280" s="310" t="s">
        <v>197</v>
      </c>
      <c r="D280" s="311">
        <f t="shared" ref="D280:L280" si="88">IF(((D278="")*AND(D279="")),"",(D278-D279)*2)</f>
        <v>6794.54</v>
      </c>
      <c r="E280" s="311">
        <f t="shared" si="88"/>
        <v>6813.9800000000005</v>
      </c>
      <c r="F280" s="311">
        <f t="shared" si="88"/>
        <v>6859.84</v>
      </c>
      <c r="G280" s="311">
        <f t="shared" si="88"/>
        <v>6998.4800000000005</v>
      </c>
      <c r="H280" s="311">
        <f t="shared" si="88"/>
        <v>6855.920000000001</v>
      </c>
      <c r="I280" s="311">
        <f t="shared" si="88"/>
        <v>6954.2199999999993</v>
      </c>
      <c r="J280" s="311">
        <f t="shared" si="88"/>
        <v>6914.9000000000005</v>
      </c>
      <c r="K280" s="311">
        <f t="shared" si="88"/>
        <v>6854.8</v>
      </c>
      <c r="L280" s="311">
        <f t="shared" si="88"/>
        <v>6810.2000000000007</v>
      </c>
      <c r="M280" s="311"/>
      <c r="N280" s="311"/>
      <c r="O280" s="311"/>
      <c r="P280" s="311" t="str">
        <f>IF(((P278="")*AND(P279="")),"",(P278-P279)*2)</f>
        <v/>
      </c>
      <c r="Q280" s="309"/>
      <c r="R280" s="309"/>
      <c r="S280" s="309"/>
      <c r="T280" s="309"/>
      <c r="U280" s="309"/>
      <c r="V280" s="312"/>
      <c r="W280" s="309"/>
      <c r="X280" s="341"/>
      <c r="Y280" s="341"/>
      <c r="Z280" s="267"/>
      <c r="AA280" s="267"/>
      <c r="AB280" s="267"/>
      <c r="AC280" s="267"/>
      <c r="AD280" s="268"/>
      <c r="AE280" s="269"/>
    </row>
    <row r="281" spans="1:31" ht="12.75" customHeight="1">
      <c r="A281" s="351">
        <v>42968</v>
      </c>
      <c r="B281" s="315" t="s">
        <v>200</v>
      </c>
      <c r="C281" s="316" t="s">
        <v>199</v>
      </c>
      <c r="D281" s="278">
        <v>6842</v>
      </c>
      <c r="E281" s="278">
        <v>6946</v>
      </c>
      <c r="F281" s="278">
        <v>6778</v>
      </c>
      <c r="G281" s="278">
        <v>6854</v>
      </c>
      <c r="H281" s="278">
        <v>6856</v>
      </c>
      <c r="I281" s="356">
        <v>6890</v>
      </c>
      <c r="J281" s="356">
        <v>6884</v>
      </c>
      <c r="K281" s="356">
        <v>6785</v>
      </c>
      <c r="L281" s="356">
        <v>6801</v>
      </c>
      <c r="M281" s="356">
        <v>6886</v>
      </c>
      <c r="N281" s="356">
        <v>6942</v>
      </c>
      <c r="O281" s="356">
        <v>6847</v>
      </c>
      <c r="P281" s="356">
        <v>6869</v>
      </c>
      <c r="Q281" s="326">
        <f>IF((L282=""),"",MAX(D283:P283))</f>
        <v>5380</v>
      </c>
      <c r="R281" s="315">
        <f>IF(L282="","",MIN(D283:L283))</f>
        <v>5296</v>
      </c>
      <c r="S281" s="318">
        <f>IF((P283=""),"",AVERAGE(D283:P283))</f>
        <v>5333.3846153846152</v>
      </c>
      <c r="T281" s="318">
        <f>IF((L282=""),"",(Q281-R281)/(Q281+R281)*100)</f>
        <v>0.78681153990258523</v>
      </c>
      <c r="U281" s="315">
        <f>STDEV(D283:P283)</f>
        <v>26.638125752187626</v>
      </c>
      <c r="V281" s="320" t="str">
        <f>IF(P282="","",IF(T281&lt;2.7,IF(S281&gt;5150,IF(S281&lt;5600,"Pass","Fail"),"Fail"),"Fail"))</f>
        <v>Pass</v>
      </c>
      <c r="W281" s="315">
        <v>1159</v>
      </c>
      <c r="X281" s="338"/>
      <c r="Y281" s="338"/>
      <c r="Z281" s="321">
        <v>4470</v>
      </c>
      <c r="AA281" s="321">
        <v>6020</v>
      </c>
      <c r="AB281" s="321">
        <v>5150</v>
      </c>
      <c r="AC281" s="321">
        <v>5600</v>
      </c>
      <c r="AD281" s="305">
        <v>10</v>
      </c>
      <c r="AE281" s="322">
        <v>2.7</v>
      </c>
    </row>
    <row r="282" spans="1:31" ht="12.75" customHeight="1">
      <c r="A282" s="306"/>
      <c r="B282" s="298"/>
      <c r="C282" s="307" t="s">
        <v>198</v>
      </c>
      <c r="D282" s="278">
        <v>1529</v>
      </c>
      <c r="E282" s="278">
        <v>1615</v>
      </c>
      <c r="F282" s="278">
        <v>1482</v>
      </c>
      <c r="G282" s="278">
        <v>1518</v>
      </c>
      <c r="H282" s="278">
        <v>1519</v>
      </c>
      <c r="I282" s="278">
        <v>1520</v>
      </c>
      <c r="J282" s="278">
        <v>1538</v>
      </c>
      <c r="K282" s="278">
        <v>1405</v>
      </c>
      <c r="L282" s="278">
        <v>1504</v>
      </c>
      <c r="M282" s="278">
        <v>1520</v>
      </c>
      <c r="N282" s="278">
        <v>1614</v>
      </c>
      <c r="O282" s="278">
        <v>1535</v>
      </c>
      <c r="P282" s="278">
        <v>1547</v>
      </c>
      <c r="Q282" s="298"/>
      <c r="R282" s="298"/>
      <c r="S282" s="298"/>
      <c r="T282" s="298"/>
      <c r="U282" s="298"/>
      <c r="V282" s="302"/>
      <c r="W282" s="298"/>
      <c r="X282" s="340"/>
      <c r="Y282" s="340"/>
      <c r="Z282" s="321"/>
      <c r="AA282" s="321"/>
      <c r="AB282" s="321"/>
      <c r="AC282" s="321"/>
      <c r="AD282" s="305"/>
      <c r="AE282" s="322"/>
    </row>
    <row r="283" spans="1:31" ht="24" customHeight="1">
      <c r="A283" s="306"/>
      <c r="B283" s="299"/>
      <c r="C283" s="307" t="s">
        <v>197</v>
      </c>
      <c r="D283" s="323">
        <f t="shared" ref="D283:P283" si="89">IF(((D281="")*AND(D282="")),"",(D281-D282))</f>
        <v>5313</v>
      </c>
      <c r="E283" s="323">
        <f t="shared" si="89"/>
        <v>5331</v>
      </c>
      <c r="F283" s="323">
        <f t="shared" si="89"/>
        <v>5296</v>
      </c>
      <c r="G283" s="323">
        <f t="shared" si="89"/>
        <v>5336</v>
      </c>
      <c r="H283" s="323">
        <f t="shared" si="89"/>
        <v>5337</v>
      </c>
      <c r="I283" s="323">
        <f t="shared" si="89"/>
        <v>5370</v>
      </c>
      <c r="J283" s="323">
        <f t="shared" si="89"/>
        <v>5346</v>
      </c>
      <c r="K283" s="323">
        <f t="shared" si="89"/>
        <v>5380</v>
      </c>
      <c r="L283" s="323">
        <f t="shared" si="89"/>
        <v>5297</v>
      </c>
      <c r="M283" s="323">
        <f t="shared" si="89"/>
        <v>5366</v>
      </c>
      <c r="N283" s="323">
        <f t="shared" si="89"/>
        <v>5328</v>
      </c>
      <c r="O283" s="323">
        <f t="shared" si="89"/>
        <v>5312</v>
      </c>
      <c r="P283" s="323">
        <f t="shared" si="89"/>
        <v>5322</v>
      </c>
      <c r="Q283" s="299"/>
      <c r="R283" s="299"/>
      <c r="S283" s="299"/>
      <c r="T283" s="298"/>
      <c r="U283" s="299"/>
      <c r="V283" s="324"/>
      <c r="W283" s="299"/>
      <c r="X283" s="340"/>
      <c r="Y283" s="340"/>
      <c r="Z283" s="321"/>
      <c r="AA283" s="321"/>
      <c r="AB283" s="321"/>
      <c r="AC283" s="321"/>
      <c r="AD283" s="305"/>
      <c r="AE283" s="322"/>
    </row>
    <row r="284" spans="1:31" ht="12.75" customHeight="1">
      <c r="A284" s="351">
        <v>42968</v>
      </c>
      <c r="B284" s="326" t="s">
        <v>202</v>
      </c>
      <c r="C284" s="307" t="s">
        <v>199</v>
      </c>
      <c r="D284" s="278">
        <v>5902</v>
      </c>
      <c r="E284" s="278">
        <v>5999</v>
      </c>
      <c r="F284" s="278">
        <v>6020</v>
      </c>
      <c r="G284" s="278">
        <v>5967</v>
      </c>
      <c r="H284" s="278">
        <v>5848</v>
      </c>
      <c r="I284" s="278">
        <v>5890</v>
      </c>
      <c r="J284" s="278">
        <v>5971</v>
      </c>
      <c r="K284" s="278">
        <v>6013</v>
      </c>
      <c r="L284" s="278">
        <v>5822</v>
      </c>
      <c r="M284" s="290"/>
      <c r="N284" s="290"/>
      <c r="O284" s="290"/>
      <c r="P284" s="290"/>
      <c r="Q284" s="326">
        <f>IF((L285=""),"",MAX(D286:L286))</f>
        <v>6836</v>
      </c>
      <c r="R284" s="326">
        <f>IF(L285="","",MIN(D286:L286))</f>
        <v>6634</v>
      </c>
      <c r="S284" s="327">
        <f>IF((L286=""),"",AVERAGE(D286:L286))</f>
        <v>6764.2222222222226</v>
      </c>
      <c r="T284" s="319">
        <f>IF((L285=""),"",(Q284-R284)/(Q284+R284)*100)</f>
        <v>1.4996288047512991</v>
      </c>
      <c r="U284" s="326">
        <f>STDEV(D286:P286)</f>
        <v>58.416131714174263</v>
      </c>
      <c r="V284" s="328" t="str">
        <f>IF(L285="","",IF(T284&lt;7.3,IF(S284&gt;5700,IF(S284&lt;7200,"Pass","Fail"),"Fail"),"Fail"))</f>
        <v>Pass</v>
      </c>
      <c r="W284" s="298">
        <v>1159</v>
      </c>
      <c r="X284" s="358"/>
      <c r="Y284" s="358"/>
      <c r="Z284" s="267">
        <v>4955</v>
      </c>
      <c r="AA284" s="267">
        <v>9645</v>
      </c>
      <c r="AB284" s="267">
        <v>5100</v>
      </c>
      <c r="AC284" s="267">
        <v>8300</v>
      </c>
      <c r="AD284" s="305">
        <v>10</v>
      </c>
      <c r="AE284" s="305">
        <v>9.8000000000000007</v>
      </c>
    </row>
    <row r="285" spans="1:31" ht="12.75" customHeight="1">
      <c r="A285" s="306"/>
      <c r="B285" s="298"/>
      <c r="C285" s="307" t="s">
        <v>198</v>
      </c>
      <c r="D285" s="278">
        <v>2495</v>
      </c>
      <c r="E285" s="278">
        <v>2638</v>
      </c>
      <c r="F285" s="278">
        <v>2634</v>
      </c>
      <c r="G285" s="278">
        <v>2549</v>
      </c>
      <c r="H285" s="278">
        <v>2467</v>
      </c>
      <c r="I285" s="356">
        <v>2504</v>
      </c>
      <c r="J285" s="356">
        <v>2576</v>
      </c>
      <c r="K285" s="356">
        <v>2625</v>
      </c>
      <c r="L285" s="356">
        <v>2505</v>
      </c>
      <c r="M285" s="290"/>
      <c r="N285" s="290"/>
      <c r="O285" s="290"/>
      <c r="P285" s="290"/>
      <c r="Q285" s="298"/>
      <c r="R285" s="298"/>
      <c r="S285" s="298"/>
      <c r="T285" s="298"/>
      <c r="U285" s="298"/>
      <c r="V285" s="302"/>
      <c r="W285" s="298"/>
      <c r="X285" s="358"/>
      <c r="Y285" s="358"/>
      <c r="Z285" s="267"/>
      <c r="AA285" s="267"/>
      <c r="AB285" s="267"/>
      <c r="AC285" s="267"/>
      <c r="AD285" s="268"/>
      <c r="AE285" s="269"/>
    </row>
    <row r="286" spans="1:31" ht="24.75" customHeight="1" thickBot="1">
      <c r="A286" s="306"/>
      <c r="B286" s="309"/>
      <c r="C286" s="310" t="s">
        <v>197</v>
      </c>
      <c r="D286" s="311">
        <f t="shared" ref="D286:L286" si="90">IF(((D284="")*AND(D285="")),"",(D284-D285)*2)</f>
        <v>6814</v>
      </c>
      <c r="E286" s="311">
        <f t="shared" si="90"/>
        <v>6722</v>
      </c>
      <c r="F286" s="311">
        <f t="shared" si="90"/>
        <v>6772</v>
      </c>
      <c r="G286" s="311">
        <f t="shared" si="90"/>
        <v>6836</v>
      </c>
      <c r="H286" s="311">
        <f t="shared" si="90"/>
        <v>6762</v>
      </c>
      <c r="I286" s="311">
        <f t="shared" si="90"/>
        <v>6772</v>
      </c>
      <c r="J286" s="311">
        <f t="shared" si="90"/>
        <v>6790</v>
      </c>
      <c r="K286" s="311">
        <f t="shared" si="90"/>
        <v>6776</v>
      </c>
      <c r="L286" s="311">
        <f t="shared" si="90"/>
        <v>6634</v>
      </c>
      <c r="M286" s="311"/>
      <c r="N286" s="311"/>
      <c r="O286" s="311"/>
      <c r="P286" s="311" t="str">
        <f>IF(((P284="")*AND(P285="")),"",(P284-P285)*2)</f>
        <v/>
      </c>
      <c r="Q286" s="309"/>
      <c r="R286" s="309"/>
      <c r="S286" s="309"/>
      <c r="T286" s="309"/>
      <c r="U286" s="309"/>
      <c r="V286" s="312"/>
      <c r="W286" s="309"/>
      <c r="X286" s="359"/>
      <c r="Y286" s="359"/>
      <c r="Z286" s="267"/>
      <c r="AA286" s="267"/>
      <c r="AB286" s="267"/>
      <c r="AC286" s="267"/>
      <c r="AD286" s="268"/>
      <c r="AE286" s="269"/>
    </row>
    <row r="287" spans="1:31" ht="12.75" customHeight="1">
      <c r="A287" s="351">
        <v>42972</v>
      </c>
      <c r="B287" s="315" t="s">
        <v>200</v>
      </c>
      <c r="C287" s="316" t="s">
        <v>199</v>
      </c>
      <c r="D287" s="278">
        <v>6868.56</v>
      </c>
      <c r="E287" s="278">
        <v>6979.05</v>
      </c>
      <c r="F287" s="278">
        <v>6789.57</v>
      </c>
      <c r="G287" s="278">
        <v>6855.71</v>
      </c>
      <c r="H287" s="278">
        <v>6894.37</v>
      </c>
      <c r="I287" s="278">
        <v>6910.12</v>
      </c>
      <c r="J287" s="278">
        <v>6883.64</v>
      </c>
      <c r="K287" s="278">
        <v>6788.83</v>
      </c>
      <c r="L287" s="278">
        <v>6811.4</v>
      </c>
      <c r="M287" s="278">
        <v>6886.27</v>
      </c>
      <c r="N287" s="278">
        <v>6973.71</v>
      </c>
      <c r="O287" s="278">
        <v>6858.19</v>
      </c>
      <c r="P287" s="278">
        <v>6901.04</v>
      </c>
      <c r="Q287" s="326">
        <f>IF((L288=""),"",MAX(D289:P289))</f>
        <v>5374.54</v>
      </c>
      <c r="R287" s="315">
        <f>IF(L288="","",MIN(D289:L289))</f>
        <v>5260.5599999999995</v>
      </c>
      <c r="S287" s="318">
        <f>IF((P289=""),"",AVERAGE(D289:P289))</f>
        <v>5324.3661538461538</v>
      </c>
      <c r="T287" s="318">
        <f>IF((L288=""),"",(Q287-R287)/(Q287+R287)*100)</f>
        <v>1.0717341632894894</v>
      </c>
      <c r="U287" s="315">
        <f>STDEV(D289:P289)</f>
        <v>37.921509845698253</v>
      </c>
      <c r="V287" s="320" t="str">
        <f>IF(P288="","",IF(T287&lt;2.7,IF(S287&gt;5150,IF(S287&lt;5600,"Pass","Fail"),"Fail"),"Fail"))</f>
        <v>Pass</v>
      </c>
      <c r="W287" s="315">
        <v>121</v>
      </c>
      <c r="X287" s="357"/>
      <c r="Y287" s="357"/>
      <c r="Z287" s="321">
        <v>4470</v>
      </c>
      <c r="AA287" s="321">
        <v>6020</v>
      </c>
      <c r="AB287" s="321">
        <v>5150</v>
      </c>
      <c r="AC287" s="321">
        <v>5600</v>
      </c>
      <c r="AD287" s="305">
        <v>10</v>
      </c>
      <c r="AE287" s="322">
        <v>2.7</v>
      </c>
    </row>
    <row r="288" spans="1:31" ht="12.75" customHeight="1">
      <c r="A288" s="306"/>
      <c r="B288" s="298"/>
      <c r="C288" s="307" t="s">
        <v>198</v>
      </c>
      <c r="D288" s="278">
        <v>1581.05</v>
      </c>
      <c r="E288" s="278">
        <v>1646.66</v>
      </c>
      <c r="F288" s="278">
        <v>1529.01</v>
      </c>
      <c r="G288" s="278">
        <v>1539.96</v>
      </c>
      <c r="H288" s="278">
        <v>1535.4</v>
      </c>
      <c r="I288" s="278">
        <v>1535.58</v>
      </c>
      <c r="J288" s="278">
        <v>1550.48</v>
      </c>
      <c r="K288" s="278">
        <v>1435.65</v>
      </c>
      <c r="L288" s="278">
        <v>1548.38</v>
      </c>
      <c r="M288" s="278">
        <v>1525.83</v>
      </c>
      <c r="N288" s="278">
        <v>1616.58</v>
      </c>
      <c r="O288" s="278">
        <v>1564.23</v>
      </c>
      <c r="P288" s="278">
        <v>1574.89</v>
      </c>
      <c r="Q288" s="298"/>
      <c r="R288" s="298"/>
      <c r="S288" s="298"/>
      <c r="T288" s="298"/>
      <c r="U288" s="298"/>
      <c r="V288" s="302"/>
      <c r="W288" s="298"/>
      <c r="X288" s="340"/>
      <c r="Y288" s="340"/>
      <c r="Z288" s="321"/>
      <c r="AA288" s="321"/>
      <c r="AB288" s="321"/>
      <c r="AC288" s="321"/>
      <c r="AD288" s="305"/>
      <c r="AE288" s="322"/>
    </row>
    <row r="289" spans="1:31" ht="24" customHeight="1">
      <c r="A289" s="306"/>
      <c r="B289" s="299"/>
      <c r="C289" s="307" t="s">
        <v>197</v>
      </c>
      <c r="D289" s="323">
        <f t="shared" ref="D289:P289" si="91">IF(((D287="")*AND(D288="")),"",(D287-D288))</f>
        <v>5287.51</v>
      </c>
      <c r="E289" s="323">
        <f t="shared" si="91"/>
        <v>5332.39</v>
      </c>
      <c r="F289" s="323">
        <f t="shared" si="91"/>
        <v>5260.5599999999995</v>
      </c>
      <c r="G289" s="323">
        <f t="shared" si="91"/>
        <v>5315.75</v>
      </c>
      <c r="H289" s="323">
        <f t="shared" si="91"/>
        <v>5358.9699999999993</v>
      </c>
      <c r="I289" s="323">
        <f t="shared" si="91"/>
        <v>5374.54</v>
      </c>
      <c r="J289" s="323">
        <f t="shared" si="91"/>
        <v>5333.16</v>
      </c>
      <c r="K289" s="323">
        <f t="shared" si="91"/>
        <v>5353.18</v>
      </c>
      <c r="L289" s="323">
        <f t="shared" si="91"/>
        <v>5263.0199999999995</v>
      </c>
      <c r="M289" s="323">
        <f t="shared" si="91"/>
        <v>5360.4400000000005</v>
      </c>
      <c r="N289" s="323">
        <f t="shared" si="91"/>
        <v>5357.13</v>
      </c>
      <c r="O289" s="323">
        <f t="shared" si="91"/>
        <v>5293.9599999999991</v>
      </c>
      <c r="P289" s="323">
        <f t="shared" si="91"/>
        <v>5326.15</v>
      </c>
      <c r="Q289" s="299"/>
      <c r="R289" s="299"/>
      <c r="S289" s="299"/>
      <c r="T289" s="298"/>
      <c r="U289" s="299"/>
      <c r="V289" s="324"/>
      <c r="W289" s="299"/>
      <c r="X289" s="340"/>
      <c r="Y289" s="340"/>
      <c r="Z289" s="321"/>
      <c r="AA289" s="321"/>
      <c r="AB289" s="321"/>
      <c r="AC289" s="321"/>
      <c r="AD289" s="305"/>
      <c r="AE289" s="322"/>
    </row>
    <row r="290" spans="1:31" ht="12.75" customHeight="1">
      <c r="A290" s="351">
        <v>42972</v>
      </c>
      <c r="B290" s="326" t="s">
        <v>202</v>
      </c>
      <c r="C290" s="307" t="s">
        <v>199</v>
      </c>
      <c r="D290" s="278">
        <v>5903.92</v>
      </c>
      <c r="E290" s="278">
        <v>6003.11</v>
      </c>
      <c r="F290" s="278">
        <v>6022.33</v>
      </c>
      <c r="G290" s="278">
        <v>5969.08</v>
      </c>
      <c r="H290" s="278">
        <v>5845.52</v>
      </c>
      <c r="I290" s="278">
        <v>5902.42</v>
      </c>
      <c r="J290" s="278">
        <v>5978.41</v>
      </c>
      <c r="K290" s="278">
        <v>6015.78</v>
      </c>
      <c r="L290" s="278">
        <v>5828.36</v>
      </c>
      <c r="M290" s="290"/>
      <c r="N290" s="290"/>
      <c r="O290" s="290"/>
      <c r="P290" s="290"/>
      <c r="Q290" s="326">
        <f>IF((L291=""),"",MAX(D292:L292))</f>
        <v>6950.56</v>
      </c>
      <c r="R290" s="326">
        <f>IF(L291="","",MIN(D292:L292))</f>
        <v>6675.4</v>
      </c>
      <c r="S290" s="327">
        <f>IF((L292=""),"",AVERAGE(D292:L292))</f>
        <v>6781.4</v>
      </c>
      <c r="T290" s="319">
        <f>IF((L291=""),"",(Q290-R290)/(Q290+R290)*100)</f>
        <v>2.0193806528127247</v>
      </c>
      <c r="U290" s="326">
        <f>STDEV(D292:P292)</f>
        <v>80.548959645694197</v>
      </c>
      <c r="V290" s="328" t="str">
        <f>IF(L291="","",IF(T290&lt;7.3,IF(S290&gt;5700,IF(S290&lt;7200,"Pass","Fail"),"Fail"),"Fail"))</f>
        <v>Pass</v>
      </c>
      <c r="W290" s="298">
        <v>121</v>
      </c>
      <c r="X290" s="340"/>
      <c r="Y290" s="340"/>
      <c r="Z290" s="267">
        <v>4955</v>
      </c>
      <c r="AA290" s="267">
        <v>9645</v>
      </c>
      <c r="AB290" s="267">
        <v>5100</v>
      </c>
      <c r="AC290" s="267">
        <v>8300</v>
      </c>
      <c r="AD290" s="305">
        <v>10</v>
      </c>
      <c r="AE290" s="305">
        <v>9.8000000000000007</v>
      </c>
    </row>
    <row r="291" spans="1:31" ht="12.75" customHeight="1">
      <c r="A291" s="306"/>
      <c r="B291" s="298"/>
      <c r="C291" s="307" t="s">
        <v>198</v>
      </c>
      <c r="D291" s="278">
        <v>2496.58</v>
      </c>
      <c r="E291" s="278">
        <v>2627.51</v>
      </c>
      <c r="F291" s="278">
        <v>2638.91</v>
      </c>
      <c r="G291" s="278">
        <v>2571.66</v>
      </c>
      <c r="H291" s="278">
        <v>2435.21</v>
      </c>
      <c r="I291" s="278">
        <v>2427.14</v>
      </c>
      <c r="J291" s="278">
        <v>2595.56</v>
      </c>
      <c r="K291" s="278">
        <v>2669.4</v>
      </c>
      <c r="L291" s="278">
        <v>2490.66</v>
      </c>
      <c r="M291" s="290"/>
      <c r="N291" s="290"/>
      <c r="O291" s="290"/>
      <c r="P291" s="290"/>
      <c r="Q291" s="298"/>
      <c r="R291" s="298"/>
      <c r="S291" s="298"/>
      <c r="T291" s="298"/>
      <c r="U291" s="298"/>
      <c r="V291" s="302"/>
      <c r="W291" s="298"/>
      <c r="X291" s="340"/>
      <c r="Y291" s="340"/>
      <c r="Z291" s="267"/>
      <c r="AA291" s="267"/>
      <c r="AB291" s="267"/>
      <c r="AC291" s="267"/>
      <c r="AD291" s="268"/>
      <c r="AE291" s="269"/>
    </row>
    <row r="292" spans="1:31" ht="24.75" customHeight="1" thickBot="1">
      <c r="A292" s="306"/>
      <c r="B292" s="309"/>
      <c r="C292" s="310" t="s">
        <v>197</v>
      </c>
      <c r="D292" s="311">
        <f t="shared" ref="D292:L292" si="92">IF(((D290="")*AND(D291="")),"",(D290-D291)*2)</f>
        <v>6814.68</v>
      </c>
      <c r="E292" s="311">
        <f t="shared" si="92"/>
        <v>6751.1999999999989</v>
      </c>
      <c r="F292" s="311">
        <f t="shared" si="92"/>
        <v>6766.84</v>
      </c>
      <c r="G292" s="311">
        <f t="shared" si="92"/>
        <v>6794.84</v>
      </c>
      <c r="H292" s="311">
        <f t="shared" si="92"/>
        <v>6820.6200000000008</v>
      </c>
      <c r="I292" s="311">
        <f t="shared" si="92"/>
        <v>6950.56</v>
      </c>
      <c r="J292" s="311">
        <f t="shared" si="92"/>
        <v>6765.7</v>
      </c>
      <c r="K292" s="311">
        <f t="shared" si="92"/>
        <v>6692.7599999999993</v>
      </c>
      <c r="L292" s="311">
        <f t="shared" si="92"/>
        <v>6675.4</v>
      </c>
      <c r="M292" s="311"/>
      <c r="N292" s="311"/>
      <c r="O292" s="311"/>
      <c r="P292" s="311" t="str">
        <f>IF(((P290="")*AND(P291="")),"",(P290-P291)*2)</f>
        <v/>
      </c>
      <c r="Q292" s="309"/>
      <c r="R292" s="309"/>
      <c r="S292" s="309"/>
      <c r="T292" s="309"/>
      <c r="U292" s="309"/>
      <c r="V292" s="312"/>
      <c r="W292" s="309"/>
      <c r="X292" s="341"/>
      <c r="Y292" s="341"/>
      <c r="Z292" s="267"/>
      <c r="AA292" s="267"/>
      <c r="AB292" s="267"/>
      <c r="AC292" s="267"/>
      <c r="AD292" s="268"/>
      <c r="AE292" s="269"/>
    </row>
    <row r="293" spans="1:31" ht="15" customHeight="1">
      <c r="A293" s="351">
        <v>42976</v>
      </c>
      <c r="B293" s="315" t="s">
        <v>200</v>
      </c>
      <c r="C293" s="316" t="s">
        <v>199</v>
      </c>
      <c r="D293" s="360">
        <v>7006.63</v>
      </c>
      <c r="E293" s="360">
        <v>7106.7</v>
      </c>
      <c r="F293" s="360">
        <v>6927.69</v>
      </c>
      <c r="G293" s="360">
        <v>6993.31</v>
      </c>
      <c r="H293" s="360">
        <v>7021.38</v>
      </c>
      <c r="I293" s="360">
        <v>7038.2</v>
      </c>
      <c r="J293" s="360">
        <v>7018.66</v>
      </c>
      <c r="K293" s="360">
        <v>6926.81</v>
      </c>
      <c r="L293" s="360">
        <v>6944.6</v>
      </c>
      <c r="M293" s="360">
        <v>7017.62</v>
      </c>
      <c r="N293" s="360">
        <v>7097.23</v>
      </c>
      <c r="O293" s="360">
        <v>6987.7</v>
      </c>
      <c r="P293" s="360">
        <v>7028.06</v>
      </c>
      <c r="Q293" s="326">
        <f>IF((L294=""),"",MAX(D295:P295))</f>
        <v>5405.37</v>
      </c>
      <c r="R293" s="315">
        <f>IF(L294="","",MIN(D295:L295))</f>
        <v>5291.23</v>
      </c>
      <c r="S293" s="318">
        <f>IF((P295=""),"",AVERAGE(D295:P295))</f>
        <v>5354.4192307692301</v>
      </c>
      <c r="T293" s="318">
        <f>IF((L294=""),"",(Q293-R293)/(Q293+R293)*100)</f>
        <v>1.067068040311878</v>
      </c>
      <c r="U293" s="315">
        <f>STDEV(D295:P295)</f>
        <v>37.452644646643272</v>
      </c>
      <c r="V293" s="320" t="str">
        <f>IF(P294="","",IF(T293&lt;2.7,IF(S293&gt;5150,IF(S293&lt;5600,"Pass","Fail"),"Fail"),"Fail"))</f>
        <v>Pass</v>
      </c>
      <c r="W293" s="315">
        <v>1428</v>
      </c>
      <c r="X293" s="357"/>
      <c r="Y293" s="357"/>
      <c r="Z293" s="321">
        <v>4470</v>
      </c>
      <c r="AA293" s="321">
        <v>6020</v>
      </c>
      <c r="AB293" s="321">
        <v>5150</v>
      </c>
      <c r="AC293" s="321">
        <v>5600</v>
      </c>
      <c r="AD293" s="305">
        <v>10</v>
      </c>
      <c r="AE293" s="322">
        <v>2.7</v>
      </c>
    </row>
    <row r="294" spans="1:31" ht="15" customHeight="1">
      <c r="A294" s="306"/>
      <c r="B294" s="298"/>
      <c r="C294" s="307" t="s">
        <v>198</v>
      </c>
      <c r="D294" s="360">
        <v>1683.84</v>
      </c>
      <c r="E294" s="360">
        <v>1739.72</v>
      </c>
      <c r="F294" s="360">
        <v>1636.46</v>
      </c>
      <c r="G294" s="360">
        <v>1654.29</v>
      </c>
      <c r="H294" s="360">
        <v>1629.66</v>
      </c>
      <c r="I294" s="360">
        <v>1632.83</v>
      </c>
      <c r="J294" s="360">
        <v>1662.64</v>
      </c>
      <c r="K294" s="360">
        <v>1549.7</v>
      </c>
      <c r="L294" s="360">
        <v>1651.88</v>
      </c>
      <c r="M294" s="360">
        <v>1628.59</v>
      </c>
      <c r="N294" s="360">
        <v>1709.66</v>
      </c>
      <c r="O294" s="360">
        <v>1661.31</v>
      </c>
      <c r="P294" s="360">
        <v>1666.56</v>
      </c>
      <c r="Q294" s="298"/>
      <c r="R294" s="298"/>
      <c r="S294" s="298"/>
      <c r="T294" s="298"/>
      <c r="U294" s="298"/>
      <c r="V294" s="302"/>
      <c r="W294" s="298"/>
      <c r="X294" s="340"/>
      <c r="Y294" s="340"/>
      <c r="Z294" s="321"/>
      <c r="AA294" s="321"/>
      <c r="AB294" s="321"/>
      <c r="AC294" s="321"/>
      <c r="AD294" s="305"/>
      <c r="AE294" s="322"/>
    </row>
    <row r="295" spans="1:31" ht="24" customHeight="1">
      <c r="A295" s="306"/>
      <c r="B295" s="299"/>
      <c r="C295" s="307" t="s">
        <v>197</v>
      </c>
      <c r="D295" s="323">
        <f t="shared" ref="D295:P295" si="93">IF(((D293="")*AND(D294="")),"",(D293-D294))</f>
        <v>5322.79</v>
      </c>
      <c r="E295" s="323">
        <f t="shared" si="93"/>
        <v>5366.98</v>
      </c>
      <c r="F295" s="323">
        <f t="shared" si="93"/>
        <v>5291.23</v>
      </c>
      <c r="G295" s="323">
        <f t="shared" si="93"/>
        <v>5339.02</v>
      </c>
      <c r="H295" s="323">
        <f t="shared" si="93"/>
        <v>5391.72</v>
      </c>
      <c r="I295" s="323">
        <f t="shared" si="93"/>
        <v>5405.37</v>
      </c>
      <c r="J295" s="323">
        <f t="shared" si="93"/>
        <v>5356.0199999999995</v>
      </c>
      <c r="K295" s="323">
        <f t="shared" si="93"/>
        <v>5377.1100000000006</v>
      </c>
      <c r="L295" s="323">
        <f t="shared" si="93"/>
        <v>5292.72</v>
      </c>
      <c r="M295" s="323">
        <f t="shared" si="93"/>
        <v>5389.03</v>
      </c>
      <c r="N295" s="323">
        <f t="shared" si="93"/>
        <v>5387.57</v>
      </c>
      <c r="O295" s="323">
        <f t="shared" si="93"/>
        <v>5326.3899999999994</v>
      </c>
      <c r="P295" s="323">
        <f t="shared" si="93"/>
        <v>5361.5</v>
      </c>
      <c r="Q295" s="299"/>
      <c r="R295" s="299"/>
      <c r="S295" s="299"/>
      <c r="T295" s="298"/>
      <c r="U295" s="299"/>
      <c r="V295" s="324"/>
      <c r="W295" s="299"/>
      <c r="X295" s="340"/>
      <c r="Y295" s="340"/>
      <c r="Z295" s="321"/>
      <c r="AA295" s="321"/>
      <c r="AB295" s="321"/>
      <c r="AC295" s="321"/>
      <c r="AD295" s="305"/>
      <c r="AE295" s="322"/>
    </row>
    <row r="296" spans="1:31" ht="14.45" customHeight="1">
      <c r="A296" s="351">
        <v>42976</v>
      </c>
      <c r="B296" s="326" t="s">
        <v>202</v>
      </c>
      <c r="C296" s="307" t="s">
        <v>199</v>
      </c>
      <c r="D296" s="361">
        <v>5909.46</v>
      </c>
      <c r="E296" s="361">
        <v>6033.06</v>
      </c>
      <c r="F296" s="361">
        <v>6040.4</v>
      </c>
      <c r="G296" s="361">
        <v>5988.4</v>
      </c>
      <c r="H296" s="361">
        <v>5901.61</v>
      </c>
      <c r="I296" s="361">
        <v>5963.41</v>
      </c>
      <c r="J296" s="361">
        <v>5993.63</v>
      </c>
      <c r="K296" s="361">
        <v>6038.61</v>
      </c>
      <c r="L296" s="361">
        <v>5847.22</v>
      </c>
      <c r="M296" s="290"/>
      <c r="N296" s="290"/>
      <c r="O296" s="290"/>
      <c r="P296" s="290"/>
      <c r="Q296" s="326">
        <f>IF((L297=""),"",MAX(D298:L298))</f>
        <v>7132.2</v>
      </c>
      <c r="R296" s="326">
        <f>IF(L297="","",MIN(D298:L298))</f>
        <v>6606.3600000000006</v>
      </c>
      <c r="S296" s="327">
        <f>IF((L298=""),"",AVERAGE(D298:L298))</f>
        <v>6808.1177777777775</v>
      </c>
      <c r="T296" s="319">
        <f>IF((L297=""),"",(Q296-R296)/(Q296+R296)*100)</f>
        <v>3.8274753685975762</v>
      </c>
      <c r="U296" s="326">
        <f>STDEV(D298:P298)</f>
        <v>164.59477496097358</v>
      </c>
      <c r="V296" s="328" t="str">
        <f>IF(L297="","",IF(T296&lt;7.3,IF(S296&gt;5700,IF(S296&lt;7200,"Pass","Fail"),"Fail"),"Fail"))</f>
        <v>Pass</v>
      </c>
      <c r="W296" s="298">
        <v>1428</v>
      </c>
      <c r="X296" s="340"/>
      <c r="Y296" s="340"/>
      <c r="Z296" s="267">
        <v>4955</v>
      </c>
      <c r="AA296" s="267">
        <v>9645</v>
      </c>
      <c r="AB296" s="267">
        <v>5100</v>
      </c>
      <c r="AC296" s="267">
        <v>8300</v>
      </c>
      <c r="AD296" s="305">
        <v>10</v>
      </c>
      <c r="AE296" s="305">
        <v>9.8000000000000007</v>
      </c>
    </row>
    <row r="297" spans="1:31" ht="15" customHeight="1">
      <c r="A297" s="306"/>
      <c r="B297" s="298"/>
      <c r="C297" s="307" t="s">
        <v>198</v>
      </c>
      <c r="D297" s="362">
        <v>2520.85</v>
      </c>
      <c r="E297" s="362">
        <v>2663.89</v>
      </c>
      <c r="F297" s="362">
        <v>2664.92</v>
      </c>
      <c r="G297" s="362">
        <v>2576.83</v>
      </c>
      <c r="H297" s="362">
        <v>2397.65</v>
      </c>
      <c r="I297" s="362">
        <v>2397.31</v>
      </c>
      <c r="J297" s="362">
        <v>2607.75</v>
      </c>
      <c r="K297" s="362">
        <v>2706.03</v>
      </c>
      <c r="L297" s="362">
        <v>2544.04</v>
      </c>
      <c r="M297" s="290"/>
      <c r="N297" s="290"/>
      <c r="O297" s="290"/>
      <c r="P297" s="290"/>
      <c r="Q297" s="298"/>
      <c r="R297" s="298"/>
      <c r="S297" s="298"/>
      <c r="T297" s="298"/>
      <c r="U297" s="298"/>
      <c r="V297" s="302"/>
      <c r="W297" s="298"/>
      <c r="X297" s="340"/>
      <c r="Y297" s="340"/>
      <c r="Z297" s="267"/>
      <c r="AA297" s="267"/>
      <c r="AB297" s="267"/>
      <c r="AC297" s="267"/>
      <c r="AD297" s="268"/>
      <c r="AE297" s="269"/>
    </row>
    <row r="298" spans="1:31" ht="24.75" customHeight="1" thickBot="1">
      <c r="A298" s="306"/>
      <c r="B298" s="309"/>
      <c r="C298" s="310" t="s">
        <v>197</v>
      </c>
      <c r="D298" s="311">
        <f t="shared" ref="D298:L298" si="94">IF(((D296="")*AND(D297="")),"",(D296-D297)*2)</f>
        <v>6777.22</v>
      </c>
      <c r="E298" s="311">
        <f t="shared" si="94"/>
        <v>6738.3400000000011</v>
      </c>
      <c r="F298" s="311">
        <f t="shared" si="94"/>
        <v>6750.9599999999991</v>
      </c>
      <c r="G298" s="311">
        <f t="shared" si="94"/>
        <v>6823.1399999999994</v>
      </c>
      <c r="H298" s="311">
        <f t="shared" si="94"/>
        <v>7007.9199999999992</v>
      </c>
      <c r="I298" s="311">
        <f t="shared" si="94"/>
        <v>7132.2</v>
      </c>
      <c r="J298" s="311">
        <f t="shared" si="94"/>
        <v>6771.76</v>
      </c>
      <c r="K298" s="311">
        <f t="shared" si="94"/>
        <v>6665.1599999999989</v>
      </c>
      <c r="L298" s="311">
        <f t="shared" si="94"/>
        <v>6606.3600000000006</v>
      </c>
      <c r="M298" s="311"/>
      <c r="N298" s="311"/>
      <c r="O298" s="311"/>
      <c r="P298" s="311" t="str">
        <f>IF(((P296="")*AND(P297="")),"",(P296-P297)*2)</f>
        <v/>
      </c>
      <c r="Q298" s="309"/>
      <c r="R298" s="309"/>
      <c r="S298" s="309"/>
      <c r="T298" s="309"/>
      <c r="U298" s="309"/>
      <c r="V298" s="312"/>
      <c r="W298" s="309"/>
      <c r="X298" s="341"/>
      <c r="Y298" s="341"/>
      <c r="Z298" s="267"/>
      <c r="AA298" s="267"/>
      <c r="AB298" s="267"/>
      <c r="AC298" s="267"/>
      <c r="AD298" s="268"/>
      <c r="AE298" s="269"/>
    </row>
    <row r="299" spans="1:31" ht="15" customHeight="1">
      <c r="A299" s="351">
        <v>42981</v>
      </c>
      <c r="B299" s="315" t="s">
        <v>200</v>
      </c>
      <c r="C299" s="316" t="s">
        <v>199</v>
      </c>
      <c r="D299" s="363">
        <v>6840</v>
      </c>
      <c r="E299" s="363">
        <v>6932</v>
      </c>
      <c r="F299" s="363">
        <v>6776</v>
      </c>
      <c r="G299" s="363">
        <v>6861</v>
      </c>
      <c r="H299" s="363">
        <v>6846</v>
      </c>
      <c r="I299" s="363">
        <v>6887</v>
      </c>
      <c r="J299" s="363">
        <v>6882</v>
      </c>
      <c r="K299" s="363">
        <v>6814</v>
      </c>
      <c r="L299" s="363">
        <v>6793</v>
      </c>
      <c r="M299" s="363">
        <v>6888</v>
      </c>
      <c r="N299" s="363">
        <v>6953</v>
      </c>
      <c r="O299" s="363">
        <v>6845</v>
      </c>
      <c r="P299" s="363">
        <v>6869</v>
      </c>
      <c r="Q299" s="326">
        <f>IF((L300=""),"",MAX(D301:P301))</f>
        <v>5440</v>
      </c>
      <c r="R299" s="315">
        <f>IF(L300="","",MIN(D301:L301))</f>
        <v>5368</v>
      </c>
      <c r="S299" s="318">
        <f>IF((P301=""),"",AVERAGE(D301:P301))</f>
        <v>5404.1538461538457</v>
      </c>
      <c r="T299" s="318">
        <f>IF((L300=""),"",(Q299-R299)/(Q299+R299)*100)</f>
        <v>0.66617320503330868</v>
      </c>
      <c r="U299" s="315">
        <f>STDEV(D301:P301)</f>
        <v>24.501177365776133</v>
      </c>
      <c r="V299" s="320" t="str">
        <f>IF(P300="","",IF(T299&lt;2.7,IF(S299&gt;5150,IF(S299&lt;5600,"Pass","Fail"),"Fail"),"Fail"))</f>
        <v>Pass</v>
      </c>
      <c r="W299" s="315">
        <v>1159</v>
      </c>
      <c r="X299" s="357" t="s">
        <v>236</v>
      </c>
      <c r="Y299" s="357"/>
      <c r="Z299" s="321">
        <v>4470</v>
      </c>
      <c r="AA299" s="321">
        <v>6020</v>
      </c>
      <c r="AB299" s="321">
        <v>5150</v>
      </c>
      <c r="AC299" s="321">
        <v>5600</v>
      </c>
      <c r="AD299" s="305">
        <v>10</v>
      </c>
      <c r="AE299" s="322">
        <v>2.7</v>
      </c>
    </row>
    <row r="300" spans="1:31" ht="15" customHeight="1">
      <c r="A300" s="306"/>
      <c r="B300" s="298"/>
      <c r="C300" s="307" t="s">
        <v>198</v>
      </c>
      <c r="D300" s="363">
        <v>1458</v>
      </c>
      <c r="E300" s="363">
        <v>1540</v>
      </c>
      <c r="F300" s="363">
        <v>1407</v>
      </c>
      <c r="G300" s="363">
        <v>1450</v>
      </c>
      <c r="H300" s="363">
        <v>1440</v>
      </c>
      <c r="I300" s="363">
        <v>1457</v>
      </c>
      <c r="J300" s="363">
        <v>1453</v>
      </c>
      <c r="K300" s="363">
        <v>1378</v>
      </c>
      <c r="L300" s="363">
        <v>1425</v>
      </c>
      <c r="M300" s="363">
        <v>1448</v>
      </c>
      <c r="N300" s="363">
        <v>1547</v>
      </c>
      <c r="O300" s="363">
        <v>1460</v>
      </c>
      <c r="P300" s="363">
        <v>1469</v>
      </c>
      <c r="Q300" s="298"/>
      <c r="R300" s="298"/>
      <c r="S300" s="298"/>
      <c r="T300" s="298"/>
      <c r="U300" s="298"/>
      <c r="V300" s="302"/>
      <c r="W300" s="298"/>
      <c r="X300" s="340"/>
      <c r="Y300" s="340"/>
      <c r="Z300" s="321"/>
      <c r="AA300" s="321"/>
      <c r="AB300" s="321"/>
      <c r="AC300" s="321"/>
      <c r="AD300" s="305"/>
      <c r="AE300" s="322"/>
    </row>
    <row r="301" spans="1:31" ht="24" customHeight="1">
      <c r="A301" s="306"/>
      <c r="B301" s="299"/>
      <c r="C301" s="307" t="s">
        <v>197</v>
      </c>
      <c r="D301" s="323">
        <f t="shared" ref="D301:P301" si="95">IF(((D299="")*AND(D300="")),"",(D299-D300))</f>
        <v>5382</v>
      </c>
      <c r="E301" s="323">
        <f t="shared" si="95"/>
        <v>5392</v>
      </c>
      <c r="F301" s="323">
        <f t="shared" si="95"/>
        <v>5369</v>
      </c>
      <c r="G301" s="323">
        <f t="shared" si="95"/>
        <v>5411</v>
      </c>
      <c r="H301" s="323">
        <f t="shared" si="95"/>
        <v>5406</v>
      </c>
      <c r="I301" s="323">
        <f t="shared" si="95"/>
        <v>5430</v>
      </c>
      <c r="J301" s="323">
        <f t="shared" si="95"/>
        <v>5429</v>
      </c>
      <c r="K301" s="323">
        <f t="shared" si="95"/>
        <v>5436</v>
      </c>
      <c r="L301" s="323">
        <f t="shared" si="95"/>
        <v>5368</v>
      </c>
      <c r="M301" s="323">
        <f t="shared" si="95"/>
        <v>5440</v>
      </c>
      <c r="N301" s="323">
        <f t="shared" si="95"/>
        <v>5406</v>
      </c>
      <c r="O301" s="323">
        <f t="shared" si="95"/>
        <v>5385</v>
      </c>
      <c r="P301" s="323">
        <f t="shared" si="95"/>
        <v>5400</v>
      </c>
      <c r="Q301" s="299"/>
      <c r="R301" s="299"/>
      <c r="S301" s="299"/>
      <c r="T301" s="298"/>
      <c r="U301" s="299"/>
      <c r="V301" s="324"/>
      <c r="W301" s="299"/>
      <c r="X301" s="340"/>
      <c r="Y301" s="340"/>
      <c r="Z301" s="321"/>
      <c r="AA301" s="321"/>
      <c r="AB301" s="321"/>
      <c r="AC301" s="321"/>
      <c r="AD301" s="305"/>
      <c r="AE301" s="322"/>
    </row>
    <row r="302" spans="1:31" ht="12.75" customHeight="1">
      <c r="A302" s="351">
        <v>42981</v>
      </c>
      <c r="B302" s="326" t="s">
        <v>202</v>
      </c>
      <c r="C302" s="307" t="s">
        <v>199</v>
      </c>
      <c r="D302" s="278">
        <v>6131</v>
      </c>
      <c r="E302" s="278">
        <v>6216</v>
      </c>
      <c r="F302" s="278">
        <v>6213</v>
      </c>
      <c r="G302" s="278">
        <v>6165</v>
      </c>
      <c r="H302" s="278">
        <v>6003</v>
      </c>
      <c r="I302" s="278">
        <v>6064</v>
      </c>
      <c r="J302" s="278">
        <v>6196</v>
      </c>
      <c r="K302" s="278">
        <v>6138</v>
      </c>
      <c r="L302" s="278">
        <v>6011</v>
      </c>
      <c r="M302" s="290"/>
      <c r="N302" s="290"/>
      <c r="O302" s="290"/>
      <c r="P302" s="290"/>
      <c r="Q302" s="326">
        <f>IF((L303=""),"",MAX(D304:L304))</f>
        <v>6848</v>
      </c>
      <c r="R302" s="326">
        <f>IF(L303="","",MIN(D304:L304))</f>
        <v>6752</v>
      </c>
      <c r="S302" s="327">
        <f>IF((L304=""),"",AVERAGE(D304:L304))</f>
        <v>6807.5555555555557</v>
      </c>
      <c r="T302" s="319">
        <f>IF((L303=""),"",(Q302-R302)/(Q302+R302)*100)</f>
        <v>0.70588235294117652</v>
      </c>
      <c r="U302" s="326">
        <f>STDEV(D304:P304)</f>
        <v>35.408724599681953</v>
      </c>
      <c r="V302" s="328" t="str">
        <f>IF(L303="","",IF(T302&lt;7.3,IF(S302&gt;5700,IF(S302&lt;7200,"Pass","Fail"),"Fail"),"Fail"))</f>
        <v>Pass</v>
      </c>
      <c r="W302" s="298">
        <v>1159</v>
      </c>
      <c r="X302" s="340" t="s">
        <v>236</v>
      </c>
      <c r="Y302" s="340"/>
      <c r="Z302" s="267">
        <v>4955</v>
      </c>
      <c r="AA302" s="267">
        <v>9645</v>
      </c>
      <c r="AB302" s="267">
        <v>5100</v>
      </c>
      <c r="AC302" s="267">
        <v>8300</v>
      </c>
      <c r="AD302" s="305">
        <v>10</v>
      </c>
      <c r="AE302" s="305">
        <v>9.8000000000000007</v>
      </c>
    </row>
    <row r="303" spans="1:31" ht="12.75" customHeight="1">
      <c r="A303" s="306"/>
      <c r="B303" s="298"/>
      <c r="C303" s="307" t="s">
        <v>198</v>
      </c>
      <c r="D303" s="278">
        <v>2735</v>
      </c>
      <c r="E303" s="278">
        <v>2801</v>
      </c>
      <c r="F303" s="278">
        <v>2794</v>
      </c>
      <c r="G303" s="278">
        <v>2741</v>
      </c>
      <c r="H303" s="278">
        <v>2590</v>
      </c>
      <c r="I303" s="278">
        <v>2674</v>
      </c>
      <c r="J303" s="278">
        <v>2778</v>
      </c>
      <c r="K303" s="278">
        <v>2755</v>
      </c>
      <c r="L303" s="278">
        <v>2635</v>
      </c>
      <c r="M303" s="290"/>
      <c r="N303" s="290"/>
      <c r="O303" s="290"/>
      <c r="P303" s="290"/>
      <c r="Q303" s="298"/>
      <c r="R303" s="298"/>
      <c r="S303" s="298"/>
      <c r="T303" s="298"/>
      <c r="U303" s="298"/>
      <c r="V303" s="302"/>
      <c r="W303" s="298"/>
      <c r="X303" s="340"/>
      <c r="Y303" s="340"/>
      <c r="Z303" s="267"/>
      <c r="AA303" s="267"/>
      <c r="AB303" s="267"/>
      <c r="AC303" s="267"/>
      <c r="AD303" s="268"/>
      <c r="AE303" s="269"/>
    </row>
    <row r="304" spans="1:31" ht="24.75" customHeight="1" thickBot="1">
      <c r="A304" s="306"/>
      <c r="B304" s="309"/>
      <c r="C304" s="310" t="s">
        <v>197</v>
      </c>
      <c r="D304" s="311">
        <f t="shared" ref="D304:L304" si="96">IF(((D302="")*AND(D303="")),"",(D302-D303)*2)</f>
        <v>6792</v>
      </c>
      <c r="E304" s="311">
        <f t="shared" si="96"/>
        <v>6830</v>
      </c>
      <c r="F304" s="311">
        <f t="shared" si="96"/>
        <v>6838</v>
      </c>
      <c r="G304" s="311">
        <f t="shared" si="96"/>
        <v>6848</v>
      </c>
      <c r="H304" s="311">
        <f t="shared" si="96"/>
        <v>6826</v>
      </c>
      <c r="I304" s="311">
        <f t="shared" si="96"/>
        <v>6780</v>
      </c>
      <c r="J304" s="311">
        <f t="shared" si="96"/>
        <v>6836</v>
      </c>
      <c r="K304" s="311">
        <f t="shared" si="96"/>
        <v>6766</v>
      </c>
      <c r="L304" s="311">
        <f t="shared" si="96"/>
        <v>6752</v>
      </c>
      <c r="M304" s="311"/>
      <c r="N304" s="311"/>
      <c r="O304" s="311"/>
      <c r="P304" s="311" t="str">
        <f>IF(((P302="")*AND(P303="")),"",(P302-P303)*2)</f>
        <v/>
      </c>
      <c r="Q304" s="309"/>
      <c r="R304" s="309"/>
      <c r="S304" s="309"/>
      <c r="T304" s="309"/>
      <c r="U304" s="309"/>
      <c r="V304" s="312"/>
      <c r="W304" s="309"/>
      <c r="X304" s="341"/>
      <c r="Y304" s="341"/>
      <c r="Z304" s="267"/>
      <c r="AA304" s="267"/>
      <c r="AB304" s="267"/>
      <c r="AC304" s="267"/>
      <c r="AD304" s="268"/>
      <c r="AE304" s="269"/>
    </row>
    <row r="305" spans="1:31" ht="12.75" customHeight="1">
      <c r="A305" s="351">
        <v>42992</v>
      </c>
      <c r="B305" s="315" t="s">
        <v>200</v>
      </c>
      <c r="C305" s="316" t="s">
        <v>199</v>
      </c>
      <c r="D305" s="278">
        <v>6889.89</v>
      </c>
      <c r="E305" s="278">
        <v>6998.63</v>
      </c>
      <c r="F305" s="278">
        <v>6809.24</v>
      </c>
      <c r="G305" s="278">
        <v>6875.92</v>
      </c>
      <c r="H305" s="278">
        <v>6911.72</v>
      </c>
      <c r="I305" s="278">
        <v>6927.96</v>
      </c>
      <c r="J305" s="278">
        <v>6905.65</v>
      </c>
      <c r="K305" s="278">
        <v>6815.38</v>
      </c>
      <c r="L305" s="278">
        <v>6832.71</v>
      </c>
      <c r="M305" s="278">
        <v>6905.5</v>
      </c>
      <c r="N305" s="278">
        <v>6995.64</v>
      </c>
      <c r="O305" s="278">
        <v>6878.92</v>
      </c>
      <c r="P305" s="278">
        <v>6920.98</v>
      </c>
      <c r="Q305" s="326">
        <f>IF((L306=""),"",MAX(D307:P307))</f>
        <v>5381.23</v>
      </c>
      <c r="R305" s="315">
        <f>IF(L306="","",MIN(D307:L307))</f>
        <v>5271.74</v>
      </c>
      <c r="S305" s="318">
        <f>IF((P307=""),"",AVERAGE(D307:P307))</f>
        <v>5332.1046153846155</v>
      </c>
      <c r="T305" s="318">
        <f>IF((L306=""),"",(Q305-R305)/(Q305+R305)*100)</f>
        <v>1.0277884946639275</v>
      </c>
      <c r="U305" s="315">
        <f>STDEV(D307:P307)</f>
        <v>36.113131640935684</v>
      </c>
      <c r="V305" s="320" t="str">
        <f>IF(P306="","",IF(T305&lt;2.7,IF(S305&gt;5150,IF(S305&lt;5600,"Pass","Fail"),"Fail"),"Fail"))</f>
        <v>Pass</v>
      </c>
      <c r="W305" s="315">
        <v>121</v>
      </c>
      <c r="X305" s="357"/>
      <c r="Y305" s="357"/>
      <c r="Z305" s="321">
        <v>4470</v>
      </c>
      <c r="AA305" s="321">
        <v>6020</v>
      </c>
      <c r="AB305" s="321">
        <v>5150</v>
      </c>
      <c r="AC305" s="321">
        <v>5600</v>
      </c>
      <c r="AD305" s="305">
        <v>10</v>
      </c>
      <c r="AE305" s="322">
        <v>2.7</v>
      </c>
    </row>
    <row r="306" spans="1:31" ht="12.75" customHeight="1">
      <c r="A306" s="306"/>
      <c r="B306" s="298"/>
      <c r="C306" s="307" t="s">
        <v>198</v>
      </c>
      <c r="D306" s="278">
        <v>1591.39</v>
      </c>
      <c r="E306" s="278">
        <v>1660.22</v>
      </c>
      <c r="F306" s="278">
        <v>1537.5</v>
      </c>
      <c r="G306" s="278">
        <v>1552.42</v>
      </c>
      <c r="H306" s="278">
        <v>1546.75</v>
      </c>
      <c r="I306" s="278">
        <v>1546.73</v>
      </c>
      <c r="J306" s="278">
        <v>1567.54</v>
      </c>
      <c r="K306" s="278">
        <v>1454.65</v>
      </c>
      <c r="L306" s="278">
        <v>1559.89</v>
      </c>
      <c r="M306" s="278">
        <v>1541.19</v>
      </c>
      <c r="N306" s="278">
        <v>1632.69</v>
      </c>
      <c r="O306" s="278">
        <v>1576.48</v>
      </c>
      <c r="P306" s="278">
        <v>1583.33</v>
      </c>
      <c r="Q306" s="298"/>
      <c r="R306" s="298"/>
      <c r="S306" s="298"/>
      <c r="T306" s="298"/>
      <c r="U306" s="298"/>
      <c r="V306" s="302"/>
      <c r="W306" s="298"/>
      <c r="X306" s="340"/>
      <c r="Y306" s="340"/>
      <c r="Z306" s="321"/>
      <c r="AA306" s="321"/>
      <c r="AB306" s="321"/>
      <c r="AC306" s="321"/>
      <c r="AD306" s="305"/>
      <c r="AE306" s="322"/>
    </row>
    <row r="307" spans="1:31" ht="24" customHeight="1">
      <c r="A307" s="306"/>
      <c r="B307" s="299"/>
      <c r="C307" s="307" t="s">
        <v>197</v>
      </c>
      <c r="D307" s="323">
        <f t="shared" ref="D307:P307" si="97">IF(((D305="")*AND(D306="")),"",(D305-D306))</f>
        <v>5298.5</v>
      </c>
      <c r="E307" s="323">
        <f t="shared" si="97"/>
        <v>5338.41</v>
      </c>
      <c r="F307" s="323">
        <f t="shared" si="97"/>
        <v>5271.74</v>
      </c>
      <c r="G307" s="323">
        <f t="shared" si="97"/>
        <v>5323.5</v>
      </c>
      <c r="H307" s="323">
        <f t="shared" si="97"/>
        <v>5364.97</v>
      </c>
      <c r="I307" s="323">
        <f t="shared" si="97"/>
        <v>5381.23</v>
      </c>
      <c r="J307" s="323">
        <f t="shared" si="97"/>
        <v>5338.11</v>
      </c>
      <c r="K307" s="323">
        <f t="shared" si="97"/>
        <v>5360.73</v>
      </c>
      <c r="L307" s="323">
        <f t="shared" si="97"/>
        <v>5272.82</v>
      </c>
      <c r="M307" s="323">
        <f t="shared" si="97"/>
        <v>5364.3099999999995</v>
      </c>
      <c r="N307" s="323">
        <f t="shared" si="97"/>
        <v>5362.9500000000007</v>
      </c>
      <c r="O307" s="323">
        <f t="shared" si="97"/>
        <v>5302.4400000000005</v>
      </c>
      <c r="P307" s="323">
        <f t="shared" si="97"/>
        <v>5337.65</v>
      </c>
      <c r="Q307" s="299"/>
      <c r="R307" s="299"/>
      <c r="S307" s="299"/>
      <c r="T307" s="298"/>
      <c r="U307" s="299"/>
      <c r="V307" s="324"/>
      <c r="W307" s="299"/>
      <c r="X307" s="340"/>
      <c r="Y307" s="340"/>
      <c r="Z307" s="321"/>
      <c r="AA307" s="321"/>
      <c r="AB307" s="321"/>
      <c r="AC307" s="321"/>
      <c r="AD307" s="305"/>
      <c r="AE307" s="322"/>
    </row>
    <row r="308" spans="1:31" ht="12.75" customHeight="1">
      <c r="A308" s="351">
        <v>42992</v>
      </c>
      <c r="B308" s="326" t="s">
        <v>202</v>
      </c>
      <c r="C308" s="307" t="s">
        <v>199</v>
      </c>
      <c r="D308" s="278">
        <v>5920.62</v>
      </c>
      <c r="E308" s="278">
        <v>6015.7</v>
      </c>
      <c r="F308" s="278">
        <v>6031.48</v>
      </c>
      <c r="G308" s="278">
        <v>5985.34</v>
      </c>
      <c r="H308" s="278">
        <v>5868.84</v>
      </c>
      <c r="I308" s="278">
        <v>5906.81</v>
      </c>
      <c r="J308" s="278">
        <v>5996.84</v>
      </c>
      <c r="K308" s="278">
        <v>6033.38</v>
      </c>
      <c r="L308" s="278">
        <v>5844.54</v>
      </c>
      <c r="M308" s="290"/>
      <c r="N308" s="290"/>
      <c r="O308" s="290"/>
      <c r="P308" s="290"/>
      <c r="Q308" s="326">
        <f>IF((L309=""),"",MAX(D310:L310))</f>
        <v>7081.6800000000012</v>
      </c>
      <c r="R308" s="326">
        <f>IF(L309="","",MIN(D310:L310))</f>
        <v>6699.26</v>
      </c>
      <c r="S308" s="327">
        <f>IF((L310=""),"",AVERAGE(D310:L310))</f>
        <v>6884.2177777777779</v>
      </c>
      <c r="T308" s="319">
        <f>IF((L309=""),"",(Q308-R308)/(Q308+R308)*100)</f>
        <v>2.7749921268070312</v>
      </c>
      <c r="U308" s="326">
        <f>STDEV(D310:P310)</f>
        <v>121.9668112416132</v>
      </c>
      <c r="V308" s="328" t="str">
        <f>IF(L309="","",IF(T308&lt;7.3,IF(S308&gt;5700,IF(S308&lt;7200,"Pass","Fail"),"Fail"),"Fail"))</f>
        <v>Pass</v>
      </c>
      <c r="W308" s="298">
        <v>121</v>
      </c>
      <c r="X308" s="340"/>
      <c r="Y308" s="340"/>
      <c r="Z308" s="267">
        <v>4955</v>
      </c>
      <c r="AA308" s="267">
        <v>9645</v>
      </c>
      <c r="AB308" s="267">
        <v>5100</v>
      </c>
      <c r="AC308" s="267">
        <v>8300</v>
      </c>
      <c r="AD308" s="305">
        <v>10</v>
      </c>
      <c r="AE308" s="305">
        <v>9.8000000000000007</v>
      </c>
    </row>
    <row r="309" spans="1:31" ht="12.75" customHeight="1">
      <c r="A309" s="306"/>
      <c r="B309" s="298"/>
      <c r="C309" s="307" t="s">
        <v>198</v>
      </c>
      <c r="D309" s="278">
        <v>2503.5100000000002</v>
      </c>
      <c r="E309" s="278">
        <v>2597.1799999999998</v>
      </c>
      <c r="F309" s="278">
        <v>2614.3000000000002</v>
      </c>
      <c r="G309" s="278">
        <v>2516.83</v>
      </c>
      <c r="H309" s="278">
        <v>2358</v>
      </c>
      <c r="I309" s="278">
        <v>2365.9699999999998</v>
      </c>
      <c r="J309" s="278">
        <v>2524.85</v>
      </c>
      <c r="K309" s="278">
        <v>2649.02</v>
      </c>
      <c r="L309" s="278">
        <v>2494.91</v>
      </c>
      <c r="M309" s="290"/>
      <c r="N309" s="290"/>
      <c r="O309" s="290"/>
      <c r="P309" s="290"/>
      <c r="Q309" s="298"/>
      <c r="R309" s="298"/>
      <c r="S309" s="298"/>
      <c r="T309" s="298"/>
      <c r="U309" s="298"/>
      <c r="V309" s="302"/>
      <c r="W309" s="298"/>
      <c r="X309" s="340"/>
      <c r="Y309" s="340"/>
      <c r="Z309" s="267"/>
      <c r="AA309" s="267"/>
      <c r="AB309" s="267"/>
      <c r="AC309" s="267"/>
      <c r="AD309" s="268"/>
      <c r="AE309" s="269"/>
    </row>
    <row r="310" spans="1:31" ht="24.75" customHeight="1" thickBot="1">
      <c r="A310" s="306"/>
      <c r="B310" s="309"/>
      <c r="C310" s="310" t="s">
        <v>197</v>
      </c>
      <c r="D310" s="311">
        <f t="shared" ref="D310:L310" si="98">IF(((D308="")*AND(D309="")),"",(D308-D309)*2)</f>
        <v>6834.2199999999993</v>
      </c>
      <c r="E310" s="311">
        <f t="shared" si="98"/>
        <v>6837.04</v>
      </c>
      <c r="F310" s="311">
        <f t="shared" si="98"/>
        <v>6834.3599999999988</v>
      </c>
      <c r="G310" s="311">
        <f t="shared" si="98"/>
        <v>6937.02</v>
      </c>
      <c r="H310" s="311">
        <f t="shared" si="98"/>
        <v>7021.68</v>
      </c>
      <c r="I310" s="311">
        <f t="shared" si="98"/>
        <v>7081.6800000000012</v>
      </c>
      <c r="J310" s="311">
        <f t="shared" si="98"/>
        <v>6943.9800000000005</v>
      </c>
      <c r="K310" s="311">
        <f t="shared" si="98"/>
        <v>6768.72</v>
      </c>
      <c r="L310" s="311">
        <f t="shared" si="98"/>
        <v>6699.26</v>
      </c>
      <c r="M310" s="311"/>
      <c r="N310" s="311"/>
      <c r="O310" s="311"/>
      <c r="P310" s="311" t="str">
        <f>IF(((P308="")*AND(P309="")),"",(P308-P309)*2)</f>
        <v/>
      </c>
      <c r="Q310" s="309"/>
      <c r="R310" s="309"/>
      <c r="S310" s="309"/>
      <c r="T310" s="309"/>
      <c r="U310" s="309"/>
      <c r="V310" s="312"/>
      <c r="W310" s="309"/>
      <c r="X310" s="341"/>
      <c r="Y310" s="341"/>
      <c r="Z310" s="267"/>
      <c r="AA310" s="267"/>
      <c r="AB310" s="267"/>
      <c r="AC310" s="267"/>
      <c r="AD310" s="268"/>
      <c r="AE310" s="269"/>
    </row>
    <row r="311" spans="1:31" ht="12.75" customHeight="1">
      <c r="A311" s="351">
        <v>42997</v>
      </c>
      <c r="B311" s="315" t="s">
        <v>200</v>
      </c>
      <c r="C311" s="316" t="s">
        <v>199</v>
      </c>
      <c r="D311" s="278">
        <v>6901.43</v>
      </c>
      <c r="E311" s="278">
        <v>7013.36</v>
      </c>
      <c r="F311" s="278">
        <v>6821.11</v>
      </c>
      <c r="G311" s="278">
        <v>6885.82</v>
      </c>
      <c r="H311" s="278">
        <v>6924.45</v>
      </c>
      <c r="I311" s="278">
        <v>6939.25</v>
      </c>
      <c r="J311" s="278">
        <v>6915.07</v>
      </c>
      <c r="K311" s="278">
        <v>6825.8</v>
      </c>
      <c r="L311" s="278">
        <v>6844.1</v>
      </c>
      <c r="M311" s="278">
        <v>6914.61</v>
      </c>
      <c r="N311" s="278">
        <v>7008.46</v>
      </c>
      <c r="O311" s="278">
        <v>6887.24</v>
      </c>
      <c r="P311" s="278">
        <v>6929.85</v>
      </c>
      <c r="Q311" s="326">
        <f>IF((L312=""),"",MAX(D313:P313))</f>
        <v>5600.18</v>
      </c>
      <c r="R311" s="315">
        <f>IF(L312="","",MIN(D313:L313))</f>
        <v>5443.54</v>
      </c>
      <c r="S311" s="318">
        <f>IF((P313=""),"",AVERAGE(D313:P313))</f>
        <v>5510.4030769230758</v>
      </c>
      <c r="T311" s="318">
        <f>IF((L312=""),"",(Q311-R311)/(Q311+R311)*100)</f>
        <v>1.418362653163973</v>
      </c>
      <c r="U311" s="315">
        <f>STDEV(D313:P313)</f>
        <v>51.251403783214009</v>
      </c>
      <c r="V311" s="320" t="str">
        <f>IF(P312="","",IF(T311&lt;2.7,IF(S311&gt;5150,IF(S311&lt;5600,"Pass","Fail"),"Fail"),"Fail"))</f>
        <v>Pass</v>
      </c>
      <c r="W311" s="315">
        <v>1335</v>
      </c>
      <c r="X311" s="357"/>
      <c r="Y311" s="357" t="s">
        <v>235</v>
      </c>
      <c r="Z311" s="321">
        <v>4470</v>
      </c>
      <c r="AA311" s="321">
        <v>6020</v>
      </c>
      <c r="AB311" s="321">
        <v>5150</v>
      </c>
      <c r="AC311" s="321">
        <v>5600</v>
      </c>
      <c r="AD311" s="305">
        <v>10</v>
      </c>
      <c r="AE311" s="322">
        <v>2.7</v>
      </c>
    </row>
    <row r="312" spans="1:31" ht="12.75" customHeight="1">
      <c r="A312" s="306"/>
      <c r="B312" s="298"/>
      <c r="C312" s="307" t="s">
        <v>198</v>
      </c>
      <c r="D312" s="278">
        <v>1457.89</v>
      </c>
      <c r="E312" s="278">
        <v>1538.23</v>
      </c>
      <c r="F312" s="278">
        <v>1373.59</v>
      </c>
      <c r="G312" s="278">
        <v>1361.74</v>
      </c>
      <c r="H312" s="278">
        <v>1440.65</v>
      </c>
      <c r="I312" s="278">
        <v>1390.35</v>
      </c>
      <c r="J312" s="278">
        <v>1361.92</v>
      </c>
      <c r="K312" s="278">
        <v>1225.6199999999999</v>
      </c>
      <c r="L312" s="278">
        <v>1380</v>
      </c>
      <c r="M312" s="278">
        <v>1319.89</v>
      </c>
      <c r="N312" s="278">
        <v>1511.04</v>
      </c>
      <c r="O312" s="278">
        <v>1385.01</v>
      </c>
      <c r="P312" s="278">
        <v>1429.38</v>
      </c>
      <c r="Q312" s="298"/>
      <c r="R312" s="298"/>
      <c r="S312" s="298"/>
      <c r="T312" s="298"/>
      <c r="U312" s="298"/>
      <c r="V312" s="302"/>
      <c r="W312" s="298"/>
      <c r="X312" s="340"/>
      <c r="Y312" s="340"/>
      <c r="Z312" s="267"/>
      <c r="AA312" s="267"/>
      <c r="AB312" s="267"/>
      <c r="AC312" s="267"/>
      <c r="AD312" s="268"/>
      <c r="AE312" s="269"/>
    </row>
    <row r="313" spans="1:31" ht="24" customHeight="1">
      <c r="A313" s="306"/>
      <c r="B313" s="299"/>
      <c r="C313" s="307" t="s">
        <v>197</v>
      </c>
      <c r="D313" s="323">
        <f t="shared" ref="D313:P313" si="99">IF(((D311="")*AND(D312="")),"",(D311-D312))</f>
        <v>5443.54</v>
      </c>
      <c r="E313" s="323">
        <f t="shared" si="99"/>
        <v>5475.1299999999992</v>
      </c>
      <c r="F313" s="323">
        <f t="shared" si="99"/>
        <v>5447.5199999999995</v>
      </c>
      <c r="G313" s="323">
        <f t="shared" si="99"/>
        <v>5524.08</v>
      </c>
      <c r="H313" s="323">
        <f t="shared" si="99"/>
        <v>5483.7999999999993</v>
      </c>
      <c r="I313" s="323">
        <f t="shared" si="99"/>
        <v>5548.9</v>
      </c>
      <c r="J313" s="323">
        <f t="shared" si="99"/>
        <v>5553.15</v>
      </c>
      <c r="K313" s="323">
        <f t="shared" si="99"/>
        <v>5600.18</v>
      </c>
      <c r="L313" s="323">
        <f t="shared" si="99"/>
        <v>5464.1</v>
      </c>
      <c r="M313" s="323">
        <f t="shared" si="99"/>
        <v>5594.7199999999993</v>
      </c>
      <c r="N313" s="323">
        <f t="shared" si="99"/>
        <v>5497.42</v>
      </c>
      <c r="O313" s="323">
        <f t="shared" si="99"/>
        <v>5502.23</v>
      </c>
      <c r="P313" s="323">
        <f t="shared" si="99"/>
        <v>5500.47</v>
      </c>
      <c r="Q313" s="299"/>
      <c r="R313" s="299"/>
      <c r="S313" s="299"/>
      <c r="T313" s="298"/>
      <c r="U313" s="299"/>
      <c r="V313" s="324"/>
      <c r="W313" s="299"/>
      <c r="X313" s="340"/>
      <c r="Y313" s="340"/>
      <c r="Z313" s="267"/>
      <c r="AA313" s="267"/>
      <c r="AB313" s="267"/>
      <c r="AC313" s="267"/>
      <c r="AD313" s="268"/>
      <c r="AE313" s="269"/>
    </row>
    <row r="314" spans="1:31" ht="12.75" customHeight="1">
      <c r="A314" s="351">
        <v>42997</v>
      </c>
      <c r="B314" s="326" t="s">
        <v>202</v>
      </c>
      <c r="C314" s="307" t="s">
        <v>199</v>
      </c>
      <c r="D314" s="278">
        <v>5925.2</v>
      </c>
      <c r="E314" s="278">
        <v>6018.44</v>
      </c>
      <c r="F314" s="278">
        <v>6033.8</v>
      </c>
      <c r="G314" s="278">
        <v>5981.09</v>
      </c>
      <c r="H314" s="278">
        <v>5883.19</v>
      </c>
      <c r="I314" s="278">
        <v>5906.07</v>
      </c>
      <c r="J314" s="278">
        <v>5994.76</v>
      </c>
      <c r="K314" s="278">
        <v>6033.46</v>
      </c>
      <c r="L314" s="278">
        <v>5853.86</v>
      </c>
      <c r="M314" s="290"/>
      <c r="N314" s="290"/>
      <c r="O314" s="290"/>
      <c r="P314" s="290"/>
      <c r="Q314" s="326">
        <f>IF((L315=""),"",MAX(D316:L316))</f>
        <v>7544.4599999999991</v>
      </c>
      <c r="R314" s="326">
        <f>IF(L315="","",MIN(D316:L316))</f>
        <v>7183.82</v>
      </c>
      <c r="S314" s="327">
        <f>IF((L316=""),"",AVERAGE(D316:L316))</f>
        <v>7410.6888888888898</v>
      </c>
      <c r="T314" s="319">
        <f>IF((L315=""),"",(Q314-R314)/(Q314+R314)*100)</f>
        <v>2.4486226497595065</v>
      </c>
      <c r="U314" s="326">
        <f>STDEV(D316:P316)</f>
        <v>107.41759730640742</v>
      </c>
      <c r="V314" s="328" t="str">
        <f>IF(L315="","",IF(T314&lt;7.3,IF(S314&gt;5700,IF(S314&lt;7200,"Pass","Fail"),"Fail"),"Fail"))</f>
        <v>Fail</v>
      </c>
      <c r="W314" s="298">
        <v>1335</v>
      </c>
      <c r="X314" s="340"/>
      <c r="Y314" s="340"/>
      <c r="Z314" s="267">
        <v>4955</v>
      </c>
      <c r="AA314" s="267">
        <v>9645</v>
      </c>
      <c r="AB314" s="267">
        <v>5100</v>
      </c>
      <c r="AC314" s="267">
        <v>8300</v>
      </c>
      <c r="AD314" s="305">
        <v>10</v>
      </c>
      <c r="AE314" s="305">
        <v>9.8000000000000007</v>
      </c>
    </row>
    <row r="315" spans="1:31" ht="12.75" customHeight="1">
      <c r="A315" s="306"/>
      <c r="B315" s="298"/>
      <c r="C315" s="307" t="s">
        <v>198</v>
      </c>
      <c r="D315" s="278">
        <v>2273.13</v>
      </c>
      <c r="E315" s="278">
        <v>2309.7399999999998</v>
      </c>
      <c r="F315" s="278">
        <v>2296.8200000000002</v>
      </c>
      <c r="G315" s="278">
        <v>2262.2600000000002</v>
      </c>
      <c r="H315" s="278">
        <v>2138.37</v>
      </c>
      <c r="I315" s="278">
        <v>2133.84</v>
      </c>
      <c r="J315" s="278">
        <v>2277.35</v>
      </c>
      <c r="K315" s="278">
        <v>2328.31</v>
      </c>
      <c r="L315" s="278">
        <v>2261.9499999999998</v>
      </c>
      <c r="M315" s="290"/>
      <c r="N315" s="290"/>
      <c r="O315" s="290"/>
      <c r="P315" s="290"/>
      <c r="Q315" s="298"/>
      <c r="R315" s="298"/>
      <c r="S315" s="298"/>
      <c r="T315" s="298"/>
      <c r="U315" s="298"/>
      <c r="V315" s="302"/>
      <c r="W315" s="298"/>
      <c r="X315" s="340"/>
      <c r="Y315" s="340"/>
      <c r="Z315" s="267"/>
      <c r="AA315" s="267"/>
      <c r="AB315" s="267"/>
      <c r="AC315" s="267"/>
      <c r="AD315" s="268"/>
      <c r="AE315" s="269"/>
    </row>
    <row r="316" spans="1:31" ht="24.75" customHeight="1" thickBot="1">
      <c r="A316" s="306"/>
      <c r="B316" s="309"/>
      <c r="C316" s="310" t="s">
        <v>197</v>
      </c>
      <c r="D316" s="311">
        <f t="shared" ref="D316:L316" si="100">IF(((D314="")*AND(D315="")),"",(D314-D315)*2)</f>
        <v>7304.1399999999994</v>
      </c>
      <c r="E316" s="311">
        <f t="shared" si="100"/>
        <v>7417.4</v>
      </c>
      <c r="F316" s="311">
        <f t="shared" si="100"/>
        <v>7473.96</v>
      </c>
      <c r="G316" s="311">
        <f t="shared" si="100"/>
        <v>7437.66</v>
      </c>
      <c r="H316" s="311">
        <f t="shared" si="100"/>
        <v>7489.6399999999994</v>
      </c>
      <c r="I316" s="311">
        <f t="shared" si="100"/>
        <v>7544.4599999999991</v>
      </c>
      <c r="J316" s="311">
        <f t="shared" si="100"/>
        <v>7434.8200000000006</v>
      </c>
      <c r="K316" s="311">
        <f t="shared" si="100"/>
        <v>7410.3</v>
      </c>
      <c r="L316" s="311">
        <f t="shared" si="100"/>
        <v>7183.82</v>
      </c>
      <c r="M316" s="311"/>
      <c r="N316" s="311"/>
      <c r="O316" s="311"/>
      <c r="P316" s="311" t="str">
        <f>IF(((P314="")*AND(P315="")),"",(P314-P315)*2)</f>
        <v/>
      </c>
      <c r="Q316" s="309"/>
      <c r="R316" s="309"/>
      <c r="S316" s="309"/>
      <c r="T316" s="309"/>
      <c r="U316" s="309"/>
      <c r="V316" s="312"/>
      <c r="W316" s="309"/>
      <c r="X316" s="341"/>
      <c r="Y316" s="341"/>
      <c r="Z316" s="267"/>
      <c r="AA316" s="267"/>
      <c r="AB316" s="267"/>
      <c r="AC316" s="267"/>
      <c r="AD316" s="268"/>
      <c r="AE316" s="269"/>
    </row>
    <row r="317" spans="1:31" ht="12.75" customHeight="1">
      <c r="A317" s="351">
        <v>43004</v>
      </c>
      <c r="B317" s="315" t="s">
        <v>200</v>
      </c>
      <c r="C317" s="316" t="s">
        <v>199</v>
      </c>
      <c r="D317" s="278">
        <v>7104.3</v>
      </c>
      <c r="E317" s="278">
        <v>6927.41</v>
      </c>
      <c r="F317" s="278">
        <v>7005.04</v>
      </c>
      <c r="G317" s="278">
        <v>7005.65</v>
      </c>
      <c r="H317" s="278">
        <v>7036.35</v>
      </c>
      <c r="I317" s="278">
        <v>7038.74</v>
      </c>
      <c r="J317" s="278">
        <v>6952.08</v>
      </c>
      <c r="K317" s="278">
        <v>6955.51</v>
      </c>
      <c r="L317" s="278">
        <v>7035.63</v>
      </c>
      <c r="M317" s="278">
        <v>7095.15</v>
      </c>
      <c r="N317" s="278">
        <v>6998.97</v>
      </c>
      <c r="O317" s="278">
        <v>7021.05</v>
      </c>
      <c r="P317" s="278">
        <v>6929.85</v>
      </c>
      <c r="Q317" s="326">
        <f>IF((L318=""),"",MAX(D319:P319))</f>
        <v>5653.5999999999995</v>
      </c>
      <c r="R317" s="315">
        <f>IF(L318="","",MIN(D319:L319))</f>
        <v>5282.21</v>
      </c>
      <c r="S317" s="318">
        <f>IF((P319=""),"",AVERAGE(D319:P319))</f>
        <v>5502.7876923076929</v>
      </c>
      <c r="T317" s="318">
        <f>IF((L318=""),"",(Q317-R317)/(Q317+R317)*100)</f>
        <v>3.3960904587771679</v>
      </c>
      <c r="U317" s="315">
        <f>STDEV(D319:P319)</f>
        <v>100.3372553901424</v>
      </c>
      <c r="V317" s="320" t="str">
        <f>IF(P318="","",IF(T317&lt;2.7,IF(S317&gt;5150,IF(S317&lt;5600,"Pass","Fail"),"Fail"),"Fail"))</f>
        <v>Fail</v>
      </c>
      <c r="W317" s="315">
        <v>1519</v>
      </c>
      <c r="X317" s="357"/>
      <c r="Y317" s="357"/>
      <c r="Z317" s="321">
        <v>4470</v>
      </c>
      <c r="AA317" s="321">
        <v>6020</v>
      </c>
      <c r="AB317" s="321">
        <v>5150</v>
      </c>
      <c r="AC317" s="321">
        <v>5600</v>
      </c>
      <c r="AD317" s="305">
        <v>10</v>
      </c>
      <c r="AE317" s="322">
        <v>2.7</v>
      </c>
    </row>
    <row r="318" spans="1:31" ht="12.75" customHeight="1">
      <c r="A318" s="306"/>
      <c r="B318" s="298"/>
      <c r="C318" s="307" t="s">
        <v>198</v>
      </c>
      <c r="D318" s="278">
        <v>1547.11</v>
      </c>
      <c r="E318" s="278">
        <v>1645.2</v>
      </c>
      <c r="F318" s="278">
        <v>1459.22</v>
      </c>
      <c r="G318" s="278">
        <v>1478.3</v>
      </c>
      <c r="H318" s="278">
        <v>1551.01</v>
      </c>
      <c r="I318" s="278">
        <v>1504.52</v>
      </c>
      <c r="J318" s="278">
        <v>1485.21</v>
      </c>
      <c r="K318" s="278">
        <v>1348.46</v>
      </c>
      <c r="L318" s="278">
        <v>1471.51</v>
      </c>
      <c r="M318" s="278">
        <v>1441.55</v>
      </c>
      <c r="N318" s="278">
        <v>1620.04</v>
      </c>
      <c r="O318" s="278">
        <v>1487.77</v>
      </c>
      <c r="P318" s="278">
        <v>1529.59</v>
      </c>
      <c r="Q318" s="298"/>
      <c r="R318" s="298"/>
      <c r="S318" s="298"/>
      <c r="T318" s="298"/>
      <c r="U318" s="298"/>
      <c r="V318" s="302"/>
      <c r="W318" s="298"/>
      <c r="X318" s="340"/>
      <c r="Y318" s="340"/>
      <c r="Z318" s="267"/>
      <c r="AA318" s="267"/>
      <c r="AB318" s="267"/>
      <c r="AC318" s="267"/>
      <c r="AD318" s="268"/>
      <c r="AE318" s="269"/>
    </row>
    <row r="319" spans="1:31" ht="24" customHeight="1">
      <c r="A319" s="306"/>
      <c r="B319" s="299"/>
      <c r="C319" s="307" t="s">
        <v>197</v>
      </c>
      <c r="D319" s="323">
        <f t="shared" ref="D319:P319" si="101">IF(((D317="")*AND(D318="")),"",(D317-D318))</f>
        <v>5557.1900000000005</v>
      </c>
      <c r="E319" s="323">
        <f t="shared" si="101"/>
        <v>5282.21</v>
      </c>
      <c r="F319" s="323">
        <f t="shared" si="101"/>
        <v>5545.82</v>
      </c>
      <c r="G319" s="323">
        <f t="shared" si="101"/>
        <v>5527.3499999999995</v>
      </c>
      <c r="H319" s="323">
        <f t="shared" si="101"/>
        <v>5485.34</v>
      </c>
      <c r="I319" s="323">
        <f t="shared" si="101"/>
        <v>5534.2199999999993</v>
      </c>
      <c r="J319" s="323">
        <f t="shared" si="101"/>
        <v>5466.87</v>
      </c>
      <c r="K319" s="323">
        <f t="shared" si="101"/>
        <v>5607.05</v>
      </c>
      <c r="L319" s="323">
        <f t="shared" si="101"/>
        <v>5564.12</v>
      </c>
      <c r="M319" s="323">
        <f t="shared" si="101"/>
        <v>5653.5999999999995</v>
      </c>
      <c r="N319" s="323">
        <f t="shared" si="101"/>
        <v>5378.93</v>
      </c>
      <c r="O319" s="323">
        <f t="shared" si="101"/>
        <v>5533.2800000000007</v>
      </c>
      <c r="P319" s="323">
        <f t="shared" si="101"/>
        <v>5400.26</v>
      </c>
      <c r="Q319" s="299"/>
      <c r="R319" s="299"/>
      <c r="S319" s="299"/>
      <c r="T319" s="298"/>
      <c r="U319" s="299"/>
      <c r="V319" s="324"/>
      <c r="W319" s="299"/>
      <c r="X319" s="340"/>
      <c r="Y319" s="340"/>
      <c r="Z319" s="267"/>
      <c r="AA319" s="267"/>
      <c r="AB319" s="267"/>
      <c r="AC319" s="267"/>
      <c r="AD319" s="268"/>
      <c r="AE319" s="269"/>
    </row>
    <row r="320" spans="1:31" ht="12.75" customHeight="1">
      <c r="A320" s="351">
        <v>43004</v>
      </c>
      <c r="B320" s="326" t="s">
        <v>202</v>
      </c>
      <c r="C320" s="307" t="s">
        <v>199</v>
      </c>
      <c r="D320" s="278">
        <v>5923.91</v>
      </c>
      <c r="E320" s="278">
        <v>6018.65</v>
      </c>
      <c r="F320" s="278">
        <v>6036.37</v>
      </c>
      <c r="G320" s="278">
        <v>5983.63</v>
      </c>
      <c r="H320" s="278">
        <v>5873.71</v>
      </c>
      <c r="I320" s="278">
        <v>5925.04</v>
      </c>
      <c r="J320" s="278">
        <v>5997.72</v>
      </c>
      <c r="K320" s="278">
        <v>6033.93</v>
      </c>
      <c r="L320" s="278">
        <v>5853.81</v>
      </c>
      <c r="M320" s="290"/>
      <c r="N320" s="290"/>
      <c r="O320" s="290"/>
      <c r="P320" s="290"/>
      <c r="Q320" s="326">
        <f>IF((L321=""),"",MAX(D322:L322))</f>
        <v>7449</v>
      </c>
      <c r="R320" s="326">
        <f>IF(L321="","",MIN(D322:L322))</f>
        <v>7120.5400000000009</v>
      </c>
      <c r="S320" s="327">
        <f>IF((L322=""),"",AVERAGE(D322:L322))</f>
        <v>7335.0399999999981</v>
      </c>
      <c r="T320" s="319">
        <f>IF((L321=""),"",(Q320-R320)/(Q320+R320)*100)</f>
        <v>2.2544294466400387</v>
      </c>
      <c r="U320" s="326">
        <f>STDEV(D322:P322)</f>
        <v>96.438274041120863</v>
      </c>
      <c r="V320" s="328" t="str">
        <f>IF(L321="","",IF(T320&lt;7.3,IF(S320&gt;5700,IF(S320&lt;7200,"Pass","Fail"),"Fail"),"Fail"))</f>
        <v>Fail</v>
      </c>
      <c r="W320" s="298">
        <v>1519</v>
      </c>
      <c r="X320" s="340"/>
      <c r="Y320" s="340"/>
      <c r="Z320" s="267">
        <v>4955</v>
      </c>
      <c r="AA320" s="267">
        <v>9645</v>
      </c>
      <c r="AB320" s="267">
        <v>5100</v>
      </c>
      <c r="AC320" s="267">
        <v>8300</v>
      </c>
      <c r="AD320" s="305">
        <v>10</v>
      </c>
      <c r="AE320" s="305">
        <v>9.8000000000000007</v>
      </c>
    </row>
    <row r="321" spans="1:31" ht="12.75" customHeight="1">
      <c r="A321" s="306"/>
      <c r="B321" s="298"/>
      <c r="C321" s="307" t="s">
        <v>198</v>
      </c>
      <c r="D321" s="278">
        <v>2295.5500000000002</v>
      </c>
      <c r="E321" s="278">
        <v>2330.58</v>
      </c>
      <c r="F321" s="278">
        <v>2334.79</v>
      </c>
      <c r="G321" s="278">
        <v>2304.17</v>
      </c>
      <c r="H321" s="278">
        <v>2193.4499999999998</v>
      </c>
      <c r="I321" s="278">
        <v>2200.54</v>
      </c>
      <c r="J321" s="278">
        <v>2338.9</v>
      </c>
      <c r="K321" s="278">
        <v>2347.5700000000002</v>
      </c>
      <c r="L321" s="278">
        <v>2293.54</v>
      </c>
      <c r="M321" s="290"/>
      <c r="N321" s="290"/>
      <c r="O321" s="290"/>
      <c r="P321" s="290"/>
      <c r="Q321" s="298"/>
      <c r="R321" s="298"/>
      <c r="S321" s="298"/>
      <c r="T321" s="298"/>
      <c r="U321" s="298"/>
      <c r="V321" s="302"/>
      <c r="W321" s="298"/>
      <c r="X321" s="340"/>
      <c r="Y321" s="340"/>
      <c r="Z321" s="267"/>
      <c r="AA321" s="267"/>
      <c r="AB321" s="267"/>
      <c r="AC321" s="267"/>
      <c r="AD321" s="268"/>
      <c r="AE321" s="269"/>
    </row>
    <row r="322" spans="1:31" ht="24.75" customHeight="1" thickBot="1">
      <c r="A322" s="306"/>
      <c r="B322" s="309"/>
      <c r="C322" s="310" t="s">
        <v>197</v>
      </c>
      <c r="D322" s="311">
        <f t="shared" ref="D322:L322" si="102">IF(((D320="")*AND(D321="")),"",(D320-D321)*2)</f>
        <v>7256.7199999999993</v>
      </c>
      <c r="E322" s="311">
        <f t="shared" si="102"/>
        <v>7376.1399999999994</v>
      </c>
      <c r="F322" s="311">
        <f t="shared" si="102"/>
        <v>7403.16</v>
      </c>
      <c r="G322" s="311">
        <f t="shared" si="102"/>
        <v>7358.92</v>
      </c>
      <c r="H322" s="311">
        <f t="shared" si="102"/>
        <v>7360.52</v>
      </c>
      <c r="I322" s="311">
        <f t="shared" si="102"/>
        <v>7449</v>
      </c>
      <c r="J322" s="311">
        <f t="shared" si="102"/>
        <v>7317.64</v>
      </c>
      <c r="K322" s="311">
        <f t="shared" si="102"/>
        <v>7372.72</v>
      </c>
      <c r="L322" s="311">
        <f t="shared" si="102"/>
        <v>7120.5400000000009</v>
      </c>
      <c r="M322" s="311"/>
      <c r="N322" s="311"/>
      <c r="O322" s="311"/>
      <c r="P322" s="311" t="str">
        <f>IF(((P320="")*AND(P321="")),"",(P320-P321)*2)</f>
        <v/>
      </c>
      <c r="Q322" s="309"/>
      <c r="R322" s="309"/>
      <c r="S322" s="309"/>
      <c r="T322" s="309"/>
      <c r="U322" s="309"/>
      <c r="V322" s="312"/>
      <c r="W322" s="309"/>
      <c r="X322" s="341"/>
      <c r="Y322" s="341"/>
      <c r="Z322" s="267"/>
      <c r="AA322" s="267"/>
      <c r="AB322" s="267"/>
      <c r="AC322" s="267"/>
      <c r="AD322" s="268"/>
      <c r="AE322" s="269"/>
    </row>
    <row r="323" spans="1:31" ht="12.75" customHeight="1">
      <c r="A323" s="351">
        <v>43011</v>
      </c>
      <c r="B323" s="315" t="s">
        <v>200</v>
      </c>
      <c r="C323" s="316" t="s">
        <v>199</v>
      </c>
      <c r="D323" s="278">
        <v>7104.3</v>
      </c>
      <c r="E323" s="278">
        <v>6927.41</v>
      </c>
      <c r="F323" s="278">
        <v>7005.04</v>
      </c>
      <c r="G323" s="278">
        <v>7005.65</v>
      </c>
      <c r="H323" s="278">
        <v>7036.35</v>
      </c>
      <c r="I323" s="278">
        <v>7038.74</v>
      </c>
      <c r="J323" s="278">
        <v>6952.08</v>
      </c>
      <c r="K323" s="278">
        <v>6955.51</v>
      </c>
      <c r="L323" s="278">
        <v>7035.63</v>
      </c>
      <c r="M323" s="278">
        <v>7095.15</v>
      </c>
      <c r="N323" s="278">
        <v>6998.97</v>
      </c>
      <c r="O323" s="278">
        <v>7021.05</v>
      </c>
      <c r="P323" s="278">
        <v>6929.85</v>
      </c>
      <c r="Q323" s="326">
        <f>IF((L324=""),"",MAX(D325:P325))</f>
        <v>5653.5999999999995</v>
      </c>
      <c r="R323" s="315">
        <f>IF(L324="","",MIN(D325:L325))</f>
        <v>5282.21</v>
      </c>
      <c r="S323" s="318">
        <f>IF((P325=""),"",AVERAGE(D325:P325))</f>
        <v>5502.7876923076929</v>
      </c>
      <c r="T323" s="318">
        <f>IF((L324=""),"",(Q323-R323)/(Q323+R323)*100)</f>
        <v>3.3960904587771679</v>
      </c>
      <c r="U323" s="315">
        <f>STDEV(D325:P325)</f>
        <v>100.3372553901424</v>
      </c>
      <c r="V323" s="320" t="str">
        <f>IF(P324="","",IF(T323&lt;2.7,IF(S323&gt;5150,IF(S323&lt;5600,"Pass","Fail"),"Fail"),"Fail"))</f>
        <v>Fail</v>
      </c>
      <c r="W323" s="315">
        <v>1519</v>
      </c>
      <c r="X323" s="357"/>
      <c r="Y323" s="357"/>
      <c r="Z323" s="321">
        <v>4470</v>
      </c>
      <c r="AA323" s="321">
        <v>6020</v>
      </c>
      <c r="AB323" s="321">
        <v>5150</v>
      </c>
      <c r="AC323" s="321">
        <v>5600</v>
      </c>
      <c r="AD323" s="305">
        <v>10</v>
      </c>
      <c r="AE323" s="322">
        <v>2.7</v>
      </c>
    </row>
    <row r="324" spans="1:31" ht="12.75" customHeight="1">
      <c r="A324" s="306"/>
      <c r="B324" s="298"/>
      <c r="C324" s="307" t="s">
        <v>198</v>
      </c>
      <c r="D324" s="278">
        <v>1547.11</v>
      </c>
      <c r="E324" s="278">
        <v>1645.2</v>
      </c>
      <c r="F324" s="278">
        <v>1459.22</v>
      </c>
      <c r="G324" s="278">
        <v>1478.3</v>
      </c>
      <c r="H324" s="278">
        <v>1551.01</v>
      </c>
      <c r="I324" s="278">
        <v>1504.52</v>
      </c>
      <c r="J324" s="278">
        <v>1485.21</v>
      </c>
      <c r="K324" s="278">
        <v>1348.46</v>
      </c>
      <c r="L324" s="278">
        <v>1471.51</v>
      </c>
      <c r="M324" s="278">
        <v>1441.55</v>
      </c>
      <c r="N324" s="278">
        <v>1620.04</v>
      </c>
      <c r="O324" s="278">
        <v>1487.77</v>
      </c>
      <c r="P324" s="278">
        <v>1529.59</v>
      </c>
      <c r="Q324" s="298"/>
      <c r="R324" s="298"/>
      <c r="S324" s="298"/>
      <c r="T324" s="298"/>
      <c r="U324" s="298"/>
      <c r="V324" s="302"/>
      <c r="W324" s="298"/>
      <c r="X324" s="340"/>
      <c r="Y324" s="340"/>
      <c r="Z324" s="267"/>
      <c r="AA324" s="267"/>
      <c r="AB324" s="267"/>
      <c r="AC324" s="267"/>
      <c r="AD324" s="268"/>
      <c r="AE324" s="269"/>
    </row>
    <row r="325" spans="1:31" ht="24" customHeight="1">
      <c r="A325" s="306"/>
      <c r="B325" s="299"/>
      <c r="C325" s="307" t="s">
        <v>197</v>
      </c>
      <c r="D325" s="323">
        <f t="shared" ref="D325:P325" si="103">IF(((D323="")*AND(D324="")),"",(D323-D324))</f>
        <v>5557.1900000000005</v>
      </c>
      <c r="E325" s="323">
        <f t="shared" si="103"/>
        <v>5282.21</v>
      </c>
      <c r="F325" s="323">
        <f t="shared" si="103"/>
        <v>5545.82</v>
      </c>
      <c r="G325" s="323">
        <f t="shared" si="103"/>
        <v>5527.3499999999995</v>
      </c>
      <c r="H325" s="323">
        <f t="shared" si="103"/>
        <v>5485.34</v>
      </c>
      <c r="I325" s="323">
        <f t="shared" si="103"/>
        <v>5534.2199999999993</v>
      </c>
      <c r="J325" s="323">
        <f t="shared" si="103"/>
        <v>5466.87</v>
      </c>
      <c r="K325" s="323">
        <f t="shared" si="103"/>
        <v>5607.05</v>
      </c>
      <c r="L325" s="323">
        <f t="shared" si="103"/>
        <v>5564.12</v>
      </c>
      <c r="M325" s="323">
        <f t="shared" si="103"/>
        <v>5653.5999999999995</v>
      </c>
      <c r="N325" s="323">
        <f t="shared" si="103"/>
        <v>5378.93</v>
      </c>
      <c r="O325" s="323">
        <f t="shared" si="103"/>
        <v>5533.2800000000007</v>
      </c>
      <c r="P325" s="323">
        <f t="shared" si="103"/>
        <v>5400.26</v>
      </c>
      <c r="Q325" s="299"/>
      <c r="R325" s="299"/>
      <c r="S325" s="299"/>
      <c r="T325" s="298"/>
      <c r="U325" s="299"/>
      <c r="V325" s="324"/>
      <c r="W325" s="299"/>
      <c r="X325" s="340"/>
      <c r="Y325" s="340"/>
      <c r="Z325" s="267"/>
      <c r="AA325" s="267"/>
      <c r="AB325" s="267"/>
      <c r="AC325" s="267"/>
      <c r="AD325" s="268"/>
      <c r="AE325" s="269"/>
    </row>
    <row r="326" spans="1:31" ht="12.75" customHeight="1">
      <c r="A326" s="351">
        <v>43011</v>
      </c>
      <c r="B326" s="326" t="s">
        <v>202</v>
      </c>
      <c r="C326" s="307" t="s">
        <v>199</v>
      </c>
      <c r="D326" s="278">
        <v>5923.91</v>
      </c>
      <c r="E326" s="278">
        <v>6018.65</v>
      </c>
      <c r="F326" s="278">
        <v>6036.37</v>
      </c>
      <c r="G326" s="278">
        <v>5983.63</v>
      </c>
      <c r="H326" s="278">
        <v>5873.71</v>
      </c>
      <c r="I326" s="278">
        <v>5925.04</v>
      </c>
      <c r="J326" s="278">
        <v>5997.72</v>
      </c>
      <c r="K326" s="278">
        <v>6033.93</v>
      </c>
      <c r="L326" s="278">
        <v>5853.81</v>
      </c>
      <c r="M326" s="290"/>
      <c r="N326" s="290"/>
      <c r="O326" s="290"/>
      <c r="P326" s="290"/>
      <c r="Q326" s="326">
        <f>IF((L327=""),"",MAX(D328:L328))</f>
        <v>7449</v>
      </c>
      <c r="R326" s="326">
        <f>IF(L327="","",MIN(D328:L328))</f>
        <v>7120.5400000000009</v>
      </c>
      <c r="S326" s="327">
        <f>IF((L328=""),"",AVERAGE(D328:L328))</f>
        <v>7335.0399999999981</v>
      </c>
      <c r="T326" s="319">
        <f>IF((L327=""),"",(Q326-R326)/(Q326+R326)*100)</f>
        <v>2.2544294466400387</v>
      </c>
      <c r="U326" s="326">
        <f>STDEV(D328:P328)</f>
        <v>96.438274041120863</v>
      </c>
      <c r="V326" s="328" t="str">
        <f>IF(L327="","",IF(T326&lt;7.3,IF(S326&gt;5700,IF(S326&lt;7200,"Pass","Fail"),"Fail"),"Fail"))</f>
        <v>Fail</v>
      </c>
      <c r="W326" s="298">
        <v>1519</v>
      </c>
      <c r="X326" s="340"/>
      <c r="Y326" s="340"/>
      <c r="Z326" s="267">
        <v>4955</v>
      </c>
      <c r="AA326" s="267">
        <v>9645</v>
      </c>
      <c r="AB326" s="267">
        <v>5100</v>
      </c>
      <c r="AC326" s="267">
        <v>8300</v>
      </c>
      <c r="AD326" s="305">
        <v>10</v>
      </c>
      <c r="AE326" s="305">
        <v>9.8000000000000007</v>
      </c>
    </row>
    <row r="327" spans="1:31" ht="12.75" customHeight="1">
      <c r="A327" s="306"/>
      <c r="B327" s="298"/>
      <c r="C327" s="307" t="s">
        <v>198</v>
      </c>
      <c r="D327" s="278">
        <v>2295.5500000000002</v>
      </c>
      <c r="E327" s="278">
        <v>2330.58</v>
      </c>
      <c r="F327" s="278">
        <v>2334.79</v>
      </c>
      <c r="G327" s="278">
        <v>2304.17</v>
      </c>
      <c r="H327" s="278">
        <v>2193.4499999999998</v>
      </c>
      <c r="I327" s="278">
        <v>2200.54</v>
      </c>
      <c r="J327" s="278">
        <v>2338.9</v>
      </c>
      <c r="K327" s="278">
        <v>2347.5700000000002</v>
      </c>
      <c r="L327" s="278">
        <v>2293.54</v>
      </c>
      <c r="M327" s="290"/>
      <c r="N327" s="290"/>
      <c r="O327" s="290"/>
      <c r="P327" s="290"/>
      <c r="Q327" s="298"/>
      <c r="R327" s="298"/>
      <c r="S327" s="298"/>
      <c r="T327" s="298"/>
      <c r="U327" s="298"/>
      <c r="V327" s="302"/>
      <c r="W327" s="298"/>
      <c r="X327" s="340"/>
      <c r="Y327" s="340"/>
      <c r="Z327" s="267"/>
      <c r="AA327" s="267"/>
      <c r="AB327" s="267"/>
      <c r="AC327" s="267"/>
      <c r="AD327" s="268"/>
      <c r="AE327" s="269"/>
    </row>
    <row r="328" spans="1:31" ht="24.75" customHeight="1" thickBot="1">
      <c r="A328" s="306"/>
      <c r="B328" s="309"/>
      <c r="C328" s="310" t="s">
        <v>197</v>
      </c>
      <c r="D328" s="311">
        <f t="shared" ref="D328:L328" si="104">IF(((D326="")*AND(D327="")),"",(D326-D327)*2)</f>
        <v>7256.7199999999993</v>
      </c>
      <c r="E328" s="311">
        <f t="shared" si="104"/>
        <v>7376.1399999999994</v>
      </c>
      <c r="F328" s="311">
        <f t="shared" si="104"/>
        <v>7403.16</v>
      </c>
      <c r="G328" s="311">
        <f t="shared" si="104"/>
        <v>7358.92</v>
      </c>
      <c r="H328" s="311">
        <f t="shared" si="104"/>
        <v>7360.52</v>
      </c>
      <c r="I328" s="311">
        <f t="shared" si="104"/>
        <v>7449</v>
      </c>
      <c r="J328" s="311">
        <f t="shared" si="104"/>
        <v>7317.64</v>
      </c>
      <c r="K328" s="311">
        <f t="shared" si="104"/>
        <v>7372.72</v>
      </c>
      <c r="L328" s="311">
        <f t="shared" si="104"/>
        <v>7120.5400000000009</v>
      </c>
      <c r="M328" s="311"/>
      <c r="N328" s="311"/>
      <c r="O328" s="311"/>
      <c r="P328" s="311" t="str">
        <f>IF(((P326="")*AND(P327="")),"",(P326-P327)*2)</f>
        <v/>
      </c>
      <c r="Q328" s="309"/>
      <c r="R328" s="309"/>
      <c r="S328" s="309"/>
      <c r="T328" s="309"/>
      <c r="U328" s="309"/>
      <c r="V328" s="312"/>
      <c r="W328" s="309"/>
      <c r="X328" s="341"/>
      <c r="Y328" s="341"/>
      <c r="Z328" s="267"/>
      <c r="AA328" s="267"/>
      <c r="AB328" s="267"/>
      <c r="AC328" s="267"/>
      <c r="AD328" s="268"/>
      <c r="AE328" s="269"/>
    </row>
    <row r="329" spans="1:31" ht="12.75" customHeight="1">
      <c r="A329" s="351">
        <v>43011</v>
      </c>
      <c r="B329" s="315" t="s">
        <v>200</v>
      </c>
      <c r="C329" s="316" t="s">
        <v>199</v>
      </c>
      <c r="D329" s="278">
        <v>6924.02</v>
      </c>
      <c r="E329" s="278">
        <v>7027.28</v>
      </c>
      <c r="F329" s="278">
        <v>6844.88</v>
      </c>
      <c r="G329" s="278">
        <v>6922.23</v>
      </c>
      <c r="H329" s="278">
        <v>6930.34</v>
      </c>
      <c r="I329" s="278">
        <v>6957.23</v>
      </c>
      <c r="J329" s="278">
        <v>6955.46</v>
      </c>
      <c r="K329" s="278">
        <v>6865.94</v>
      </c>
      <c r="L329" s="278">
        <v>6871.02</v>
      </c>
      <c r="M329" s="278">
        <v>6952.35</v>
      </c>
      <c r="N329" s="278">
        <v>7017.69</v>
      </c>
      <c r="O329" s="278">
        <v>6915.32</v>
      </c>
      <c r="P329" s="278">
        <v>6946.63</v>
      </c>
      <c r="Q329" s="326">
        <f>IF((L330=""),"",MAX(D331:P331))</f>
        <v>5511.4900000000007</v>
      </c>
      <c r="R329" s="315">
        <f>IF(L330="","",MIN(D331:L331))</f>
        <v>5404.32</v>
      </c>
      <c r="S329" s="318">
        <f>IF((P331=""),"",AVERAGE(D331:P331))</f>
        <v>5466.7284615384615</v>
      </c>
      <c r="T329" s="318">
        <f>IF((L330=""),"",(Q329-R329)/(Q329+R329)*100)</f>
        <v>0.98178696771014673</v>
      </c>
      <c r="U329" s="315">
        <f>STDEV(D331:P331)</f>
        <v>35.41106226548051</v>
      </c>
      <c r="V329" s="320" t="str">
        <f>IF(P330="","",IF(T329&lt;2.7,IF(S329&gt;5150,IF(S329&lt;5600,"Pass","Fail"),"Fail"),"Fail"))</f>
        <v>Pass</v>
      </c>
      <c r="W329" s="315">
        <v>1428</v>
      </c>
      <c r="X329" s="357"/>
      <c r="Y329" s="357"/>
      <c r="Z329" s="321">
        <v>4470</v>
      </c>
      <c r="AA329" s="321">
        <v>6020</v>
      </c>
      <c r="AB329" s="321">
        <v>5150</v>
      </c>
      <c r="AC329" s="321">
        <v>5600</v>
      </c>
      <c r="AD329" s="305">
        <v>10</v>
      </c>
      <c r="AE329" s="322">
        <v>2.7</v>
      </c>
    </row>
    <row r="330" spans="1:31" ht="12.75" customHeight="1">
      <c r="A330" s="306"/>
      <c r="B330" s="298"/>
      <c r="C330" s="307" t="s">
        <v>198</v>
      </c>
      <c r="D330" s="278">
        <v>1498.78</v>
      </c>
      <c r="E330" s="278">
        <v>1558.5</v>
      </c>
      <c r="F330" s="278">
        <v>1440.56</v>
      </c>
      <c r="G330" s="278">
        <v>1473.56</v>
      </c>
      <c r="H330" s="278">
        <v>1438.26</v>
      </c>
      <c r="I330" s="278">
        <v>1448.06</v>
      </c>
      <c r="J330" s="278">
        <v>1485.27</v>
      </c>
      <c r="K330" s="278">
        <v>1363.57</v>
      </c>
      <c r="L330" s="278">
        <v>1454.08</v>
      </c>
      <c r="M330" s="278">
        <v>1440.86</v>
      </c>
      <c r="N330" s="278">
        <v>1526.37</v>
      </c>
      <c r="O330" s="278">
        <v>1463.4</v>
      </c>
      <c r="P330" s="278">
        <v>1471.65</v>
      </c>
      <c r="Q330" s="298"/>
      <c r="R330" s="298"/>
      <c r="S330" s="298"/>
      <c r="T330" s="298"/>
      <c r="U330" s="298"/>
      <c r="V330" s="302"/>
      <c r="W330" s="298"/>
      <c r="X330" s="340"/>
      <c r="Y330" s="340"/>
      <c r="Z330" s="267"/>
      <c r="AA330" s="267"/>
      <c r="AB330" s="267"/>
      <c r="AC330" s="267"/>
      <c r="AD330" s="268"/>
      <c r="AE330" s="269"/>
    </row>
    <row r="331" spans="1:31" ht="24" customHeight="1">
      <c r="A331" s="306"/>
      <c r="B331" s="299"/>
      <c r="C331" s="307" t="s">
        <v>197</v>
      </c>
      <c r="D331" s="323">
        <f t="shared" ref="D331:P331" si="105">IF(((D329="")*AND(D330="")),"",(D329-D330))</f>
        <v>5425.2400000000007</v>
      </c>
      <c r="E331" s="323">
        <f t="shared" si="105"/>
        <v>5468.78</v>
      </c>
      <c r="F331" s="323">
        <f t="shared" si="105"/>
        <v>5404.32</v>
      </c>
      <c r="G331" s="323">
        <f t="shared" si="105"/>
        <v>5448.67</v>
      </c>
      <c r="H331" s="323">
        <f t="shared" si="105"/>
        <v>5492.08</v>
      </c>
      <c r="I331" s="323">
        <f t="shared" si="105"/>
        <v>5509.17</v>
      </c>
      <c r="J331" s="323">
        <f t="shared" si="105"/>
        <v>5470.1900000000005</v>
      </c>
      <c r="K331" s="323">
        <f t="shared" si="105"/>
        <v>5502.37</v>
      </c>
      <c r="L331" s="323">
        <f t="shared" si="105"/>
        <v>5416.9400000000005</v>
      </c>
      <c r="M331" s="323">
        <f t="shared" si="105"/>
        <v>5511.4900000000007</v>
      </c>
      <c r="N331" s="323">
        <f t="shared" si="105"/>
        <v>5491.32</v>
      </c>
      <c r="O331" s="323">
        <f t="shared" si="105"/>
        <v>5451.92</v>
      </c>
      <c r="P331" s="323">
        <f t="shared" si="105"/>
        <v>5474.98</v>
      </c>
      <c r="Q331" s="299"/>
      <c r="R331" s="299"/>
      <c r="S331" s="299"/>
      <c r="T331" s="298"/>
      <c r="U331" s="299"/>
      <c r="V331" s="324"/>
      <c r="W331" s="299"/>
      <c r="X331" s="340"/>
      <c r="Y331" s="340"/>
      <c r="Z331" s="267"/>
      <c r="AA331" s="267"/>
      <c r="AB331" s="267"/>
      <c r="AC331" s="267"/>
      <c r="AD331" s="268"/>
      <c r="AE331" s="269"/>
    </row>
    <row r="332" spans="1:31" ht="12.75" customHeight="1">
      <c r="A332" s="351">
        <v>43011</v>
      </c>
      <c r="B332" s="326" t="s">
        <v>202</v>
      </c>
      <c r="C332" s="307" t="s">
        <v>199</v>
      </c>
      <c r="D332" s="278">
        <v>5931.94</v>
      </c>
      <c r="E332" s="278">
        <v>6021.62</v>
      </c>
      <c r="F332" s="278">
        <v>6043.7</v>
      </c>
      <c r="G332" s="278">
        <v>5984.47</v>
      </c>
      <c r="H332" s="278">
        <v>5892.24</v>
      </c>
      <c r="I332" s="278">
        <v>5926.3</v>
      </c>
      <c r="J332" s="278">
        <v>5997.67</v>
      </c>
      <c r="K332" s="278">
        <v>6036.54</v>
      </c>
      <c r="L332" s="278">
        <v>5855.89</v>
      </c>
      <c r="M332" s="290"/>
      <c r="N332" s="290"/>
      <c r="O332" s="290"/>
      <c r="P332" s="290"/>
      <c r="Q332" s="326">
        <f>IF((L333=""),"",MAX(D334:L334))</f>
        <v>7417.3200000000006</v>
      </c>
      <c r="R332" s="326">
        <f>IF(L333="","",MIN(D334:L334))</f>
        <v>6987.9600000000009</v>
      </c>
      <c r="S332" s="327">
        <f>IF((L334=""),"",AVERAGE(D334:L334))</f>
        <v>7243.66</v>
      </c>
      <c r="T332" s="319">
        <f>IF((L333=""),"",(Q332-R332)/(Q332+R332)*100)</f>
        <v>2.9805737896104736</v>
      </c>
      <c r="U332" s="326">
        <f>STDEV(D334:P334)</f>
        <v>125.6646016187905</v>
      </c>
      <c r="V332" s="328" t="str">
        <f>IF(L333="","",IF(T332&lt;7.3,IF(S332&gt;5700,IF(S332&lt;7200,"Pass","Fail"),"Fail"),"Fail"))</f>
        <v>Fail</v>
      </c>
      <c r="W332" s="298">
        <v>1428</v>
      </c>
      <c r="X332" s="340"/>
      <c r="Y332" s="340"/>
      <c r="Z332" s="267">
        <v>4955</v>
      </c>
      <c r="AA332" s="267">
        <v>9645</v>
      </c>
      <c r="AB332" s="267">
        <v>5100</v>
      </c>
      <c r="AC332" s="267">
        <v>8300</v>
      </c>
      <c r="AD332" s="305">
        <v>10</v>
      </c>
      <c r="AE332" s="305">
        <v>9.8000000000000007</v>
      </c>
    </row>
    <row r="333" spans="1:31" ht="12.75" customHeight="1">
      <c r="A333" s="306"/>
      <c r="B333" s="298"/>
      <c r="C333" s="307" t="s">
        <v>198</v>
      </c>
      <c r="D333" s="278">
        <v>2366.23</v>
      </c>
      <c r="E333" s="278">
        <v>2399.92</v>
      </c>
      <c r="F333" s="278">
        <v>2390.23</v>
      </c>
      <c r="G333" s="278">
        <v>2353.89</v>
      </c>
      <c r="H333" s="278">
        <v>2211.64</v>
      </c>
      <c r="I333" s="278">
        <v>2217.64</v>
      </c>
      <c r="J333" s="278">
        <v>2374.02</v>
      </c>
      <c r="K333" s="278">
        <v>2418.42</v>
      </c>
      <c r="L333" s="278">
        <v>2361.91</v>
      </c>
      <c r="M333" s="290"/>
      <c r="N333" s="290"/>
      <c r="O333" s="290"/>
      <c r="P333" s="290"/>
      <c r="Q333" s="298"/>
      <c r="R333" s="298"/>
      <c r="S333" s="298"/>
      <c r="T333" s="298"/>
      <c r="U333" s="298"/>
      <c r="V333" s="302"/>
      <c r="W333" s="298"/>
      <c r="X333" s="340"/>
      <c r="Y333" s="340"/>
      <c r="Z333" s="267"/>
      <c r="AA333" s="267"/>
      <c r="AB333" s="267"/>
      <c r="AC333" s="267"/>
      <c r="AD333" s="268"/>
      <c r="AE333" s="269"/>
    </row>
    <row r="334" spans="1:31" ht="24.75" customHeight="1" thickBot="1">
      <c r="A334" s="306"/>
      <c r="B334" s="309"/>
      <c r="C334" s="310" t="s">
        <v>197</v>
      </c>
      <c r="D334" s="311">
        <f t="shared" ref="D334:L334" si="106">IF(((D332="")*AND(D333="")),"",(D332-D333)*2)</f>
        <v>7131.4199999999992</v>
      </c>
      <c r="E334" s="311">
        <f t="shared" si="106"/>
        <v>7243.4</v>
      </c>
      <c r="F334" s="311">
        <f t="shared" si="106"/>
        <v>7306.94</v>
      </c>
      <c r="G334" s="311">
        <f t="shared" si="106"/>
        <v>7261.1600000000008</v>
      </c>
      <c r="H334" s="311">
        <f t="shared" si="106"/>
        <v>7361.2</v>
      </c>
      <c r="I334" s="311">
        <f t="shared" si="106"/>
        <v>7417.3200000000006</v>
      </c>
      <c r="J334" s="311">
        <f t="shared" si="106"/>
        <v>7247.3</v>
      </c>
      <c r="K334" s="311">
        <f t="shared" si="106"/>
        <v>7236.24</v>
      </c>
      <c r="L334" s="311">
        <f t="shared" si="106"/>
        <v>6987.9600000000009</v>
      </c>
      <c r="M334" s="311"/>
      <c r="N334" s="311"/>
      <c r="O334" s="311"/>
      <c r="P334" s="311" t="str">
        <f>IF(((P332="")*AND(P333="")),"",(P332-P333)*2)</f>
        <v/>
      </c>
      <c r="Q334" s="309"/>
      <c r="R334" s="309"/>
      <c r="S334" s="309"/>
      <c r="T334" s="309"/>
      <c r="U334" s="309"/>
      <c r="V334" s="312"/>
      <c r="W334" s="309"/>
      <c r="X334" s="341"/>
      <c r="Y334" s="341"/>
      <c r="Z334" s="267"/>
      <c r="AA334" s="267"/>
      <c r="AB334" s="267"/>
      <c r="AC334" s="267"/>
      <c r="AD334" s="268"/>
      <c r="AE334" s="269"/>
    </row>
    <row r="335" spans="1:31" ht="12.75" customHeight="1">
      <c r="A335" s="351">
        <v>43018</v>
      </c>
      <c r="B335" s="315" t="s">
        <v>200</v>
      </c>
      <c r="C335" s="316" t="s">
        <v>199</v>
      </c>
      <c r="D335" s="278">
        <v>6898.89</v>
      </c>
      <c r="E335" s="278">
        <v>7010.64</v>
      </c>
      <c r="F335" s="278">
        <v>6809</v>
      </c>
      <c r="G335" s="278">
        <v>6869.73</v>
      </c>
      <c r="H335" s="278">
        <v>6922.78</v>
      </c>
      <c r="I335" s="278">
        <v>6931.3</v>
      </c>
      <c r="J335" s="278">
        <v>6896.79</v>
      </c>
      <c r="K335" s="278">
        <v>6805.64</v>
      </c>
      <c r="L335" s="278">
        <v>6829.52</v>
      </c>
      <c r="M335" s="278">
        <v>6896.33</v>
      </c>
      <c r="N335" s="278">
        <v>7001.66</v>
      </c>
      <c r="O335" s="278">
        <v>6874.86</v>
      </c>
      <c r="P335" s="278">
        <v>6926.46</v>
      </c>
      <c r="Q335" s="326">
        <f>IF((L336=""),"",MAX(D337:P337))</f>
        <v>5483.66</v>
      </c>
      <c r="R335" s="315">
        <f>IF(L336="","",MIN(D337:L337))</f>
        <v>5396.34</v>
      </c>
      <c r="S335" s="318">
        <f>IF((P337=""),"",AVERAGE(D337:P337))</f>
        <v>5432.0653846153837</v>
      </c>
      <c r="T335" s="318">
        <f>IF((L336=""),"",(Q335-R335)/(Q335+R335)*100)</f>
        <v>0.80257352941176197</v>
      </c>
      <c r="U335" s="315">
        <f>STDEV(D337:P337)</f>
        <v>25.856844553498341</v>
      </c>
      <c r="V335" s="320" t="str">
        <f>IF(P336="","",IF(T335&lt;2.7,IF(S335&gt;5150,IF(S335&lt;5600,"Pass","Fail"),"Fail"),"Fail"))</f>
        <v>Pass</v>
      </c>
      <c r="W335" s="315">
        <v>1428</v>
      </c>
      <c r="X335" s="357" t="s">
        <v>234</v>
      </c>
      <c r="Y335" s="357"/>
      <c r="Z335" s="321">
        <v>4470</v>
      </c>
      <c r="AA335" s="321">
        <v>6020</v>
      </c>
      <c r="AB335" s="321">
        <v>5150</v>
      </c>
      <c r="AC335" s="321">
        <v>5600</v>
      </c>
      <c r="AD335" s="305">
        <v>10</v>
      </c>
      <c r="AE335" s="322">
        <v>2.7</v>
      </c>
    </row>
    <row r="336" spans="1:31" ht="12.75" customHeight="1">
      <c r="A336" s="306"/>
      <c r="B336" s="298"/>
      <c r="C336" s="307" t="s">
        <v>198</v>
      </c>
      <c r="D336" s="278">
        <v>1489.06</v>
      </c>
      <c r="E336" s="278">
        <v>1588.73</v>
      </c>
      <c r="F336" s="278">
        <v>1412.66</v>
      </c>
      <c r="G336" s="278">
        <v>1438.63</v>
      </c>
      <c r="H336" s="278">
        <v>1498.04</v>
      </c>
      <c r="I336" s="278">
        <v>1469.58</v>
      </c>
      <c r="J336" s="278">
        <v>1452.75</v>
      </c>
      <c r="K336" s="278">
        <v>1321.98</v>
      </c>
      <c r="L336" s="278">
        <v>1423.91</v>
      </c>
      <c r="M336" s="278">
        <v>1426.34</v>
      </c>
      <c r="N336" s="278">
        <v>1577.24</v>
      </c>
      <c r="O336" s="278">
        <v>1453.27</v>
      </c>
      <c r="P336" s="278">
        <v>1504.56</v>
      </c>
      <c r="Q336" s="298"/>
      <c r="R336" s="298"/>
      <c r="S336" s="298"/>
      <c r="T336" s="298"/>
      <c r="U336" s="298"/>
      <c r="V336" s="302"/>
      <c r="W336" s="298"/>
      <c r="X336" s="340"/>
      <c r="Y336" s="340"/>
      <c r="Z336" s="267"/>
      <c r="AA336" s="267"/>
      <c r="AB336" s="267"/>
      <c r="AC336" s="267"/>
      <c r="AD336" s="268"/>
      <c r="AE336" s="269"/>
    </row>
    <row r="337" spans="1:31" ht="24" customHeight="1">
      <c r="A337" s="306"/>
      <c r="B337" s="299"/>
      <c r="C337" s="307" t="s">
        <v>197</v>
      </c>
      <c r="D337" s="323">
        <f t="shared" ref="D337:P337" si="107">IF(((D335="")*AND(D336="")),"",(D335-D336))</f>
        <v>5409.83</v>
      </c>
      <c r="E337" s="323">
        <f t="shared" si="107"/>
        <v>5421.91</v>
      </c>
      <c r="F337" s="323">
        <f t="shared" si="107"/>
        <v>5396.34</v>
      </c>
      <c r="G337" s="323">
        <f t="shared" si="107"/>
        <v>5431.0999999999995</v>
      </c>
      <c r="H337" s="323">
        <f t="shared" si="107"/>
        <v>5424.74</v>
      </c>
      <c r="I337" s="323">
        <f t="shared" si="107"/>
        <v>5461.72</v>
      </c>
      <c r="J337" s="323">
        <f t="shared" si="107"/>
        <v>5444.04</v>
      </c>
      <c r="K337" s="323">
        <f t="shared" si="107"/>
        <v>5483.66</v>
      </c>
      <c r="L337" s="323">
        <f t="shared" si="107"/>
        <v>5405.6100000000006</v>
      </c>
      <c r="M337" s="323">
        <f t="shared" si="107"/>
        <v>5469.99</v>
      </c>
      <c r="N337" s="323">
        <f t="shared" si="107"/>
        <v>5424.42</v>
      </c>
      <c r="O337" s="323">
        <f t="shared" si="107"/>
        <v>5421.59</v>
      </c>
      <c r="P337" s="323">
        <f t="shared" si="107"/>
        <v>5421.9</v>
      </c>
      <c r="Q337" s="299"/>
      <c r="R337" s="299"/>
      <c r="S337" s="299"/>
      <c r="T337" s="298"/>
      <c r="U337" s="299"/>
      <c r="V337" s="324"/>
      <c r="W337" s="299"/>
      <c r="X337" s="340"/>
      <c r="Y337" s="340"/>
      <c r="Z337" s="267"/>
      <c r="AA337" s="267"/>
      <c r="AB337" s="267"/>
      <c r="AC337" s="267"/>
      <c r="AD337" s="268"/>
      <c r="AE337" s="269"/>
    </row>
    <row r="338" spans="1:31" ht="12.75" customHeight="1">
      <c r="A338" s="351">
        <v>43018</v>
      </c>
      <c r="B338" s="326" t="s">
        <v>202</v>
      </c>
      <c r="C338" s="307" t="s">
        <v>199</v>
      </c>
      <c r="D338" s="278">
        <v>5933.83</v>
      </c>
      <c r="E338" s="278">
        <v>6014.78</v>
      </c>
      <c r="F338" s="278">
        <v>6036.08</v>
      </c>
      <c r="G338" s="278">
        <v>5982.53</v>
      </c>
      <c r="H338" s="278">
        <v>5892.6</v>
      </c>
      <c r="I338" s="278">
        <v>5915.81</v>
      </c>
      <c r="J338" s="278">
        <v>5999.19</v>
      </c>
      <c r="K338" s="278">
        <v>6025.63</v>
      </c>
      <c r="L338" s="278">
        <v>5857.09</v>
      </c>
      <c r="M338" s="290"/>
      <c r="N338" s="290"/>
      <c r="O338" s="290"/>
      <c r="P338" s="290"/>
      <c r="Q338" s="326">
        <f>IF((L339=""),"",MAX(D340:L340))</f>
        <v>7109.52</v>
      </c>
      <c r="R338" s="326">
        <f>IF(L339="","",MIN(D340:L340))</f>
        <v>6862.8</v>
      </c>
      <c r="S338" s="327">
        <f>IF((L340=""),"",AVERAGE(D340:L340))</f>
        <v>7042.2199999999993</v>
      </c>
      <c r="T338" s="319">
        <f>IF((L339=""),"",(Q338-R338)/(Q338+R338)*100)</f>
        <v>1.7657769074856593</v>
      </c>
      <c r="U338" s="326">
        <f>STDEV(D340:P340)</f>
        <v>78.380956233089435</v>
      </c>
      <c r="V338" s="328" t="str">
        <f>IF(L339="","",IF(T338&lt;9.8,IF(S338&gt;5100,IF(S338&lt;8300,"Pass","Fail"),"Fail"),"Fail"))</f>
        <v>Pass</v>
      </c>
      <c r="W338" s="298">
        <v>1428</v>
      </c>
      <c r="X338" s="340" t="s">
        <v>234</v>
      </c>
      <c r="Y338" s="340"/>
      <c r="Z338" s="267">
        <v>4955</v>
      </c>
      <c r="AA338" s="267">
        <v>9645</v>
      </c>
      <c r="AB338" s="267">
        <v>5100</v>
      </c>
      <c r="AC338" s="267">
        <v>8300</v>
      </c>
      <c r="AD338" s="305">
        <v>10</v>
      </c>
      <c r="AE338" s="305">
        <v>9.8000000000000007</v>
      </c>
    </row>
    <row r="339" spans="1:31" ht="12.75" customHeight="1">
      <c r="A339" s="306"/>
      <c r="B339" s="298"/>
      <c r="C339" s="307" t="s">
        <v>198</v>
      </c>
      <c r="D339" s="278">
        <v>2448.81</v>
      </c>
      <c r="E339" s="278">
        <v>2478.67</v>
      </c>
      <c r="F339" s="278">
        <v>2483.25</v>
      </c>
      <c r="G339" s="278">
        <v>2450.15</v>
      </c>
      <c r="H339" s="278">
        <v>2337.84</v>
      </c>
      <c r="I339" s="278">
        <v>2387.94</v>
      </c>
      <c r="J339" s="278">
        <v>2467.9299999999998</v>
      </c>
      <c r="K339" s="278">
        <v>2487.27</v>
      </c>
      <c r="L339" s="278">
        <v>2425.69</v>
      </c>
      <c r="M339" s="290"/>
      <c r="N339" s="290"/>
      <c r="O339" s="290"/>
      <c r="P339" s="290"/>
      <c r="Q339" s="298"/>
      <c r="R339" s="298"/>
      <c r="S339" s="298"/>
      <c r="T339" s="298"/>
      <c r="U339" s="298"/>
      <c r="V339" s="302"/>
      <c r="W339" s="298"/>
      <c r="X339" s="340"/>
      <c r="Y339" s="340"/>
      <c r="Z339" s="267"/>
      <c r="AA339" s="267"/>
      <c r="AB339" s="267"/>
      <c r="AC339" s="267"/>
      <c r="AD339" s="268"/>
      <c r="AE339" s="269"/>
    </row>
    <row r="340" spans="1:31" ht="24.75" customHeight="1" thickBot="1">
      <c r="A340" s="306"/>
      <c r="B340" s="309"/>
      <c r="C340" s="310" t="s">
        <v>197</v>
      </c>
      <c r="D340" s="311">
        <f t="shared" ref="D340:L340" si="108">IF(((D338="")*AND(D339="")),"",(D338-D339)*2)</f>
        <v>6970.04</v>
      </c>
      <c r="E340" s="311">
        <f t="shared" si="108"/>
        <v>7072.2199999999993</v>
      </c>
      <c r="F340" s="311">
        <f t="shared" si="108"/>
        <v>7105.66</v>
      </c>
      <c r="G340" s="311">
        <f t="shared" si="108"/>
        <v>7064.7599999999993</v>
      </c>
      <c r="H340" s="311">
        <f t="shared" si="108"/>
        <v>7109.52</v>
      </c>
      <c r="I340" s="311">
        <f t="shared" si="108"/>
        <v>7055.7400000000007</v>
      </c>
      <c r="J340" s="311">
        <f t="shared" si="108"/>
        <v>7062.5199999999995</v>
      </c>
      <c r="K340" s="311">
        <f t="shared" si="108"/>
        <v>7076.72</v>
      </c>
      <c r="L340" s="311">
        <f t="shared" si="108"/>
        <v>6862.8</v>
      </c>
      <c r="M340" s="311"/>
      <c r="N340" s="311"/>
      <c r="O340" s="311"/>
      <c r="P340" s="311" t="str">
        <f>IF(((P338="")*AND(P339="")),"",(P338-P339)*2)</f>
        <v/>
      </c>
      <c r="Q340" s="309"/>
      <c r="R340" s="309"/>
      <c r="S340" s="309"/>
      <c r="T340" s="309"/>
      <c r="U340" s="309"/>
      <c r="V340" s="312"/>
      <c r="W340" s="309"/>
      <c r="X340" s="341"/>
      <c r="Y340" s="341"/>
      <c r="Z340" s="267"/>
      <c r="AA340" s="267"/>
      <c r="AB340" s="267"/>
      <c r="AC340" s="267"/>
      <c r="AD340" s="268"/>
      <c r="AE340" s="269"/>
    </row>
    <row r="341" spans="1:31" ht="12.75" customHeight="1">
      <c r="A341" s="351">
        <v>43025</v>
      </c>
      <c r="B341" s="315" t="s">
        <v>200</v>
      </c>
      <c r="C341" s="316" t="s">
        <v>199</v>
      </c>
      <c r="D341" s="278">
        <v>7021.6</v>
      </c>
      <c r="E341" s="278">
        <v>7128.66</v>
      </c>
      <c r="F341" s="278">
        <v>6936.07</v>
      </c>
      <c r="G341" s="278">
        <v>6999.65</v>
      </c>
      <c r="H341" s="278">
        <v>7036.57</v>
      </c>
      <c r="I341" s="278">
        <v>7051.14</v>
      </c>
      <c r="J341" s="278">
        <v>7025.59</v>
      </c>
      <c r="K341" s="278">
        <v>6935.51</v>
      </c>
      <c r="L341" s="278">
        <v>6954.67</v>
      </c>
      <c r="M341" s="278">
        <v>7022.06</v>
      </c>
      <c r="N341" s="278">
        <v>7111.12</v>
      </c>
      <c r="O341" s="278">
        <v>6996.19</v>
      </c>
      <c r="P341" s="278">
        <v>7037.89</v>
      </c>
      <c r="Q341" s="326">
        <f>IF((L342=""),"",MAX(D343:P343))</f>
        <v>5502.84</v>
      </c>
      <c r="R341" s="315">
        <f>IF(L342="","",MIN(D343:L343))</f>
        <v>5386.3499999999995</v>
      </c>
      <c r="S341" s="318">
        <f>IF((P343=""),"",AVERAGE(D343:P343))</f>
        <v>5450.873846153846</v>
      </c>
      <c r="T341" s="318">
        <f>IF((L342=""),"",(Q341-R341)/(Q341+R341)*100)</f>
        <v>1.0697765398528329</v>
      </c>
      <c r="U341" s="315">
        <f>STDEV(D343:P343)</f>
        <v>36.560268630165837</v>
      </c>
      <c r="V341" s="320" t="str">
        <f>IF(P342="","",IF(T341&lt;2.7,IF(S341&gt;5150,IF(S341&lt;5600,"Pass","Fail"),"Fail"),"Fail"))</f>
        <v>Pass</v>
      </c>
      <c r="W341" s="315" t="s">
        <v>233</v>
      </c>
      <c r="X341" s="357"/>
      <c r="Y341" s="357"/>
      <c r="Z341" s="321">
        <v>4470</v>
      </c>
      <c r="AA341" s="321">
        <v>6020</v>
      </c>
      <c r="AB341" s="321">
        <v>5150</v>
      </c>
      <c r="AC341" s="321">
        <v>5600</v>
      </c>
      <c r="AD341" s="305">
        <v>10</v>
      </c>
      <c r="AE341" s="322">
        <v>2.7</v>
      </c>
    </row>
    <row r="342" spans="1:31" ht="12.75" customHeight="1">
      <c r="A342" s="306"/>
      <c r="B342" s="298"/>
      <c r="C342" s="307" t="s">
        <v>198</v>
      </c>
      <c r="D342" s="278">
        <v>1609.38</v>
      </c>
      <c r="E342" s="278">
        <v>1673.57</v>
      </c>
      <c r="F342" s="278">
        <v>1549.72</v>
      </c>
      <c r="G342" s="278">
        <v>1564.94</v>
      </c>
      <c r="H342" s="278">
        <v>1568.03</v>
      </c>
      <c r="I342" s="278">
        <v>1548.3</v>
      </c>
      <c r="J342" s="278">
        <v>1570.58</v>
      </c>
      <c r="K342" s="278">
        <v>1453.13</v>
      </c>
      <c r="L342" s="278">
        <v>1558.93</v>
      </c>
      <c r="M342" s="278">
        <v>1524.39</v>
      </c>
      <c r="N342" s="278">
        <v>1636.9</v>
      </c>
      <c r="O342" s="278">
        <v>1560</v>
      </c>
      <c r="P342" s="278">
        <v>1577.49</v>
      </c>
      <c r="Q342" s="298"/>
      <c r="R342" s="298"/>
      <c r="S342" s="298"/>
      <c r="T342" s="298"/>
      <c r="U342" s="298"/>
      <c r="V342" s="302"/>
      <c r="W342" s="298"/>
      <c r="X342" s="340"/>
      <c r="Y342" s="340"/>
      <c r="Z342" s="267"/>
      <c r="AA342" s="267"/>
      <c r="AB342" s="267"/>
      <c r="AC342" s="267"/>
      <c r="AD342" s="268"/>
      <c r="AE342" s="269"/>
    </row>
    <row r="343" spans="1:31" ht="24.75" customHeight="1" thickBot="1">
      <c r="A343" s="306"/>
      <c r="B343" s="299"/>
      <c r="C343" s="307" t="s">
        <v>197</v>
      </c>
      <c r="D343" s="323">
        <f t="shared" ref="D343:P343" si="109">IF(((D341="")*AND(D342="")),"",(D341-D342))</f>
        <v>5412.22</v>
      </c>
      <c r="E343" s="323">
        <f t="shared" si="109"/>
        <v>5455.09</v>
      </c>
      <c r="F343" s="323">
        <f t="shared" si="109"/>
        <v>5386.3499999999995</v>
      </c>
      <c r="G343" s="323">
        <f t="shared" si="109"/>
        <v>5434.7099999999991</v>
      </c>
      <c r="H343" s="323">
        <f t="shared" si="109"/>
        <v>5468.54</v>
      </c>
      <c r="I343" s="323">
        <f t="shared" si="109"/>
        <v>5502.84</v>
      </c>
      <c r="J343" s="323">
        <f t="shared" si="109"/>
        <v>5455.01</v>
      </c>
      <c r="K343" s="323">
        <f t="shared" si="109"/>
        <v>5482.38</v>
      </c>
      <c r="L343" s="323">
        <f t="shared" si="109"/>
        <v>5395.74</v>
      </c>
      <c r="M343" s="323">
        <f t="shared" si="109"/>
        <v>5497.67</v>
      </c>
      <c r="N343" s="323">
        <f t="shared" si="109"/>
        <v>5474.2199999999993</v>
      </c>
      <c r="O343" s="323">
        <f t="shared" si="109"/>
        <v>5436.19</v>
      </c>
      <c r="P343" s="323">
        <f t="shared" si="109"/>
        <v>5460.4000000000005</v>
      </c>
      <c r="Q343" s="299"/>
      <c r="R343" s="299"/>
      <c r="S343" s="299"/>
      <c r="T343" s="298"/>
      <c r="U343" s="299"/>
      <c r="V343" s="324"/>
      <c r="W343" s="299"/>
      <c r="X343" s="340"/>
      <c r="Y343" s="340"/>
      <c r="Z343" s="267"/>
      <c r="AA343" s="267"/>
      <c r="AB343" s="267"/>
      <c r="AC343" s="267"/>
      <c r="AD343" s="268"/>
      <c r="AE343" s="269"/>
    </row>
    <row r="344" spans="1:31" ht="12.75" customHeight="1">
      <c r="A344" s="351">
        <v>43025</v>
      </c>
      <c r="B344" s="326" t="s">
        <v>202</v>
      </c>
      <c r="C344" s="307" t="s">
        <v>199</v>
      </c>
      <c r="D344" s="278">
        <v>5929.41</v>
      </c>
      <c r="E344" s="278">
        <v>6011.64</v>
      </c>
      <c r="F344" s="278">
        <v>6035.27</v>
      </c>
      <c r="G344" s="278">
        <v>5982.57</v>
      </c>
      <c r="H344" s="278">
        <v>5887.22</v>
      </c>
      <c r="I344" s="278">
        <v>5926.51</v>
      </c>
      <c r="J344" s="278">
        <v>5995.35</v>
      </c>
      <c r="K344" s="278">
        <v>6023.14</v>
      </c>
      <c r="L344" s="278">
        <v>5857.78</v>
      </c>
      <c r="M344" s="290"/>
      <c r="N344" s="290"/>
      <c r="O344" s="290"/>
      <c r="P344" s="290"/>
      <c r="Q344" s="326">
        <f>IF((L345=""),"",MAX(D346:L346))</f>
        <v>7076.26</v>
      </c>
      <c r="R344" s="326">
        <f>IF(L345="","",MIN(D346:L346))</f>
        <v>6751.36</v>
      </c>
      <c r="S344" s="327">
        <f>IF((L346=""),"",AVERAGE(D346:L346))</f>
        <v>6982.9666666666672</v>
      </c>
      <c r="T344" s="319">
        <f>IF((L345=""),"",(Q344-R344)/(Q344+R344)*100)</f>
        <v>2.3496451305430766</v>
      </c>
      <c r="U344" s="326">
        <f>STDEV(D346:P346)</f>
        <v>110.99119784918246</v>
      </c>
      <c r="V344" s="328" t="str">
        <f>IF(L345="","",IF(T344&lt;9.8,IF(S344&gt;5100,IF(S344&lt;8300,"Pass","Fail"),"Fail"),"Fail"))</f>
        <v>Pass</v>
      </c>
      <c r="W344" s="315" t="s">
        <v>233</v>
      </c>
      <c r="X344" s="340"/>
      <c r="Y344" s="340"/>
      <c r="Z344" s="267">
        <v>4955</v>
      </c>
      <c r="AA344" s="267">
        <v>9645</v>
      </c>
      <c r="AB344" s="267">
        <v>5100</v>
      </c>
      <c r="AC344" s="267">
        <v>8300</v>
      </c>
      <c r="AD344" s="305">
        <v>10</v>
      </c>
      <c r="AE344" s="305">
        <v>9.8000000000000007</v>
      </c>
    </row>
    <row r="345" spans="1:31" ht="12.75" customHeight="1">
      <c r="A345" s="306"/>
      <c r="B345" s="298"/>
      <c r="C345" s="307" t="s">
        <v>198</v>
      </c>
      <c r="D345" s="278">
        <v>2499.36</v>
      </c>
      <c r="E345" s="278">
        <v>2512.0700000000002</v>
      </c>
      <c r="F345" s="278">
        <v>2500.3200000000002</v>
      </c>
      <c r="G345" s="278">
        <v>2449.09</v>
      </c>
      <c r="H345" s="278">
        <v>2349.09</v>
      </c>
      <c r="I345" s="278">
        <v>2402.17</v>
      </c>
      <c r="J345" s="278">
        <v>2486.4299999999998</v>
      </c>
      <c r="K345" s="278">
        <v>2544.91</v>
      </c>
      <c r="L345" s="278">
        <v>2482.1</v>
      </c>
      <c r="M345" s="290"/>
      <c r="N345" s="290"/>
      <c r="O345" s="290"/>
      <c r="P345" s="290"/>
      <c r="Q345" s="298"/>
      <c r="R345" s="298"/>
      <c r="S345" s="298"/>
      <c r="T345" s="298"/>
      <c r="U345" s="298"/>
      <c r="V345" s="302"/>
      <c r="W345" s="298"/>
      <c r="X345" s="340"/>
      <c r="Y345" s="340"/>
      <c r="Z345" s="267"/>
      <c r="AA345" s="267"/>
      <c r="AB345" s="267"/>
      <c r="AC345" s="267"/>
      <c r="AD345" s="268"/>
      <c r="AE345" s="269"/>
    </row>
    <row r="346" spans="1:31" ht="24.75" customHeight="1" thickBot="1">
      <c r="A346" s="306"/>
      <c r="B346" s="309"/>
      <c r="C346" s="310" t="s">
        <v>197</v>
      </c>
      <c r="D346" s="311">
        <f t="shared" ref="D346:L346" si="110">IF(((D344="")*AND(D345="")),"",(D344-D345)*2)</f>
        <v>6860.0999999999995</v>
      </c>
      <c r="E346" s="311">
        <f t="shared" si="110"/>
        <v>6999.14</v>
      </c>
      <c r="F346" s="311">
        <f t="shared" si="110"/>
        <v>7069.9000000000005</v>
      </c>
      <c r="G346" s="311">
        <f t="shared" si="110"/>
        <v>7066.9599999999991</v>
      </c>
      <c r="H346" s="311">
        <f t="shared" si="110"/>
        <v>7076.26</v>
      </c>
      <c r="I346" s="311">
        <f t="shared" si="110"/>
        <v>7048.68</v>
      </c>
      <c r="J346" s="311">
        <f t="shared" si="110"/>
        <v>7017.8400000000011</v>
      </c>
      <c r="K346" s="311">
        <f t="shared" si="110"/>
        <v>6956.4600000000009</v>
      </c>
      <c r="L346" s="311">
        <f t="shared" si="110"/>
        <v>6751.36</v>
      </c>
      <c r="M346" s="311"/>
      <c r="N346" s="311"/>
      <c r="O346" s="311"/>
      <c r="P346" s="311" t="str">
        <f>IF(((P344="")*AND(P345="")),"",(P344-P345)*2)</f>
        <v/>
      </c>
      <c r="Q346" s="309"/>
      <c r="R346" s="309"/>
      <c r="S346" s="309"/>
      <c r="T346" s="309"/>
      <c r="U346" s="309"/>
      <c r="V346" s="312"/>
      <c r="W346" s="309"/>
      <c r="X346" s="341"/>
      <c r="Y346" s="341"/>
      <c r="Z346" s="267"/>
      <c r="AA346" s="267"/>
      <c r="AB346" s="267"/>
      <c r="AC346" s="267"/>
      <c r="AD346" s="268"/>
      <c r="AE346" s="269"/>
    </row>
    <row r="347" spans="1:31" ht="12.75" customHeight="1">
      <c r="A347" s="351">
        <v>43031</v>
      </c>
      <c r="B347" s="315" t="s">
        <v>200</v>
      </c>
      <c r="C347" s="316" t="s">
        <v>199</v>
      </c>
      <c r="D347" s="278">
        <v>6889.9</v>
      </c>
      <c r="E347" s="278">
        <v>6996.68</v>
      </c>
      <c r="F347" s="278">
        <v>6808.99</v>
      </c>
      <c r="G347" s="278">
        <v>6885.98</v>
      </c>
      <c r="H347" s="278">
        <v>6894.22</v>
      </c>
      <c r="I347" s="278">
        <v>6921.57</v>
      </c>
      <c r="J347" s="278">
        <v>6915.58</v>
      </c>
      <c r="K347" s="278">
        <v>6827.95</v>
      </c>
      <c r="L347" s="278">
        <v>6831.47</v>
      </c>
      <c r="M347" s="278">
        <v>6908.38</v>
      </c>
      <c r="N347" s="278">
        <v>6977.29</v>
      </c>
      <c r="O347" s="278">
        <v>6872.06</v>
      </c>
      <c r="P347" s="278">
        <v>6903.16</v>
      </c>
      <c r="Q347" s="326">
        <f>IF((L348=""),"",MAX(D349:P349))</f>
        <v>5444.18</v>
      </c>
      <c r="R347" s="315">
        <f>IF(L348="","",MIN(D349:L349))</f>
        <v>5354.0199999999995</v>
      </c>
      <c r="S347" s="318">
        <f>IF((P349=""),"",AVERAGE(D349:P349))</f>
        <v>5391.2699999999995</v>
      </c>
      <c r="T347" s="318">
        <f>IF((L348=""),"",(Q347-R347)/(Q347+R347)*100)</f>
        <v>0.83495397381045688</v>
      </c>
      <c r="U347" s="315">
        <f>STDEV(D349:P349)</f>
        <v>26.959612077053308</v>
      </c>
      <c r="V347" s="320" t="str">
        <f>IF(P348="","",IF(T347&lt;2.7,IF(S347&gt;5150,IF(S347&lt;5600,"Pass","Fail"),"Fail"),"Fail"))</f>
        <v>Pass</v>
      </c>
      <c r="W347" s="315">
        <v>1159</v>
      </c>
      <c r="X347" s="357" t="s">
        <v>232</v>
      </c>
      <c r="Y347" s="357"/>
      <c r="Z347" s="321">
        <v>4470</v>
      </c>
      <c r="AA347" s="321">
        <v>6020</v>
      </c>
      <c r="AB347" s="321">
        <v>5150</v>
      </c>
      <c r="AC347" s="321">
        <v>5600</v>
      </c>
      <c r="AD347" s="305">
        <v>10</v>
      </c>
      <c r="AE347" s="322">
        <v>2.7</v>
      </c>
    </row>
    <row r="348" spans="1:31" ht="12.75" customHeight="1">
      <c r="A348" s="306"/>
      <c r="B348" s="298"/>
      <c r="C348" s="307" t="s">
        <v>198</v>
      </c>
      <c r="D348" s="278">
        <v>1525.28</v>
      </c>
      <c r="E348" s="278">
        <v>1619.57</v>
      </c>
      <c r="F348" s="278">
        <v>1454.97</v>
      </c>
      <c r="G348" s="278">
        <v>1497.26</v>
      </c>
      <c r="H348" s="278">
        <v>1510.26</v>
      </c>
      <c r="I348" s="278">
        <v>1501.73</v>
      </c>
      <c r="J348" s="278">
        <v>1510.5</v>
      </c>
      <c r="K348" s="278">
        <v>1383.77</v>
      </c>
      <c r="L348" s="278">
        <v>1465.75</v>
      </c>
      <c r="M348" s="278">
        <v>1475.62</v>
      </c>
      <c r="N348" s="278">
        <v>1594.72</v>
      </c>
      <c r="O348" s="278">
        <v>1487.57</v>
      </c>
      <c r="P348" s="278">
        <v>1519.72</v>
      </c>
      <c r="Q348" s="298"/>
      <c r="R348" s="298"/>
      <c r="S348" s="298"/>
      <c r="T348" s="298"/>
      <c r="U348" s="298"/>
      <c r="V348" s="302"/>
      <c r="W348" s="298"/>
      <c r="X348" s="340"/>
      <c r="Y348" s="340"/>
      <c r="Z348" s="267"/>
      <c r="AA348" s="267"/>
      <c r="AB348" s="267"/>
      <c r="AC348" s="267"/>
      <c r="AD348" s="268"/>
      <c r="AE348" s="269"/>
    </row>
    <row r="349" spans="1:31" ht="24" customHeight="1">
      <c r="A349" s="306"/>
      <c r="B349" s="299"/>
      <c r="C349" s="307" t="s">
        <v>197</v>
      </c>
      <c r="D349" s="323">
        <f t="shared" ref="D349:P349" si="111">IF(((D347="")*AND(D348="")),"",(D347-D348))</f>
        <v>5364.62</v>
      </c>
      <c r="E349" s="323">
        <f t="shared" si="111"/>
        <v>5377.1100000000006</v>
      </c>
      <c r="F349" s="323">
        <f t="shared" si="111"/>
        <v>5354.0199999999995</v>
      </c>
      <c r="G349" s="323">
        <f t="shared" si="111"/>
        <v>5388.7199999999993</v>
      </c>
      <c r="H349" s="323">
        <f t="shared" si="111"/>
        <v>5383.96</v>
      </c>
      <c r="I349" s="323">
        <f t="shared" si="111"/>
        <v>5419.84</v>
      </c>
      <c r="J349" s="323">
        <f t="shared" si="111"/>
        <v>5405.08</v>
      </c>
      <c r="K349" s="323">
        <f t="shared" si="111"/>
        <v>5444.18</v>
      </c>
      <c r="L349" s="323">
        <f t="shared" si="111"/>
        <v>5365.72</v>
      </c>
      <c r="M349" s="323">
        <f t="shared" si="111"/>
        <v>5432.76</v>
      </c>
      <c r="N349" s="323">
        <f t="shared" si="111"/>
        <v>5382.57</v>
      </c>
      <c r="O349" s="323">
        <f t="shared" si="111"/>
        <v>5384.4900000000007</v>
      </c>
      <c r="P349" s="323">
        <f t="shared" si="111"/>
        <v>5383.44</v>
      </c>
      <c r="Q349" s="299"/>
      <c r="R349" s="299"/>
      <c r="S349" s="299"/>
      <c r="T349" s="298"/>
      <c r="U349" s="299"/>
      <c r="V349" s="324"/>
      <c r="W349" s="299"/>
      <c r="X349" s="340"/>
      <c r="Y349" s="340"/>
      <c r="Z349" s="267"/>
      <c r="AA349" s="267"/>
      <c r="AB349" s="267"/>
      <c r="AC349" s="267"/>
      <c r="AD349" s="268"/>
      <c r="AE349" s="269"/>
    </row>
    <row r="350" spans="1:31" ht="12.75" customHeight="1">
      <c r="A350" s="351">
        <v>43031</v>
      </c>
      <c r="B350" s="326" t="s">
        <v>202</v>
      </c>
      <c r="C350" s="307" t="s">
        <v>199</v>
      </c>
      <c r="D350" s="278">
        <v>5939.51</v>
      </c>
      <c r="E350" s="278">
        <v>6017.77</v>
      </c>
      <c r="F350" s="278">
        <v>6035.83</v>
      </c>
      <c r="G350" s="278">
        <v>5986.4</v>
      </c>
      <c r="H350" s="278">
        <v>5896.54</v>
      </c>
      <c r="I350" s="278">
        <v>5922.08</v>
      </c>
      <c r="J350" s="278">
        <v>6004.28</v>
      </c>
      <c r="K350" s="278">
        <v>6034.03</v>
      </c>
      <c r="L350" s="278">
        <v>5861.33</v>
      </c>
      <c r="M350" s="290"/>
      <c r="N350" s="290"/>
      <c r="O350" s="290"/>
      <c r="P350" s="290"/>
      <c r="Q350" s="326">
        <f>IF((L351=""),"",MAX(D352:L352))</f>
        <v>7201.5999999999995</v>
      </c>
      <c r="R350" s="326">
        <f>IF(L351="","",MIN(D352:L352))</f>
        <v>6959.24</v>
      </c>
      <c r="S350" s="327">
        <f>IF((L352=""),"",AVERAGE(D352:L352))</f>
        <v>7119.5422222222214</v>
      </c>
      <c r="T350" s="319">
        <f>IF((L351=""),"",(Q350-R350)/(Q350+R350)*100)</f>
        <v>1.7114803924060977</v>
      </c>
      <c r="U350" s="326">
        <f>STDEV(D352:P352)</f>
        <v>76.43046738349409</v>
      </c>
      <c r="V350" s="328" t="str">
        <f>IF(L351="","",IF(T350&lt;9.8,IF(S350&gt;5100,IF(S350&lt;8300,"Pass","Fail"),"Fail"),"Fail"))</f>
        <v>Pass</v>
      </c>
      <c r="W350" s="298">
        <v>1159</v>
      </c>
      <c r="X350" s="357" t="s">
        <v>232</v>
      </c>
      <c r="Y350" s="357"/>
      <c r="Z350" s="267">
        <v>4955</v>
      </c>
      <c r="AA350" s="267">
        <v>9645</v>
      </c>
      <c r="AB350" s="267">
        <v>5100</v>
      </c>
      <c r="AC350" s="267">
        <v>8300</v>
      </c>
      <c r="AD350" s="305">
        <v>10</v>
      </c>
      <c r="AE350" s="305">
        <v>9.8000000000000007</v>
      </c>
    </row>
    <row r="351" spans="1:31" ht="12.75" customHeight="1">
      <c r="A351" s="306"/>
      <c r="B351" s="298"/>
      <c r="C351" s="307" t="s">
        <v>198</v>
      </c>
      <c r="D351" s="278">
        <v>2407.7199999999998</v>
      </c>
      <c r="E351" s="278">
        <v>2442.75</v>
      </c>
      <c r="F351" s="278">
        <v>2445.69</v>
      </c>
      <c r="G351" s="278">
        <v>2455</v>
      </c>
      <c r="H351" s="278">
        <v>2320.52</v>
      </c>
      <c r="I351" s="278">
        <v>2321.2800000000002</v>
      </c>
      <c r="J351" s="278">
        <v>2429.16</v>
      </c>
      <c r="K351" s="278">
        <v>2456</v>
      </c>
      <c r="L351" s="278">
        <v>2381.71</v>
      </c>
      <c r="M351" s="290"/>
      <c r="N351" s="290"/>
      <c r="O351" s="290"/>
      <c r="P351" s="290"/>
      <c r="Q351" s="298"/>
      <c r="R351" s="298"/>
      <c r="S351" s="298"/>
      <c r="T351" s="298"/>
      <c r="U351" s="298"/>
      <c r="V351" s="302"/>
      <c r="W351" s="298"/>
      <c r="X351" s="340"/>
      <c r="Y351" s="340"/>
      <c r="Z351" s="267"/>
      <c r="AA351" s="267"/>
      <c r="AB351" s="267"/>
      <c r="AC351" s="267"/>
      <c r="AD351" s="268"/>
      <c r="AE351" s="269"/>
    </row>
    <row r="352" spans="1:31" ht="24.75" customHeight="1" thickBot="1">
      <c r="A352" s="306"/>
      <c r="B352" s="309"/>
      <c r="C352" s="310" t="s">
        <v>197</v>
      </c>
      <c r="D352" s="311">
        <f t="shared" ref="D352:L352" si="112">IF(((D350="")*AND(D351="")),"",(D350-D351)*2)</f>
        <v>7063.5800000000008</v>
      </c>
      <c r="E352" s="311">
        <f t="shared" si="112"/>
        <v>7150.0400000000009</v>
      </c>
      <c r="F352" s="311">
        <f t="shared" si="112"/>
        <v>7180.28</v>
      </c>
      <c r="G352" s="311">
        <f t="shared" si="112"/>
        <v>7062.7999999999993</v>
      </c>
      <c r="H352" s="311">
        <f t="shared" si="112"/>
        <v>7152.04</v>
      </c>
      <c r="I352" s="311">
        <f t="shared" si="112"/>
        <v>7201.5999999999995</v>
      </c>
      <c r="J352" s="311">
        <f t="shared" si="112"/>
        <v>7150.24</v>
      </c>
      <c r="K352" s="311">
        <f t="shared" si="112"/>
        <v>7156.0599999999995</v>
      </c>
      <c r="L352" s="311">
        <f t="shared" si="112"/>
        <v>6959.24</v>
      </c>
      <c r="M352" s="311"/>
      <c r="N352" s="311"/>
      <c r="O352" s="311"/>
      <c r="P352" s="311" t="str">
        <f>IF(((P350="")*AND(P351="")),"",(P350-P351)*2)</f>
        <v/>
      </c>
      <c r="Q352" s="309"/>
      <c r="R352" s="309"/>
      <c r="S352" s="309"/>
      <c r="T352" s="309"/>
      <c r="U352" s="309"/>
      <c r="V352" s="312"/>
      <c r="W352" s="309"/>
      <c r="X352" s="341"/>
      <c r="Y352" s="341"/>
      <c r="Z352" s="267"/>
      <c r="AA352" s="267"/>
      <c r="AB352" s="267"/>
      <c r="AC352" s="267"/>
      <c r="AD352" s="268"/>
      <c r="AE352" s="269"/>
    </row>
    <row r="353" spans="1:31" ht="12.75" customHeight="1">
      <c r="A353" s="351">
        <v>43038</v>
      </c>
      <c r="B353" s="315" t="s">
        <v>200</v>
      </c>
      <c r="C353" s="316" t="s">
        <v>199</v>
      </c>
      <c r="D353" s="278">
        <v>6906.9</v>
      </c>
      <c r="E353" s="278">
        <v>7018.61</v>
      </c>
      <c r="F353" s="278">
        <v>6820.52</v>
      </c>
      <c r="G353" s="278">
        <v>6886.29</v>
      </c>
      <c r="H353" s="278">
        <v>6926.47</v>
      </c>
      <c r="I353" s="278">
        <v>6940.61</v>
      </c>
      <c r="J353" s="278">
        <v>6913.47</v>
      </c>
      <c r="K353" s="278">
        <v>6823.77</v>
      </c>
      <c r="L353" s="278">
        <v>6840.7</v>
      </c>
      <c r="M353" s="278">
        <v>6910.33</v>
      </c>
      <c r="N353" s="278">
        <v>7008.47</v>
      </c>
      <c r="O353" s="278">
        <v>6882.76</v>
      </c>
      <c r="P353" s="278">
        <v>6929.99</v>
      </c>
      <c r="Q353" s="326">
        <f>IF((L354=""),"",MAX(D355:P355))</f>
        <v>5484.03</v>
      </c>
      <c r="R353" s="315">
        <f>IF(L354="","",MIN(D355:L355))</f>
        <v>5388.6500000000005</v>
      </c>
      <c r="S353" s="318">
        <f>IF((P355=""),"",AVERAGE(D355:P355))</f>
        <v>5428.1476923076925</v>
      </c>
      <c r="T353" s="318">
        <f>IF((L354=""),"",(Q353-R353)/(Q353+R353)*100)</f>
        <v>0.87724461678260734</v>
      </c>
      <c r="U353" s="315">
        <f>STDEV(D355:P355)</f>
        <v>26.879698086738184</v>
      </c>
      <c r="V353" s="320" t="str">
        <f>IF(P354="","",IF(T353&lt;2.7,IF(S353&gt;5150,IF(S353&lt;5600,"Pass","Fail"),"Fail"),"Fail"))</f>
        <v>Pass</v>
      </c>
      <c r="W353" s="315">
        <v>1428</v>
      </c>
      <c r="X353" s="339"/>
      <c r="Y353" s="357"/>
      <c r="Z353" s="321">
        <v>4470</v>
      </c>
      <c r="AA353" s="321">
        <v>6020</v>
      </c>
      <c r="AB353" s="321">
        <v>5150</v>
      </c>
      <c r="AC353" s="321">
        <v>5600</v>
      </c>
      <c r="AD353" s="305">
        <v>10</v>
      </c>
      <c r="AE353" s="322">
        <v>2.7</v>
      </c>
    </row>
    <row r="354" spans="1:31" ht="12.75" customHeight="1">
      <c r="A354" s="306"/>
      <c r="B354" s="298"/>
      <c r="C354" s="307" t="s">
        <v>198</v>
      </c>
      <c r="D354" s="278">
        <v>1504.98</v>
      </c>
      <c r="E354" s="278">
        <v>1607.08</v>
      </c>
      <c r="F354" s="278">
        <v>1431.87</v>
      </c>
      <c r="G354" s="278">
        <v>1463.05</v>
      </c>
      <c r="H354" s="278">
        <v>1499.05</v>
      </c>
      <c r="I354" s="278">
        <v>1484.75</v>
      </c>
      <c r="J354" s="278">
        <v>1454.69</v>
      </c>
      <c r="K354" s="278">
        <v>1376.61</v>
      </c>
      <c r="L354" s="278">
        <v>1439.14</v>
      </c>
      <c r="M354" s="278">
        <v>1426.3</v>
      </c>
      <c r="N354" s="278">
        <v>1589.5</v>
      </c>
      <c r="O354" s="278">
        <v>1466.24</v>
      </c>
      <c r="P354" s="278">
        <v>1499.71</v>
      </c>
      <c r="Q354" s="298"/>
      <c r="R354" s="298"/>
      <c r="S354" s="298"/>
      <c r="T354" s="298"/>
      <c r="U354" s="298"/>
      <c r="V354" s="302"/>
      <c r="W354" s="298"/>
      <c r="X354" s="339"/>
      <c r="Y354" s="340"/>
      <c r="Z354" s="267"/>
      <c r="AA354" s="267"/>
      <c r="AB354" s="267"/>
      <c r="AC354" s="267"/>
      <c r="AD354" s="268"/>
      <c r="AE354" s="269"/>
    </row>
    <row r="355" spans="1:31" ht="24" customHeight="1">
      <c r="A355" s="306"/>
      <c r="B355" s="299"/>
      <c r="C355" s="307" t="s">
        <v>197</v>
      </c>
      <c r="D355" s="323">
        <f t="shared" ref="D355:P355" si="113">IF(((D353="")*AND(D354="")),"",(D353-D354))</f>
        <v>5401.92</v>
      </c>
      <c r="E355" s="323">
        <f t="shared" si="113"/>
        <v>5411.53</v>
      </c>
      <c r="F355" s="323">
        <f t="shared" si="113"/>
        <v>5388.6500000000005</v>
      </c>
      <c r="G355" s="323">
        <f t="shared" si="113"/>
        <v>5423.24</v>
      </c>
      <c r="H355" s="323">
        <f t="shared" si="113"/>
        <v>5427.42</v>
      </c>
      <c r="I355" s="323">
        <f t="shared" si="113"/>
        <v>5455.86</v>
      </c>
      <c r="J355" s="323">
        <f t="shared" si="113"/>
        <v>5458.7800000000007</v>
      </c>
      <c r="K355" s="323">
        <f t="shared" si="113"/>
        <v>5447.1600000000008</v>
      </c>
      <c r="L355" s="323">
        <f t="shared" si="113"/>
        <v>5401.5599999999995</v>
      </c>
      <c r="M355" s="323">
        <f t="shared" si="113"/>
        <v>5484.03</v>
      </c>
      <c r="N355" s="323">
        <f t="shared" si="113"/>
        <v>5418.97</v>
      </c>
      <c r="O355" s="323">
        <f t="shared" si="113"/>
        <v>5416.52</v>
      </c>
      <c r="P355" s="323">
        <f t="shared" si="113"/>
        <v>5430.28</v>
      </c>
      <c r="Q355" s="299"/>
      <c r="R355" s="299"/>
      <c r="S355" s="299"/>
      <c r="T355" s="298"/>
      <c r="U355" s="299"/>
      <c r="V355" s="324"/>
      <c r="W355" s="299"/>
      <c r="X355" s="339"/>
      <c r="Y355" s="340"/>
      <c r="Z355" s="267"/>
      <c r="AA355" s="267"/>
      <c r="AB355" s="267"/>
      <c r="AC355" s="267"/>
      <c r="AD355" s="268"/>
      <c r="AE355" s="269"/>
    </row>
    <row r="356" spans="1:31" ht="12.75" customHeight="1">
      <c r="A356" s="351">
        <v>43038</v>
      </c>
      <c r="B356" s="326" t="s">
        <v>202</v>
      </c>
      <c r="C356" s="307" t="s">
        <v>199</v>
      </c>
      <c r="D356" s="278">
        <v>5926.79</v>
      </c>
      <c r="E356" s="278">
        <v>6009.28</v>
      </c>
      <c r="F356" s="278">
        <v>6024.92</v>
      </c>
      <c r="G356" s="278">
        <v>5977.32</v>
      </c>
      <c r="H356" s="278">
        <v>5885.72</v>
      </c>
      <c r="I356" s="278">
        <v>5933.46</v>
      </c>
      <c r="J356" s="278">
        <v>5999.49</v>
      </c>
      <c r="K356" s="278">
        <v>6021.65</v>
      </c>
      <c r="L356" s="278">
        <v>5861.02</v>
      </c>
      <c r="M356" s="290"/>
      <c r="N356" s="290"/>
      <c r="O356" s="290"/>
      <c r="P356" s="290"/>
      <c r="Q356" s="326">
        <f>IF((L357=""),"",MAX(D358:L358))</f>
        <v>7223.3</v>
      </c>
      <c r="R356" s="326">
        <f>IF(L357="","",MIN(D358:L358))</f>
        <v>7112.34</v>
      </c>
      <c r="S356" s="327">
        <f>IF((L358=""),"",AVERAGE(D358:L358))</f>
        <v>7176.4066666666658</v>
      </c>
      <c r="T356" s="319">
        <f>IF((L357=""),"",(Q356-R356)/(Q356+R356)*100)</f>
        <v>0.77401497247419748</v>
      </c>
      <c r="U356" s="326">
        <f>STDEV(D358:P358)</f>
        <v>32.942480173816072</v>
      </c>
      <c r="V356" s="328" t="str">
        <f>IF(L357="","",IF(T356&lt;9.8,IF(S356&gt;5100,IF(S356&lt;8300,"Pass","Fail"),"Fail"),"Fail"))</f>
        <v>Pass</v>
      </c>
      <c r="W356" s="298">
        <v>1428</v>
      </c>
      <c r="X356" s="339"/>
      <c r="Y356" s="340"/>
      <c r="Z356" s="267">
        <v>4955</v>
      </c>
      <c r="AA356" s="267">
        <v>9645</v>
      </c>
      <c r="AB356" s="267">
        <v>5100</v>
      </c>
      <c r="AC356" s="267">
        <v>8300</v>
      </c>
      <c r="AD356" s="305">
        <v>10</v>
      </c>
      <c r="AE356" s="305">
        <v>9.8000000000000007</v>
      </c>
    </row>
    <row r="357" spans="1:31" ht="12.75" customHeight="1">
      <c r="A357" s="306"/>
      <c r="B357" s="298"/>
      <c r="C357" s="307" t="s">
        <v>198</v>
      </c>
      <c r="D357" s="278">
        <v>2370.62</v>
      </c>
      <c r="E357" s="278">
        <v>2416.66</v>
      </c>
      <c r="F357" s="278">
        <v>2413.27</v>
      </c>
      <c r="G357" s="278">
        <v>2378.08</v>
      </c>
      <c r="H357" s="278">
        <v>2298.92</v>
      </c>
      <c r="I357" s="278">
        <v>2353.1999999999998</v>
      </c>
      <c r="J357" s="278">
        <v>2402.14</v>
      </c>
      <c r="K357" s="278">
        <v>2424.9</v>
      </c>
      <c r="L357" s="278">
        <v>2288.0300000000002</v>
      </c>
      <c r="M357" s="290"/>
      <c r="N357" s="290"/>
      <c r="O357" s="290"/>
      <c r="P357" s="290"/>
      <c r="Q357" s="298"/>
      <c r="R357" s="298"/>
      <c r="S357" s="298"/>
      <c r="T357" s="298"/>
      <c r="U357" s="298"/>
      <c r="V357" s="302"/>
      <c r="W357" s="298"/>
      <c r="X357" s="339"/>
      <c r="Y357" s="340"/>
      <c r="Z357" s="267"/>
      <c r="AA357" s="267"/>
      <c r="AB357" s="267"/>
      <c r="AC357" s="267"/>
      <c r="AD357" s="268"/>
      <c r="AE357" s="269"/>
    </row>
    <row r="358" spans="1:31" ht="24.75" customHeight="1" thickBot="1">
      <c r="A358" s="306"/>
      <c r="B358" s="309"/>
      <c r="C358" s="310" t="s">
        <v>197</v>
      </c>
      <c r="D358" s="311">
        <f t="shared" ref="D358:L358" si="114">IF(((D356="")*AND(D357="")),"",(D356-D357)*2)</f>
        <v>7112.34</v>
      </c>
      <c r="E358" s="311">
        <f t="shared" si="114"/>
        <v>7185.24</v>
      </c>
      <c r="F358" s="311">
        <f t="shared" si="114"/>
        <v>7223.3</v>
      </c>
      <c r="G358" s="311">
        <f t="shared" si="114"/>
        <v>7198.48</v>
      </c>
      <c r="H358" s="311">
        <f t="shared" si="114"/>
        <v>7173.6</v>
      </c>
      <c r="I358" s="311">
        <f t="shared" si="114"/>
        <v>7160.52</v>
      </c>
      <c r="J358" s="311">
        <f t="shared" si="114"/>
        <v>7194.7</v>
      </c>
      <c r="K358" s="311">
        <f t="shared" si="114"/>
        <v>7193.4999999999991</v>
      </c>
      <c r="L358" s="311">
        <f t="shared" si="114"/>
        <v>7145.9800000000005</v>
      </c>
      <c r="M358" s="311"/>
      <c r="N358" s="311"/>
      <c r="O358" s="311"/>
      <c r="P358" s="311" t="str">
        <f>IF(((P356="")*AND(P357="")),"",(P356-P357)*2)</f>
        <v/>
      </c>
      <c r="Q358" s="309"/>
      <c r="R358" s="309"/>
      <c r="S358" s="309"/>
      <c r="T358" s="309"/>
      <c r="U358" s="309"/>
      <c r="V358" s="312"/>
      <c r="W358" s="309"/>
      <c r="X358" s="339"/>
      <c r="Y358" s="341"/>
      <c r="Z358" s="267"/>
      <c r="AA358" s="267"/>
      <c r="AB358" s="267"/>
      <c r="AC358" s="267"/>
      <c r="AD358" s="268"/>
      <c r="AE358" s="269"/>
    </row>
    <row r="359" spans="1:31" ht="12.75" customHeight="1">
      <c r="A359" s="351">
        <v>43041</v>
      </c>
      <c r="B359" s="315" t="s">
        <v>200</v>
      </c>
      <c r="C359" s="316" t="s">
        <v>199</v>
      </c>
      <c r="D359" s="278">
        <v>6888.23</v>
      </c>
      <c r="E359" s="278">
        <v>7003.62</v>
      </c>
      <c r="F359" s="278">
        <v>6799.36</v>
      </c>
      <c r="G359" s="278">
        <v>6859.62</v>
      </c>
      <c r="H359" s="278">
        <v>6916.09</v>
      </c>
      <c r="I359" s="278">
        <v>6924.09</v>
      </c>
      <c r="J359" s="278">
        <v>6887.54</v>
      </c>
      <c r="K359" s="278">
        <v>6797.81</v>
      </c>
      <c r="L359" s="278">
        <v>6819.93</v>
      </c>
      <c r="M359" s="278">
        <v>6887.33</v>
      </c>
      <c r="N359" s="278">
        <v>6993.72</v>
      </c>
      <c r="O359" s="278">
        <v>6864.51</v>
      </c>
      <c r="P359" s="278">
        <v>6917.81</v>
      </c>
      <c r="Q359" s="326">
        <f>IF((L360=""),"",MAX(D361:P361))</f>
        <v>5533.88</v>
      </c>
      <c r="R359" s="315">
        <f>IF(L360="","",MIN(D361:L361))</f>
        <v>5396.24</v>
      </c>
      <c r="S359" s="318">
        <f>IF((P361=""),"",AVERAGE(D361:P361))</f>
        <v>5449.0076923076931</v>
      </c>
      <c r="T359" s="318">
        <f>IF((L360=""),"",(Q359-R359)/(Q359+R359)*100)</f>
        <v>1.2592725422959705</v>
      </c>
      <c r="U359" s="315">
        <f>STDEV(D361:P361)</f>
        <v>43.734048359250664</v>
      </c>
      <c r="V359" s="320" t="str">
        <f>IF(P360="","",IF(T359&lt;2.7,IF(S359&gt;5150,IF(S359&lt;5600,"Pass","Fail"),"Fail"),"Fail"))</f>
        <v>Pass</v>
      </c>
      <c r="W359" s="315">
        <v>1335</v>
      </c>
      <c r="X359" s="339"/>
      <c r="Y359" s="357"/>
      <c r="Z359" s="321">
        <v>4470</v>
      </c>
      <c r="AA359" s="321">
        <v>6020</v>
      </c>
      <c r="AB359" s="321">
        <v>5150</v>
      </c>
      <c r="AC359" s="321">
        <v>5600</v>
      </c>
      <c r="AD359" s="305">
        <v>10</v>
      </c>
      <c r="AE359" s="322">
        <v>2.7</v>
      </c>
    </row>
    <row r="360" spans="1:31" ht="12.75" customHeight="1">
      <c r="A360" s="306"/>
      <c r="B360" s="298"/>
      <c r="C360" s="307" t="s">
        <v>198</v>
      </c>
      <c r="D360" s="278">
        <v>1489.42</v>
      </c>
      <c r="E360" s="278">
        <v>1607.38</v>
      </c>
      <c r="F360" s="278">
        <v>1380.65</v>
      </c>
      <c r="G360" s="278">
        <v>1394.62</v>
      </c>
      <c r="H360" s="278">
        <v>1513.71</v>
      </c>
      <c r="I360" s="278">
        <v>1458.19</v>
      </c>
      <c r="J360" s="278">
        <v>1405.24</v>
      </c>
      <c r="K360" s="278">
        <v>1263.93</v>
      </c>
      <c r="L360" s="278">
        <v>1381.94</v>
      </c>
      <c r="M360" s="278">
        <v>1370.8</v>
      </c>
      <c r="N360" s="278">
        <v>1573.55</v>
      </c>
      <c r="O360" s="278">
        <v>1405.17</v>
      </c>
      <c r="P360" s="278">
        <v>1477.96</v>
      </c>
      <c r="Q360" s="298"/>
      <c r="R360" s="298"/>
      <c r="S360" s="298"/>
      <c r="T360" s="298"/>
      <c r="U360" s="298"/>
      <c r="V360" s="302"/>
      <c r="W360" s="298"/>
      <c r="X360" s="339"/>
      <c r="Y360" s="340"/>
      <c r="Z360" s="267"/>
      <c r="AA360" s="267"/>
      <c r="AB360" s="267"/>
      <c r="AC360" s="267"/>
      <c r="AD360" s="268"/>
      <c r="AE360" s="269"/>
    </row>
    <row r="361" spans="1:31" ht="24" customHeight="1">
      <c r="A361" s="306"/>
      <c r="B361" s="299"/>
      <c r="C361" s="307" t="s">
        <v>197</v>
      </c>
      <c r="D361" s="323">
        <f t="shared" ref="D361:P361" si="115">IF(((D359="")*AND(D360="")),"",(D359-D360))</f>
        <v>5398.8099999999995</v>
      </c>
      <c r="E361" s="323">
        <f t="shared" si="115"/>
        <v>5396.24</v>
      </c>
      <c r="F361" s="323">
        <f t="shared" si="115"/>
        <v>5418.7099999999991</v>
      </c>
      <c r="G361" s="323">
        <f t="shared" si="115"/>
        <v>5465</v>
      </c>
      <c r="H361" s="323">
        <f t="shared" si="115"/>
        <v>5402.38</v>
      </c>
      <c r="I361" s="323">
        <f t="shared" si="115"/>
        <v>5465.9</v>
      </c>
      <c r="J361" s="323">
        <f t="shared" si="115"/>
        <v>5482.3</v>
      </c>
      <c r="K361" s="323">
        <f t="shared" si="115"/>
        <v>5533.88</v>
      </c>
      <c r="L361" s="323">
        <f t="shared" si="115"/>
        <v>5437.99</v>
      </c>
      <c r="M361" s="323">
        <f t="shared" si="115"/>
        <v>5516.53</v>
      </c>
      <c r="N361" s="323">
        <f t="shared" si="115"/>
        <v>5420.17</v>
      </c>
      <c r="O361" s="323">
        <f t="shared" si="115"/>
        <v>5459.34</v>
      </c>
      <c r="P361" s="323">
        <f t="shared" si="115"/>
        <v>5439.85</v>
      </c>
      <c r="Q361" s="299"/>
      <c r="R361" s="299"/>
      <c r="S361" s="299"/>
      <c r="T361" s="298"/>
      <c r="U361" s="299"/>
      <c r="V361" s="324"/>
      <c r="W361" s="299"/>
      <c r="X361" s="339"/>
      <c r="Y361" s="340"/>
      <c r="Z361" s="267"/>
      <c r="AA361" s="267"/>
      <c r="AB361" s="267"/>
      <c r="AC361" s="267"/>
      <c r="AD361" s="268"/>
      <c r="AE361" s="269"/>
    </row>
    <row r="362" spans="1:31" ht="12.75" customHeight="1">
      <c r="A362" s="351">
        <v>43041</v>
      </c>
      <c r="B362" s="326" t="s">
        <v>202</v>
      </c>
      <c r="C362" s="307" t="s">
        <v>199</v>
      </c>
      <c r="D362" s="278">
        <v>5933.73</v>
      </c>
      <c r="E362" s="278">
        <v>6012.46</v>
      </c>
      <c r="F362" s="278">
        <v>6030</v>
      </c>
      <c r="G362" s="278">
        <v>5978.04</v>
      </c>
      <c r="H362" s="278">
        <v>5896.71</v>
      </c>
      <c r="I362" s="278">
        <v>5921.95</v>
      </c>
      <c r="J362" s="278">
        <v>5993.3</v>
      </c>
      <c r="K362" s="278">
        <v>6027.48</v>
      </c>
      <c r="L362" s="278">
        <v>5862.21</v>
      </c>
      <c r="M362" s="290"/>
      <c r="N362" s="290"/>
      <c r="O362" s="290"/>
      <c r="P362" s="290"/>
      <c r="Q362" s="326">
        <f>IF((L363=""),"",MAX(D364:L364))</f>
        <v>7742.7</v>
      </c>
      <c r="R362" s="326">
        <f>IF(L363="","",MIN(D364:L364))</f>
        <v>7300.66</v>
      </c>
      <c r="S362" s="327">
        <f>IF((L364=""),"",AVERAGE(D364:L364))</f>
        <v>7544.9444444444425</v>
      </c>
      <c r="T362" s="319">
        <f>IF((L363=""),"",(Q362-R362)/(Q362+R362)*100)</f>
        <v>2.9384392848406207</v>
      </c>
      <c r="U362" s="326">
        <f>STDEV(D364:P364)</f>
        <v>126.38280372663223</v>
      </c>
      <c r="V362" s="328" t="str">
        <f>IF(L363="","",IF(T362&lt;9.8,IF(S362&gt;5100,IF(S362&lt;8300,"Pass","Fail"),"Fail"),"Fail"))</f>
        <v>Pass</v>
      </c>
      <c r="W362" s="298">
        <v>1335</v>
      </c>
      <c r="X362" s="339"/>
      <c r="Y362" s="340"/>
      <c r="Z362" s="267">
        <v>4955</v>
      </c>
      <c r="AA362" s="267">
        <v>9645</v>
      </c>
      <c r="AB362" s="267">
        <v>5100</v>
      </c>
      <c r="AC362" s="267">
        <v>8300</v>
      </c>
      <c r="AD362" s="305">
        <v>10</v>
      </c>
      <c r="AE362" s="305">
        <v>9.8000000000000007</v>
      </c>
    </row>
    <row r="363" spans="1:31" ht="12.75" customHeight="1">
      <c r="A363" s="306"/>
      <c r="B363" s="298"/>
      <c r="C363" s="307" t="s">
        <v>198</v>
      </c>
      <c r="D363" s="278">
        <v>2220.63</v>
      </c>
      <c r="E363" s="278">
        <v>2246.1</v>
      </c>
      <c r="F363" s="278">
        <v>2237.29</v>
      </c>
      <c r="G363" s="278">
        <v>2192.33</v>
      </c>
      <c r="H363" s="278">
        <v>2069.02</v>
      </c>
      <c r="I363" s="278">
        <v>2050.6</v>
      </c>
      <c r="J363" s="278">
        <v>2215.63</v>
      </c>
      <c r="K363" s="278">
        <v>2260.15</v>
      </c>
      <c r="L363" s="278">
        <v>2211.88</v>
      </c>
      <c r="M363" s="290"/>
      <c r="N363" s="290"/>
      <c r="O363" s="290"/>
      <c r="P363" s="290"/>
      <c r="Q363" s="298"/>
      <c r="R363" s="298"/>
      <c r="S363" s="298"/>
      <c r="T363" s="298"/>
      <c r="U363" s="298"/>
      <c r="V363" s="302"/>
      <c r="W363" s="298"/>
      <c r="X363" s="339"/>
      <c r="Y363" s="340"/>
      <c r="Z363" s="267"/>
      <c r="AA363" s="267"/>
      <c r="AB363" s="267"/>
      <c r="AC363" s="267"/>
      <c r="AD363" s="268"/>
      <c r="AE363" s="269"/>
    </row>
    <row r="364" spans="1:31" ht="24.75" customHeight="1" thickBot="1">
      <c r="A364" s="306"/>
      <c r="B364" s="309"/>
      <c r="C364" s="310" t="s">
        <v>197</v>
      </c>
      <c r="D364" s="311">
        <f t="shared" ref="D364:L364" si="116">IF(((D362="")*AND(D363="")),"",(D362-D363)*2)</f>
        <v>7426.1999999999989</v>
      </c>
      <c r="E364" s="311">
        <f t="shared" si="116"/>
        <v>7532.72</v>
      </c>
      <c r="F364" s="311">
        <f t="shared" si="116"/>
        <v>7585.42</v>
      </c>
      <c r="G364" s="311">
        <f t="shared" si="116"/>
        <v>7571.42</v>
      </c>
      <c r="H364" s="311">
        <f t="shared" si="116"/>
        <v>7655.38</v>
      </c>
      <c r="I364" s="311">
        <f t="shared" si="116"/>
        <v>7742.7</v>
      </c>
      <c r="J364" s="311">
        <f t="shared" si="116"/>
        <v>7555.34</v>
      </c>
      <c r="K364" s="311">
        <f t="shared" si="116"/>
        <v>7534.6599999999989</v>
      </c>
      <c r="L364" s="311">
        <f t="shared" si="116"/>
        <v>7300.66</v>
      </c>
      <c r="M364" s="311"/>
      <c r="N364" s="311"/>
      <c r="O364" s="311"/>
      <c r="P364" s="311" t="str">
        <f>IF(((P362="")*AND(P363="")),"",(P362-P363)*2)</f>
        <v/>
      </c>
      <c r="Q364" s="309"/>
      <c r="R364" s="309"/>
      <c r="S364" s="309"/>
      <c r="T364" s="309"/>
      <c r="U364" s="309"/>
      <c r="V364" s="312"/>
      <c r="W364" s="309"/>
      <c r="X364" s="339"/>
      <c r="Y364" s="341"/>
      <c r="Z364" s="267"/>
      <c r="AA364" s="267"/>
      <c r="AB364" s="267"/>
      <c r="AC364" s="267"/>
      <c r="AD364" s="268"/>
      <c r="AE364" s="269"/>
    </row>
    <row r="365" spans="1:31" ht="12.75" customHeight="1">
      <c r="A365" s="351">
        <v>43045</v>
      </c>
      <c r="B365" s="315" t="s">
        <v>200</v>
      </c>
      <c r="C365" s="316" t="s">
        <v>199</v>
      </c>
      <c r="D365" s="278">
        <v>7011.84</v>
      </c>
      <c r="E365" s="278">
        <v>7115.4</v>
      </c>
      <c r="F365" s="278">
        <v>6931.72</v>
      </c>
      <c r="G365" s="278">
        <v>7006.17</v>
      </c>
      <c r="H365" s="278">
        <v>7015.29</v>
      </c>
      <c r="I365" s="278">
        <v>7041.09</v>
      </c>
      <c r="J365" s="278">
        <v>7034.17</v>
      </c>
      <c r="K365" s="278">
        <v>6943.99</v>
      </c>
      <c r="L365" s="278">
        <v>6952.35</v>
      </c>
      <c r="M365" s="278">
        <v>7027.58</v>
      </c>
      <c r="N365" s="278">
        <v>7095.38</v>
      </c>
      <c r="O365" s="278">
        <v>6991.14</v>
      </c>
      <c r="P365" s="278">
        <v>7022.03</v>
      </c>
      <c r="Q365" s="326">
        <f>IF((L366=""),"",MAX(D367:P367))</f>
        <v>5441.26</v>
      </c>
      <c r="R365" s="315">
        <f>IF(L366="","",MIN(D367:L367))</f>
        <v>5328.88</v>
      </c>
      <c r="S365" s="318">
        <f>IF((P367=""),"",AVERAGE(D367:P367))</f>
        <v>5392.0230769230775</v>
      </c>
      <c r="T365" s="318">
        <f>IF((L366=""),"",(Q365-R365)/(Q365+R365)*100)</f>
        <v>1.0434404752398774</v>
      </c>
      <c r="U365" s="315">
        <f>STDEV(D367:P367)</f>
        <v>37.388465998817317</v>
      </c>
      <c r="V365" s="320" t="str">
        <f>IF(P366="","",IF(T365&lt;2.7,IF(S365&gt;5150,IF(S365&lt;5600,"Pass","Fail"),"Fail"),"Fail"))</f>
        <v>Pass</v>
      </c>
      <c r="W365" s="315">
        <v>1159</v>
      </c>
      <c r="X365" s="339"/>
      <c r="Y365" s="357"/>
      <c r="Z365" s="321">
        <v>4470</v>
      </c>
      <c r="AA365" s="321">
        <v>6020</v>
      </c>
      <c r="AB365" s="321">
        <v>5150</v>
      </c>
      <c r="AC365" s="321">
        <v>5600</v>
      </c>
      <c r="AD365" s="305">
        <v>10</v>
      </c>
      <c r="AE365" s="322">
        <v>2.7</v>
      </c>
    </row>
    <row r="366" spans="1:31" ht="12.75" customHeight="1">
      <c r="A366" s="306"/>
      <c r="B366" s="298"/>
      <c r="C366" s="307" t="s">
        <v>198</v>
      </c>
      <c r="D366" s="278">
        <v>1659.08</v>
      </c>
      <c r="E366" s="278">
        <v>1718.9</v>
      </c>
      <c r="F366" s="278">
        <v>1602.84</v>
      </c>
      <c r="G366" s="278">
        <v>1637.01</v>
      </c>
      <c r="H366" s="278">
        <v>1590.36</v>
      </c>
      <c r="I366" s="278">
        <v>1599.83</v>
      </c>
      <c r="J366" s="278">
        <v>1645.03</v>
      </c>
      <c r="K366" s="278">
        <v>1526.45</v>
      </c>
      <c r="L366" s="278">
        <v>1614.57</v>
      </c>
      <c r="M366" s="278">
        <v>1592.49</v>
      </c>
      <c r="N366" s="278">
        <v>1667.97</v>
      </c>
      <c r="O366" s="278">
        <v>1618.28</v>
      </c>
      <c r="P366" s="278">
        <v>1619.04</v>
      </c>
      <c r="Q366" s="298"/>
      <c r="R366" s="298"/>
      <c r="S366" s="298"/>
      <c r="T366" s="298"/>
      <c r="U366" s="298"/>
      <c r="V366" s="302"/>
      <c r="W366" s="298"/>
      <c r="X366" s="339"/>
      <c r="Y366" s="340"/>
      <c r="Z366" s="267"/>
      <c r="AA366" s="267"/>
      <c r="AB366" s="267"/>
      <c r="AC366" s="267"/>
      <c r="AD366" s="268"/>
      <c r="AE366" s="269"/>
    </row>
    <row r="367" spans="1:31" ht="24" customHeight="1">
      <c r="A367" s="306"/>
      <c r="B367" s="299"/>
      <c r="C367" s="307" t="s">
        <v>197</v>
      </c>
      <c r="D367" s="323">
        <f t="shared" ref="D367:P367" si="117">IF(((D365="")*AND(D366="")),"",(D365-D366))</f>
        <v>5352.76</v>
      </c>
      <c r="E367" s="323">
        <f t="shared" si="117"/>
        <v>5396.5</v>
      </c>
      <c r="F367" s="323">
        <f t="shared" si="117"/>
        <v>5328.88</v>
      </c>
      <c r="G367" s="323">
        <f t="shared" si="117"/>
        <v>5369.16</v>
      </c>
      <c r="H367" s="323">
        <f t="shared" si="117"/>
        <v>5424.93</v>
      </c>
      <c r="I367" s="323">
        <f t="shared" si="117"/>
        <v>5441.26</v>
      </c>
      <c r="J367" s="323">
        <f t="shared" si="117"/>
        <v>5389.14</v>
      </c>
      <c r="K367" s="323">
        <f t="shared" si="117"/>
        <v>5417.54</v>
      </c>
      <c r="L367" s="323">
        <f t="shared" si="117"/>
        <v>5337.7800000000007</v>
      </c>
      <c r="M367" s="323">
        <f t="shared" si="117"/>
        <v>5435.09</v>
      </c>
      <c r="N367" s="323">
        <f t="shared" si="117"/>
        <v>5427.41</v>
      </c>
      <c r="O367" s="323">
        <f t="shared" si="117"/>
        <v>5372.8600000000006</v>
      </c>
      <c r="P367" s="323">
        <f t="shared" si="117"/>
        <v>5402.99</v>
      </c>
      <c r="Q367" s="299"/>
      <c r="R367" s="299"/>
      <c r="S367" s="299"/>
      <c r="T367" s="298"/>
      <c r="U367" s="299"/>
      <c r="V367" s="324"/>
      <c r="W367" s="299"/>
      <c r="X367" s="339"/>
      <c r="Y367" s="340"/>
      <c r="Z367" s="267"/>
      <c r="AA367" s="267"/>
      <c r="AB367" s="267"/>
      <c r="AC367" s="267"/>
      <c r="AD367" s="268"/>
      <c r="AE367" s="269"/>
    </row>
    <row r="368" spans="1:31" ht="12.75" customHeight="1">
      <c r="A368" s="351">
        <v>43045</v>
      </c>
      <c r="B368" s="326" t="s">
        <v>202</v>
      </c>
      <c r="C368" s="307" t="s">
        <v>199</v>
      </c>
      <c r="D368" s="278">
        <v>5929.34</v>
      </c>
      <c r="E368" s="278">
        <v>6007.72</v>
      </c>
      <c r="F368" s="278">
        <v>6023.11</v>
      </c>
      <c r="G368" s="278">
        <v>5975.94</v>
      </c>
      <c r="H368" s="278">
        <v>5906.66</v>
      </c>
      <c r="I368" s="278">
        <v>5958.65</v>
      </c>
      <c r="J368" s="278">
        <v>5986.75</v>
      </c>
      <c r="K368" s="278">
        <v>6028.4</v>
      </c>
      <c r="L368" s="278">
        <v>5857.52</v>
      </c>
      <c r="M368" s="290"/>
      <c r="N368" s="290"/>
      <c r="O368" s="290"/>
      <c r="P368" s="290"/>
      <c r="Q368" s="326">
        <f>IF((L369=""),"",MAX(D370:L370))</f>
        <v>7610.579999999999</v>
      </c>
      <c r="R368" s="326">
        <f>IF(L369="","",MIN(D370:L370))</f>
        <v>7066.920000000001</v>
      </c>
      <c r="S368" s="327">
        <f>IF((L370=""),"",AVERAGE(D370:L370))</f>
        <v>7297.7777777777774</v>
      </c>
      <c r="T368" s="319">
        <f>IF((L369=""),"",(Q368-R368)/(Q368+R368)*100)</f>
        <v>3.7040367910066299</v>
      </c>
      <c r="U368" s="326">
        <f>STDEV(D370:P370)</f>
        <v>149.07642886938444</v>
      </c>
      <c r="V368" s="328" t="str">
        <f>IF(L369="","",IF(T368&lt;9.8,IF(S368&gt;5100,IF(S368&lt;8300,"Pass","Fail"),"Fail"),"Fail"))</f>
        <v>Pass</v>
      </c>
      <c r="W368" s="298">
        <v>1159</v>
      </c>
      <c r="X368" s="339"/>
      <c r="Y368" s="340"/>
      <c r="Z368" s="267">
        <v>4955</v>
      </c>
      <c r="AA368" s="267">
        <v>9645</v>
      </c>
      <c r="AB368" s="267">
        <v>5100</v>
      </c>
      <c r="AC368" s="267">
        <v>8300</v>
      </c>
      <c r="AD368" s="305">
        <v>10</v>
      </c>
      <c r="AE368" s="305">
        <v>9.8000000000000007</v>
      </c>
    </row>
    <row r="369" spans="1:31" ht="12.75" customHeight="1">
      <c r="A369" s="306"/>
      <c r="B369" s="298"/>
      <c r="C369" s="307" t="s">
        <v>198</v>
      </c>
      <c r="D369" s="278">
        <v>2329.21</v>
      </c>
      <c r="E369" s="278">
        <v>2369.77</v>
      </c>
      <c r="F369" s="278">
        <v>2374.59</v>
      </c>
      <c r="G369" s="278">
        <v>2338.2399999999998</v>
      </c>
      <c r="H369" s="278">
        <v>2197.84</v>
      </c>
      <c r="I369" s="278">
        <v>2153.36</v>
      </c>
      <c r="J369" s="278">
        <v>2350.59</v>
      </c>
      <c r="K369" s="278">
        <v>2396.4299999999998</v>
      </c>
      <c r="L369" s="278">
        <v>2324.06</v>
      </c>
      <c r="M369" s="290"/>
      <c r="N369" s="290"/>
      <c r="O369" s="290"/>
      <c r="P369" s="290"/>
      <c r="Q369" s="298"/>
      <c r="R369" s="298"/>
      <c r="S369" s="298"/>
      <c r="T369" s="298"/>
      <c r="U369" s="298"/>
      <c r="V369" s="302"/>
      <c r="W369" s="298"/>
      <c r="X369" s="339"/>
      <c r="Y369" s="340"/>
      <c r="Z369" s="267"/>
      <c r="AA369" s="267"/>
      <c r="AB369" s="267"/>
      <c r="AC369" s="267"/>
      <c r="AD369" s="268"/>
      <c r="AE369" s="269"/>
    </row>
    <row r="370" spans="1:31" ht="24.75" customHeight="1" thickBot="1">
      <c r="A370" s="306"/>
      <c r="B370" s="309"/>
      <c r="C370" s="310" t="s">
        <v>197</v>
      </c>
      <c r="D370" s="311">
        <f t="shared" ref="D370:L370" si="118">IF(((D368="")*AND(D369="")),"",(D368-D369)*2)</f>
        <v>7200.26</v>
      </c>
      <c r="E370" s="311">
        <f t="shared" si="118"/>
        <v>7275.9000000000005</v>
      </c>
      <c r="F370" s="311">
        <f t="shared" si="118"/>
        <v>7297.0399999999991</v>
      </c>
      <c r="G370" s="311">
        <f t="shared" si="118"/>
        <v>7275.4</v>
      </c>
      <c r="H370" s="311">
        <f t="shared" si="118"/>
        <v>7417.6399999999994</v>
      </c>
      <c r="I370" s="311">
        <f t="shared" si="118"/>
        <v>7610.579999999999</v>
      </c>
      <c r="J370" s="311">
        <f t="shared" si="118"/>
        <v>7272.32</v>
      </c>
      <c r="K370" s="311">
        <f t="shared" si="118"/>
        <v>7263.94</v>
      </c>
      <c r="L370" s="311">
        <f t="shared" si="118"/>
        <v>7066.920000000001</v>
      </c>
      <c r="M370" s="311"/>
      <c r="N370" s="311"/>
      <c r="O370" s="311"/>
      <c r="P370" s="311" t="str">
        <f>IF(((P368="")*AND(P369="")),"",(P368-P369)*2)</f>
        <v/>
      </c>
      <c r="Q370" s="309"/>
      <c r="R370" s="309"/>
      <c r="S370" s="309"/>
      <c r="T370" s="309"/>
      <c r="U370" s="309"/>
      <c r="V370" s="312"/>
      <c r="W370" s="309"/>
      <c r="X370" s="339"/>
      <c r="Y370" s="341"/>
      <c r="Z370" s="267"/>
      <c r="AA370" s="267"/>
      <c r="AB370" s="267"/>
      <c r="AC370" s="267"/>
      <c r="AD370" s="268"/>
      <c r="AE370" s="269"/>
    </row>
    <row r="371" spans="1:31" ht="12.75" customHeight="1">
      <c r="A371" s="351">
        <v>43053</v>
      </c>
      <c r="B371" s="315" t="s">
        <v>200</v>
      </c>
      <c r="C371" s="316" t="s">
        <v>199</v>
      </c>
      <c r="D371" s="278">
        <v>6937.55</v>
      </c>
      <c r="E371" s="278">
        <v>7041.94</v>
      </c>
      <c r="F371" s="278">
        <v>6857.25</v>
      </c>
      <c r="G371" s="278">
        <v>6933.28</v>
      </c>
      <c r="H371" s="278">
        <v>6941.76</v>
      </c>
      <c r="I371" s="278">
        <v>6968.57</v>
      </c>
      <c r="J371" s="278">
        <v>6963.78</v>
      </c>
      <c r="K371" s="278">
        <v>6875.96</v>
      </c>
      <c r="L371" s="278">
        <v>6879.25</v>
      </c>
      <c r="M371" s="278">
        <v>6958.56</v>
      </c>
      <c r="N371" s="278">
        <v>7026.1</v>
      </c>
      <c r="O371" s="278">
        <v>6920.63</v>
      </c>
      <c r="P371" s="278">
        <v>6953.41</v>
      </c>
      <c r="Q371" s="326">
        <f>IF((L372=""),"",MAX(D373:P373))</f>
        <v>5437.22</v>
      </c>
      <c r="R371" s="315">
        <f>IF(L372="","",MIN(D373:L373))</f>
        <v>5347.3</v>
      </c>
      <c r="S371" s="318">
        <f>IF((P373=""),"",AVERAGE(D373:P373))</f>
        <v>5389.5276923076926</v>
      </c>
      <c r="T371" s="318">
        <f>IF((L372=""),"",(Q371-R371)/(Q371+R371)*100)</f>
        <v>0.83378768827912664</v>
      </c>
      <c r="U371" s="315">
        <f>STDEV(D373:P373)</f>
        <v>29.132322013506268</v>
      </c>
      <c r="V371" s="320" t="str">
        <f>IF(P372="","",IF(T371&lt;2.7,IF(S371&gt;5150,IF(S371&lt;5600,"Pass","Fail"),"Fail"),"Fail"))</f>
        <v>Pass</v>
      </c>
      <c r="W371" s="315">
        <v>1159</v>
      </c>
      <c r="X371" s="339"/>
      <c r="Y371" s="357"/>
      <c r="Z371" s="321">
        <v>4470</v>
      </c>
      <c r="AA371" s="321">
        <v>6020</v>
      </c>
      <c r="AB371" s="321">
        <v>5150</v>
      </c>
      <c r="AC371" s="321">
        <v>5600</v>
      </c>
      <c r="AD371" s="305">
        <v>10</v>
      </c>
      <c r="AE371" s="322">
        <v>2.7</v>
      </c>
    </row>
    <row r="372" spans="1:31" ht="12.75" customHeight="1">
      <c r="A372" s="306"/>
      <c r="B372" s="298"/>
      <c r="C372" s="307" t="s">
        <v>198</v>
      </c>
      <c r="D372" s="278">
        <v>1582.82</v>
      </c>
      <c r="E372" s="278">
        <v>1669.15</v>
      </c>
      <c r="F372" s="278">
        <v>1509.95</v>
      </c>
      <c r="G372" s="278">
        <v>1549.83</v>
      </c>
      <c r="H372" s="278">
        <v>1560.98</v>
      </c>
      <c r="I372" s="278">
        <v>1545.4</v>
      </c>
      <c r="J372" s="278">
        <v>1562.78</v>
      </c>
      <c r="K372" s="278">
        <v>1438.74</v>
      </c>
      <c r="L372" s="278">
        <v>1521.19</v>
      </c>
      <c r="M372" s="278">
        <v>1522.14</v>
      </c>
      <c r="N372" s="278">
        <v>1631.67</v>
      </c>
      <c r="O372" s="278">
        <v>1537.57</v>
      </c>
      <c r="P372" s="278">
        <v>1561.96</v>
      </c>
      <c r="Q372" s="298"/>
      <c r="R372" s="298"/>
      <c r="S372" s="298"/>
      <c r="T372" s="298"/>
      <c r="U372" s="298"/>
      <c r="V372" s="302"/>
      <c r="W372" s="298"/>
      <c r="X372" s="339"/>
      <c r="Y372" s="340"/>
      <c r="Z372" s="267"/>
      <c r="AA372" s="267"/>
      <c r="AB372" s="267"/>
      <c r="AC372" s="267"/>
      <c r="AD372" s="268"/>
      <c r="AE372" s="269"/>
    </row>
    <row r="373" spans="1:31" ht="24" customHeight="1">
      <c r="A373" s="306"/>
      <c r="B373" s="299"/>
      <c r="C373" s="307" t="s">
        <v>197</v>
      </c>
      <c r="D373" s="323">
        <f t="shared" ref="D373:P373" si="119">IF(((D371="")*AND(D372="")),"",(D371-D372))</f>
        <v>5354.7300000000005</v>
      </c>
      <c r="E373" s="323">
        <f t="shared" si="119"/>
        <v>5372.7899999999991</v>
      </c>
      <c r="F373" s="323">
        <f t="shared" si="119"/>
        <v>5347.3</v>
      </c>
      <c r="G373" s="323">
        <f t="shared" si="119"/>
        <v>5383.45</v>
      </c>
      <c r="H373" s="323">
        <f t="shared" si="119"/>
        <v>5380.7800000000007</v>
      </c>
      <c r="I373" s="323">
        <f t="shared" si="119"/>
        <v>5423.17</v>
      </c>
      <c r="J373" s="323">
        <f t="shared" si="119"/>
        <v>5401</v>
      </c>
      <c r="K373" s="323">
        <f t="shared" si="119"/>
        <v>5437.22</v>
      </c>
      <c r="L373" s="323">
        <f t="shared" si="119"/>
        <v>5358.0599999999995</v>
      </c>
      <c r="M373" s="323">
        <f t="shared" si="119"/>
        <v>5436.42</v>
      </c>
      <c r="N373" s="323">
        <f t="shared" si="119"/>
        <v>5394.43</v>
      </c>
      <c r="O373" s="323">
        <f t="shared" si="119"/>
        <v>5383.06</v>
      </c>
      <c r="P373" s="323">
        <f t="shared" si="119"/>
        <v>5391.45</v>
      </c>
      <c r="Q373" s="299"/>
      <c r="R373" s="299"/>
      <c r="S373" s="299"/>
      <c r="T373" s="298"/>
      <c r="U373" s="299"/>
      <c r="V373" s="324"/>
      <c r="W373" s="299"/>
      <c r="X373" s="339"/>
      <c r="Y373" s="340"/>
      <c r="Z373" s="267"/>
      <c r="AA373" s="267"/>
      <c r="AB373" s="267"/>
      <c r="AC373" s="267"/>
      <c r="AD373" s="268"/>
      <c r="AE373" s="269"/>
    </row>
    <row r="374" spans="1:31" ht="12.75" customHeight="1">
      <c r="A374" s="351">
        <v>43053</v>
      </c>
      <c r="B374" s="326" t="s">
        <v>202</v>
      </c>
      <c r="C374" s="307" t="s">
        <v>199</v>
      </c>
      <c r="D374" s="278">
        <v>5936.06</v>
      </c>
      <c r="E374" s="278">
        <v>6014.95</v>
      </c>
      <c r="F374" s="278">
        <v>6029.35</v>
      </c>
      <c r="G374" s="278">
        <v>5990.67</v>
      </c>
      <c r="H374" s="278">
        <v>5894.22</v>
      </c>
      <c r="I374" s="278">
        <v>5938.54</v>
      </c>
      <c r="J374" s="278">
        <v>6000.38</v>
      </c>
      <c r="K374" s="278">
        <v>6024.34</v>
      </c>
      <c r="L374" s="278">
        <v>5861.24</v>
      </c>
      <c r="M374" s="290"/>
      <c r="N374" s="290"/>
      <c r="O374" s="290"/>
      <c r="P374" s="290"/>
      <c r="Q374" s="326">
        <f>IF((L375=""),"",MAX(D376:L376))</f>
        <v>7091.7200000000012</v>
      </c>
      <c r="R374" s="326">
        <f>IF(L375="","",MIN(D376:L376))</f>
        <v>6847.44</v>
      </c>
      <c r="S374" s="327">
        <f>IF((L376=""),"",AVERAGE(D376:L376))</f>
        <v>7029.1511111111122</v>
      </c>
      <c r="T374" s="319">
        <f>IF((L375=""),"",(Q374-R374)/(Q374+R374)*100)</f>
        <v>1.752472889327632</v>
      </c>
      <c r="U374" s="326">
        <f>STDEV(D376:P376)</f>
        <v>76.24886891691844</v>
      </c>
      <c r="V374" s="328" t="str">
        <f>IF(L375="","",IF(T374&lt;9.8,IF(S374&gt;5100,IF(S374&lt;8300,"Pass","Fail"),"Fail"),"Fail"))</f>
        <v>Pass</v>
      </c>
      <c r="W374" s="298">
        <v>1159</v>
      </c>
      <c r="X374" s="339"/>
      <c r="Y374" s="340"/>
      <c r="Z374" s="267">
        <v>4955</v>
      </c>
      <c r="AA374" s="267">
        <v>9645</v>
      </c>
      <c r="AB374" s="267">
        <v>5100</v>
      </c>
      <c r="AC374" s="267">
        <v>8300</v>
      </c>
      <c r="AD374" s="305">
        <v>10</v>
      </c>
      <c r="AE374" s="305">
        <v>9.8000000000000007</v>
      </c>
    </row>
    <row r="375" spans="1:31" ht="12.75" customHeight="1">
      <c r="A375" s="306"/>
      <c r="B375" s="298"/>
      <c r="C375" s="307" t="s">
        <v>198</v>
      </c>
      <c r="D375" s="278">
        <v>2452.12</v>
      </c>
      <c r="E375" s="278">
        <v>2486.86</v>
      </c>
      <c r="F375" s="278">
        <v>2483.4899999999998</v>
      </c>
      <c r="G375" s="278">
        <v>2453.12</v>
      </c>
      <c r="H375" s="278">
        <v>2363.08</v>
      </c>
      <c r="I375" s="278">
        <v>2414</v>
      </c>
      <c r="J375" s="278">
        <v>2471.1999999999998</v>
      </c>
      <c r="K375" s="278">
        <v>2497.1799999999998</v>
      </c>
      <c r="L375" s="278">
        <v>2437.52</v>
      </c>
      <c r="M375" s="290"/>
      <c r="N375" s="290"/>
      <c r="O375" s="290"/>
      <c r="P375" s="290"/>
      <c r="Q375" s="298"/>
      <c r="R375" s="298"/>
      <c r="S375" s="298"/>
      <c r="T375" s="298"/>
      <c r="U375" s="298"/>
      <c r="V375" s="302"/>
      <c r="W375" s="298"/>
      <c r="X375" s="339"/>
      <c r="Y375" s="340"/>
      <c r="Z375" s="267"/>
      <c r="AA375" s="267"/>
      <c r="AB375" s="267"/>
      <c r="AC375" s="267"/>
      <c r="AD375" s="268"/>
      <c r="AE375" s="269"/>
    </row>
    <row r="376" spans="1:31" ht="24.75" customHeight="1" thickBot="1">
      <c r="A376" s="306"/>
      <c r="B376" s="309"/>
      <c r="C376" s="310" t="s">
        <v>197</v>
      </c>
      <c r="D376" s="311">
        <f t="shared" ref="D376:L376" si="120">IF(((D374="")*AND(D375="")),"",(D374-D375)*2)</f>
        <v>6967.880000000001</v>
      </c>
      <c r="E376" s="311">
        <f t="shared" si="120"/>
        <v>7056.1799999999994</v>
      </c>
      <c r="F376" s="311">
        <f t="shared" si="120"/>
        <v>7091.7200000000012</v>
      </c>
      <c r="G376" s="311">
        <f t="shared" si="120"/>
        <v>7075.1</v>
      </c>
      <c r="H376" s="311">
        <f t="shared" si="120"/>
        <v>7062.2800000000007</v>
      </c>
      <c r="I376" s="311">
        <f t="shared" si="120"/>
        <v>7049.08</v>
      </c>
      <c r="J376" s="311">
        <f t="shared" si="120"/>
        <v>7058.3600000000006</v>
      </c>
      <c r="K376" s="311">
        <f t="shared" si="120"/>
        <v>7054.3200000000006</v>
      </c>
      <c r="L376" s="311">
        <f t="shared" si="120"/>
        <v>6847.44</v>
      </c>
      <c r="M376" s="311"/>
      <c r="N376" s="311"/>
      <c r="O376" s="311"/>
      <c r="P376" s="311" t="str">
        <f>IF(((P374="")*AND(P375="")),"",(P374-P375)*2)</f>
        <v/>
      </c>
      <c r="Q376" s="309"/>
      <c r="R376" s="309"/>
      <c r="S376" s="309"/>
      <c r="T376" s="309"/>
      <c r="U376" s="309"/>
      <c r="V376" s="312"/>
      <c r="W376" s="309"/>
      <c r="X376" s="339"/>
      <c r="Y376" s="341"/>
      <c r="Z376" s="267"/>
      <c r="AA376" s="267"/>
      <c r="AB376" s="267"/>
      <c r="AC376" s="267"/>
      <c r="AD376" s="268"/>
      <c r="AE376" s="269"/>
    </row>
    <row r="377" spans="1:31" ht="12.75" customHeight="1">
      <c r="A377" s="351">
        <v>43055</v>
      </c>
      <c r="B377" s="315" t="s">
        <v>200</v>
      </c>
      <c r="C377" s="316" t="s">
        <v>199</v>
      </c>
      <c r="D377" s="278">
        <v>6912.9</v>
      </c>
      <c r="E377" s="278">
        <v>7025.43</v>
      </c>
      <c r="F377" s="278">
        <v>6822.98</v>
      </c>
      <c r="G377" s="278">
        <v>6882.26</v>
      </c>
      <c r="H377" s="278">
        <v>6936.15</v>
      </c>
      <c r="I377" s="278">
        <v>6944.6</v>
      </c>
      <c r="J377" s="278">
        <v>6907.66</v>
      </c>
      <c r="K377" s="278">
        <v>6817.11</v>
      </c>
      <c r="L377" s="278">
        <v>6839.27</v>
      </c>
      <c r="M377" s="278">
        <v>6905.51</v>
      </c>
      <c r="N377" s="278">
        <v>7011.74</v>
      </c>
      <c r="O377" s="278">
        <v>6882.92</v>
      </c>
      <c r="P377" s="278">
        <v>6933.87</v>
      </c>
      <c r="Q377" s="326">
        <f>IF((L378=""),"",MAX(D379:P379))</f>
        <v>5438.87</v>
      </c>
      <c r="R377" s="315">
        <f>IF(L378="","",MIN(D379:L379))</f>
        <v>5345.23</v>
      </c>
      <c r="S377" s="318">
        <f>IF((P379=""),"",AVERAGE(D379:P379))</f>
        <v>5389.1476923076925</v>
      </c>
      <c r="T377" s="318">
        <f>IF((L378=""),"",(Q377-R377)/(Q377+R377)*100)</f>
        <v>0.86831539025046445</v>
      </c>
      <c r="U377" s="315">
        <f>STDEV(D379:P379)</f>
        <v>32.425309598536472</v>
      </c>
      <c r="V377" s="320" t="str">
        <f>IF(P378="","",IF(T377&lt;2.7,IF(S377&gt;5150,IF(S377&lt;5600,"Pass","Fail"),"Fail"),"Fail"))</f>
        <v>Pass</v>
      </c>
      <c r="W377" s="315">
        <v>102</v>
      </c>
      <c r="X377" s="339"/>
      <c r="Y377" s="357"/>
      <c r="Z377" s="321">
        <v>4470</v>
      </c>
      <c r="AA377" s="321">
        <v>6020</v>
      </c>
      <c r="AB377" s="321">
        <v>5150</v>
      </c>
      <c r="AC377" s="321">
        <v>5600</v>
      </c>
      <c r="AD377" s="305">
        <v>10</v>
      </c>
      <c r="AE377" s="322">
        <v>2.7</v>
      </c>
    </row>
    <row r="378" spans="1:31" ht="12.75" customHeight="1">
      <c r="A378" s="306"/>
      <c r="B378" s="298"/>
      <c r="C378" s="307" t="s">
        <v>198</v>
      </c>
      <c r="D378" s="278">
        <v>1561.82</v>
      </c>
      <c r="E378" s="278">
        <v>1658.64</v>
      </c>
      <c r="F378" s="278">
        <v>1477.75</v>
      </c>
      <c r="G378" s="278">
        <v>1464.88</v>
      </c>
      <c r="H378" s="278">
        <v>1567.06</v>
      </c>
      <c r="I378" s="278">
        <v>1528</v>
      </c>
      <c r="J378" s="278">
        <v>1480.35</v>
      </c>
      <c r="K378" s="278">
        <v>1378.24</v>
      </c>
      <c r="L378" s="278">
        <v>1483.14</v>
      </c>
      <c r="M378" s="278">
        <v>1477.18</v>
      </c>
      <c r="N378" s="278">
        <v>1629.56</v>
      </c>
      <c r="O378" s="278">
        <v>1505.67</v>
      </c>
      <c r="P378" s="278">
        <v>1551.19</v>
      </c>
      <c r="Q378" s="298"/>
      <c r="R378" s="298"/>
      <c r="S378" s="298"/>
      <c r="T378" s="298"/>
      <c r="U378" s="298"/>
      <c r="V378" s="302"/>
      <c r="W378" s="298"/>
      <c r="X378" s="339"/>
      <c r="Y378" s="340"/>
      <c r="Z378" s="267"/>
      <c r="AA378" s="267"/>
      <c r="AB378" s="267"/>
      <c r="AC378" s="267"/>
      <c r="AD378" s="268"/>
      <c r="AE378" s="269"/>
    </row>
    <row r="379" spans="1:31" ht="24" customHeight="1">
      <c r="A379" s="306"/>
      <c r="B379" s="299"/>
      <c r="C379" s="307" t="s">
        <v>197</v>
      </c>
      <c r="D379" s="323">
        <f t="shared" ref="D379:P379" si="121">IF(((D377="")*AND(D378="")),"",(D377-D378))</f>
        <v>5351.08</v>
      </c>
      <c r="E379" s="323">
        <f t="shared" si="121"/>
        <v>5366.79</v>
      </c>
      <c r="F379" s="323">
        <f t="shared" si="121"/>
        <v>5345.23</v>
      </c>
      <c r="G379" s="323">
        <f t="shared" si="121"/>
        <v>5417.38</v>
      </c>
      <c r="H379" s="323">
        <f t="shared" si="121"/>
        <v>5369.09</v>
      </c>
      <c r="I379" s="323">
        <f t="shared" si="121"/>
        <v>5416.6</v>
      </c>
      <c r="J379" s="323">
        <f t="shared" si="121"/>
        <v>5427.3099999999995</v>
      </c>
      <c r="K379" s="323">
        <f t="shared" si="121"/>
        <v>5438.87</v>
      </c>
      <c r="L379" s="323">
        <f t="shared" si="121"/>
        <v>5356.13</v>
      </c>
      <c r="M379" s="323">
        <f t="shared" si="121"/>
        <v>5428.33</v>
      </c>
      <c r="N379" s="323">
        <f t="shared" si="121"/>
        <v>5382.18</v>
      </c>
      <c r="O379" s="323">
        <f t="shared" si="121"/>
        <v>5377.25</v>
      </c>
      <c r="P379" s="323">
        <f t="shared" si="121"/>
        <v>5382.68</v>
      </c>
      <c r="Q379" s="299"/>
      <c r="R379" s="299"/>
      <c r="S379" s="299"/>
      <c r="T379" s="298"/>
      <c r="U379" s="299"/>
      <c r="V379" s="324"/>
      <c r="W379" s="299"/>
      <c r="X379" s="339"/>
      <c r="Y379" s="340"/>
      <c r="Z379" s="267"/>
      <c r="AA379" s="267"/>
      <c r="AB379" s="267"/>
      <c r="AC379" s="267"/>
      <c r="AD379" s="268"/>
      <c r="AE379" s="269"/>
    </row>
    <row r="380" spans="1:31" ht="12.75" customHeight="1">
      <c r="A380" s="351">
        <v>43055</v>
      </c>
      <c r="B380" s="326" t="s">
        <v>202</v>
      </c>
      <c r="C380" s="307" t="s">
        <v>199</v>
      </c>
      <c r="D380" s="278">
        <v>5945.55</v>
      </c>
      <c r="E380" s="278">
        <v>6014.1</v>
      </c>
      <c r="F380" s="278">
        <v>6031.67</v>
      </c>
      <c r="G380" s="278">
        <v>5977.49</v>
      </c>
      <c r="H380" s="278">
        <v>5905.9</v>
      </c>
      <c r="I380" s="278">
        <v>5939.6</v>
      </c>
      <c r="J380" s="278">
        <v>6000.84</v>
      </c>
      <c r="K380" s="278">
        <v>6032.23</v>
      </c>
      <c r="L380" s="278">
        <v>5868.84</v>
      </c>
      <c r="M380" s="290"/>
      <c r="N380" s="290"/>
      <c r="O380" s="290"/>
      <c r="P380" s="290"/>
      <c r="Q380" s="326">
        <f>IF((L381=""),"",MAX(D382:L382))</f>
        <v>7213.7400000000007</v>
      </c>
      <c r="R380" s="326">
        <f>IF(L381="","",MIN(D382:L382))</f>
        <v>6819.56</v>
      </c>
      <c r="S380" s="327">
        <f>IF((L382=""),"",AVERAGE(D382:L382))</f>
        <v>7054.7688888888888</v>
      </c>
      <c r="T380" s="319">
        <f>IF((L381=""),"",(Q380-R380)/(Q380+R380)*100)</f>
        <v>2.8088902823997222</v>
      </c>
      <c r="U380" s="326">
        <f>STDEV(D382:P382)</f>
        <v>115.32388222361064</v>
      </c>
      <c r="V380" s="328" t="str">
        <f>IF(L381="","",IF(T380&lt;9.8,IF(S380&gt;5100,IF(S380&lt;8300,"Pass","Fail"),"Fail"),"Fail"))</f>
        <v>Pass</v>
      </c>
      <c r="W380" s="298">
        <v>102</v>
      </c>
      <c r="X380" s="339"/>
      <c r="Y380" s="340"/>
      <c r="Z380" s="267">
        <v>4955</v>
      </c>
      <c r="AA380" s="267">
        <v>9645</v>
      </c>
      <c r="AB380" s="267">
        <v>5100</v>
      </c>
      <c r="AC380" s="267">
        <v>8300</v>
      </c>
      <c r="AD380" s="305">
        <v>10</v>
      </c>
      <c r="AE380" s="305">
        <v>9.8000000000000007</v>
      </c>
    </row>
    <row r="381" spans="1:31" ht="12.75" customHeight="1">
      <c r="A381" s="306"/>
      <c r="B381" s="298"/>
      <c r="C381" s="307" t="s">
        <v>198</v>
      </c>
      <c r="D381" s="278">
        <v>2468.83</v>
      </c>
      <c r="E381" s="278">
        <v>2458.83</v>
      </c>
      <c r="F381" s="278">
        <v>2465.83</v>
      </c>
      <c r="G381" s="278">
        <v>2462.83</v>
      </c>
      <c r="H381" s="278">
        <v>2354.62</v>
      </c>
      <c r="I381" s="278">
        <v>2332.73</v>
      </c>
      <c r="J381" s="278">
        <v>2488.1999999999998</v>
      </c>
      <c r="K381" s="278">
        <v>2478.83</v>
      </c>
      <c r="L381" s="278">
        <v>2459.06</v>
      </c>
      <c r="M381" s="290"/>
      <c r="N381" s="290"/>
      <c r="O381" s="290"/>
      <c r="P381" s="290"/>
      <c r="Q381" s="298"/>
      <c r="R381" s="298"/>
      <c r="S381" s="298"/>
      <c r="T381" s="298"/>
      <c r="U381" s="298"/>
      <c r="V381" s="302"/>
      <c r="W381" s="298"/>
      <c r="X381" s="339"/>
      <c r="Y381" s="340"/>
      <c r="Z381" s="267"/>
      <c r="AA381" s="267"/>
      <c r="AB381" s="267"/>
      <c r="AC381" s="267"/>
      <c r="AD381" s="268"/>
      <c r="AE381" s="269"/>
    </row>
    <row r="382" spans="1:31" ht="24.75" customHeight="1" thickBot="1">
      <c r="A382" s="306"/>
      <c r="B382" s="309"/>
      <c r="C382" s="310" t="s">
        <v>197</v>
      </c>
      <c r="D382" s="311">
        <f t="shared" ref="D382:L382" si="122">IF(((D380="")*AND(D381="")),"",(D380-D381)*2)</f>
        <v>6953.4400000000005</v>
      </c>
      <c r="E382" s="311">
        <f t="shared" si="122"/>
        <v>7110.5400000000009</v>
      </c>
      <c r="F382" s="311">
        <f t="shared" si="122"/>
        <v>7131.68</v>
      </c>
      <c r="G382" s="311">
        <f t="shared" si="122"/>
        <v>7029.32</v>
      </c>
      <c r="H382" s="311">
        <f t="shared" si="122"/>
        <v>7102.5599999999995</v>
      </c>
      <c r="I382" s="311">
        <f t="shared" si="122"/>
        <v>7213.7400000000007</v>
      </c>
      <c r="J382" s="311">
        <f t="shared" si="122"/>
        <v>7025.2800000000007</v>
      </c>
      <c r="K382" s="311">
        <f t="shared" si="122"/>
        <v>7106.7999999999993</v>
      </c>
      <c r="L382" s="311">
        <f t="shared" si="122"/>
        <v>6819.56</v>
      </c>
      <c r="M382" s="311"/>
      <c r="N382" s="311"/>
      <c r="O382" s="311"/>
      <c r="P382" s="311" t="str">
        <f>IF(((P380="")*AND(P381="")),"",(P380-P381)*2)</f>
        <v/>
      </c>
      <c r="Q382" s="309"/>
      <c r="R382" s="309"/>
      <c r="S382" s="309"/>
      <c r="T382" s="309"/>
      <c r="U382" s="309"/>
      <c r="V382" s="312"/>
      <c r="W382" s="309"/>
      <c r="X382" s="339"/>
      <c r="Y382" s="341"/>
      <c r="Z382" s="267"/>
      <c r="AA382" s="267"/>
      <c r="AB382" s="267"/>
      <c r="AC382" s="267"/>
      <c r="AD382" s="268"/>
      <c r="AE382" s="269"/>
    </row>
    <row r="383" spans="1:31" ht="12.75" customHeight="1">
      <c r="A383" s="364">
        <v>43063</v>
      </c>
      <c r="B383" s="315" t="s">
        <v>200</v>
      </c>
      <c r="C383" s="316" t="s">
        <v>199</v>
      </c>
      <c r="D383" s="278">
        <v>6669.69</v>
      </c>
      <c r="E383" s="278">
        <v>6774.88</v>
      </c>
      <c r="F383" s="278">
        <v>6628.11</v>
      </c>
      <c r="G383" s="278">
        <v>6718.56</v>
      </c>
      <c r="H383" s="278">
        <v>6660.75</v>
      </c>
      <c r="I383" s="278">
        <v>6723.38</v>
      </c>
      <c r="J383" s="278">
        <v>6743.03</v>
      </c>
      <c r="K383" s="278">
        <v>6643.35</v>
      </c>
      <c r="L383" s="278">
        <v>6649.71</v>
      </c>
      <c r="M383" s="278">
        <v>6737.56</v>
      </c>
      <c r="N383" s="278">
        <v>6753.25</v>
      </c>
      <c r="O383" s="278">
        <v>6692.32</v>
      </c>
      <c r="P383" s="278">
        <v>6672.63</v>
      </c>
      <c r="Q383" s="326">
        <f>IF((L384=""),"",MAX(D385:P385))</f>
        <v>5407.0199999999995</v>
      </c>
      <c r="R383" s="315">
        <f>IF(L384="","",MIN(D385:L385))</f>
        <v>5262.44</v>
      </c>
      <c r="S383" s="318">
        <f>IF((P385=""),"",AVERAGE(D385:P385))</f>
        <v>5321.9446153846156</v>
      </c>
      <c r="T383" s="318">
        <f>IF((L384=""),"",(Q383-R383)/(Q383+R383)*100)</f>
        <v>1.3550826377342429</v>
      </c>
      <c r="U383" s="315">
        <f>STDEV(D385:P385)</f>
        <v>46.112344987599151</v>
      </c>
      <c r="V383" s="320" t="str">
        <f>IF(P384="","",IF(T383&lt;2.7,IF(S383&gt;5150,IF(S383&lt;5600,"Pass","Fail"),"Fail"),"Fail"))</f>
        <v>Pass</v>
      </c>
      <c r="W383" s="315">
        <v>121</v>
      </c>
      <c r="X383" s="339"/>
      <c r="Y383" s="357"/>
      <c r="Z383" s="321">
        <v>4470</v>
      </c>
      <c r="AA383" s="321">
        <v>6020</v>
      </c>
      <c r="AB383" s="321">
        <v>5150</v>
      </c>
      <c r="AC383" s="321">
        <v>5600</v>
      </c>
      <c r="AD383" s="305">
        <v>10</v>
      </c>
      <c r="AE383" s="322">
        <v>2.7</v>
      </c>
    </row>
    <row r="384" spans="1:31" ht="12.75" customHeight="1">
      <c r="A384" s="306"/>
      <c r="B384" s="298"/>
      <c r="C384" s="307" t="s">
        <v>198</v>
      </c>
      <c r="D384" s="278">
        <v>1393.33</v>
      </c>
      <c r="E384" s="278">
        <v>1477.41</v>
      </c>
      <c r="F384" s="278">
        <v>1365.67</v>
      </c>
      <c r="G384" s="278">
        <v>1325.62</v>
      </c>
      <c r="H384" s="278">
        <v>1352.2</v>
      </c>
      <c r="I384" s="278">
        <v>1376.45</v>
      </c>
      <c r="J384" s="278">
        <v>1336.01</v>
      </c>
      <c r="K384" s="278">
        <v>1275.47</v>
      </c>
      <c r="L384" s="278">
        <v>1376.55</v>
      </c>
      <c r="M384" s="278">
        <v>1392.79</v>
      </c>
      <c r="N384" s="278">
        <v>1446.67</v>
      </c>
      <c r="O384" s="278">
        <v>1397.09</v>
      </c>
      <c r="P384" s="278">
        <v>1366.68</v>
      </c>
      <c r="Q384" s="298"/>
      <c r="R384" s="298"/>
      <c r="S384" s="298"/>
      <c r="T384" s="298"/>
      <c r="U384" s="298"/>
      <c r="V384" s="302"/>
      <c r="W384" s="298"/>
      <c r="X384" s="339"/>
      <c r="Y384" s="340"/>
      <c r="Z384" s="267"/>
      <c r="AA384" s="267"/>
      <c r="AB384" s="267"/>
      <c r="AC384" s="267"/>
      <c r="AD384" s="268"/>
      <c r="AE384" s="269"/>
    </row>
    <row r="385" spans="1:31" ht="24" customHeight="1">
      <c r="A385" s="306"/>
      <c r="B385" s="299"/>
      <c r="C385" s="307" t="s">
        <v>197</v>
      </c>
      <c r="D385" s="323">
        <f t="shared" ref="D385:P385" si="123">IF(((D383="")*AND(D384="")),"",(D383-D384))</f>
        <v>5276.36</v>
      </c>
      <c r="E385" s="323">
        <f t="shared" si="123"/>
        <v>5297.47</v>
      </c>
      <c r="F385" s="323">
        <f t="shared" si="123"/>
        <v>5262.44</v>
      </c>
      <c r="G385" s="323">
        <f t="shared" si="123"/>
        <v>5392.9400000000005</v>
      </c>
      <c r="H385" s="323">
        <f t="shared" si="123"/>
        <v>5308.55</v>
      </c>
      <c r="I385" s="323">
        <f t="shared" si="123"/>
        <v>5346.93</v>
      </c>
      <c r="J385" s="323">
        <f t="shared" si="123"/>
        <v>5407.0199999999995</v>
      </c>
      <c r="K385" s="323">
        <f t="shared" si="123"/>
        <v>5367.88</v>
      </c>
      <c r="L385" s="323">
        <f t="shared" si="123"/>
        <v>5273.16</v>
      </c>
      <c r="M385" s="323">
        <f t="shared" si="123"/>
        <v>5344.77</v>
      </c>
      <c r="N385" s="323">
        <f t="shared" si="123"/>
        <v>5306.58</v>
      </c>
      <c r="O385" s="323">
        <f t="shared" si="123"/>
        <v>5295.23</v>
      </c>
      <c r="P385" s="323">
        <f t="shared" si="123"/>
        <v>5305.95</v>
      </c>
      <c r="Q385" s="299"/>
      <c r="R385" s="299"/>
      <c r="S385" s="299"/>
      <c r="T385" s="298"/>
      <c r="U385" s="299"/>
      <c r="V385" s="324"/>
      <c r="W385" s="299"/>
      <c r="X385" s="339"/>
      <c r="Y385" s="340"/>
      <c r="Z385" s="267"/>
      <c r="AA385" s="267"/>
      <c r="AB385" s="267"/>
      <c r="AC385" s="267"/>
      <c r="AD385" s="268"/>
      <c r="AE385" s="269"/>
    </row>
    <row r="386" spans="1:31" ht="12.75" customHeight="1">
      <c r="A386" s="364">
        <v>43063</v>
      </c>
      <c r="B386" s="326" t="s">
        <v>202</v>
      </c>
      <c r="C386" s="307" t="s">
        <v>199</v>
      </c>
      <c r="D386" s="278">
        <v>5944.03</v>
      </c>
      <c r="E386" s="278">
        <v>6010.44</v>
      </c>
      <c r="F386" s="278">
        <v>6032.8</v>
      </c>
      <c r="G386" s="278">
        <v>5977.86</v>
      </c>
      <c r="H386" s="278">
        <v>5898.29</v>
      </c>
      <c r="I386" s="278">
        <v>5961.44</v>
      </c>
      <c r="J386" s="278">
        <v>5999.99</v>
      </c>
      <c r="K386" s="278">
        <v>6023.31</v>
      </c>
      <c r="L386" s="278">
        <v>5864.82</v>
      </c>
      <c r="M386" s="290"/>
      <c r="N386" s="290"/>
      <c r="O386" s="290"/>
      <c r="P386" s="290"/>
      <c r="Q386" s="326">
        <f>IF((L387=""),"",MAX(D388:L388))</f>
        <v>7323.2399999999989</v>
      </c>
      <c r="R386" s="326">
        <f>IF(L387="","",MIN(D388:L388))</f>
        <v>6972.5399999999991</v>
      </c>
      <c r="S386" s="327">
        <f>IF((L388=""),"",AVERAGE(D388:L388))</f>
        <v>7139.3088888888888</v>
      </c>
      <c r="T386" s="319">
        <f>IF((L387=""),"",(Q386-R386)/(Q386+R386)*100)</f>
        <v>2.4531714953643653</v>
      </c>
      <c r="U386" s="326">
        <f>STDEV(D388:P388)</f>
        <v>92.511677701243755</v>
      </c>
      <c r="V386" s="328" t="str">
        <f>IF(L387="","",IF(T386&lt;9.8,IF(S386&gt;5100,IF(S386&lt;8300,"Pass","Fail"),"Fail"),"Fail"))</f>
        <v>Pass</v>
      </c>
      <c r="W386" s="298">
        <v>121</v>
      </c>
      <c r="X386" s="339"/>
      <c r="Y386" s="340"/>
      <c r="Z386" s="267">
        <v>4955</v>
      </c>
      <c r="AA386" s="267">
        <v>9645</v>
      </c>
      <c r="AB386" s="267">
        <v>5100</v>
      </c>
      <c r="AC386" s="267">
        <v>8300</v>
      </c>
      <c r="AD386" s="305">
        <v>10</v>
      </c>
      <c r="AE386" s="305">
        <v>9.8000000000000007</v>
      </c>
    </row>
    <row r="387" spans="1:31" ht="12.75" customHeight="1">
      <c r="A387" s="306"/>
      <c r="B387" s="298"/>
      <c r="C387" s="307" t="s">
        <v>198</v>
      </c>
      <c r="D387" s="278">
        <v>2409.15</v>
      </c>
      <c r="E387" s="278">
        <v>2442.86</v>
      </c>
      <c r="F387" s="278">
        <v>2444.16</v>
      </c>
      <c r="G387" s="278">
        <v>2410.48</v>
      </c>
      <c r="H387" s="278">
        <v>2319.87</v>
      </c>
      <c r="I387" s="278">
        <v>2299.8200000000002</v>
      </c>
      <c r="J387" s="278">
        <v>2424.13</v>
      </c>
      <c r="K387" s="278">
        <v>2457.0700000000002</v>
      </c>
      <c r="L387" s="278">
        <v>2378.5500000000002</v>
      </c>
      <c r="M387" s="290"/>
      <c r="N387" s="290"/>
      <c r="O387" s="290"/>
      <c r="P387" s="290"/>
      <c r="Q387" s="298"/>
      <c r="R387" s="298"/>
      <c r="S387" s="298"/>
      <c r="T387" s="298"/>
      <c r="U387" s="298"/>
      <c r="V387" s="302"/>
      <c r="W387" s="298"/>
      <c r="X387" s="339"/>
      <c r="Y387" s="340"/>
      <c r="Z387" s="267"/>
      <c r="AA387" s="267"/>
      <c r="AB387" s="267"/>
      <c r="AC387" s="267"/>
      <c r="AD387" s="268"/>
      <c r="AE387" s="269"/>
    </row>
    <row r="388" spans="1:31" ht="24.75" customHeight="1" thickBot="1">
      <c r="A388" s="306"/>
      <c r="B388" s="309"/>
      <c r="C388" s="310" t="s">
        <v>197</v>
      </c>
      <c r="D388" s="311">
        <f t="shared" ref="D388:L388" si="124">IF(((D386="")*AND(D387="")),"",(D386-D387)*2)</f>
        <v>7069.7599999999993</v>
      </c>
      <c r="E388" s="311">
        <f t="shared" si="124"/>
        <v>7135.1599999999989</v>
      </c>
      <c r="F388" s="311">
        <f t="shared" si="124"/>
        <v>7177.2800000000007</v>
      </c>
      <c r="G388" s="311">
        <f t="shared" si="124"/>
        <v>7134.7599999999993</v>
      </c>
      <c r="H388" s="311">
        <f t="shared" si="124"/>
        <v>7156.84</v>
      </c>
      <c r="I388" s="311">
        <f t="shared" si="124"/>
        <v>7323.2399999999989</v>
      </c>
      <c r="J388" s="311">
        <f t="shared" si="124"/>
        <v>7151.7199999999993</v>
      </c>
      <c r="K388" s="311">
        <f t="shared" si="124"/>
        <v>7132.4800000000005</v>
      </c>
      <c r="L388" s="311">
        <f t="shared" si="124"/>
        <v>6972.5399999999991</v>
      </c>
      <c r="M388" s="311"/>
      <c r="N388" s="311"/>
      <c r="O388" s="311"/>
      <c r="P388" s="311" t="str">
        <f>IF(((P386="")*AND(P387="")),"",(P386-P387)*2)</f>
        <v/>
      </c>
      <c r="Q388" s="309"/>
      <c r="R388" s="309"/>
      <c r="S388" s="309"/>
      <c r="T388" s="309"/>
      <c r="U388" s="309"/>
      <c r="V388" s="312"/>
      <c r="W388" s="309"/>
      <c r="X388" s="339"/>
      <c r="Y388" s="341"/>
      <c r="Z388" s="267"/>
      <c r="AA388" s="267"/>
      <c r="AB388" s="267"/>
      <c r="AC388" s="267"/>
      <c r="AD388" s="268"/>
      <c r="AE388" s="269"/>
    </row>
    <row r="389" spans="1:31" ht="12.75" customHeight="1">
      <c r="A389" s="364">
        <v>42898</v>
      </c>
      <c r="B389" s="315" t="s">
        <v>200</v>
      </c>
      <c r="C389" s="316" t="s">
        <v>199</v>
      </c>
      <c r="D389" s="278">
        <v>6836.03</v>
      </c>
      <c r="E389" s="278">
        <v>6934.16</v>
      </c>
      <c r="F389" s="278">
        <v>6780.4</v>
      </c>
      <c r="G389" s="278">
        <v>6866.61</v>
      </c>
      <c r="H389" s="278">
        <v>6827.02</v>
      </c>
      <c r="I389" s="278">
        <v>6872.19</v>
      </c>
      <c r="J389" s="278">
        <v>6903.17</v>
      </c>
      <c r="K389" s="278">
        <v>6795.39</v>
      </c>
      <c r="L389" s="278">
        <v>6805.27</v>
      </c>
      <c r="M389" s="278">
        <v>6890.24</v>
      </c>
      <c r="N389" s="278">
        <v>6918.03</v>
      </c>
      <c r="O389" s="278">
        <v>6834.5</v>
      </c>
      <c r="P389" s="278">
        <v>6843.4</v>
      </c>
      <c r="Q389" s="326">
        <f>IF((L390=""),"",MAX(D391:P391))</f>
        <v>5567.71</v>
      </c>
      <c r="R389" s="315">
        <f>IF(L390="","",MIN(D391:L391))</f>
        <v>5445.7199999999993</v>
      </c>
      <c r="S389" s="318">
        <f>IF((P391=""),"",AVERAGE(D391:P391))</f>
        <v>5496.086153846155</v>
      </c>
      <c r="T389" s="318">
        <f>IF((L390=""),"",(Q389-R389)/(Q389+R389)*100)</f>
        <v>1.1076476628988488</v>
      </c>
      <c r="U389" s="315">
        <f>STDEV(D391:P391)</f>
        <v>38.959098752767822</v>
      </c>
      <c r="V389" s="320" t="str">
        <f>IF(P390="","",IF(T389&lt;2.7,IF(S389&gt;5150,IF(S389&lt;5600,"Pass","Fail"),"Fail"),"Fail"))</f>
        <v>Pass</v>
      </c>
      <c r="W389" s="315">
        <v>102</v>
      </c>
      <c r="X389" s="339"/>
      <c r="Y389" s="357"/>
      <c r="Z389" s="321">
        <v>4470</v>
      </c>
      <c r="AA389" s="321">
        <v>6020</v>
      </c>
      <c r="AB389" s="321">
        <v>5150</v>
      </c>
      <c r="AC389" s="321">
        <v>5600</v>
      </c>
      <c r="AD389" s="305">
        <v>10</v>
      </c>
      <c r="AE389" s="322">
        <v>2.7</v>
      </c>
    </row>
    <row r="390" spans="1:31" ht="12.75" customHeight="1">
      <c r="A390" s="306"/>
      <c r="B390" s="298"/>
      <c r="C390" s="307" t="s">
        <v>198</v>
      </c>
      <c r="D390" s="278">
        <v>1390.31</v>
      </c>
      <c r="E390" s="278">
        <v>1470.94</v>
      </c>
      <c r="F390" s="278">
        <v>1330.39</v>
      </c>
      <c r="G390" s="278">
        <v>1359.89</v>
      </c>
      <c r="H390" s="278">
        <v>1364.9</v>
      </c>
      <c r="I390" s="278">
        <v>1346.68</v>
      </c>
      <c r="J390" s="278">
        <v>1373.92</v>
      </c>
      <c r="K390" s="278">
        <v>1227.68</v>
      </c>
      <c r="L390" s="278">
        <v>1335.42</v>
      </c>
      <c r="M390" s="278">
        <v>1336.78</v>
      </c>
      <c r="N390" s="278">
        <v>1432.38</v>
      </c>
      <c r="O390" s="278">
        <v>1336.4</v>
      </c>
      <c r="P390" s="278">
        <v>1351.6</v>
      </c>
      <c r="Q390" s="298"/>
      <c r="R390" s="298"/>
      <c r="S390" s="298"/>
      <c r="T390" s="298"/>
      <c r="U390" s="298"/>
      <c r="V390" s="302"/>
      <c r="W390" s="298"/>
      <c r="X390" s="339"/>
      <c r="Y390" s="340"/>
      <c r="Z390" s="267"/>
      <c r="AA390" s="267"/>
      <c r="AB390" s="267"/>
      <c r="AC390" s="267"/>
      <c r="AD390" s="268"/>
      <c r="AE390" s="269"/>
    </row>
    <row r="391" spans="1:31" ht="24" customHeight="1">
      <c r="A391" s="306"/>
      <c r="B391" s="299"/>
      <c r="C391" s="307" t="s">
        <v>197</v>
      </c>
      <c r="D391" s="323">
        <f t="shared" ref="D391:P391" si="125">IF(((D389="")*AND(D390="")),"",(D389-D390))</f>
        <v>5445.7199999999993</v>
      </c>
      <c r="E391" s="323">
        <f t="shared" si="125"/>
        <v>5463.2199999999993</v>
      </c>
      <c r="F391" s="323">
        <f t="shared" si="125"/>
        <v>5450.0099999999993</v>
      </c>
      <c r="G391" s="323">
        <f t="shared" si="125"/>
        <v>5506.7199999999993</v>
      </c>
      <c r="H391" s="323">
        <f t="shared" si="125"/>
        <v>5462.1200000000008</v>
      </c>
      <c r="I391" s="323">
        <f t="shared" si="125"/>
        <v>5525.5099999999993</v>
      </c>
      <c r="J391" s="323">
        <f t="shared" si="125"/>
        <v>5529.25</v>
      </c>
      <c r="K391" s="323">
        <f t="shared" si="125"/>
        <v>5567.71</v>
      </c>
      <c r="L391" s="323">
        <f t="shared" si="125"/>
        <v>5469.85</v>
      </c>
      <c r="M391" s="323">
        <f t="shared" si="125"/>
        <v>5553.46</v>
      </c>
      <c r="N391" s="323">
        <f t="shared" si="125"/>
        <v>5485.65</v>
      </c>
      <c r="O391" s="323">
        <f t="shared" si="125"/>
        <v>5498.1</v>
      </c>
      <c r="P391" s="323">
        <f t="shared" si="125"/>
        <v>5491.7999999999993</v>
      </c>
      <c r="Q391" s="299"/>
      <c r="R391" s="299"/>
      <c r="S391" s="299"/>
      <c r="T391" s="298"/>
      <c r="U391" s="299"/>
      <c r="V391" s="324"/>
      <c r="W391" s="299"/>
      <c r="X391" s="339"/>
      <c r="Y391" s="340"/>
      <c r="Z391" s="267"/>
      <c r="AA391" s="267"/>
      <c r="AB391" s="267"/>
      <c r="AC391" s="267"/>
      <c r="AD391" s="268"/>
      <c r="AE391" s="269"/>
    </row>
    <row r="392" spans="1:31" ht="12.75" customHeight="1">
      <c r="A392" s="364">
        <v>42898</v>
      </c>
      <c r="B392" s="326" t="s">
        <v>202</v>
      </c>
      <c r="C392" s="307" t="s">
        <v>199</v>
      </c>
      <c r="D392" s="278">
        <v>5965.78</v>
      </c>
      <c r="E392" s="278">
        <v>6022.37</v>
      </c>
      <c r="F392" s="278">
        <v>6044.18</v>
      </c>
      <c r="G392" s="278">
        <v>5998.87</v>
      </c>
      <c r="H392" s="278">
        <v>5988.87</v>
      </c>
      <c r="I392" s="278">
        <v>5911.71</v>
      </c>
      <c r="J392" s="278">
        <v>5998.7</v>
      </c>
      <c r="K392" s="278">
        <v>6040.65</v>
      </c>
      <c r="L392" s="278">
        <v>5917.45</v>
      </c>
      <c r="M392" s="290"/>
      <c r="N392" s="290"/>
      <c r="O392" s="290"/>
      <c r="P392" s="290"/>
      <c r="Q392" s="326">
        <f>IF((L393=""),"",MAX(D394:L394))</f>
        <v>7416.9</v>
      </c>
      <c r="R392" s="326">
        <f>IF(L393="","",MIN(D394:L394))</f>
        <v>7215.16</v>
      </c>
      <c r="S392" s="327">
        <f>IF((L394=""),"",AVERAGE(D394:L394))</f>
        <v>7336.9266666666663</v>
      </c>
      <c r="T392" s="319">
        <f>IF((L393=""),"",(Q392-R392)/(Q392+R392)*100)</f>
        <v>1.3787532309189532</v>
      </c>
      <c r="U392" s="326">
        <f>STDEV(D394:P394)</f>
        <v>71.139643659427477</v>
      </c>
      <c r="V392" s="328" t="str">
        <f>IF(L393="","",IF(T392&lt;9.8,IF(S392&gt;5100,IF(S392&lt;8300,"Pass","Fail"),"Fail"),"Fail"))</f>
        <v>Pass</v>
      </c>
      <c r="W392" s="298">
        <v>102</v>
      </c>
      <c r="X392" s="339"/>
      <c r="Y392" s="340"/>
      <c r="Z392" s="267">
        <v>4955</v>
      </c>
      <c r="AA392" s="267">
        <v>9645</v>
      </c>
      <c r="AB392" s="267">
        <v>5100</v>
      </c>
      <c r="AC392" s="267">
        <v>8300</v>
      </c>
      <c r="AD392" s="305">
        <v>10</v>
      </c>
      <c r="AE392" s="305">
        <v>9.8000000000000007</v>
      </c>
    </row>
    <row r="393" spans="1:31" ht="12.75" customHeight="1">
      <c r="A393" s="306"/>
      <c r="B393" s="298"/>
      <c r="C393" s="307" t="s">
        <v>198</v>
      </c>
      <c r="D393" s="278">
        <v>2358.1999999999998</v>
      </c>
      <c r="E393" s="278">
        <v>2346</v>
      </c>
      <c r="F393" s="278">
        <v>2340.3200000000002</v>
      </c>
      <c r="G393" s="278">
        <v>2313.0300000000002</v>
      </c>
      <c r="H393" s="278">
        <v>2280.42</v>
      </c>
      <c r="I393" s="278">
        <v>2254.75</v>
      </c>
      <c r="J393" s="278">
        <v>2321.42</v>
      </c>
      <c r="K393" s="278">
        <v>2356.8200000000002</v>
      </c>
      <c r="L393" s="278">
        <v>2301.4499999999998</v>
      </c>
      <c r="M393" s="290"/>
      <c r="N393" s="290"/>
      <c r="O393" s="290"/>
      <c r="P393" s="290"/>
      <c r="Q393" s="298"/>
      <c r="R393" s="298"/>
      <c r="S393" s="298"/>
      <c r="T393" s="298"/>
      <c r="U393" s="298"/>
      <c r="V393" s="302"/>
      <c r="W393" s="298"/>
      <c r="X393" s="339"/>
      <c r="Y393" s="340"/>
      <c r="Z393" s="267"/>
      <c r="AA393" s="267"/>
      <c r="AB393" s="267"/>
      <c r="AC393" s="267"/>
      <c r="AD393" s="268"/>
      <c r="AE393" s="269"/>
    </row>
    <row r="394" spans="1:31" ht="24.75" customHeight="1" thickBot="1">
      <c r="A394" s="306"/>
      <c r="B394" s="309"/>
      <c r="C394" s="310" t="s">
        <v>197</v>
      </c>
      <c r="D394" s="311">
        <f t="shared" ref="D394:L394" si="126">IF(((D392="")*AND(D393="")),"",(D392-D393)*2)</f>
        <v>7215.16</v>
      </c>
      <c r="E394" s="311">
        <f t="shared" si="126"/>
        <v>7352.74</v>
      </c>
      <c r="F394" s="311">
        <f t="shared" si="126"/>
        <v>7407.72</v>
      </c>
      <c r="G394" s="311">
        <f t="shared" si="126"/>
        <v>7371.6799999999994</v>
      </c>
      <c r="H394" s="311">
        <f t="shared" si="126"/>
        <v>7416.9</v>
      </c>
      <c r="I394" s="311">
        <f t="shared" si="126"/>
        <v>7313.92</v>
      </c>
      <c r="J394" s="311">
        <f t="shared" si="126"/>
        <v>7354.5599999999995</v>
      </c>
      <c r="K394" s="311">
        <f t="shared" si="126"/>
        <v>7367.6599999999989</v>
      </c>
      <c r="L394" s="311">
        <f t="shared" si="126"/>
        <v>7232</v>
      </c>
      <c r="M394" s="311"/>
      <c r="N394" s="311"/>
      <c r="O394" s="311"/>
      <c r="P394" s="311" t="str">
        <f>IF(((P392="")*AND(P393="")),"",(P392-P393)*2)</f>
        <v/>
      </c>
      <c r="Q394" s="309"/>
      <c r="R394" s="309"/>
      <c r="S394" s="309"/>
      <c r="T394" s="309"/>
      <c r="U394" s="309"/>
      <c r="V394" s="312"/>
      <c r="W394" s="309"/>
      <c r="X394" s="339"/>
      <c r="Y394" s="341"/>
      <c r="Z394" s="267"/>
      <c r="AA394" s="267"/>
      <c r="AB394" s="267"/>
      <c r="AC394" s="267"/>
      <c r="AD394" s="268"/>
      <c r="AE394" s="269"/>
    </row>
    <row r="395" spans="1:31" ht="12.75" customHeight="1">
      <c r="A395" s="364">
        <v>43080</v>
      </c>
      <c r="B395" s="315" t="s">
        <v>200</v>
      </c>
      <c r="C395" s="316" t="s">
        <v>199</v>
      </c>
      <c r="D395" s="278">
        <v>6886.58</v>
      </c>
      <c r="E395" s="278">
        <v>6980.63</v>
      </c>
      <c r="F395" s="278">
        <v>6807.5</v>
      </c>
      <c r="G395" s="278">
        <v>6878.04</v>
      </c>
      <c r="H395" s="278">
        <v>6889.87</v>
      </c>
      <c r="I395" s="278">
        <v>6914.42</v>
      </c>
      <c r="J395" s="278">
        <v>6912.69</v>
      </c>
      <c r="K395" s="278">
        <v>6804.32</v>
      </c>
      <c r="L395" s="278">
        <v>6827.69</v>
      </c>
      <c r="M395" s="278">
        <v>6906.08</v>
      </c>
      <c r="N395" s="278">
        <v>6965.86</v>
      </c>
      <c r="O395" s="278">
        <v>6865.85</v>
      </c>
      <c r="P395" s="278">
        <v>6901.77</v>
      </c>
      <c r="Q395" s="326">
        <f>IF((L396=""),"",MAX(D397:P397))</f>
        <v>5495.67</v>
      </c>
      <c r="R395" s="315">
        <f>IF(L396="","",MIN(D397:L397))</f>
        <v>5371.27</v>
      </c>
      <c r="S395" s="318">
        <f>IF((P397=""),"",AVERAGE(D397:P397))</f>
        <v>5421.51</v>
      </c>
      <c r="T395" s="318">
        <f>IF((L396=""),"",(Q395-R395)/(Q395+R395)*100)</f>
        <v>1.144756481585429</v>
      </c>
      <c r="U395" s="315">
        <f>STDEV(D397:P397)</f>
        <v>39.172312926231029</v>
      </c>
      <c r="V395" s="320" t="str">
        <f>IF(P396="","",IF(T395&lt;2.7,IF(S395&gt;5150,IF(S395&lt;5600,"Pass","Fail"),"Fail"),"Fail"))</f>
        <v>Pass</v>
      </c>
      <c r="W395" s="315"/>
      <c r="X395" s="339"/>
      <c r="Y395" s="357"/>
      <c r="Z395" s="321">
        <v>4470</v>
      </c>
      <c r="AA395" s="321">
        <v>6020</v>
      </c>
      <c r="AB395" s="321">
        <v>5150</v>
      </c>
      <c r="AC395" s="321">
        <v>5600</v>
      </c>
      <c r="AD395" s="305">
        <v>10</v>
      </c>
      <c r="AE395" s="322">
        <v>2.7</v>
      </c>
    </row>
    <row r="396" spans="1:31" ht="12.75" customHeight="1">
      <c r="A396" s="306"/>
      <c r="B396" s="298"/>
      <c r="C396" s="307" t="s">
        <v>198</v>
      </c>
      <c r="D396" s="278">
        <v>1515.16</v>
      </c>
      <c r="E396" s="278">
        <v>1592.49</v>
      </c>
      <c r="F396" s="278">
        <v>1436.23</v>
      </c>
      <c r="G396" s="278">
        <v>1440.58</v>
      </c>
      <c r="H396" s="278">
        <v>1496.14</v>
      </c>
      <c r="I396" s="278">
        <v>1463.36</v>
      </c>
      <c r="J396" s="278">
        <v>1458.78</v>
      </c>
      <c r="K396" s="278">
        <v>1308.6500000000001</v>
      </c>
      <c r="L396" s="278">
        <v>1437.59</v>
      </c>
      <c r="M396" s="278">
        <v>1432.17</v>
      </c>
      <c r="N396" s="278">
        <v>1553.14</v>
      </c>
      <c r="O396" s="278">
        <v>1444.19</v>
      </c>
      <c r="P396" s="278">
        <v>1483.19</v>
      </c>
      <c r="Q396" s="298"/>
      <c r="R396" s="298"/>
      <c r="S396" s="298"/>
      <c r="T396" s="298"/>
      <c r="U396" s="298"/>
      <c r="V396" s="302"/>
      <c r="W396" s="298"/>
      <c r="X396" s="339"/>
      <c r="Y396" s="340"/>
      <c r="Z396" s="267"/>
      <c r="AA396" s="267"/>
      <c r="AB396" s="267"/>
      <c r="AC396" s="267"/>
      <c r="AD396" s="268"/>
      <c r="AE396" s="269"/>
    </row>
    <row r="397" spans="1:31" ht="24" customHeight="1">
      <c r="A397" s="306"/>
      <c r="B397" s="299"/>
      <c r="C397" s="307" t="s">
        <v>197</v>
      </c>
      <c r="D397" s="323">
        <f t="shared" ref="D397:P397" si="127">IF(((D395="")*AND(D396="")),"",(D395-D396))</f>
        <v>5371.42</v>
      </c>
      <c r="E397" s="323">
        <f t="shared" si="127"/>
        <v>5388.14</v>
      </c>
      <c r="F397" s="323">
        <f t="shared" si="127"/>
        <v>5371.27</v>
      </c>
      <c r="G397" s="323">
        <f t="shared" si="127"/>
        <v>5437.46</v>
      </c>
      <c r="H397" s="323">
        <f t="shared" si="127"/>
        <v>5393.73</v>
      </c>
      <c r="I397" s="323">
        <f t="shared" si="127"/>
        <v>5451.06</v>
      </c>
      <c r="J397" s="323">
        <f t="shared" si="127"/>
        <v>5453.91</v>
      </c>
      <c r="K397" s="323">
        <f t="shared" si="127"/>
        <v>5495.67</v>
      </c>
      <c r="L397" s="323">
        <f t="shared" si="127"/>
        <v>5390.0999999999995</v>
      </c>
      <c r="M397" s="323">
        <f t="shared" si="127"/>
        <v>5473.91</v>
      </c>
      <c r="N397" s="323">
        <f t="shared" si="127"/>
        <v>5412.7199999999993</v>
      </c>
      <c r="O397" s="323">
        <f t="shared" si="127"/>
        <v>5421.66</v>
      </c>
      <c r="P397" s="323">
        <f t="shared" si="127"/>
        <v>5418.58</v>
      </c>
      <c r="Q397" s="299"/>
      <c r="R397" s="299"/>
      <c r="S397" s="299"/>
      <c r="T397" s="298"/>
      <c r="U397" s="299"/>
      <c r="V397" s="324"/>
      <c r="W397" s="299"/>
      <c r="X397" s="339"/>
      <c r="Y397" s="340"/>
      <c r="Z397" s="267"/>
      <c r="AA397" s="267"/>
      <c r="AB397" s="267"/>
      <c r="AC397" s="267"/>
      <c r="AD397" s="268"/>
      <c r="AE397" s="269"/>
    </row>
    <row r="398" spans="1:31" ht="12.75" customHeight="1">
      <c r="A398" s="364">
        <v>43080</v>
      </c>
      <c r="B398" s="326" t="s">
        <v>202</v>
      </c>
      <c r="C398" s="307" t="s">
        <v>199</v>
      </c>
      <c r="D398" s="278">
        <v>5954.3</v>
      </c>
      <c r="E398" s="278">
        <v>6020.38</v>
      </c>
      <c r="F398" s="278">
        <v>6037.01</v>
      </c>
      <c r="G398" s="278">
        <v>5988.85</v>
      </c>
      <c r="H398" s="278">
        <v>5929.38</v>
      </c>
      <c r="I398" s="278">
        <v>5917</v>
      </c>
      <c r="J398" s="278">
        <v>5999.98</v>
      </c>
      <c r="K398" s="278">
        <v>6028.26</v>
      </c>
      <c r="L398" s="278">
        <v>5900.4</v>
      </c>
      <c r="M398" s="290"/>
      <c r="N398" s="290"/>
      <c r="O398" s="290"/>
      <c r="P398" s="290"/>
      <c r="Q398" s="326">
        <f>IF((L399=""),"",MAX(D400:L400))</f>
        <v>7287.5800000000008</v>
      </c>
      <c r="R398" s="326">
        <f>IF(L399="","",MIN(D400:L400))</f>
        <v>7081.7199999999993</v>
      </c>
      <c r="S398" s="327">
        <f>IF((L400=""),"",AVERAGE(D400:L400))</f>
        <v>7214.7711111111112</v>
      </c>
      <c r="T398" s="319">
        <f>IF((L399=""),"",(Q398-R398)/(Q398+R398)*100)</f>
        <v>1.4326376371848419</v>
      </c>
      <c r="U398" s="326">
        <f>STDEV(D400:P400)</f>
        <v>73.991047506589808</v>
      </c>
      <c r="V398" s="328" t="str">
        <f>IF(L399="","",IF(T398&lt;9.8,IF(S398&gt;5100,IF(S398&lt;8300,"Pass","Fail"),"Fail"),"Fail"))</f>
        <v>Pass</v>
      </c>
      <c r="W398" s="298"/>
      <c r="X398" s="339"/>
      <c r="Y398" s="340"/>
      <c r="Z398" s="267">
        <v>4955</v>
      </c>
      <c r="AA398" s="267">
        <v>9645</v>
      </c>
      <c r="AB398" s="267">
        <v>5100</v>
      </c>
      <c r="AC398" s="267">
        <v>8300</v>
      </c>
      <c r="AD398" s="305">
        <v>10</v>
      </c>
      <c r="AE398" s="305">
        <v>9.8000000000000007</v>
      </c>
    </row>
    <row r="399" spans="1:31" ht="12.75" customHeight="1">
      <c r="A399" s="306"/>
      <c r="B399" s="298"/>
      <c r="C399" s="307" t="s">
        <v>198</v>
      </c>
      <c r="D399" s="278">
        <v>2407.81</v>
      </c>
      <c r="E399" s="278">
        <v>2401.06</v>
      </c>
      <c r="F399" s="278">
        <v>2393.2199999999998</v>
      </c>
      <c r="G399" s="278">
        <v>2363.08</v>
      </c>
      <c r="H399" s="278">
        <v>2300.17</v>
      </c>
      <c r="I399" s="278">
        <v>2295.41</v>
      </c>
      <c r="J399" s="278">
        <v>2376.56</v>
      </c>
      <c r="K399" s="278">
        <v>2412.2399999999998</v>
      </c>
      <c r="L399" s="278">
        <v>2359.54</v>
      </c>
      <c r="M399" s="290"/>
      <c r="N399" s="290"/>
      <c r="O399" s="290"/>
      <c r="P399" s="290"/>
      <c r="Q399" s="298"/>
      <c r="R399" s="298"/>
      <c r="S399" s="298"/>
      <c r="T399" s="298"/>
      <c r="U399" s="298"/>
      <c r="V399" s="302"/>
      <c r="W399" s="298"/>
      <c r="X399" s="339"/>
      <c r="Y399" s="340"/>
      <c r="Z399" s="267"/>
      <c r="AA399" s="267"/>
      <c r="AB399" s="267"/>
      <c r="AC399" s="267"/>
      <c r="AD399" s="268"/>
      <c r="AE399" s="269"/>
    </row>
    <row r="400" spans="1:31" ht="24.75" customHeight="1" thickBot="1">
      <c r="A400" s="306"/>
      <c r="B400" s="309"/>
      <c r="C400" s="310" t="s">
        <v>197</v>
      </c>
      <c r="D400" s="311">
        <f t="shared" ref="D400:L400" si="128">IF(((D398="")*AND(D399="")),"",(D398-D399)*2)</f>
        <v>7092.9800000000005</v>
      </c>
      <c r="E400" s="311">
        <f t="shared" si="128"/>
        <v>7238.64</v>
      </c>
      <c r="F400" s="311">
        <f t="shared" si="128"/>
        <v>7287.5800000000008</v>
      </c>
      <c r="G400" s="311">
        <f t="shared" si="128"/>
        <v>7251.5400000000009</v>
      </c>
      <c r="H400" s="311">
        <f t="shared" si="128"/>
        <v>7258.42</v>
      </c>
      <c r="I400" s="311">
        <f t="shared" si="128"/>
        <v>7243.18</v>
      </c>
      <c r="J400" s="311">
        <f t="shared" si="128"/>
        <v>7246.8399999999992</v>
      </c>
      <c r="K400" s="311">
        <f t="shared" si="128"/>
        <v>7232.0400000000009</v>
      </c>
      <c r="L400" s="311">
        <f t="shared" si="128"/>
        <v>7081.7199999999993</v>
      </c>
      <c r="M400" s="311"/>
      <c r="N400" s="311"/>
      <c r="O400" s="311"/>
      <c r="P400" s="311" t="str">
        <f>IF(((P398="")*AND(P399="")),"",(P398-P399)*2)</f>
        <v/>
      </c>
      <c r="Q400" s="309"/>
      <c r="R400" s="309"/>
      <c r="S400" s="309"/>
      <c r="T400" s="309"/>
      <c r="U400" s="309"/>
      <c r="V400" s="312"/>
      <c r="W400" s="309"/>
      <c r="X400" s="339"/>
      <c r="Y400" s="341"/>
      <c r="Z400" s="267"/>
      <c r="AA400" s="267"/>
      <c r="AB400" s="267"/>
      <c r="AC400" s="267"/>
      <c r="AD400" s="268"/>
      <c r="AE400" s="269"/>
    </row>
    <row r="401" spans="1:31" ht="12.75" customHeight="1">
      <c r="A401" s="364">
        <v>43091</v>
      </c>
      <c r="B401" s="315" t="s">
        <v>200</v>
      </c>
      <c r="C401" s="316" t="s">
        <v>199</v>
      </c>
      <c r="D401" s="278">
        <v>6912.97</v>
      </c>
      <c r="E401" s="278">
        <v>7018.09</v>
      </c>
      <c r="F401" s="278">
        <v>6825.27</v>
      </c>
      <c r="G401" s="278">
        <v>6885.37</v>
      </c>
      <c r="H401" s="278">
        <v>6930.33</v>
      </c>
      <c r="I401" s="278">
        <v>6941.93</v>
      </c>
      <c r="J401" s="278">
        <v>6914.03</v>
      </c>
      <c r="K401" s="278">
        <v>6812.57</v>
      </c>
      <c r="L401" s="278">
        <v>6843.5</v>
      </c>
      <c r="M401" s="278">
        <v>6911.66</v>
      </c>
      <c r="N401" s="278">
        <v>7002.72</v>
      </c>
      <c r="O401" s="278">
        <v>6886</v>
      </c>
      <c r="P401" s="278">
        <v>6935.66</v>
      </c>
      <c r="Q401" s="326">
        <f>IF((L402=""),"",MAX(D403:P403))</f>
        <v>5458.88</v>
      </c>
      <c r="R401" s="315">
        <f>IF(L402="","",MIN(D403:L403))</f>
        <v>5347.88</v>
      </c>
      <c r="S401" s="318">
        <f>IF((P403=""),"",AVERAGE(D403:P403))</f>
        <v>5416.3138461538465</v>
      </c>
      <c r="T401" s="318">
        <f>IF((L402=""),"",(Q401-R401)/(Q401+R401)*100)</f>
        <v>1.0271348674348277</v>
      </c>
      <c r="U401" s="315">
        <f>STDEV(D403:P403)</f>
        <v>38.01855479861625</v>
      </c>
      <c r="V401" s="320" t="str">
        <f>IF(P402="","",IF(T401&lt;2.7,IF(S401&gt;5150,IF(S401&lt;5600,"Pass","Fail"),"Fail"),"Fail"))</f>
        <v>Pass</v>
      </c>
      <c r="W401" s="315" t="s">
        <v>231</v>
      </c>
      <c r="X401" s="339"/>
      <c r="Y401" s="357"/>
      <c r="Z401" s="321">
        <v>4470</v>
      </c>
      <c r="AA401" s="321">
        <v>6020</v>
      </c>
      <c r="AB401" s="321">
        <v>5150</v>
      </c>
      <c r="AC401" s="321">
        <v>5600</v>
      </c>
      <c r="AD401" s="305">
        <v>10</v>
      </c>
      <c r="AE401" s="322">
        <v>2.7</v>
      </c>
    </row>
    <row r="402" spans="1:31" ht="12.75" customHeight="1">
      <c r="A402" s="306"/>
      <c r="B402" s="298"/>
      <c r="C402" s="307" t="s">
        <v>198</v>
      </c>
      <c r="D402" s="278">
        <v>1547.74</v>
      </c>
      <c r="E402" s="278">
        <v>1610.83</v>
      </c>
      <c r="F402" s="278">
        <v>1477.39</v>
      </c>
      <c r="G402" s="278">
        <v>1492.45</v>
      </c>
      <c r="H402" s="278">
        <v>1489.98</v>
      </c>
      <c r="I402" s="278">
        <v>1491.28</v>
      </c>
      <c r="J402" s="278">
        <v>1497.77</v>
      </c>
      <c r="K402" s="278">
        <v>1355.21</v>
      </c>
      <c r="L402" s="278">
        <v>1476.09</v>
      </c>
      <c r="M402" s="278">
        <v>1452.78</v>
      </c>
      <c r="N402" s="278">
        <v>1556.81</v>
      </c>
      <c r="O402" s="278">
        <v>1470.37</v>
      </c>
      <c r="P402" s="278">
        <v>1489.32</v>
      </c>
      <c r="Q402" s="298"/>
      <c r="R402" s="298"/>
      <c r="S402" s="298"/>
      <c r="T402" s="298"/>
      <c r="U402" s="298"/>
      <c r="V402" s="302"/>
      <c r="W402" s="298"/>
      <c r="X402" s="339"/>
      <c r="Y402" s="340"/>
      <c r="Z402" s="267"/>
      <c r="AA402" s="267"/>
      <c r="AB402" s="267"/>
      <c r="AC402" s="267"/>
      <c r="AD402" s="268"/>
      <c r="AE402" s="269"/>
    </row>
    <row r="403" spans="1:31" ht="24" customHeight="1">
      <c r="A403" s="306"/>
      <c r="B403" s="299"/>
      <c r="C403" s="307" t="s">
        <v>197</v>
      </c>
      <c r="D403" s="323">
        <f t="shared" ref="D403:P403" si="129">IF(((D401="")*AND(D402="")),"",(D401-D402))</f>
        <v>5365.2300000000005</v>
      </c>
      <c r="E403" s="323">
        <f t="shared" si="129"/>
        <v>5407.26</v>
      </c>
      <c r="F403" s="323">
        <f t="shared" si="129"/>
        <v>5347.88</v>
      </c>
      <c r="G403" s="323">
        <f t="shared" si="129"/>
        <v>5392.92</v>
      </c>
      <c r="H403" s="323">
        <f t="shared" si="129"/>
        <v>5440.35</v>
      </c>
      <c r="I403" s="323">
        <f t="shared" si="129"/>
        <v>5450.6500000000005</v>
      </c>
      <c r="J403" s="323">
        <f t="shared" si="129"/>
        <v>5416.26</v>
      </c>
      <c r="K403" s="323">
        <f t="shared" si="129"/>
        <v>5457.36</v>
      </c>
      <c r="L403" s="323">
        <f t="shared" si="129"/>
        <v>5367.41</v>
      </c>
      <c r="M403" s="323">
        <f t="shared" si="129"/>
        <v>5458.88</v>
      </c>
      <c r="N403" s="323">
        <f t="shared" si="129"/>
        <v>5445.91</v>
      </c>
      <c r="O403" s="323">
        <f t="shared" si="129"/>
        <v>5415.63</v>
      </c>
      <c r="P403" s="323">
        <f t="shared" si="129"/>
        <v>5446.34</v>
      </c>
      <c r="Q403" s="299"/>
      <c r="R403" s="299"/>
      <c r="S403" s="299"/>
      <c r="T403" s="298"/>
      <c r="U403" s="299"/>
      <c r="V403" s="324"/>
      <c r="W403" s="299"/>
      <c r="X403" s="339"/>
      <c r="Y403" s="340"/>
      <c r="Z403" s="267"/>
      <c r="AA403" s="267"/>
      <c r="AB403" s="267"/>
      <c r="AC403" s="267"/>
      <c r="AD403" s="268"/>
      <c r="AE403" s="269"/>
    </row>
    <row r="404" spans="1:31" ht="12.75" customHeight="1">
      <c r="A404" s="364">
        <v>43091</v>
      </c>
      <c r="B404" s="326" t="s">
        <v>202</v>
      </c>
      <c r="C404" s="307" t="s">
        <v>199</v>
      </c>
      <c r="D404" s="278">
        <v>5959.53</v>
      </c>
      <c r="E404" s="278">
        <v>6015.94</v>
      </c>
      <c r="F404" s="278">
        <v>6035.38</v>
      </c>
      <c r="G404" s="278">
        <v>5989.73</v>
      </c>
      <c r="H404" s="278">
        <v>5917.91</v>
      </c>
      <c r="I404" s="278">
        <v>5925.54</v>
      </c>
      <c r="J404" s="278">
        <v>6008.77</v>
      </c>
      <c r="K404" s="278">
        <v>6035.88</v>
      </c>
      <c r="L404" s="278">
        <v>5875.09</v>
      </c>
      <c r="M404" s="290"/>
      <c r="N404" s="290"/>
      <c r="O404" s="290"/>
      <c r="P404" s="290"/>
      <c r="Q404" s="326">
        <f>IF((L405=""),"",MAX(D406:L406))</f>
        <v>7632.84</v>
      </c>
      <c r="R404" s="326">
        <f>IF(L405="","",MIN(D406:L406))</f>
        <v>7248.88</v>
      </c>
      <c r="S404" s="327">
        <f>IF((L406=""),"",AVERAGE(D406:L406))</f>
        <v>7427.7022222222231</v>
      </c>
      <c r="T404" s="319">
        <f>IF((L405=""),"",(Q404-R404)/(Q404+R404)*100)</f>
        <v>2.5800781092508123</v>
      </c>
      <c r="U404" s="326">
        <f>STDEV(D406:P406)</f>
        <v>110.1303425238799</v>
      </c>
      <c r="V404" s="328" t="str">
        <f>IF(L405="","",IF(T404&lt;9.8,IF(S404&gt;5100,IF(S404&lt;8300,"Pass","Fail"),"Fail"),"Fail"))</f>
        <v>Pass</v>
      </c>
      <c r="W404" s="298" t="s">
        <v>231</v>
      </c>
      <c r="X404" s="339"/>
      <c r="Y404" s="340"/>
      <c r="Z404" s="267">
        <v>4955</v>
      </c>
      <c r="AA404" s="267">
        <v>9645</v>
      </c>
      <c r="AB404" s="267">
        <v>5100</v>
      </c>
      <c r="AC404" s="267">
        <v>8300</v>
      </c>
      <c r="AD404" s="305">
        <v>10</v>
      </c>
      <c r="AE404" s="305">
        <v>9.8000000000000007</v>
      </c>
    </row>
    <row r="405" spans="1:31" ht="12.75" customHeight="1">
      <c r="A405" s="306"/>
      <c r="B405" s="298"/>
      <c r="C405" s="307" t="s">
        <v>198</v>
      </c>
      <c r="D405" s="278">
        <v>2296.41</v>
      </c>
      <c r="E405" s="278">
        <v>2318.4899999999998</v>
      </c>
      <c r="F405" s="278">
        <v>2315.25</v>
      </c>
      <c r="G405" s="278">
        <v>2271.89</v>
      </c>
      <c r="H405" s="278">
        <v>2152.5100000000002</v>
      </c>
      <c r="I405" s="278">
        <v>2109.12</v>
      </c>
      <c r="J405" s="278">
        <v>2289.9899999999998</v>
      </c>
      <c r="K405" s="278">
        <v>2334.8000000000002</v>
      </c>
      <c r="L405" s="278">
        <v>2250.65</v>
      </c>
      <c r="M405" s="290"/>
      <c r="N405" s="290"/>
      <c r="O405" s="290"/>
      <c r="P405" s="290"/>
      <c r="Q405" s="298"/>
      <c r="R405" s="298"/>
      <c r="S405" s="298"/>
      <c r="T405" s="298"/>
      <c r="U405" s="298"/>
      <c r="V405" s="302"/>
      <c r="W405" s="298"/>
      <c r="X405" s="339"/>
      <c r="Y405" s="340"/>
      <c r="Z405" s="267"/>
      <c r="AA405" s="267"/>
      <c r="AB405" s="267"/>
      <c r="AC405" s="267"/>
      <c r="AD405" s="268"/>
      <c r="AE405" s="269"/>
    </row>
    <row r="406" spans="1:31" ht="24.75" customHeight="1" thickBot="1">
      <c r="A406" s="306"/>
      <c r="B406" s="309"/>
      <c r="C406" s="310" t="s">
        <v>197</v>
      </c>
      <c r="D406" s="311">
        <f t="shared" ref="D406:L406" si="130">IF(((D404="")*AND(D405="")),"",(D404-D405)*2)</f>
        <v>7326.24</v>
      </c>
      <c r="E406" s="311">
        <f t="shared" si="130"/>
        <v>7394.9</v>
      </c>
      <c r="F406" s="311">
        <f t="shared" si="130"/>
        <v>7440.26</v>
      </c>
      <c r="G406" s="311">
        <f t="shared" si="130"/>
        <v>7435.6799999999994</v>
      </c>
      <c r="H406" s="311">
        <f t="shared" si="130"/>
        <v>7530.7999999999993</v>
      </c>
      <c r="I406" s="311">
        <f t="shared" si="130"/>
        <v>7632.84</v>
      </c>
      <c r="J406" s="311">
        <f t="shared" si="130"/>
        <v>7437.5600000000013</v>
      </c>
      <c r="K406" s="311">
        <f t="shared" si="130"/>
        <v>7402.16</v>
      </c>
      <c r="L406" s="311">
        <f t="shared" si="130"/>
        <v>7248.88</v>
      </c>
      <c r="M406" s="311"/>
      <c r="N406" s="311"/>
      <c r="O406" s="311"/>
      <c r="P406" s="311" t="str">
        <f>IF(((P404="")*AND(P405="")),"",(P404-P405)*2)</f>
        <v/>
      </c>
      <c r="Q406" s="309"/>
      <c r="R406" s="309"/>
      <c r="S406" s="309"/>
      <c r="T406" s="309"/>
      <c r="U406" s="309"/>
      <c r="V406" s="312"/>
      <c r="W406" s="309"/>
      <c r="X406" s="339"/>
      <c r="Y406" s="341"/>
      <c r="Z406" s="267"/>
      <c r="AA406" s="267"/>
      <c r="AB406" s="267"/>
      <c r="AC406" s="267"/>
      <c r="AD406" s="268"/>
      <c r="AE406" s="269"/>
    </row>
    <row r="407" spans="1:31" ht="12.75" customHeight="1">
      <c r="A407" s="364">
        <v>43096</v>
      </c>
      <c r="B407" s="315" t="s">
        <v>200</v>
      </c>
      <c r="C407" s="316" t="s">
        <v>199</v>
      </c>
      <c r="D407" s="278">
        <v>7034.81</v>
      </c>
      <c r="E407" s="278">
        <v>7140.84</v>
      </c>
      <c r="F407" s="278">
        <v>6950.29</v>
      </c>
      <c r="G407" s="278">
        <v>7013.77</v>
      </c>
      <c r="H407" s="278">
        <v>7055.06</v>
      </c>
      <c r="I407" s="278">
        <v>7066.91</v>
      </c>
      <c r="J407" s="278">
        <v>7045.48</v>
      </c>
      <c r="K407" s="278">
        <v>6945.81</v>
      </c>
      <c r="L407" s="278">
        <v>6973.05</v>
      </c>
      <c r="M407" s="278">
        <v>7042.6</v>
      </c>
      <c r="N407" s="278">
        <v>7124.8</v>
      </c>
      <c r="O407" s="278">
        <v>7016.2</v>
      </c>
      <c r="P407" s="278">
        <v>7059.76</v>
      </c>
      <c r="Q407" s="326">
        <f>IF((L408=""),"",MAX(D409:P409))</f>
        <v>5388.0199999999995</v>
      </c>
      <c r="R407" s="315">
        <f>IF(L408="","",MIN(D409:L409))</f>
        <v>5281.62</v>
      </c>
      <c r="S407" s="318">
        <f>IF((P409=""),"",AVERAGE(D409:P409))</f>
        <v>5344.5523076923082</v>
      </c>
      <c r="T407" s="318">
        <f>IF((L408=""),"",(Q407-R407)/(Q407+R407)*100)</f>
        <v>0.99722202436070606</v>
      </c>
      <c r="U407" s="315">
        <f>STDEV(D409:P409)</f>
        <v>34.366793603150839</v>
      </c>
      <c r="V407" s="320" t="str">
        <f>IF(P408="","",IF(T407&lt;2.7,IF(S407&gt;5150,IF(S407&lt;5600,"Pass","Fail"),"Fail"),"Fail"))</f>
        <v>Pass</v>
      </c>
      <c r="W407" s="315"/>
      <c r="X407" s="339"/>
      <c r="Y407" s="357"/>
      <c r="Z407" s="321">
        <v>4470</v>
      </c>
      <c r="AA407" s="321">
        <v>6020</v>
      </c>
      <c r="AB407" s="321">
        <v>5150</v>
      </c>
      <c r="AC407" s="321">
        <v>5600</v>
      </c>
      <c r="AD407" s="305">
        <v>10</v>
      </c>
      <c r="AE407" s="322">
        <v>2.7</v>
      </c>
    </row>
    <row r="408" spans="1:31" ht="12.75" customHeight="1">
      <c r="A408" s="306"/>
      <c r="B408" s="298"/>
      <c r="C408" s="307" t="s">
        <v>198</v>
      </c>
      <c r="D408" s="278">
        <v>1721.78</v>
      </c>
      <c r="E408" s="278">
        <v>1796.36</v>
      </c>
      <c r="F408" s="278">
        <v>1668.67</v>
      </c>
      <c r="G408" s="278">
        <v>1691.31</v>
      </c>
      <c r="H408" s="278">
        <v>1680.04</v>
      </c>
      <c r="I408" s="278">
        <v>1678.89</v>
      </c>
      <c r="J408" s="278">
        <v>1700.45</v>
      </c>
      <c r="K408" s="278">
        <v>1583.77</v>
      </c>
      <c r="L408" s="278">
        <v>1680.86</v>
      </c>
      <c r="M408" s="278">
        <v>1658.95</v>
      </c>
      <c r="N408" s="278">
        <v>1753.72</v>
      </c>
      <c r="O408" s="278">
        <v>1682.76</v>
      </c>
      <c r="P408" s="278">
        <v>1692.64</v>
      </c>
      <c r="Q408" s="298"/>
      <c r="R408" s="298"/>
      <c r="S408" s="298"/>
      <c r="T408" s="298"/>
      <c r="U408" s="298"/>
      <c r="V408" s="302"/>
      <c r="W408" s="298"/>
      <c r="X408" s="339"/>
      <c r="Y408" s="340"/>
      <c r="Z408" s="267"/>
      <c r="AA408" s="267"/>
      <c r="AB408" s="267"/>
      <c r="AC408" s="267"/>
      <c r="AD408" s="268"/>
      <c r="AE408" s="269"/>
    </row>
    <row r="409" spans="1:31" ht="24" customHeight="1">
      <c r="A409" s="306"/>
      <c r="B409" s="299"/>
      <c r="C409" s="307" t="s">
        <v>197</v>
      </c>
      <c r="D409" s="323">
        <f t="shared" ref="D409:P409" si="131">IF(((D407="")*AND(D408="")),"",(D407-D408))</f>
        <v>5313.0300000000007</v>
      </c>
      <c r="E409" s="323">
        <f t="shared" si="131"/>
        <v>5344.4800000000005</v>
      </c>
      <c r="F409" s="323">
        <f t="shared" si="131"/>
        <v>5281.62</v>
      </c>
      <c r="G409" s="323">
        <f t="shared" si="131"/>
        <v>5322.4600000000009</v>
      </c>
      <c r="H409" s="323">
        <f t="shared" si="131"/>
        <v>5375.02</v>
      </c>
      <c r="I409" s="323">
        <f t="shared" si="131"/>
        <v>5388.0199999999995</v>
      </c>
      <c r="J409" s="323">
        <f t="shared" si="131"/>
        <v>5345.03</v>
      </c>
      <c r="K409" s="323">
        <f t="shared" si="131"/>
        <v>5362.0400000000009</v>
      </c>
      <c r="L409" s="323">
        <f t="shared" si="131"/>
        <v>5292.1900000000005</v>
      </c>
      <c r="M409" s="323">
        <f t="shared" si="131"/>
        <v>5383.6500000000005</v>
      </c>
      <c r="N409" s="323">
        <f t="shared" si="131"/>
        <v>5371.08</v>
      </c>
      <c r="O409" s="323">
        <f t="shared" si="131"/>
        <v>5333.44</v>
      </c>
      <c r="P409" s="323">
        <f t="shared" si="131"/>
        <v>5367.12</v>
      </c>
      <c r="Q409" s="299"/>
      <c r="R409" s="299"/>
      <c r="S409" s="299"/>
      <c r="T409" s="298"/>
      <c r="U409" s="299"/>
      <c r="V409" s="324"/>
      <c r="W409" s="299"/>
      <c r="X409" s="339"/>
      <c r="Y409" s="340"/>
      <c r="Z409" s="267"/>
      <c r="AA409" s="267"/>
      <c r="AB409" s="267"/>
      <c r="AC409" s="267"/>
      <c r="AD409" s="268"/>
      <c r="AE409" s="269"/>
    </row>
    <row r="410" spans="1:31" ht="12.75" customHeight="1">
      <c r="A410" s="364">
        <v>43096</v>
      </c>
      <c r="B410" s="326" t="s">
        <v>202</v>
      </c>
      <c r="C410" s="307" t="s">
        <v>199</v>
      </c>
      <c r="D410" s="278">
        <v>5964.69</v>
      </c>
      <c r="E410" s="278">
        <v>6012.02</v>
      </c>
      <c r="F410" s="278">
        <v>6040.63</v>
      </c>
      <c r="G410" s="278">
        <v>5998.28</v>
      </c>
      <c r="H410" s="278">
        <v>5927.56</v>
      </c>
      <c r="I410" s="278">
        <v>5942.84</v>
      </c>
      <c r="J410" s="278">
        <v>6008.51</v>
      </c>
      <c r="K410" s="278">
        <v>6025.75</v>
      </c>
      <c r="L410" s="278">
        <v>5876.08</v>
      </c>
      <c r="M410" s="290"/>
      <c r="N410" s="290"/>
      <c r="O410" s="290"/>
      <c r="P410" s="290"/>
      <c r="Q410" s="326">
        <f>IF((L411=""),"",MAX(D412:L412))</f>
        <v>7191.72</v>
      </c>
      <c r="R410" s="326">
        <f>IF(L411="","",MIN(D412:L412))</f>
        <v>6789.84</v>
      </c>
      <c r="S410" s="327">
        <f>IF((L412=""),"",AVERAGE(D412:L412))</f>
        <v>6992.4155555555562</v>
      </c>
      <c r="T410" s="319">
        <f>IF((L411=""),"",(Q410-R410)/(Q410+R410)*100)</f>
        <v>2.8743573678473648</v>
      </c>
      <c r="U410" s="326">
        <f>STDEV(D412:P412)</f>
        <v>113.64723920000286</v>
      </c>
      <c r="V410" s="328" t="str">
        <f>IF(L411="","",IF(T410&lt;9.8,IF(S410&gt;5100,IF(S410&lt;8300,"Pass","Fail"),"Fail"),"Fail"))</f>
        <v>Pass</v>
      </c>
      <c r="W410" s="298"/>
      <c r="X410" s="339"/>
      <c r="Y410" s="340"/>
      <c r="Z410" s="267">
        <v>4955</v>
      </c>
      <c r="AA410" s="267">
        <v>9645</v>
      </c>
      <c r="AB410" s="267">
        <v>5100</v>
      </c>
      <c r="AC410" s="267">
        <v>8300</v>
      </c>
      <c r="AD410" s="305">
        <v>10</v>
      </c>
      <c r="AE410" s="305">
        <v>9.8000000000000007</v>
      </c>
    </row>
    <row r="411" spans="1:31" ht="12.75" customHeight="1">
      <c r="A411" s="306"/>
      <c r="B411" s="298"/>
      <c r="C411" s="307" t="s">
        <v>198</v>
      </c>
      <c r="D411" s="278">
        <v>2493.64</v>
      </c>
      <c r="E411" s="278">
        <v>2528.4699999999998</v>
      </c>
      <c r="F411" s="278">
        <v>2512.85</v>
      </c>
      <c r="G411" s="278">
        <v>2501.8200000000002</v>
      </c>
      <c r="H411" s="278">
        <v>2389.91</v>
      </c>
      <c r="I411" s="278">
        <v>2346.98</v>
      </c>
      <c r="J411" s="278">
        <v>2501.2600000000002</v>
      </c>
      <c r="K411" s="278">
        <v>2574.4</v>
      </c>
      <c r="L411" s="278">
        <v>2481.16</v>
      </c>
      <c r="M411" s="290"/>
      <c r="N411" s="290"/>
      <c r="O411" s="290"/>
      <c r="P411" s="290"/>
      <c r="Q411" s="298"/>
      <c r="R411" s="298"/>
      <c r="S411" s="298"/>
      <c r="T411" s="298"/>
      <c r="U411" s="298"/>
      <c r="V411" s="302"/>
      <c r="W411" s="298"/>
      <c r="X411" s="339"/>
      <c r="Y411" s="340"/>
      <c r="Z411" s="267"/>
      <c r="AA411" s="267"/>
      <c r="AB411" s="267"/>
      <c r="AC411" s="267"/>
      <c r="AD411" s="268"/>
      <c r="AE411" s="269"/>
    </row>
    <row r="412" spans="1:31" ht="24.75" customHeight="1" thickBot="1">
      <c r="A412" s="306"/>
      <c r="B412" s="309"/>
      <c r="C412" s="310" t="s">
        <v>197</v>
      </c>
      <c r="D412" s="311">
        <f t="shared" ref="D412:L412" si="132">IF(((D410="")*AND(D411="")),"",(D410-D411)*2)</f>
        <v>6942.0999999999995</v>
      </c>
      <c r="E412" s="311">
        <f t="shared" si="132"/>
        <v>6967.1000000000013</v>
      </c>
      <c r="F412" s="311">
        <f t="shared" si="132"/>
        <v>7055.56</v>
      </c>
      <c r="G412" s="311">
        <f t="shared" si="132"/>
        <v>6992.9199999999992</v>
      </c>
      <c r="H412" s="311">
        <f t="shared" si="132"/>
        <v>7075.3000000000011</v>
      </c>
      <c r="I412" s="311">
        <f t="shared" si="132"/>
        <v>7191.72</v>
      </c>
      <c r="J412" s="311">
        <f t="shared" si="132"/>
        <v>7014.5</v>
      </c>
      <c r="K412" s="311">
        <f t="shared" si="132"/>
        <v>6902.7</v>
      </c>
      <c r="L412" s="311">
        <f t="shared" si="132"/>
        <v>6789.84</v>
      </c>
      <c r="M412" s="311"/>
      <c r="N412" s="311"/>
      <c r="O412" s="311"/>
      <c r="P412" s="311" t="str">
        <f>IF(((P410="")*AND(P411="")),"",(P410-P411)*2)</f>
        <v/>
      </c>
      <c r="Q412" s="309"/>
      <c r="R412" s="309"/>
      <c r="S412" s="309"/>
      <c r="T412" s="309"/>
      <c r="U412" s="309"/>
      <c r="V412" s="312"/>
      <c r="W412" s="309"/>
      <c r="X412" s="339"/>
      <c r="Y412" s="341"/>
      <c r="Z412" s="267"/>
      <c r="AA412" s="267"/>
      <c r="AB412" s="267"/>
      <c r="AC412" s="267"/>
      <c r="AD412" s="268"/>
      <c r="AE412" s="269"/>
    </row>
    <row r="413" spans="1:31" ht="12.75" customHeight="1">
      <c r="A413" s="364">
        <v>43100</v>
      </c>
      <c r="B413" s="315" t="s">
        <v>200</v>
      </c>
      <c r="C413" s="316" t="s">
        <v>199</v>
      </c>
      <c r="D413" s="278">
        <v>6937.37</v>
      </c>
      <c r="E413" s="278">
        <v>7049.06</v>
      </c>
      <c r="F413" s="278">
        <v>6864.38</v>
      </c>
      <c r="G413" s="278">
        <v>6940.13</v>
      </c>
      <c r="H413" s="278">
        <v>6942.95</v>
      </c>
      <c r="I413" s="278">
        <v>6972.49</v>
      </c>
      <c r="J413" s="278">
        <v>6971.31</v>
      </c>
      <c r="K413" s="278">
        <v>6883.56</v>
      </c>
      <c r="L413" s="278">
        <v>6888.48</v>
      </c>
      <c r="M413" s="278">
        <v>6965.26</v>
      </c>
      <c r="N413" s="278">
        <v>7030.09</v>
      </c>
      <c r="O413" s="278">
        <v>6929.51</v>
      </c>
      <c r="P413" s="278">
        <v>6951.18</v>
      </c>
      <c r="Q413" s="326">
        <f>IF((L414=""),"",MAX(D415:P415))</f>
        <v>5351.89</v>
      </c>
      <c r="R413" s="315">
        <f>IF(L414="","",MIN(D415:L415))</f>
        <v>5254.58</v>
      </c>
      <c r="S413" s="318">
        <f>IF((P415=""),"",AVERAGE(D415:P415))</f>
        <v>5314.457692307692</v>
      </c>
      <c r="T413" s="318">
        <f>IF((L414=""),"",(Q413-R413)/(Q413+R413)*100)</f>
        <v>0.91745887180183783</v>
      </c>
      <c r="U413" s="315">
        <f>STDEV(D415:P415)</f>
        <v>33.328005529461691</v>
      </c>
      <c r="V413" s="320" t="str">
        <f>IF(P414="","",IF(T413&lt;2.7,IF(S413&gt;5150,IF(S413&lt;5600,"Pass","Fail"),"Fail"),"Fail"))</f>
        <v>Pass</v>
      </c>
      <c r="W413" s="315"/>
      <c r="X413" s="339"/>
      <c r="Y413" s="357"/>
      <c r="Z413" s="321">
        <v>4470</v>
      </c>
      <c r="AA413" s="321">
        <v>6020</v>
      </c>
      <c r="AB413" s="321">
        <v>5150</v>
      </c>
      <c r="AC413" s="321">
        <v>5600</v>
      </c>
      <c r="AD413" s="305">
        <v>10</v>
      </c>
      <c r="AE413" s="322">
        <v>2.7</v>
      </c>
    </row>
    <row r="414" spans="1:31" ht="12.75" customHeight="1">
      <c r="A414" s="306"/>
      <c r="B414" s="298"/>
      <c r="C414" s="307" t="s">
        <v>198</v>
      </c>
      <c r="D414" s="278">
        <v>1656.76</v>
      </c>
      <c r="E414" s="278">
        <v>1733.4</v>
      </c>
      <c r="F414" s="278">
        <v>1609.8</v>
      </c>
      <c r="G414" s="278">
        <v>1648.64</v>
      </c>
      <c r="H414" s="278">
        <v>1601.59</v>
      </c>
      <c r="I414" s="278">
        <v>1621.65</v>
      </c>
      <c r="J414" s="278">
        <v>1664.94</v>
      </c>
      <c r="K414" s="278">
        <v>1531.67</v>
      </c>
      <c r="L414" s="278">
        <v>1621.89</v>
      </c>
      <c r="M414" s="278">
        <v>1620.09</v>
      </c>
      <c r="N414" s="278">
        <v>1683.4</v>
      </c>
      <c r="O414" s="278">
        <v>1622.37</v>
      </c>
      <c r="P414" s="278">
        <v>1621.62</v>
      </c>
      <c r="Q414" s="298"/>
      <c r="R414" s="298"/>
      <c r="S414" s="298"/>
      <c r="T414" s="298"/>
      <c r="U414" s="298"/>
      <c r="V414" s="302"/>
      <c r="W414" s="298"/>
      <c r="X414" s="339"/>
      <c r="Y414" s="340"/>
      <c r="Z414" s="267"/>
      <c r="AA414" s="267"/>
      <c r="AB414" s="267"/>
      <c r="AC414" s="267"/>
      <c r="AD414" s="268"/>
      <c r="AE414" s="269"/>
    </row>
    <row r="415" spans="1:31" ht="24" customHeight="1">
      <c r="A415" s="306"/>
      <c r="B415" s="299"/>
      <c r="C415" s="307" t="s">
        <v>197</v>
      </c>
      <c r="D415" s="323">
        <f t="shared" ref="D415:P415" si="133">IF(((D413="")*AND(D414="")),"",(D413-D414))</f>
        <v>5280.61</v>
      </c>
      <c r="E415" s="323">
        <f t="shared" si="133"/>
        <v>5315.66</v>
      </c>
      <c r="F415" s="323">
        <f t="shared" si="133"/>
        <v>5254.58</v>
      </c>
      <c r="G415" s="323">
        <f t="shared" si="133"/>
        <v>5291.49</v>
      </c>
      <c r="H415" s="323">
        <f t="shared" si="133"/>
        <v>5341.36</v>
      </c>
      <c r="I415" s="323">
        <f t="shared" si="133"/>
        <v>5350.84</v>
      </c>
      <c r="J415" s="323">
        <f t="shared" si="133"/>
        <v>5306.3700000000008</v>
      </c>
      <c r="K415" s="323">
        <f t="shared" si="133"/>
        <v>5351.89</v>
      </c>
      <c r="L415" s="323">
        <f t="shared" si="133"/>
        <v>5266.5899999999992</v>
      </c>
      <c r="M415" s="323">
        <f t="shared" si="133"/>
        <v>5345.17</v>
      </c>
      <c r="N415" s="323">
        <f t="shared" si="133"/>
        <v>5346.6900000000005</v>
      </c>
      <c r="O415" s="323">
        <f t="shared" si="133"/>
        <v>5307.14</v>
      </c>
      <c r="P415" s="323">
        <f t="shared" si="133"/>
        <v>5329.56</v>
      </c>
      <c r="Q415" s="299"/>
      <c r="R415" s="299"/>
      <c r="S415" s="299"/>
      <c r="T415" s="298"/>
      <c r="U415" s="299"/>
      <c r="V415" s="324"/>
      <c r="W415" s="299"/>
      <c r="X415" s="339"/>
      <c r="Y415" s="340"/>
      <c r="Z415" s="267"/>
      <c r="AA415" s="267"/>
      <c r="AB415" s="267"/>
      <c r="AC415" s="267"/>
      <c r="AD415" s="268"/>
      <c r="AE415" s="269"/>
    </row>
    <row r="416" spans="1:31" ht="12.75" customHeight="1">
      <c r="A416" s="364">
        <v>43100</v>
      </c>
      <c r="B416" s="326" t="s">
        <v>202</v>
      </c>
      <c r="C416" s="307" t="s">
        <v>199</v>
      </c>
      <c r="D416" s="278">
        <v>5964.69</v>
      </c>
      <c r="E416" s="278">
        <v>6018.39</v>
      </c>
      <c r="F416" s="278">
        <v>6041.73</v>
      </c>
      <c r="G416" s="278">
        <v>5995.82</v>
      </c>
      <c r="H416" s="278">
        <v>5930.28</v>
      </c>
      <c r="I416" s="278">
        <v>5980.29</v>
      </c>
      <c r="J416" s="278">
        <v>6009.31</v>
      </c>
      <c r="K416" s="278">
        <v>6038.14</v>
      </c>
      <c r="L416" s="278">
        <v>5887.56</v>
      </c>
      <c r="M416" s="290"/>
      <c r="N416" s="290"/>
      <c r="O416" s="290"/>
      <c r="P416" s="290"/>
      <c r="Q416" s="326">
        <f>IF((L417=""),"",MAX(D418:L418))</f>
        <v>7499.58</v>
      </c>
      <c r="R416" s="326">
        <f>IF(L417="","",MIN(D418:L418))</f>
        <v>7055.4800000000005</v>
      </c>
      <c r="S416" s="327">
        <f>IF((L418=""),"",AVERAGE(D418:L418))</f>
        <v>7226.2488888888893</v>
      </c>
      <c r="T416" s="319">
        <f>IF((L417=""),"",(Q416-R416)/(Q416+R416)*100)</f>
        <v>3.0511725819062194</v>
      </c>
      <c r="U416" s="326">
        <f>STDEV(D418:P418)</f>
        <v>125.53074169741545</v>
      </c>
      <c r="V416" s="328" t="str">
        <f>IF(L417="","",IF(T416&lt;9.8,IF(S416&gt;5100,IF(S416&lt;8300,"Pass","Fail"),"Fail"),"Fail"))</f>
        <v>Pass</v>
      </c>
      <c r="W416" s="298"/>
      <c r="X416" s="339"/>
      <c r="Y416" s="340"/>
      <c r="Z416" s="267">
        <v>4955</v>
      </c>
      <c r="AA416" s="267">
        <v>9645</v>
      </c>
      <c r="AB416" s="267">
        <v>5100</v>
      </c>
      <c r="AC416" s="267">
        <v>8300</v>
      </c>
      <c r="AD416" s="305">
        <v>10</v>
      </c>
      <c r="AE416" s="305">
        <v>9.8000000000000007</v>
      </c>
    </row>
    <row r="417" spans="1:31" ht="12.75" customHeight="1">
      <c r="A417" s="306"/>
      <c r="B417" s="298"/>
      <c r="C417" s="307" t="s">
        <v>198</v>
      </c>
      <c r="D417" s="278">
        <v>2392.65</v>
      </c>
      <c r="E417" s="278">
        <v>2426.52</v>
      </c>
      <c r="F417" s="278">
        <v>2431.7600000000002</v>
      </c>
      <c r="G417" s="278">
        <v>2389.52</v>
      </c>
      <c r="H417" s="278">
        <v>2265.38</v>
      </c>
      <c r="I417" s="278">
        <v>2230.5</v>
      </c>
      <c r="J417" s="278">
        <v>2401.59</v>
      </c>
      <c r="K417" s="278">
        <v>2450.35</v>
      </c>
      <c r="L417" s="278">
        <v>2359.8200000000002</v>
      </c>
      <c r="M417" s="290"/>
      <c r="N417" s="290"/>
      <c r="O417" s="290"/>
      <c r="P417" s="290"/>
      <c r="Q417" s="298"/>
      <c r="R417" s="298"/>
      <c r="S417" s="298"/>
      <c r="T417" s="298"/>
      <c r="U417" s="298"/>
      <c r="V417" s="302"/>
      <c r="W417" s="298"/>
      <c r="X417" s="339"/>
      <c r="Y417" s="340"/>
      <c r="Z417" s="267"/>
      <c r="AA417" s="267"/>
      <c r="AB417" s="267"/>
      <c r="AC417" s="267"/>
      <c r="AD417" s="268"/>
      <c r="AE417" s="269"/>
    </row>
    <row r="418" spans="1:31" ht="24.75" customHeight="1" thickBot="1">
      <c r="A418" s="306"/>
      <c r="B418" s="309"/>
      <c r="C418" s="310" t="s">
        <v>197</v>
      </c>
      <c r="D418" s="311">
        <f t="shared" ref="D418:L418" si="134">IF(((D416="")*AND(D417="")),"",(D416-D417)*2)</f>
        <v>7144.079999999999</v>
      </c>
      <c r="E418" s="311">
        <f t="shared" si="134"/>
        <v>7183.7400000000007</v>
      </c>
      <c r="F418" s="311">
        <f t="shared" si="134"/>
        <v>7219.9399999999987</v>
      </c>
      <c r="G418" s="311">
        <f t="shared" si="134"/>
        <v>7212.5999999999995</v>
      </c>
      <c r="H418" s="311">
        <f t="shared" si="134"/>
        <v>7329.7999999999993</v>
      </c>
      <c r="I418" s="311">
        <f t="shared" si="134"/>
        <v>7499.58</v>
      </c>
      <c r="J418" s="311">
        <f t="shared" si="134"/>
        <v>7215.4400000000005</v>
      </c>
      <c r="K418" s="311">
        <f t="shared" si="134"/>
        <v>7175.5800000000008</v>
      </c>
      <c r="L418" s="311">
        <f t="shared" si="134"/>
        <v>7055.4800000000005</v>
      </c>
      <c r="M418" s="311"/>
      <c r="N418" s="311"/>
      <c r="O418" s="311"/>
      <c r="P418" s="311" t="str">
        <f>IF(((P416="")*AND(P417="")),"",(P416-P417)*2)</f>
        <v/>
      </c>
      <c r="Q418" s="309"/>
      <c r="R418" s="309"/>
      <c r="S418" s="309"/>
      <c r="T418" s="309"/>
      <c r="U418" s="309"/>
      <c r="V418" s="312"/>
      <c r="W418" s="309"/>
      <c r="X418" s="339"/>
      <c r="Y418" s="341"/>
      <c r="Z418" s="267"/>
      <c r="AA418" s="267"/>
      <c r="AB418" s="267"/>
      <c r="AC418" s="267"/>
      <c r="AD418" s="268"/>
      <c r="AE418" s="269"/>
    </row>
    <row r="419" spans="1:31" ht="12.75" customHeight="1">
      <c r="A419" s="351">
        <v>43105</v>
      </c>
      <c r="B419" s="315" t="s">
        <v>200</v>
      </c>
      <c r="C419" s="316" t="s">
        <v>199</v>
      </c>
      <c r="D419" s="278">
        <v>6904.68</v>
      </c>
      <c r="E419" s="278">
        <v>7018.6</v>
      </c>
      <c r="F419" s="278">
        <v>6817.37</v>
      </c>
      <c r="G419" s="278">
        <v>6882.13</v>
      </c>
      <c r="H419" s="278">
        <v>6927.97</v>
      </c>
      <c r="I419" s="278">
        <v>6939.23</v>
      </c>
      <c r="J419" s="278">
        <v>6909.38</v>
      </c>
      <c r="K419" s="278">
        <v>6819.54</v>
      </c>
      <c r="L419" s="278">
        <v>6836.31</v>
      </c>
      <c r="M419" s="278">
        <v>6907.36</v>
      </c>
      <c r="N419" s="278">
        <v>7006.3</v>
      </c>
      <c r="O419" s="278">
        <v>6883.16</v>
      </c>
      <c r="P419" s="278">
        <v>6929.43</v>
      </c>
      <c r="Q419" s="326">
        <f>IF((L420=""),"",MAX(D421:P421))</f>
        <v>5391.57</v>
      </c>
      <c r="R419" s="315">
        <f>IF(L420="","",MIN(D421:L421))</f>
        <v>5287.33</v>
      </c>
      <c r="S419" s="318">
        <f>IF((P421=""),"",AVERAGE(D421:P421))</f>
        <v>5346.7238461538454</v>
      </c>
      <c r="T419" s="318">
        <f>IF((L420=""),"",(Q419-R419)/(Q419+R419)*100)</f>
        <v>0.97613050033242921</v>
      </c>
      <c r="U419" s="315">
        <f>STDEV(D421:P421)</f>
        <v>33.455323826249156</v>
      </c>
      <c r="V419" s="320" t="str">
        <f>IF(P420="","",IF(T419&lt;2.7,IF(S419&gt;5150,IF(S419&lt;5600,"Pass","Fail"),"Fail"),"Fail"))</f>
        <v>Pass</v>
      </c>
      <c r="W419" s="315">
        <v>1335</v>
      </c>
      <c r="X419" s="339"/>
      <c r="Y419" s="357"/>
      <c r="Z419" s="321">
        <v>4470</v>
      </c>
      <c r="AA419" s="321">
        <v>6020</v>
      </c>
      <c r="AB419" s="321">
        <v>5150</v>
      </c>
      <c r="AC419" s="321">
        <v>5600</v>
      </c>
      <c r="AD419" s="305">
        <v>10</v>
      </c>
      <c r="AE419" s="322">
        <v>2.7</v>
      </c>
    </row>
    <row r="420" spans="1:31" ht="12.75" customHeight="1">
      <c r="A420" s="306"/>
      <c r="B420" s="298"/>
      <c r="C420" s="307" t="s">
        <v>198</v>
      </c>
      <c r="D420" s="278">
        <v>1598.25</v>
      </c>
      <c r="E420" s="278">
        <v>1677.51</v>
      </c>
      <c r="F420" s="278">
        <v>1530.04</v>
      </c>
      <c r="G420" s="278">
        <v>1552.66</v>
      </c>
      <c r="H420" s="278">
        <v>1567.22</v>
      </c>
      <c r="I420" s="278">
        <v>1557.18</v>
      </c>
      <c r="J420" s="278">
        <v>1565</v>
      </c>
      <c r="K420" s="278">
        <v>1427.97</v>
      </c>
      <c r="L420" s="278">
        <v>1536</v>
      </c>
      <c r="M420" s="278">
        <v>1527.41</v>
      </c>
      <c r="N420" s="278">
        <v>1629.4</v>
      </c>
      <c r="O420" s="278">
        <v>1540.2</v>
      </c>
      <c r="P420" s="278">
        <v>1565.21</v>
      </c>
      <c r="Q420" s="298"/>
      <c r="R420" s="298"/>
      <c r="S420" s="298"/>
      <c r="T420" s="298"/>
      <c r="U420" s="298"/>
      <c r="V420" s="302"/>
      <c r="W420" s="298"/>
      <c r="X420" s="339"/>
      <c r="Y420" s="340"/>
      <c r="Z420" s="267"/>
      <c r="AA420" s="267"/>
      <c r="AB420" s="267"/>
      <c r="AC420" s="267"/>
      <c r="AD420" s="268"/>
      <c r="AE420" s="269"/>
    </row>
    <row r="421" spans="1:31" ht="24" customHeight="1">
      <c r="A421" s="306"/>
      <c r="B421" s="299"/>
      <c r="C421" s="307" t="s">
        <v>197</v>
      </c>
      <c r="D421" s="323">
        <f t="shared" ref="D421:P421" si="135">IF(((D419="")*AND(D420="")),"",(D419-D420))</f>
        <v>5306.43</v>
      </c>
      <c r="E421" s="323">
        <f t="shared" si="135"/>
        <v>5341.09</v>
      </c>
      <c r="F421" s="323">
        <f t="shared" si="135"/>
        <v>5287.33</v>
      </c>
      <c r="G421" s="323">
        <f t="shared" si="135"/>
        <v>5329.47</v>
      </c>
      <c r="H421" s="323">
        <f t="shared" si="135"/>
        <v>5360.75</v>
      </c>
      <c r="I421" s="323">
        <f t="shared" si="135"/>
        <v>5382.0499999999993</v>
      </c>
      <c r="J421" s="323">
        <f t="shared" si="135"/>
        <v>5344.38</v>
      </c>
      <c r="K421" s="323">
        <f t="shared" si="135"/>
        <v>5391.57</v>
      </c>
      <c r="L421" s="323">
        <f t="shared" si="135"/>
        <v>5300.31</v>
      </c>
      <c r="M421" s="323">
        <f t="shared" si="135"/>
        <v>5379.95</v>
      </c>
      <c r="N421" s="323">
        <f t="shared" si="135"/>
        <v>5376.9</v>
      </c>
      <c r="O421" s="323">
        <f t="shared" si="135"/>
        <v>5342.96</v>
      </c>
      <c r="P421" s="323">
        <f t="shared" si="135"/>
        <v>5364.22</v>
      </c>
      <c r="Q421" s="299"/>
      <c r="R421" s="299"/>
      <c r="S421" s="299"/>
      <c r="T421" s="298"/>
      <c r="U421" s="299"/>
      <c r="V421" s="324"/>
      <c r="W421" s="299"/>
      <c r="X421" s="339"/>
      <c r="Y421" s="340"/>
      <c r="Z421" s="267"/>
      <c r="AA421" s="267"/>
      <c r="AB421" s="267"/>
      <c r="AC421" s="267"/>
      <c r="AD421" s="268"/>
      <c r="AE421" s="269"/>
    </row>
    <row r="422" spans="1:31" ht="12.75" customHeight="1">
      <c r="A422" s="351">
        <v>43105</v>
      </c>
      <c r="B422" s="326" t="s">
        <v>202</v>
      </c>
      <c r="C422" s="307" t="s">
        <v>199</v>
      </c>
      <c r="D422" s="278">
        <v>5871.28</v>
      </c>
      <c r="E422" s="278">
        <v>5986.31</v>
      </c>
      <c r="F422" s="278">
        <v>6027.43</v>
      </c>
      <c r="G422" s="278">
        <v>5975.47</v>
      </c>
      <c r="H422" s="278">
        <v>5800.84</v>
      </c>
      <c r="I422" s="278">
        <v>5826.36</v>
      </c>
      <c r="J422" s="278">
        <v>6000.38</v>
      </c>
      <c r="K422" s="278">
        <v>6017.32</v>
      </c>
      <c r="L422" s="278">
        <v>5902.69</v>
      </c>
      <c r="M422" s="290"/>
      <c r="N422" s="290"/>
      <c r="O422" s="290"/>
      <c r="P422" s="290"/>
      <c r="Q422" s="326">
        <f>IF((L423=""),"",MAX(D424:L424))</f>
        <v>6902.38</v>
      </c>
      <c r="R422" s="326">
        <f>IF(L423="","",MIN(D424:L424))</f>
        <v>6760.619999999999</v>
      </c>
      <c r="S422" s="327">
        <f>IF((L424=""),"",AVERAGE(D424:L424))</f>
        <v>6842.2133333333322</v>
      </c>
      <c r="T422" s="319">
        <f>IF((L423=""),"",(Q422-R422)/(Q422+R422)*100)</f>
        <v>1.0375466588597024</v>
      </c>
      <c r="U422" s="326">
        <f>STDEV(D424:P424)</f>
        <v>50.10634690363743</v>
      </c>
      <c r="V422" s="328" t="str">
        <f>IF(L423="","",IF(T422&lt;9.8,IF(S422&gt;5100,IF(S422&lt;8300,"Pass","Fail"),"Fail"),"Fail"))</f>
        <v>Pass</v>
      </c>
      <c r="W422" s="298">
        <v>1335</v>
      </c>
      <c r="X422" s="339"/>
      <c r="Y422" s="340"/>
      <c r="Z422" s="267">
        <v>4955</v>
      </c>
      <c r="AA422" s="267">
        <v>9645</v>
      </c>
      <c r="AB422" s="267">
        <v>5100</v>
      </c>
      <c r="AC422" s="267">
        <v>8300</v>
      </c>
      <c r="AD422" s="305">
        <v>10</v>
      </c>
      <c r="AE422" s="305">
        <v>9.8000000000000007</v>
      </c>
    </row>
    <row r="423" spans="1:31" ht="12.75" customHeight="1">
      <c r="A423" s="306"/>
      <c r="B423" s="298"/>
      <c r="C423" s="307" t="s">
        <v>198</v>
      </c>
      <c r="D423" s="278">
        <v>2448.67</v>
      </c>
      <c r="E423" s="278">
        <v>2560.9899999999998</v>
      </c>
      <c r="F423" s="278">
        <v>2622.84</v>
      </c>
      <c r="G423" s="278">
        <v>2524.2800000000002</v>
      </c>
      <c r="H423" s="278">
        <v>2367.08</v>
      </c>
      <c r="I423" s="278">
        <v>2384.7399999999998</v>
      </c>
      <c r="J423" s="278">
        <v>2557.62</v>
      </c>
      <c r="K423" s="278">
        <v>2637.01</v>
      </c>
      <c r="L423" s="278">
        <v>2514.89</v>
      </c>
      <c r="M423" s="290"/>
      <c r="N423" s="290"/>
      <c r="O423" s="290"/>
      <c r="P423" s="290"/>
      <c r="Q423" s="298"/>
      <c r="R423" s="298"/>
      <c r="S423" s="298"/>
      <c r="T423" s="298"/>
      <c r="U423" s="298"/>
      <c r="V423" s="302"/>
      <c r="W423" s="298"/>
      <c r="X423" s="339"/>
      <c r="Y423" s="340"/>
      <c r="Z423" s="267"/>
      <c r="AA423" s="267"/>
      <c r="AB423" s="267"/>
      <c r="AC423" s="267"/>
      <c r="AD423" s="268"/>
      <c r="AE423" s="269"/>
    </row>
    <row r="424" spans="1:31" ht="24.75" customHeight="1" thickBot="1">
      <c r="A424" s="306"/>
      <c r="B424" s="309"/>
      <c r="C424" s="310" t="s">
        <v>197</v>
      </c>
      <c r="D424" s="311">
        <f t="shared" ref="D424:L424" si="136">IF(((D422="")*AND(D423="")),"",(D422-D423)*2)</f>
        <v>6845.2199999999993</v>
      </c>
      <c r="E424" s="311">
        <f t="shared" si="136"/>
        <v>6850.6400000000012</v>
      </c>
      <c r="F424" s="311">
        <f t="shared" si="136"/>
        <v>6809.18</v>
      </c>
      <c r="G424" s="311">
        <f t="shared" si="136"/>
        <v>6902.38</v>
      </c>
      <c r="H424" s="311">
        <f t="shared" si="136"/>
        <v>6867.52</v>
      </c>
      <c r="I424" s="311">
        <f t="shared" si="136"/>
        <v>6883.24</v>
      </c>
      <c r="J424" s="311">
        <f t="shared" si="136"/>
        <v>6885.52</v>
      </c>
      <c r="K424" s="311">
        <f t="shared" si="136"/>
        <v>6760.619999999999</v>
      </c>
      <c r="L424" s="311">
        <f t="shared" si="136"/>
        <v>6775.5999999999995</v>
      </c>
      <c r="M424" s="311"/>
      <c r="N424" s="311"/>
      <c r="O424" s="311"/>
      <c r="P424" s="311" t="str">
        <f>IF(((P422="")*AND(P423="")),"",(P422-P423)*2)</f>
        <v/>
      </c>
      <c r="Q424" s="309"/>
      <c r="R424" s="309"/>
      <c r="S424" s="309"/>
      <c r="T424" s="309"/>
      <c r="U424" s="309"/>
      <c r="V424" s="312"/>
      <c r="W424" s="309"/>
      <c r="X424" s="339"/>
      <c r="Y424" s="341"/>
      <c r="Z424" s="267"/>
      <c r="AA424" s="267"/>
      <c r="AB424" s="267"/>
      <c r="AC424" s="267"/>
      <c r="AD424" s="268"/>
      <c r="AE424" s="269"/>
    </row>
    <row r="425" spans="1:31" ht="12.75" customHeight="1">
      <c r="A425" s="351">
        <v>43108</v>
      </c>
      <c r="B425" s="315" t="s">
        <v>200</v>
      </c>
      <c r="C425" s="316" t="s">
        <v>199</v>
      </c>
      <c r="D425" s="278">
        <v>6714.42</v>
      </c>
      <c r="E425" s="278">
        <v>6855.19</v>
      </c>
      <c r="F425" s="278">
        <v>6642.44</v>
      </c>
      <c r="G425" s="278">
        <v>6705.39</v>
      </c>
      <c r="H425" s="278">
        <v>6765.05</v>
      </c>
      <c r="I425" s="278">
        <v>6752.76</v>
      </c>
      <c r="J425" s="278">
        <v>6764.4</v>
      </c>
      <c r="K425" s="278">
        <v>6696.2</v>
      </c>
      <c r="L425" s="278">
        <v>6733.53</v>
      </c>
      <c r="M425" s="278">
        <v>6818</v>
      </c>
      <c r="N425" s="278">
        <v>6893.43</v>
      </c>
      <c r="O425" s="278">
        <v>6813.8</v>
      </c>
      <c r="P425" s="278">
        <v>6874.98</v>
      </c>
      <c r="Q425" s="326">
        <f>IF((L426=""),"",MAX(D427:P427))</f>
        <v>5344.74</v>
      </c>
      <c r="R425" s="315">
        <f>IF(L426="","",MIN(D427:L427))</f>
        <v>5220.58</v>
      </c>
      <c r="S425" s="318">
        <f>IF((P427=""),"",AVERAGE(D427:P427))</f>
        <v>5283.3376923076921</v>
      </c>
      <c r="T425" s="318">
        <f>IF((L426=""),"",(Q425-R425)/(Q425+R425)*100)</f>
        <v>1.175165541602146</v>
      </c>
      <c r="U425" s="315">
        <f>STDEV(D427:P427)</f>
        <v>44.846800731990136</v>
      </c>
      <c r="V425" s="320" t="str">
        <f>IF(P426="","",IF(T425&lt;2.7,IF(S425&gt;5150,IF(S425&lt;5600,"Pass","Fail"),"Fail"),"Fail"))</f>
        <v>Pass</v>
      </c>
      <c r="W425" s="315">
        <v>1335</v>
      </c>
      <c r="X425" s="339"/>
      <c r="Y425" s="357"/>
      <c r="Z425" s="321">
        <v>4470</v>
      </c>
      <c r="AA425" s="321">
        <v>6020</v>
      </c>
      <c r="AB425" s="321">
        <v>5150</v>
      </c>
      <c r="AC425" s="321">
        <v>5600</v>
      </c>
      <c r="AD425" s="305">
        <v>10</v>
      </c>
      <c r="AE425" s="322">
        <v>2.7</v>
      </c>
    </row>
    <row r="426" spans="1:31" ht="12.75" customHeight="1">
      <c r="A426" s="306"/>
      <c r="B426" s="298"/>
      <c r="C426" s="307" t="s">
        <v>198</v>
      </c>
      <c r="D426" s="278">
        <v>1492.61</v>
      </c>
      <c r="E426" s="278">
        <v>1608.24</v>
      </c>
      <c r="F426" s="278">
        <v>1421.86</v>
      </c>
      <c r="G426" s="278">
        <v>1360.65</v>
      </c>
      <c r="H426" s="278">
        <v>1493.44</v>
      </c>
      <c r="I426" s="278">
        <v>1436.44</v>
      </c>
      <c r="J426" s="278">
        <v>1429.31</v>
      </c>
      <c r="K426" s="278">
        <v>1357.93</v>
      </c>
      <c r="L426" s="278">
        <v>1503.49</v>
      </c>
      <c r="M426" s="278">
        <v>1496.89</v>
      </c>
      <c r="N426" s="278">
        <v>1612.54</v>
      </c>
      <c r="O426" s="278">
        <v>1541.49</v>
      </c>
      <c r="P426" s="278">
        <v>1591.31</v>
      </c>
      <c r="Q426" s="298"/>
      <c r="R426" s="298"/>
      <c r="S426" s="298"/>
      <c r="T426" s="298"/>
      <c r="U426" s="298"/>
      <c r="V426" s="302"/>
      <c r="W426" s="298"/>
      <c r="X426" s="339"/>
      <c r="Y426" s="340"/>
      <c r="Z426" s="267"/>
      <c r="AA426" s="267"/>
      <c r="AB426" s="267"/>
      <c r="AC426" s="267"/>
      <c r="AD426" s="268"/>
      <c r="AE426" s="269"/>
    </row>
    <row r="427" spans="1:31" ht="24" customHeight="1">
      <c r="A427" s="306"/>
      <c r="B427" s="299"/>
      <c r="C427" s="307" t="s">
        <v>197</v>
      </c>
      <c r="D427" s="323">
        <f t="shared" ref="D427:P427" si="137">IF(((D425="")*AND(D426="")),"",(D425-D426))</f>
        <v>5221.8100000000004</v>
      </c>
      <c r="E427" s="323">
        <f t="shared" si="137"/>
        <v>5246.95</v>
      </c>
      <c r="F427" s="323">
        <f t="shared" si="137"/>
        <v>5220.58</v>
      </c>
      <c r="G427" s="323">
        <f t="shared" si="137"/>
        <v>5344.74</v>
      </c>
      <c r="H427" s="323">
        <f t="shared" si="137"/>
        <v>5271.6100000000006</v>
      </c>
      <c r="I427" s="323">
        <f t="shared" si="137"/>
        <v>5316.32</v>
      </c>
      <c r="J427" s="323">
        <f t="shared" si="137"/>
        <v>5335.09</v>
      </c>
      <c r="K427" s="323">
        <f t="shared" si="137"/>
        <v>5338.2699999999995</v>
      </c>
      <c r="L427" s="323">
        <f t="shared" si="137"/>
        <v>5230.04</v>
      </c>
      <c r="M427" s="323">
        <f t="shared" si="137"/>
        <v>5321.11</v>
      </c>
      <c r="N427" s="323">
        <f t="shared" si="137"/>
        <v>5280.89</v>
      </c>
      <c r="O427" s="323">
        <f t="shared" si="137"/>
        <v>5272.31</v>
      </c>
      <c r="P427" s="323">
        <f t="shared" si="137"/>
        <v>5283.67</v>
      </c>
      <c r="Q427" s="299"/>
      <c r="R427" s="299"/>
      <c r="S427" s="299"/>
      <c r="T427" s="298"/>
      <c r="U427" s="299"/>
      <c r="V427" s="324"/>
      <c r="W427" s="299"/>
      <c r="X427" s="339"/>
      <c r="Y427" s="340"/>
      <c r="Z427" s="267"/>
      <c r="AA427" s="267"/>
      <c r="AB427" s="267"/>
      <c r="AC427" s="267"/>
      <c r="AD427" s="268"/>
      <c r="AE427" s="269"/>
    </row>
    <row r="428" spans="1:31" ht="12.75" customHeight="1">
      <c r="A428" s="351">
        <v>43108</v>
      </c>
      <c r="B428" s="326" t="s">
        <v>202</v>
      </c>
      <c r="C428" s="307" t="s">
        <v>199</v>
      </c>
      <c r="D428" s="278">
        <v>5805.2</v>
      </c>
      <c r="E428" s="278">
        <v>5989.59</v>
      </c>
      <c r="F428" s="278">
        <v>6019.04</v>
      </c>
      <c r="G428" s="278">
        <v>5976.25</v>
      </c>
      <c r="H428" s="278">
        <v>5710.36</v>
      </c>
      <c r="I428" s="278">
        <v>5771.39</v>
      </c>
      <c r="J428" s="278">
        <v>5993.43</v>
      </c>
      <c r="K428" s="278">
        <v>6011.63</v>
      </c>
      <c r="L428" s="278">
        <v>5880.21</v>
      </c>
      <c r="M428" s="290"/>
      <c r="N428" s="290"/>
      <c r="O428" s="290"/>
      <c r="P428" s="290"/>
      <c r="Q428" s="326">
        <f>IF((L429=""),"",MAX(D430:L430))</f>
        <v>6896.1</v>
      </c>
      <c r="R428" s="326">
        <f>IF(L429="","",MIN(D430:L430))</f>
        <v>6761.64</v>
      </c>
      <c r="S428" s="327">
        <f>IF((L430=""),"",AVERAGE(D430:L430))</f>
        <v>6840.5777777777776</v>
      </c>
      <c r="T428" s="319">
        <f>IF((L429=""),"",(Q428-R428)/(Q428+R428)*100)</f>
        <v>0.98449670296842684</v>
      </c>
      <c r="U428" s="326">
        <f>STDEV(D430:P430)</f>
        <v>52.254859529574283</v>
      </c>
      <c r="V428" s="328" t="str">
        <f>IF(L429="","",IF(T428&lt;9.8,IF(S428&gt;5100,IF(S428&lt;8300,"Pass","Fail"),"Fail"),"Fail"))</f>
        <v>Pass</v>
      </c>
      <c r="W428" s="298">
        <v>1335</v>
      </c>
      <c r="X428" s="339"/>
      <c r="Y428" s="340"/>
      <c r="Z428" s="267">
        <v>4955</v>
      </c>
      <c r="AA428" s="267">
        <v>9645</v>
      </c>
      <c r="AB428" s="267">
        <v>5100</v>
      </c>
      <c r="AC428" s="267">
        <v>8300</v>
      </c>
      <c r="AD428" s="305">
        <v>10</v>
      </c>
      <c r="AE428" s="305">
        <v>9.8000000000000007</v>
      </c>
    </row>
    <row r="429" spans="1:31" ht="12.75" customHeight="1">
      <c r="A429" s="306"/>
      <c r="B429" s="298"/>
      <c r="C429" s="307" t="s">
        <v>198</v>
      </c>
      <c r="D429" s="278">
        <v>2385.83</v>
      </c>
      <c r="E429" s="278">
        <v>2541.54</v>
      </c>
      <c r="F429" s="278">
        <v>2622.71</v>
      </c>
      <c r="G429" s="278">
        <v>2528.7600000000002</v>
      </c>
      <c r="H429" s="278">
        <v>2280.3200000000002</v>
      </c>
      <c r="I429" s="278">
        <v>2341.46</v>
      </c>
      <c r="J429" s="278">
        <v>2550.04</v>
      </c>
      <c r="K429" s="278">
        <v>2630.81</v>
      </c>
      <c r="L429" s="278">
        <v>2493.0300000000002</v>
      </c>
      <c r="M429" s="290"/>
      <c r="N429" s="290"/>
      <c r="O429" s="290"/>
      <c r="P429" s="290"/>
      <c r="Q429" s="298"/>
      <c r="R429" s="298"/>
      <c r="S429" s="298"/>
      <c r="T429" s="298"/>
      <c r="U429" s="298"/>
      <c r="V429" s="302"/>
      <c r="W429" s="298"/>
      <c r="X429" s="339"/>
      <c r="Y429" s="340"/>
      <c r="Z429" s="267"/>
      <c r="AA429" s="267"/>
      <c r="AB429" s="267"/>
      <c r="AC429" s="267"/>
      <c r="AD429" s="268"/>
      <c r="AE429" s="269"/>
    </row>
    <row r="430" spans="1:31" ht="24.75" customHeight="1" thickBot="1">
      <c r="A430" s="306"/>
      <c r="B430" s="309"/>
      <c r="C430" s="310" t="s">
        <v>197</v>
      </c>
      <c r="D430" s="311">
        <f t="shared" ref="D430:L430" si="138">IF(((D428="")*AND(D429="")),"",(D428-D429)*2)</f>
        <v>6838.74</v>
      </c>
      <c r="E430" s="311">
        <f t="shared" si="138"/>
        <v>6896.1</v>
      </c>
      <c r="F430" s="311">
        <f t="shared" si="138"/>
        <v>6792.66</v>
      </c>
      <c r="G430" s="311">
        <f t="shared" si="138"/>
        <v>6894.98</v>
      </c>
      <c r="H430" s="311">
        <f t="shared" si="138"/>
        <v>6860.079999999999</v>
      </c>
      <c r="I430" s="311">
        <f t="shared" si="138"/>
        <v>6859.8600000000006</v>
      </c>
      <c r="J430" s="311">
        <f t="shared" si="138"/>
        <v>6886.7800000000007</v>
      </c>
      <c r="K430" s="311">
        <f t="shared" si="138"/>
        <v>6761.64</v>
      </c>
      <c r="L430" s="311">
        <f t="shared" si="138"/>
        <v>6774.36</v>
      </c>
      <c r="M430" s="311"/>
      <c r="N430" s="311"/>
      <c r="O430" s="311"/>
      <c r="P430" s="311" t="str">
        <f>IF(((P428="")*AND(P429="")),"",(P428-P429)*2)</f>
        <v/>
      </c>
      <c r="Q430" s="309"/>
      <c r="R430" s="309"/>
      <c r="S430" s="309"/>
      <c r="T430" s="309"/>
      <c r="U430" s="309"/>
      <c r="V430" s="312"/>
      <c r="W430" s="309"/>
      <c r="X430" s="339"/>
      <c r="Y430" s="341"/>
      <c r="Z430" s="267"/>
      <c r="AA430" s="267"/>
      <c r="AB430" s="267"/>
      <c r="AC430" s="267"/>
      <c r="AD430" s="268"/>
      <c r="AE430" s="269"/>
    </row>
    <row r="431" spans="1:31" ht="12.75" customHeight="1">
      <c r="A431" s="351">
        <v>43114</v>
      </c>
      <c r="B431" s="315" t="s">
        <v>200</v>
      </c>
      <c r="C431" s="316" t="s">
        <v>199</v>
      </c>
      <c r="D431" s="278">
        <v>6781.67</v>
      </c>
      <c r="E431" s="278">
        <v>6922.14</v>
      </c>
      <c r="F431" s="278">
        <v>6697.75</v>
      </c>
      <c r="G431" s="278">
        <v>6754.09</v>
      </c>
      <c r="H431" s="278">
        <v>6846.12</v>
      </c>
      <c r="I431" s="278">
        <v>6819.65</v>
      </c>
      <c r="J431" s="278">
        <v>6812.74</v>
      </c>
      <c r="K431" s="278">
        <v>6734.32</v>
      </c>
      <c r="L431" s="278">
        <v>6789.69</v>
      </c>
      <c r="M431" s="278">
        <v>6863.36</v>
      </c>
      <c r="N431" s="278">
        <v>6966.22</v>
      </c>
      <c r="O431" s="278">
        <v>6864.1</v>
      </c>
      <c r="P431" s="278">
        <v>6945.87</v>
      </c>
      <c r="Q431" s="326">
        <f>IF((L432=""),"",MAX(D433:P433))</f>
        <v>5354.84</v>
      </c>
      <c r="R431" s="315">
        <f>IF(L432="","",MIN(D433:L433))</f>
        <v>5238.8099999999995</v>
      </c>
      <c r="S431" s="318">
        <f>IF((P433=""),"",AVERAGE(D433:P433))</f>
        <v>5299.2784615384608</v>
      </c>
      <c r="T431" s="318">
        <f>IF((L432=""),"",(Q431-R431)/(Q431+R431)*100)</f>
        <v>1.0952787754928721</v>
      </c>
      <c r="U431" s="315">
        <f>STDEV(D433:P433)</f>
        <v>39.378185764489174</v>
      </c>
      <c r="V431" s="320" t="str">
        <f>IF(P432="","",IF(T431&lt;2.7,IF(S431&gt;5150,IF(S431&lt;5600,"Pass","Fail"),"Fail"),"Fail"))</f>
        <v>Pass</v>
      </c>
      <c r="W431" s="315">
        <v>1335</v>
      </c>
      <c r="X431" s="339"/>
      <c r="Y431" s="357"/>
      <c r="Z431" s="321">
        <v>4470</v>
      </c>
      <c r="AA431" s="321">
        <v>6020</v>
      </c>
      <c r="AB431" s="321">
        <v>5150</v>
      </c>
      <c r="AC431" s="321">
        <v>5600</v>
      </c>
      <c r="AD431" s="305">
        <v>10</v>
      </c>
      <c r="AE431" s="322">
        <v>2.7</v>
      </c>
    </row>
    <row r="432" spans="1:31" ht="12.75" customHeight="1">
      <c r="A432" s="306"/>
      <c r="B432" s="298"/>
      <c r="C432" s="307" t="s">
        <v>198</v>
      </c>
      <c r="D432" s="278">
        <v>1539.46</v>
      </c>
      <c r="E432" s="278">
        <v>1657.4</v>
      </c>
      <c r="F432" s="278">
        <v>1458.94</v>
      </c>
      <c r="G432" s="278">
        <v>1421.79</v>
      </c>
      <c r="H432" s="278">
        <v>1556.91</v>
      </c>
      <c r="I432" s="278">
        <v>1481.69</v>
      </c>
      <c r="J432" s="278">
        <v>1489.06</v>
      </c>
      <c r="K432" s="278">
        <v>1379.48</v>
      </c>
      <c r="L432" s="278">
        <v>1536.66</v>
      </c>
      <c r="M432" s="278">
        <v>1520.9</v>
      </c>
      <c r="N432" s="278">
        <v>1662.72</v>
      </c>
      <c r="O432" s="278">
        <v>1565.91</v>
      </c>
      <c r="P432" s="278">
        <v>1636.18</v>
      </c>
      <c r="Q432" s="298"/>
      <c r="R432" s="298"/>
      <c r="S432" s="298"/>
      <c r="T432" s="298"/>
      <c r="U432" s="298"/>
      <c r="V432" s="302"/>
      <c r="W432" s="298"/>
      <c r="X432" s="339"/>
      <c r="Y432" s="340"/>
      <c r="Z432" s="267"/>
      <c r="AA432" s="267"/>
      <c r="AB432" s="267"/>
      <c r="AC432" s="267"/>
      <c r="AD432" s="268"/>
      <c r="AE432" s="269"/>
    </row>
    <row r="433" spans="1:31" ht="24" customHeight="1">
      <c r="A433" s="306"/>
      <c r="B433" s="299"/>
      <c r="C433" s="307" t="s">
        <v>197</v>
      </c>
      <c r="D433" s="323">
        <f t="shared" ref="D433:P433" si="139">IF(((D431="")*AND(D432="")),"",(D431-D432))</f>
        <v>5242.21</v>
      </c>
      <c r="E433" s="323">
        <f t="shared" si="139"/>
        <v>5264.74</v>
      </c>
      <c r="F433" s="323">
        <f t="shared" si="139"/>
        <v>5238.8099999999995</v>
      </c>
      <c r="G433" s="323">
        <f t="shared" si="139"/>
        <v>5332.3</v>
      </c>
      <c r="H433" s="323">
        <f t="shared" si="139"/>
        <v>5289.21</v>
      </c>
      <c r="I433" s="323">
        <f t="shared" si="139"/>
        <v>5337.9599999999991</v>
      </c>
      <c r="J433" s="323">
        <f t="shared" si="139"/>
        <v>5323.68</v>
      </c>
      <c r="K433" s="323">
        <f t="shared" si="139"/>
        <v>5354.84</v>
      </c>
      <c r="L433" s="323">
        <f t="shared" si="139"/>
        <v>5253.03</v>
      </c>
      <c r="M433" s="323">
        <f t="shared" si="139"/>
        <v>5342.4599999999991</v>
      </c>
      <c r="N433" s="323">
        <f t="shared" si="139"/>
        <v>5303.5</v>
      </c>
      <c r="O433" s="323">
        <f t="shared" si="139"/>
        <v>5298.1900000000005</v>
      </c>
      <c r="P433" s="323">
        <f t="shared" si="139"/>
        <v>5309.69</v>
      </c>
      <c r="Q433" s="299"/>
      <c r="R433" s="299"/>
      <c r="S433" s="299"/>
      <c r="T433" s="298"/>
      <c r="U433" s="299"/>
      <c r="V433" s="324"/>
      <c r="W433" s="299"/>
      <c r="X433" s="339"/>
      <c r="Y433" s="340"/>
      <c r="Z433" s="267"/>
      <c r="AA433" s="267"/>
      <c r="AB433" s="267"/>
      <c r="AC433" s="267"/>
      <c r="AD433" s="268"/>
      <c r="AE433" s="269"/>
    </row>
    <row r="434" spans="1:31" ht="12.75" customHeight="1">
      <c r="A434" s="351">
        <v>43114</v>
      </c>
      <c r="B434" s="326" t="s">
        <v>202</v>
      </c>
      <c r="C434" s="307" t="s">
        <v>199</v>
      </c>
      <c r="D434" s="278">
        <v>5834.11</v>
      </c>
      <c r="E434" s="278">
        <v>6004.2</v>
      </c>
      <c r="F434" s="278">
        <v>6033.5</v>
      </c>
      <c r="G434" s="278">
        <v>5992.31</v>
      </c>
      <c r="H434" s="278">
        <v>5739.43</v>
      </c>
      <c r="I434" s="278">
        <v>5757.98</v>
      </c>
      <c r="J434" s="278">
        <v>6008.73</v>
      </c>
      <c r="K434" s="278">
        <v>6024.58</v>
      </c>
      <c r="L434" s="278">
        <v>5893.13</v>
      </c>
      <c r="M434" s="290"/>
      <c r="N434" s="290"/>
      <c r="O434" s="290"/>
      <c r="P434" s="290"/>
      <c r="Q434" s="326">
        <f>IF((L435=""),"",MAX(D436:L436))</f>
        <v>7155.0399999999991</v>
      </c>
      <c r="R434" s="326">
        <f>IF(L435="","",MIN(D436:L436))</f>
        <v>6925.84</v>
      </c>
      <c r="S434" s="327">
        <f>IF((L436=""),"",AVERAGE(D436:L436))</f>
        <v>7007.0844444444438</v>
      </c>
      <c r="T434" s="319">
        <f>IF((L435=""),"",(Q434-R434)/(Q434+R434)*100)</f>
        <v>1.6277391753924393</v>
      </c>
      <c r="U434" s="326">
        <f>STDEV(D436:P436)</f>
        <v>62.249477731079828</v>
      </c>
      <c r="V434" s="328" t="str">
        <f>IF(L435="","",IF(T434&lt;9.8,IF(S434&gt;5100,IF(S434&lt;8300,"Pass","Fail"),"Fail"),"Fail"))</f>
        <v>Pass</v>
      </c>
      <c r="W434" s="298">
        <v>1335</v>
      </c>
      <c r="X434" s="339"/>
      <c r="Y434" s="340"/>
      <c r="Z434" s="267">
        <v>4955</v>
      </c>
      <c r="AA434" s="267">
        <v>9645</v>
      </c>
      <c r="AB434" s="267">
        <v>5100</v>
      </c>
      <c r="AC434" s="267">
        <v>8300</v>
      </c>
      <c r="AD434" s="305">
        <v>10</v>
      </c>
      <c r="AE434" s="305">
        <v>9.8000000000000007</v>
      </c>
    </row>
    <row r="435" spans="1:31" ht="12.75" customHeight="1">
      <c r="A435" s="306"/>
      <c r="B435" s="298"/>
      <c r="C435" s="307" t="s">
        <v>198</v>
      </c>
      <c r="D435" s="278">
        <v>2347.27</v>
      </c>
      <c r="E435" s="278">
        <v>2493.8000000000002</v>
      </c>
      <c r="F435" s="278">
        <v>2531.94</v>
      </c>
      <c r="G435" s="278">
        <v>2493.1799999999998</v>
      </c>
      <c r="H435" s="278">
        <v>2236.83</v>
      </c>
      <c r="I435" s="278">
        <v>2253.98</v>
      </c>
      <c r="J435" s="278">
        <v>2431.21</v>
      </c>
      <c r="K435" s="278">
        <v>2537.67</v>
      </c>
      <c r="L435" s="278">
        <v>2430.21</v>
      </c>
      <c r="M435" s="290"/>
      <c r="N435" s="290"/>
      <c r="O435" s="290"/>
      <c r="P435" s="290"/>
      <c r="Q435" s="298"/>
      <c r="R435" s="298"/>
      <c r="S435" s="298"/>
      <c r="T435" s="298"/>
      <c r="U435" s="298"/>
      <c r="V435" s="302"/>
      <c r="W435" s="298"/>
      <c r="X435" s="339"/>
      <c r="Y435" s="340"/>
      <c r="Z435" s="267"/>
      <c r="AA435" s="267"/>
      <c r="AB435" s="267"/>
      <c r="AC435" s="267"/>
      <c r="AD435" s="268"/>
      <c r="AE435" s="269"/>
    </row>
    <row r="436" spans="1:31" ht="24.75" customHeight="1" thickBot="1">
      <c r="A436" s="306"/>
      <c r="B436" s="309"/>
      <c r="C436" s="310" t="s">
        <v>197</v>
      </c>
      <c r="D436" s="311">
        <f t="shared" ref="D436:L436" si="140">IF(((D434="")*AND(D435="")),"",(D434-D435)*2)</f>
        <v>6973.6799999999994</v>
      </c>
      <c r="E436" s="311">
        <f t="shared" si="140"/>
        <v>7020.7999999999993</v>
      </c>
      <c r="F436" s="311">
        <f t="shared" si="140"/>
        <v>7003.12</v>
      </c>
      <c r="G436" s="311">
        <f t="shared" si="140"/>
        <v>6998.2600000000011</v>
      </c>
      <c r="H436" s="311">
        <f t="shared" si="140"/>
        <v>7005.2000000000007</v>
      </c>
      <c r="I436" s="311">
        <f t="shared" si="140"/>
        <v>7007.9999999999991</v>
      </c>
      <c r="J436" s="311">
        <f t="shared" si="140"/>
        <v>7155.0399999999991</v>
      </c>
      <c r="K436" s="311">
        <f t="shared" si="140"/>
        <v>6973.82</v>
      </c>
      <c r="L436" s="311">
        <f t="shared" si="140"/>
        <v>6925.84</v>
      </c>
      <c r="M436" s="311"/>
      <c r="N436" s="311"/>
      <c r="O436" s="311"/>
      <c r="P436" s="311" t="str">
        <f>IF(((P434="")*AND(P435="")),"",(P434-P435)*2)</f>
        <v/>
      </c>
      <c r="Q436" s="309"/>
      <c r="R436" s="309"/>
      <c r="S436" s="309"/>
      <c r="T436" s="309"/>
      <c r="U436" s="309"/>
      <c r="V436" s="312"/>
      <c r="W436" s="309"/>
      <c r="X436" s="339"/>
      <c r="Y436" s="341"/>
      <c r="Z436" s="267"/>
      <c r="AA436" s="267"/>
      <c r="AB436" s="267"/>
      <c r="AC436" s="267"/>
      <c r="AD436" s="268"/>
      <c r="AE436" s="269"/>
    </row>
    <row r="437" spans="1:31" ht="12.75" customHeight="1">
      <c r="A437" s="351">
        <v>43119</v>
      </c>
      <c r="B437" s="315" t="s">
        <v>200</v>
      </c>
      <c r="C437" s="316" t="s">
        <v>199</v>
      </c>
      <c r="D437" s="278">
        <v>6790.5</v>
      </c>
      <c r="E437" s="278">
        <v>6926.55</v>
      </c>
      <c r="F437" s="278">
        <v>6695.27</v>
      </c>
      <c r="G437" s="278">
        <v>6764.76</v>
      </c>
      <c r="H437" s="278">
        <v>6848.91</v>
      </c>
      <c r="I437" s="278">
        <v>6822.83</v>
      </c>
      <c r="J437" s="278">
        <v>6827.48</v>
      </c>
      <c r="K437" s="278">
        <v>6747.15</v>
      </c>
      <c r="L437" s="278">
        <v>6789.34</v>
      </c>
      <c r="M437" s="278">
        <v>6872.06</v>
      </c>
      <c r="N437" s="278">
        <v>6964.71</v>
      </c>
      <c r="O437" s="278">
        <v>6859.94</v>
      </c>
      <c r="P437" s="278">
        <v>6944.44</v>
      </c>
      <c r="Q437" s="326">
        <f>IF((L438=""),"",MAX(D439:P439))</f>
        <v>5376.23</v>
      </c>
      <c r="R437" s="315">
        <f>IF(L438="","",MIN(D439:L439))</f>
        <v>5251.9900000000007</v>
      </c>
      <c r="S437" s="318">
        <f>IF((P439=""),"",AVERAGE(D439:P439))</f>
        <v>5308.4623076923071</v>
      </c>
      <c r="T437" s="318">
        <f>IF((L438=""),"",(Q437-R437)/(Q437+R437)*100)</f>
        <v>1.1689633823913963</v>
      </c>
      <c r="U437" s="315">
        <f>STDEV(D439:P439)</f>
        <v>41.125298409118493</v>
      </c>
      <c r="V437" s="320" t="str">
        <f>IF(P438="","",IF(T437&lt;2.7,IF(S437&gt;5150,IF(S437&lt;5600,"Pass","Fail"),"Fail"),"Fail"))</f>
        <v>Pass</v>
      </c>
      <c r="W437" s="315"/>
      <c r="X437" s="339"/>
      <c r="Y437" s="357"/>
      <c r="Z437" s="321">
        <v>4470</v>
      </c>
      <c r="AA437" s="321">
        <v>6020</v>
      </c>
      <c r="AB437" s="321">
        <v>5150</v>
      </c>
      <c r="AC437" s="321">
        <v>5600</v>
      </c>
      <c r="AD437" s="305">
        <v>10</v>
      </c>
      <c r="AE437" s="322">
        <v>2.7</v>
      </c>
    </row>
    <row r="438" spans="1:31" ht="12.75" customHeight="1">
      <c r="A438" s="306"/>
      <c r="B438" s="298"/>
      <c r="C438" s="307" t="s">
        <v>198</v>
      </c>
      <c r="D438" s="278">
        <v>1537.93</v>
      </c>
      <c r="E438" s="278">
        <v>1656.42</v>
      </c>
      <c r="F438" s="278">
        <v>1443.28</v>
      </c>
      <c r="G438" s="278">
        <v>1423.25</v>
      </c>
      <c r="H438" s="278">
        <v>1563.37</v>
      </c>
      <c r="I438" s="278">
        <v>1473.87</v>
      </c>
      <c r="J438" s="278">
        <v>1488.46</v>
      </c>
      <c r="K438" s="278">
        <v>1370.92</v>
      </c>
      <c r="L438" s="278">
        <v>1520.91</v>
      </c>
      <c r="M438" s="278">
        <v>1518.32</v>
      </c>
      <c r="N438" s="278">
        <v>1664.18</v>
      </c>
      <c r="O438" s="278">
        <v>1550.63</v>
      </c>
      <c r="P438" s="278">
        <v>1632.39</v>
      </c>
      <c r="Q438" s="298"/>
      <c r="R438" s="298"/>
      <c r="S438" s="298"/>
      <c r="T438" s="298"/>
      <c r="U438" s="298"/>
      <c r="V438" s="302"/>
      <c r="W438" s="298"/>
      <c r="X438" s="339"/>
      <c r="Y438" s="340"/>
      <c r="Z438" s="267"/>
      <c r="AA438" s="267"/>
      <c r="AB438" s="267"/>
      <c r="AC438" s="267"/>
      <c r="AD438" s="268"/>
      <c r="AE438" s="269"/>
    </row>
    <row r="439" spans="1:31" ht="24" customHeight="1">
      <c r="A439" s="306"/>
      <c r="B439" s="299"/>
      <c r="C439" s="307" t="s">
        <v>197</v>
      </c>
      <c r="D439" s="323">
        <f t="shared" ref="D439:P439" si="141">IF(((D437="")*AND(D438="")),"",(D437-D438))</f>
        <v>5252.57</v>
      </c>
      <c r="E439" s="323">
        <f t="shared" si="141"/>
        <v>5270.13</v>
      </c>
      <c r="F439" s="323">
        <f t="shared" si="141"/>
        <v>5251.9900000000007</v>
      </c>
      <c r="G439" s="323">
        <f t="shared" si="141"/>
        <v>5341.51</v>
      </c>
      <c r="H439" s="323">
        <f t="shared" si="141"/>
        <v>5285.54</v>
      </c>
      <c r="I439" s="323">
        <f t="shared" si="141"/>
        <v>5348.96</v>
      </c>
      <c r="J439" s="323">
        <f t="shared" si="141"/>
        <v>5339.0199999999995</v>
      </c>
      <c r="K439" s="323">
        <f t="shared" si="141"/>
        <v>5376.23</v>
      </c>
      <c r="L439" s="323">
        <f t="shared" si="141"/>
        <v>5268.43</v>
      </c>
      <c r="M439" s="323">
        <f t="shared" si="141"/>
        <v>5353.7400000000007</v>
      </c>
      <c r="N439" s="323">
        <f t="shared" si="141"/>
        <v>5300.53</v>
      </c>
      <c r="O439" s="323">
        <f t="shared" si="141"/>
        <v>5309.3099999999995</v>
      </c>
      <c r="P439" s="323">
        <f t="shared" si="141"/>
        <v>5312.0499999999993</v>
      </c>
      <c r="Q439" s="299"/>
      <c r="R439" s="299"/>
      <c r="S439" s="299"/>
      <c r="T439" s="298"/>
      <c r="U439" s="299"/>
      <c r="V439" s="324"/>
      <c r="W439" s="299"/>
      <c r="X439" s="339"/>
      <c r="Y439" s="340"/>
      <c r="Z439" s="267"/>
      <c r="AA439" s="267"/>
      <c r="AB439" s="267"/>
      <c r="AC439" s="267"/>
      <c r="AD439" s="268"/>
      <c r="AE439" s="269"/>
    </row>
    <row r="440" spans="1:31" ht="12.75" customHeight="1">
      <c r="A440" s="351">
        <v>43119</v>
      </c>
      <c r="B440" s="326" t="s">
        <v>202</v>
      </c>
      <c r="C440" s="307" t="s">
        <v>199</v>
      </c>
      <c r="D440" s="278">
        <v>5850.92</v>
      </c>
      <c r="E440" s="278">
        <v>6001.5</v>
      </c>
      <c r="F440" s="278">
        <v>6032.08</v>
      </c>
      <c r="G440" s="278">
        <v>5985.25</v>
      </c>
      <c r="H440" s="278">
        <v>5759.19</v>
      </c>
      <c r="I440" s="278">
        <v>5765.88</v>
      </c>
      <c r="J440" s="278">
        <v>6010.64</v>
      </c>
      <c r="K440" s="278">
        <v>6013.25</v>
      </c>
      <c r="L440" s="278">
        <v>5869.34</v>
      </c>
      <c r="M440" s="290"/>
      <c r="N440" s="290"/>
      <c r="O440" s="290"/>
      <c r="P440" s="290"/>
      <c r="Q440" s="326">
        <f>IF((L441=""),"",MAX(D442:L442))</f>
        <v>6695.1999999999989</v>
      </c>
      <c r="R440" s="326">
        <f>IF(L441="","",MIN(D442:L442))</f>
        <v>6164.52</v>
      </c>
      <c r="S440" s="327">
        <f>IF((L442=""),"",AVERAGE(D442:L442))</f>
        <v>6474.5399999999991</v>
      </c>
      <c r="T440" s="319">
        <f>IF((L441=""),"",(Q440-R440)/(Q440+R440)*100)</f>
        <v>4.1266839402412998</v>
      </c>
      <c r="U440" s="326">
        <f>STDEV(D442:P442)</f>
        <v>155.6571382880114</v>
      </c>
      <c r="V440" s="328" t="str">
        <f>IF(L441="","",IF(T440&lt;9.8,IF(S440&gt;5100,IF(S440&lt;8300,"Pass","Fail"),"Fail"),"Fail"))</f>
        <v>Pass</v>
      </c>
      <c r="W440" s="298"/>
      <c r="X440" s="339"/>
      <c r="Y440" s="340"/>
      <c r="Z440" s="267">
        <v>4955</v>
      </c>
      <c r="AA440" s="267">
        <v>9645</v>
      </c>
      <c r="AB440" s="267">
        <v>5100</v>
      </c>
      <c r="AC440" s="267">
        <v>8300</v>
      </c>
      <c r="AD440" s="305">
        <v>10</v>
      </c>
      <c r="AE440" s="305">
        <v>9.8000000000000007</v>
      </c>
    </row>
    <row r="441" spans="1:31" ht="12.75" customHeight="1">
      <c r="A441" s="306"/>
      <c r="B441" s="298"/>
      <c r="C441" s="307" t="s">
        <v>198</v>
      </c>
      <c r="D441" s="278">
        <v>2683.62</v>
      </c>
      <c r="E441" s="278">
        <v>2733.56</v>
      </c>
      <c r="F441" s="278">
        <v>2805.74</v>
      </c>
      <c r="G441" s="278">
        <v>2713.02</v>
      </c>
      <c r="H441" s="278">
        <v>2411.59</v>
      </c>
      <c r="I441" s="278">
        <v>2683.62</v>
      </c>
      <c r="J441" s="278">
        <v>2757.11</v>
      </c>
      <c r="K441" s="278">
        <v>2798.07</v>
      </c>
      <c r="L441" s="278">
        <v>2566.29</v>
      </c>
      <c r="M441" s="290"/>
      <c r="N441" s="290"/>
      <c r="O441" s="290"/>
      <c r="P441" s="290"/>
      <c r="Q441" s="298"/>
      <c r="R441" s="298"/>
      <c r="S441" s="298"/>
      <c r="T441" s="298"/>
      <c r="U441" s="298"/>
      <c r="V441" s="302"/>
      <c r="W441" s="298"/>
      <c r="X441" s="339"/>
      <c r="Y441" s="340"/>
      <c r="Z441" s="267"/>
      <c r="AA441" s="267"/>
      <c r="AB441" s="267"/>
      <c r="AC441" s="267"/>
      <c r="AD441" s="268"/>
      <c r="AE441" s="269"/>
    </row>
    <row r="442" spans="1:31" ht="24.75" customHeight="1" thickBot="1">
      <c r="A442" s="306"/>
      <c r="B442" s="309"/>
      <c r="C442" s="310" t="s">
        <v>197</v>
      </c>
      <c r="D442" s="311">
        <f t="shared" ref="D442:L442" si="142">IF(((D440="")*AND(D441="")),"",(D440-D441)*2)</f>
        <v>6334.6</v>
      </c>
      <c r="E442" s="311">
        <f t="shared" si="142"/>
        <v>6535.88</v>
      </c>
      <c r="F442" s="311">
        <f t="shared" si="142"/>
        <v>6452.68</v>
      </c>
      <c r="G442" s="311">
        <f t="shared" si="142"/>
        <v>6544.46</v>
      </c>
      <c r="H442" s="311">
        <f t="shared" si="142"/>
        <v>6695.1999999999989</v>
      </c>
      <c r="I442" s="311">
        <f t="shared" si="142"/>
        <v>6164.52</v>
      </c>
      <c r="J442" s="311">
        <f t="shared" si="142"/>
        <v>6507.06</v>
      </c>
      <c r="K442" s="311">
        <f t="shared" si="142"/>
        <v>6430.36</v>
      </c>
      <c r="L442" s="311">
        <f t="shared" si="142"/>
        <v>6606.1</v>
      </c>
      <c r="M442" s="311"/>
      <c r="N442" s="311"/>
      <c r="O442" s="311"/>
      <c r="P442" s="311" t="str">
        <f>IF(((P440="")*AND(P441="")),"",(P440-P441)*2)</f>
        <v/>
      </c>
      <c r="Q442" s="309"/>
      <c r="R442" s="309"/>
      <c r="S442" s="309"/>
      <c r="T442" s="309"/>
      <c r="U442" s="309"/>
      <c r="V442" s="312"/>
      <c r="W442" s="309"/>
      <c r="X442" s="339"/>
      <c r="Y442" s="341"/>
      <c r="Z442" s="267"/>
      <c r="AA442" s="267"/>
      <c r="AB442" s="267"/>
      <c r="AC442" s="267"/>
      <c r="AD442" s="268"/>
      <c r="AE442" s="269"/>
    </row>
    <row r="443" spans="1:31" ht="12.75" customHeight="1">
      <c r="A443" s="351">
        <v>43125</v>
      </c>
      <c r="B443" s="315" t="s">
        <v>200</v>
      </c>
      <c r="C443" s="316" t="s">
        <v>199</v>
      </c>
      <c r="D443" s="278">
        <v>6910.99</v>
      </c>
      <c r="E443" s="278">
        <v>7047.67</v>
      </c>
      <c r="F443" s="278">
        <v>6816</v>
      </c>
      <c r="G443" s="278">
        <v>6873.64</v>
      </c>
      <c r="H443" s="278">
        <v>6980.33</v>
      </c>
      <c r="I443" s="278">
        <v>6947.42</v>
      </c>
      <c r="J443" s="278">
        <v>6934.41</v>
      </c>
      <c r="K443" s="278">
        <v>6847.22</v>
      </c>
      <c r="L443" s="278">
        <v>6909.65</v>
      </c>
      <c r="M443" s="278">
        <v>6983.66</v>
      </c>
      <c r="N443" s="278">
        <v>7091.68</v>
      </c>
      <c r="O443" s="278">
        <v>6982.56</v>
      </c>
      <c r="P443" s="278">
        <v>7074.32</v>
      </c>
      <c r="Q443" s="326">
        <f>IF((L444=""),"",MAX(D445:P445))</f>
        <v>5375.85</v>
      </c>
      <c r="R443" s="315">
        <f>IF(L444="","",MIN(D445:L445))</f>
        <v>5261.74</v>
      </c>
      <c r="S443" s="318">
        <f>IF((P445=""),"",AVERAGE(D445:P445))</f>
        <v>5313.9861538461537</v>
      </c>
      <c r="T443" s="318">
        <f>IF((L444=""),"",(Q443-R443)/(Q443+R443)*100)</f>
        <v>1.0727053778158453</v>
      </c>
      <c r="U443" s="315">
        <f>STDEV(D445:P445)</f>
        <v>36.826451892474388</v>
      </c>
      <c r="V443" s="320" t="str">
        <f>IF(P444="","",IF(T443&lt;2.7,IF(S443&gt;5150,IF(S443&lt;5600,"Pass","Fail"),"Fail"),"Fail"))</f>
        <v>Pass</v>
      </c>
      <c r="W443" s="315">
        <v>1428</v>
      </c>
      <c r="X443" s="339"/>
      <c r="Y443" s="357"/>
      <c r="Z443" s="321">
        <v>4470</v>
      </c>
      <c r="AA443" s="321">
        <v>6020</v>
      </c>
      <c r="AB443" s="321">
        <v>5150</v>
      </c>
      <c r="AC443" s="321">
        <v>5600</v>
      </c>
      <c r="AD443" s="305">
        <v>10</v>
      </c>
      <c r="AE443" s="322">
        <v>2.7</v>
      </c>
    </row>
    <row r="444" spans="1:31" ht="12.75" customHeight="1">
      <c r="A444" s="306"/>
      <c r="B444" s="298"/>
      <c r="C444" s="307" t="s">
        <v>198</v>
      </c>
      <c r="D444" s="278">
        <v>1645.76</v>
      </c>
      <c r="E444" s="278">
        <v>1764.65</v>
      </c>
      <c r="F444" s="278">
        <v>1554.26</v>
      </c>
      <c r="G444" s="278">
        <v>1551.44</v>
      </c>
      <c r="H444" s="278">
        <v>1682.14</v>
      </c>
      <c r="I444" s="278">
        <v>1595.44</v>
      </c>
      <c r="J444" s="278">
        <v>1595.96</v>
      </c>
      <c r="K444" s="278">
        <v>1471.37</v>
      </c>
      <c r="L444" s="278">
        <v>1636.94</v>
      </c>
      <c r="M444" s="278">
        <v>1622.21</v>
      </c>
      <c r="N444" s="278">
        <v>1779.17</v>
      </c>
      <c r="O444" s="278">
        <v>1665.36</v>
      </c>
      <c r="P444" s="278">
        <v>1753.03</v>
      </c>
      <c r="Q444" s="298"/>
      <c r="R444" s="298"/>
      <c r="S444" s="298"/>
      <c r="T444" s="298"/>
      <c r="U444" s="298"/>
      <c r="V444" s="302"/>
      <c r="W444" s="298"/>
      <c r="X444" s="339"/>
      <c r="Y444" s="340"/>
      <c r="Z444" s="267"/>
      <c r="AA444" s="267"/>
      <c r="AB444" s="267"/>
      <c r="AC444" s="267"/>
      <c r="AD444" s="268"/>
      <c r="AE444" s="269"/>
    </row>
    <row r="445" spans="1:31" ht="24" customHeight="1">
      <c r="A445" s="306"/>
      <c r="B445" s="299"/>
      <c r="C445" s="307" t="s">
        <v>197</v>
      </c>
      <c r="D445" s="323">
        <f t="shared" ref="D445:P445" si="143">IF(((D443="")*AND(D444="")),"",(D443-D444))</f>
        <v>5265.23</v>
      </c>
      <c r="E445" s="323">
        <f t="shared" si="143"/>
        <v>5283.02</v>
      </c>
      <c r="F445" s="323">
        <f t="shared" si="143"/>
        <v>5261.74</v>
      </c>
      <c r="G445" s="323">
        <f t="shared" si="143"/>
        <v>5322.2000000000007</v>
      </c>
      <c r="H445" s="323">
        <f t="shared" si="143"/>
        <v>5298.19</v>
      </c>
      <c r="I445" s="323">
        <f t="shared" si="143"/>
        <v>5351.98</v>
      </c>
      <c r="J445" s="323">
        <f t="shared" si="143"/>
        <v>5338.45</v>
      </c>
      <c r="K445" s="323">
        <f t="shared" si="143"/>
        <v>5375.85</v>
      </c>
      <c r="L445" s="323">
        <f t="shared" si="143"/>
        <v>5272.7099999999991</v>
      </c>
      <c r="M445" s="323">
        <f t="shared" si="143"/>
        <v>5361.45</v>
      </c>
      <c r="N445" s="323">
        <f t="shared" si="143"/>
        <v>5312.51</v>
      </c>
      <c r="O445" s="323">
        <f t="shared" si="143"/>
        <v>5317.2000000000007</v>
      </c>
      <c r="P445" s="323">
        <f t="shared" si="143"/>
        <v>5321.29</v>
      </c>
      <c r="Q445" s="299"/>
      <c r="R445" s="299"/>
      <c r="S445" s="299"/>
      <c r="T445" s="298"/>
      <c r="U445" s="299"/>
      <c r="V445" s="324"/>
      <c r="W445" s="299"/>
      <c r="X445" s="339"/>
      <c r="Y445" s="340"/>
      <c r="Z445" s="267"/>
      <c r="AA445" s="267"/>
      <c r="AB445" s="267"/>
      <c r="AC445" s="267"/>
      <c r="AD445" s="268"/>
      <c r="AE445" s="269"/>
    </row>
    <row r="446" spans="1:31" ht="12.75" customHeight="1">
      <c r="A446" s="351">
        <v>43125</v>
      </c>
      <c r="B446" s="326" t="s">
        <v>202</v>
      </c>
      <c r="C446" s="307" t="s">
        <v>199</v>
      </c>
      <c r="D446" s="278">
        <v>5855.72</v>
      </c>
      <c r="E446" s="278">
        <v>5998.62</v>
      </c>
      <c r="F446" s="278">
        <v>6026.63</v>
      </c>
      <c r="G446" s="278">
        <v>5985.81</v>
      </c>
      <c r="H446" s="278">
        <v>5784.64</v>
      </c>
      <c r="I446" s="278">
        <v>5789.45</v>
      </c>
      <c r="J446" s="278">
        <v>6014.16</v>
      </c>
      <c r="K446" s="278">
        <v>6006.14</v>
      </c>
      <c r="L446" s="278">
        <v>5939.15</v>
      </c>
      <c r="M446" s="290"/>
      <c r="N446" s="290"/>
      <c r="O446" s="290"/>
      <c r="P446" s="290"/>
      <c r="Q446" s="326">
        <f>IF((L447=""),"",MAX(D448:L448))</f>
        <v>6751.1799999999994</v>
      </c>
      <c r="R446" s="326">
        <f>IF(L447="","",MIN(D448:L448))</f>
        <v>6417.4400000000005</v>
      </c>
      <c r="S446" s="327">
        <f>IF((L448=""),"",AVERAGE(D448:L448))</f>
        <v>6572.6444444444451</v>
      </c>
      <c r="T446" s="319">
        <f>IF((L447=""),"",(Q446-R446)/(Q446+R446)*100)</f>
        <v>2.5343581939489401</v>
      </c>
      <c r="U446" s="326">
        <f>STDEV(D448:P448)</f>
        <v>118.31681950495818</v>
      </c>
      <c r="V446" s="328" t="str">
        <f>IF(L447="","",IF(T446&lt;9.8,IF(S446&gt;5100,IF(S446&lt;8300,"Pass","Fail"),"Fail"),"Fail"))</f>
        <v>Pass</v>
      </c>
      <c r="W446" s="298">
        <v>1428</v>
      </c>
      <c r="X446" s="339"/>
      <c r="Y446" s="340"/>
      <c r="Z446" s="267">
        <v>4955</v>
      </c>
      <c r="AA446" s="267">
        <v>9645</v>
      </c>
      <c r="AB446" s="267">
        <v>5100</v>
      </c>
      <c r="AC446" s="267">
        <v>8300</v>
      </c>
      <c r="AD446" s="305">
        <v>10</v>
      </c>
      <c r="AE446" s="305">
        <v>9.8000000000000007</v>
      </c>
    </row>
    <row r="447" spans="1:31" ht="12.75" customHeight="1">
      <c r="A447" s="306"/>
      <c r="B447" s="298"/>
      <c r="C447" s="307" t="s">
        <v>198</v>
      </c>
      <c r="D447" s="278">
        <v>2647</v>
      </c>
      <c r="E447" s="278">
        <v>2713.33</v>
      </c>
      <c r="F447" s="278">
        <v>2789.68</v>
      </c>
      <c r="G447" s="278">
        <v>2695.27</v>
      </c>
      <c r="H447" s="278">
        <v>2419.88</v>
      </c>
      <c r="I447" s="278">
        <v>2471.19</v>
      </c>
      <c r="J447" s="278">
        <v>2738.37</v>
      </c>
      <c r="K447" s="278">
        <v>2785.14</v>
      </c>
      <c r="L447" s="278">
        <v>2563.56</v>
      </c>
      <c r="M447" s="290"/>
      <c r="N447" s="290"/>
      <c r="O447" s="290"/>
      <c r="P447" s="290"/>
      <c r="Q447" s="298"/>
      <c r="R447" s="298"/>
      <c r="S447" s="298"/>
      <c r="T447" s="298"/>
      <c r="U447" s="298"/>
      <c r="V447" s="302"/>
      <c r="W447" s="298"/>
      <c r="X447" s="339"/>
      <c r="Y447" s="340"/>
      <c r="Z447" s="267"/>
      <c r="AA447" s="267"/>
      <c r="AB447" s="267"/>
      <c r="AC447" s="267"/>
      <c r="AD447" s="268"/>
      <c r="AE447" s="269"/>
    </row>
    <row r="448" spans="1:31" ht="24.75" customHeight="1" thickBot="1">
      <c r="A448" s="306"/>
      <c r="B448" s="309"/>
      <c r="C448" s="310" t="s">
        <v>197</v>
      </c>
      <c r="D448" s="311">
        <f t="shared" ref="D448:L448" si="144">IF(((D446="")*AND(D447="")),"",(D446-D447)*2)</f>
        <v>6417.4400000000005</v>
      </c>
      <c r="E448" s="311">
        <f t="shared" si="144"/>
        <v>6570.58</v>
      </c>
      <c r="F448" s="311">
        <f t="shared" si="144"/>
        <v>6473.9000000000005</v>
      </c>
      <c r="G448" s="311">
        <f t="shared" si="144"/>
        <v>6581.0800000000008</v>
      </c>
      <c r="H448" s="311">
        <f t="shared" si="144"/>
        <v>6729.52</v>
      </c>
      <c r="I448" s="311">
        <f t="shared" si="144"/>
        <v>6636.5199999999995</v>
      </c>
      <c r="J448" s="311">
        <f t="shared" si="144"/>
        <v>6551.58</v>
      </c>
      <c r="K448" s="311">
        <f t="shared" si="144"/>
        <v>6442.0000000000009</v>
      </c>
      <c r="L448" s="311">
        <f t="shared" si="144"/>
        <v>6751.1799999999994</v>
      </c>
      <c r="M448" s="311"/>
      <c r="N448" s="311"/>
      <c r="O448" s="311"/>
      <c r="P448" s="311" t="str">
        <f>IF(((P446="")*AND(P447="")),"",(P446-P447)*2)</f>
        <v/>
      </c>
      <c r="Q448" s="309"/>
      <c r="R448" s="309"/>
      <c r="S448" s="309"/>
      <c r="T448" s="309"/>
      <c r="U448" s="309"/>
      <c r="V448" s="312"/>
      <c r="W448" s="309"/>
      <c r="X448" s="339"/>
      <c r="Y448" s="341"/>
      <c r="Z448" s="267"/>
      <c r="AA448" s="267"/>
      <c r="AB448" s="267"/>
      <c r="AC448" s="267"/>
      <c r="AD448" s="268"/>
      <c r="AE448" s="269"/>
    </row>
    <row r="449" spans="1:31" ht="12.75" customHeight="1">
      <c r="A449" s="364">
        <v>43129</v>
      </c>
      <c r="B449" s="315" t="s">
        <v>200</v>
      </c>
      <c r="C449" s="316" t="s">
        <v>199</v>
      </c>
      <c r="D449" s="278">
        <v>6406.11</v>
      </c>
      <c r="E449" s="278">
        <v>6525.42</v>
      </c>
      <c r="F449" s="278">
        <v>6360.67</v>
      </c>
      <c r="G449" s="278">
        <v>6435.5</v>
      </c>
      <c r="H449" s="278">
        <v>6399.72</v>
      </c>
      <c r="I449" s="278">
        <v>6448.16</v>
      </c>
      <c r="J449" s="278">
        <v>6485.09</v>
      </c>
      <c r="K449" s="278">
        <v>6375.15</v>
      </c>
      <c r="L449" s="278">
        <v>6436.74</v>
      </c>
      <c r="M449" s="278">
        <v>6527.33</v>
      </c>
      <c r="N449" s="278">
        <v>6545.81</v>
      </c>
      <c r="O449" s="278">
        <v>6506.51</v>
      </c>
      <c r="P449" s="278">
        <v>6513.81</v>
      </c>
      <c r="Q449" s="326">
        <f>IF((L450=""),"",MAX(D451:P451))</f>
        <v>5338.79</v>
      </c>
      <c r="R449" s="315">
        <f>IF(L450="","",MIN(D451:L451))</f>
        <v>5208.38</v>
      </c>
      <c r="S449" s="318">
        <f>IF((P451=""),"",AVERAGE(D451:P451))</f>
        <v>5271.0723076923077</v>
      </c>
      <c r="T449" s="318">
        <f>IF((L450=""),"",(Q449-R449)/(Q449+R449)*100)</f>
        <v>1.2364454161637657</v>
      </c>
      <c r="U449" s="315">
        <f>STDEV(D451:P451)</f>
        <v>45.677978858103721</v>
      </c>
      <c r="V449" s="320" t="str">
        <f>IF(P450="","",IF(T449&lt;2.7,IF(S449&gt;5150,IF(S449&lt;5600,"Pass","Fail"),"Fail"),"Fail"))</f>
        <v>Pass</v>
      </c>
      <c r="W449" s="315">
        <v>121</v>
      </c>
      <c r="X449" s="339"/>
      <c r="Y449" s="357"/>
      <c r="Z449" s="321">
        <v>4470</v>
      </c>
      <c r="AA449" s="321">
        <v>6020</v>
      </c>
      <c r="AB449" s="321">
        <v>5150</v>
      </c>
      <c r="AC449" s="321">
        <v>5600</v>
      </c>
      <c r="AD449" s="305">
        <v>10</v>
      </c>
      <c r="AE449" s="322">
        <v>2.7</v>
      </c>
    </row>
    <row r="450" spans="1:31" ht="12.75" customHeight="1">
      <c r="A450" s="306"/>
      <c r="B450" s="298"/>
      <c r="C450" s="307" t="s">
        <v>198</v>
      </c>
      <c r="D450" s="278">
        <v>1194.1300000000001</v>
      </c>
      <c r="E450" s="278">
        <v>1290.51</v>
      </c>
      <c r="F450" s="278">
        <v>1152.29</v>
      </c>
      <c r="G450" s="278">
        <v>1139.3399999999999</v>
      </c>
      <c r="H450" s="278">
        <v>1156.67</v>
      </c>
      <c r="I450" s="278">
        <v>1133.8499999999999</v>
      </c>
      <c r="J450" s="278">
        <v>1146.3</v>
      </c>
      <c r="K450" s="278">
        <v>1039</v>
      </c>
      <c r="L450" s="278">
        <v>1213.82</v>
      </c>
      <c r="M450" s="278">
        <v>1213.43</v>
      </c>
      <c r="N450" s="278">
        <v>1281.3399999999999</v>
      </c>
      <c r="O450" s="278">
        <v>1237.83</v>
      </c>
      <c r="P450" s="278">
        <v>1243.57</v>
      </c>
      <c r="Q450" s="298"/>
      <c r="R450" s="298"/>
      <c r="S450" s="298"/>
      <c r="T450" s="298"/>
      <c r="U450" s="298"/>
      <c r="V450" s="302"/>
      <c r="W450" s="298"/>
      <c r="X450" s="339"/>
      <c r="Y450" s="340"/>
      <c r="Z450" s="267"/>
      <c r="AA450" s="267"/>
      <c r="AB450" s="267"/>
      <c r="AC450" s="267"/>
      <c r="AD450" s="268"/>
      <c r="AE450" s="269"/>
    </row>
    <row r="451" spans="1:31" ht="24" customHeight="1">
      <c r="A451" s="306"/>
      <c r="B451" s="299"/>
      <c r="C451" s="307" t="s">
        <v>197</v>
      </c>
      <c r="D451" s="323">
        <f t="shared" ref="D451:P451" si="145">IF(((D449="")*AND(D450="")),"",(D449-D450))</f>
        <v>5211.9799999999996</v>
      </c>
      <c r="E451" s="323">
        <f t="shared" si="145"/>
        <v>5234.91</v>
      </c>
      <c r="F451" s="323">
        <f t="shared" si="145"/>
        <v>5208.38</v>
      </c>
      <c r="G451" s="323">
        <f t="shared" si="145"/>
        <v>5296.16</v>
      </c>
      <c r="H451" s="323">
        <f t="shared" si="145"/>
        <v>5243.05</v>
      </c>
      <c r="I451" s="323">
        <f t="shared" si="145"/>
        <v>5314.3099999999995</v>
      </c>
      <c r="J451" s="323">
        <f t="shared" si="145"/>
        <v>5338.79</v>
      </c>
      <c r="K451" s="323">
        <f t="shared" si="145"/>
        <v>5336.15</v>
      </c>
      <c r="L451" s="323">
        <f t="shared" si="145"/>
        <v>5222.92</v>
      </c>
      <c r="M451" s="323">
        <f t="shared" si="145"/>
        <v>5313.9</v>
      </c>
      <c r="N451" s="323">
        <f t="shared" si="145"/>
        <v>5264.47</v>
      </c>
      <c r="O451" s="323">
        <f t="shared" si="145"/>
        <v>5268.68</v>
      </c>
      <c r="P451" s="323">
        <f t="shared" si="145"/>
        <v>5270.2400000000007</v>
      </c>
      <c r="Q451" s="299"/>
      <c r="R451" s="299"/>
      <c r="S451" s="299"/>
      <c r="T451" s="298"/>
      <c r="U451" s="299"/>
      <c r="V451" s="324"/>
      <c r="W451" s="299"/>
      <c r="X451" s="339"/>
      <c r="Y451" s="340"/>
      <c r="Z451" s="267"/>
      <c r="AA451" s="267"/>
      <c r="AB451" s="267"/>
      <c r="AC451" s="267"/>
      <c r="AD451" s="268"/>
      <c r="AE451" s="269"/>
    </row>
    <row r="452" spans="1:31" ht="12.75" customHeight="1">
      <c r="A452" s="364">
        <v>43129</v>
      </c>
      <c r="B452" s="326" t="s">
        <v>202</v>
      </c>
      <c r="C452" s="307" t="s">
        <v>199</v>
      </c>
      <c r="D452" s="278">
        <v>5860.24</v>
      </c>
      <c r="E452" s="278">
        <v>5983.45</v>
      </c>
      <c r="F452" s="278">
        <v>6019.94</v>
      </c>
      <c r="G452" s="278">
        <v>5973.79</v>
      </c>
      <c r="H452" s="278">
        <v>5793.91</v>
      </c>
      <c r="I452" s="278">
        <v>5782.59</v>
      </c>
      <c r="J452" s="278">
        <v>5994.33</v>
      </c>
      <c r="K452" s="278">
        <v>6015.84</v>
      </c>
      <c r="L452" s="278">
        <v>5953.88</v>
      </c>
      <c r="M452" s="290"/>
      <c r="N452" s="290"/>
      <c r="O452" s="290"/>
      <c r="P452" s="290"/>
      <c r="Q452" s="326">
        <f>IF((L453=""),"",MAX(D454:L454))</f>
        <v>6582.54</v>
      </c>
      <c r="R452" s="326">
        <f>IF(L453="","",MIN(D454:L454))</f>
        <v>6025.18</v>
      </c>
      <c r="S452" s="327">
        <f>IF((L454=""),"",AVERAGE(D454:L454))</f>
        <v>6321.04</v>
      </c>
      <c r="T452" s="319">
        <f>IF((L453=""),"",(Q452-R452)/(Q452+R452)*100)</f>
        <v>4.4207834564853883</v>
      </c>
      <c r="U452" s="326">
        <f>STDEV(D454:P454)</f>
        <v>195.38973821568808</v>
      </c>
      <c r="V452" s="328" t="str">
        <f>IF(L453="","",IF(T452&lt;9.8,IF(S452&gt;5100,IF(S452&lt;8300,"Pass","Fail"),"Fail"),"Fail"))</f>
        <v>Pass</v>
      </c>
      <c r="W452" s="298">
        <v>121</v>
      </c>
      <c r="X452" s="339"/>
      <c r="Y452" s="340"/>
      <c r="Z452" s="267">
        <v>4955</v>
      </c>
      <c r="AA452" s="267">
        <v>9645</v>
      </c>
      <c r="AB452" s="267">
        <v>5100</v>
      </c>
      <c r="AC452" s="267">
        <v>8300</v>
      </c>
      <c r="AD452" s="305">
        <v>10</v>
      </c>
      <c r="AE452" s="305">
        <v>9.8000000000000007</v>
      </c>
    </row>
    <row r="453" spans="1:31" ht="12.75" customHeight="1">
      <c r="A453" s="306"/>
      <c r="B453" s="298"/>
      <c r="C453" s="307" t="s">
        <v>198</v>
      </c>
      <c r="D453" s="278">
        <v>2571.3200000000002</v>
      </c>
      <c r="E453" s="278">
        <v>2801.89</v>
      </c>
      <c r="F453" s="278">
        <v>2881.18</v>
      </c>
      <c r="G453" s="278">
        <v>2783.01</v>
      </c>
      <c r="H453" s="278">
        <v>2770</v>
      </c>
      <c r="I453" s="278">
        <v>2770</v>
      </c>
      <c r="J453" s="278">
        <v>2821.99</v>
      </c>
      <c r="K453" s="278">
        <v>2871.29</v>
      </c>
      <c r="L453" s="278">
        <v>2662.61</v>
      </c>
      <c r="M453" s="290"/>
      <c r="N453" s="290"/>
      <c r="O453" s="290"/>
      <c r="P453" s="290"/>
      <c r="Q453" s="298"/>
      <c r="R453" s="298"/>
      <c r="S453" s="298"/>
      <c r="T453" s="298"/>
      <c r="U453" s="298"/>
      <c r="V453" s="302"/>
      <c r="W453" s="298"/>
      <c r="X453" s="339"/>
      <c r="Y453" s="340"/>
      <c r="Z453" s="267"/>
      <c r="AA453" s="267"/>
      <c r="AB453" s="267"/>
      <c r="AC453" s="267"/>
      <c r="AD453" s="268"/>
      <c r="AE453" s="269"/>
    </row>
    <row r="454" spans="1:31" ht="24.75" customHeight="1" thickBot="1">
      <c r="A454" s="306"/>
      <c r="B454" s="309"/>
      <c r="C454" s="310" t="s">
        <v>197</v>
      </c>
      <c r="D454" s="311">
        <f t="shared" ref="D454:L454" si="146">IF(((D452="")*AND(D453="")),"",(D452-D453)*2)</f>
        <v>6577.8399999999992</v>
      </c>
      <c r="E454" s="311">
        <f t="shared" si="146"/>
        <v>6363.12</v>
      </c>
      <c r="F454" s="311">
        <f t="shared" si="146"/>
        <v>6277.5199999999995</v>
      </c>
      <c r="G454" s="311">
        <f t="shared" si="146"/>
        <v>6381.5599999999995</v>
      </c>
      <c r="H454" s="311">
        <f t="shared" si="146"/>
        <v>6047.82</v>
      </c>
      <c r="I454" s="311">
        <f t="shared" si="146"/>
        <v>6025.18</v>
      </c>
      <c r="J454" s="311">
        <f t="shared" si="146"/>
        <v>6344.68</v>
      </c>
      <c r="K454" s="311">
        <f t="shared" si="146"/>
        <v>6289.1</v>
      </c>
      <c r="L454" s="311">
        <f t="shared" si="146"/>
        <v>6582.54</v>
      </c>
      <c r="M454" s="311"/>
      <c r="N454" s="311"/>
      <c r="O454" s="311"/>
      <c r="P454" s="311" t="str">
        <f>IF(((P452="")*AND(P453="")),"",(P452-P453)*2)</f>
        <v/>
      </c>
      <c r="Q454" s="309"/>
      <c r="R454" s="309"/>
      <c r="S454" s="309"/>
      <c r="T454" s="309"/>
      <c r="U454" s="309"/>
      <c r="V454" s="312"/>
      <c r="W454" s="309"/>
      <c r="X454" s="339"/>
      <c r="Y454" s="341"/>
      <c r="Z454" s="267"/>
      <c r="AA454" s="267"/>
      <c r="AB454" s="267"/>
      <c r="AC454" s="267"/>
      <c r="AD454" s="268"/>
      <c r="AE454" s="269"/>
    </row>
    <row r="455" spans="1:31" ht="12.75" customHeight="1">
      <c r="A455" s="364">
        <v>43135</v>
      </c>
      <c r="B455" s="315" t="s">
        <v>200</v>
      </c>
      <c r="C455" s="316" t="s">
        <v>199</v>
      </c>
      <c r="D455" s="278">
        <v>6550.52</v>
      </c>
      <c r="E455" s="278">
        <v>6716.2</v>
      </c>
      <c r="F455" s="278">
        <v>6470.8</v>
      </c>
      <c r="G455" s="278">
        <v>6528.15</v>
      </c>
      <c r="H455" s="278">
        <v>6608.89</v>
      </c>
      <c r="I455" s="278">
        <v>6579.57</v>
      </c>
      <c r="J455" s="278">
        <v>6572.17</v>
      </c>
      <c r="K455" s="278">
        <v>6506.12</v>
      </c>
      <c r="L455" s="278">
        <v>6543.77</v>
      </c>
      <c r="M455" s="278">
        <v>6630.4</v>
      </c>
      <c r="N455" s="278">
        <v>6771.51</v>
      </c>
      <c r="O455" s="278">
        <v>6621.39</v>
      </c>
      <c r="P455" s="278">
        <v>6673.15</v>
      </c>
      <c r="Q455" s="326">
        <f>IF((L456=""),"",MAX(D457:P457))</f>
        <v>5381.57</v>
      </c>
      <c r="R455" s="315">
        <f>IF(L456="","",MIN(D457:L457))</f>
        <v>5227.8500000000004</v>
      </c>
      <c r="S455" s="318">
        <f>IF((P457=""),"",AVERAGE(D457:P457))</f>
        <v>5296.5561538461534</v>
      </c>
      <c r="T455" s="318">
        <f>IF((L456=""),"",(Q455-R455)/(Q455+R455)*100)</f>
        <v>1.4489010709350685</v>
      </c>
      <c r="U455" s="315">
        <f>STDEV(D457:P457)</f>
        <v>54.793239476350131</v>
      </c>
      <c r="V455" s="320" t="str">
        <f>IF(P456="","",IF(T455&lt;2.7,IF(S455&gt;5150,IF(S455&lt;5600,"Pass","Fail"),"Fail"),"Fail"))</f>
        <v>Pass</v>
      </c>
      <c r="W455" s="315">
        <v>121</v>
      </c>
      <c r="X455" s="339"/>
      <c r="Y455" s="357"/>
      <c r="Z455" s="321">
        <v>4470</v>
      </c>
      <c r="AA455" s="321">
        <v>6020</v>
      </c>
      <c r="AB455" s="321">
        <v>5150</v>
      </c>
      <c r="AC455" s="321">
        <v>5600</v>
      </c>
      <c r="AD455" s="305">
        <v>10</v>
      </c>
      <c r="AE455" s="322">
        <v>2.7</v>
      </c>
    </row>
    <row r="456" spans="1:31" ht="12.75" customHeight="1">
      <c r="A456" s="306"/>
      <c r="B456" s="298"/>
      <c r="C456" s="307" t="s">
        <v>198</v>
      </c>
      <c r="D456" s="278">
        <v>1322.67</v>
      </c>
      <c r="E456" s="278">
        <v>1466.51</v>
      </c>
      <c r="F456" s="278">
        <v>1240.6199999999999</v>
      </c>
      <c r="G456" s="278">
        <v>1181.07</v>
      </c>
      <c r="H456" s="278">
        <v>1344.28</v>
      </c>
      <c r="I456" s="278">
        <v>1238.76</v>
      </c>
      <c r="J456" s="278">
        <v>1190.5999999999999</v>
      </c>
      <c r="K456" s="278">
        <v>1125.17</v>
      </c>
      <c r="L456" s="278">
        <v>1305.6300000000001</v>
      </c>
      <c r="M456" s="278">
        <v>1300.25</v>
      </c>
      <c r="N456" s="278">
        <v>1488.81</v>
      </c>
      <c r="O456" s="278">
        <v>1334.04</v>
      </c>
      <c r="P456" s="278">
        <v>1379</v>
      </c>
      <c r="Q456" s="298"/>
      <c r="R456" s="298"/>
      <c r="S456" s="298"/>
      <c r="T456" s="298"/>
      <c r="U456" s="298"/>
      <c r="V456" s="302"/>
      <c r="W456" s="298"/>
      <c r="X456" s="339"/>
      <c r="Y456" s="340"/>
      <c r="Z456" s="267"/>
      <c r="AA456" s="267"/>
      <c r="AB456" s="267"/>
      <c r="AC456" s="267"/>
      <c r="AD456" s="268"/>
      <c r="AE456" s="269"/>
    </row>
    <row r="457" spans="1:31" ht="24" customHeight="1">
      <c r="A457" s="306"/>
      <c r="B457" s="299"/>
      <c r="C457" s="307" t="s">
        <v>197</v>
      </c>
      <c r="D457" s="323">
        <f t="shared" ref="D457:P457" si="147">IF(((D455="")*AND(D456="")),"",(D455-D456))</f>
        <v>5227.8500000000004</v>
      </c>
      <c r="E457" s="323">
        <f t="shared" si="147"/>
        <v>5249.69</v>
      </c>
      <c r="F457" s="323">
        <f t="shared" si="147"/>
        <v>5230.18</v>
      </c>
      <c r="G457" s="323">
        <f t="shared" si="147"/>
        <v>5347.08</v>
      </c>
      <c r="H457" s="323">
        <f t="shared" si="147"/>
        <v>5264.6100000000006</v>
      </c>
      <c r="I457" s="323">
        <f t="shared" si="147"/>
        <v>5340.8099999999995</v>
      </c>
      <c r="J457" s="323">
        <f t="shared" si="147"/>
        <v>5381.57</v>
      </c>
      <c r="K457" s="323">
        <f t="shared" si="147"/>
        <v>5380.95</v>
      </c>
      <c r="L457" s="323">
        <f t="shared" si="147"/>
        <v>5238.1400000000003</v>
      </c>
      <c r="M457" s="323">
        <f t="shared" si="147"/>
        <v>5330.15</v>
      </c>
      <c r="N457" s="323">
        <f t="shared" si="147"/>
        <v>5282.7000000000007</v>
      </c>
      <c r="O457" s="323">
        <f t="shared" si="147"/>
        <v>5287.35</v>
      </c>
      <c r="P457" s="323">
        <f t="shared" si="147"/>
        <v>5294.15</v>
      </c>
      <c r="Q457" s="299"/>
      <c r="R457" s="299"/>
      <c r="S457" s="299"/>
      <c r="T457" s="298"/>
      <c r="U457" s="299"/>
      <c r="V457" s="324"/>
      <c r="W457" s="299"/>
      <c r="X457" s="339"/>
      <c r="Y457" s="340"/>
      <c r="Z457" s="267"/>
      <c r="AA457" s="267"/>
      <c r="AB457" s="267"/>
      <c r="AC457" s="267"/>
      <c r="AD457" s="268"/>
      <c r="AE457" s="269"/>
    </row>
    <row r="458" spans="1:31" ht="12.75" customHeight="1">
      <c r="A458" s="364">
        <v>43135</v>
      </c>
      <c r="B458" s="326" t="s">
        <v>202</v>
      </c>
      <c r="C458" s="307" t="s">
        <v>199</v>
      </c>
      <c r="D458" s="278">
        <v>5857.47</v>
      </c>
      <c r="E458" s="278">
        <v>5999.6</v>
      </c>
      <c r="F458" s="278">
        <v>6025.68</v>
      </c>
      <c r="G458" s="278">
        <v>5982.68</v>
      </c>
      <c r="H458" s="278">
        <v>5800.65</v>
      </c>
      <c r="I458" s="278">
        <v>5819.01</v>
      </c>
      <c r="J458" s="278">
        <v>6000.35</v>
      </c>
      <c r="K458" s="278">
        <v>6014.38</v>
      </c>
      <c r="L458" s="278">
        <v>5904.86</v>
      </c>
      <c r="M458" s="290"/>
      <c r="N458" s="290"/>
      <c r="O458" s="290"/>
      <c r="P458" s="290"/>
      <c r="Q458" s="326">
        <f>IF((L459=""),"",MAX(D460:L460))</f>
        <v>6602.5599999999995</v>
      </c>
      <c r="R458" s="326">
        <f>IF(L459="","",MIN(D460:L460))</f>
        <v>6090.02</v>
      </c>
      <c r="S458" s="327">
        <f>IF((L460=""),"",AVERAGE(D460:L460))</f>
        <v>6318.5666666666666</v>
      </c>
      <c r="T458" s="319">
        <f>IF((L459=""),"",(Q458-R458)/(Q458+R458)*100)</f>
        <v>4.0381073036372364</v>
      </c>
      <c r="U458" s="326">
        <f>STDEV(D460:P460)</f>
        <v>144.55795239279394</v>
      </c>
      <c r="V458" s="328" t="str">
        <f>IF(L459="","",IF(T458&lt;9.8,IF(S458&gt;5100,IF(S458&lt;8300,"Pass","Fail"),"Fail"),"Fail"))</f>
        <v>Pass</v>
      </c>
      <c r="W458" s="298">
        <v>121</v>
      </c>
      <c r="X458" s="339"/>
      <c r="Y458" s="340"/>
      <c r="Z458" s="267">
        <v>4955</v>
      </c>
      <c r="AA458" s="267">
        <v>9645</v>
      </c>
      <c r="AB458" s="267">
        <v>5100</v>
      </c>
      <c r="AC458" s="267">
        <v>8300</v>
      </c>
      <c r="AD458" s="305">
        <v>10</v>
      </c>
      <c r="AE458" s="305">
        <v>9.8000000000000007</v>
      </c>
    </row>
    <row r="459" spans="1:31" ht="12.75" customHeight="1">
      <c r="A459" s="306"/>
      <c r="B459" s="298"/>
      <c r="C459" s="307" t="s">
        <v>198</v>
      </c>
      <c r="D459" s="278">
        <v>2630.79</v>
      </c>
      <c r="E459" s="278">
        <v>2834.29</v>
      </c>
      <c r="F459" s="278">
        <v>2902.07</v>
      </c>
      <c r="G459" s="278">
        <v>2809.03</v>
      </c>
      <c r="H459" s="278">
        <v>2499.37</v>
      </c>
      <c r="I459" s="278">
        <v>2774</v>
      </c>
      <c r="J459" s="278">
        <v>2854.6</v>
      </c>
      <c r="K459" s="278">
        <v>2896.42</v>
      </c>
      <c r="L459" s="278">
        <v>2770.56</v>
      </c>
      <c r="M459" s="290"/>
      <c r="N459" s="290"/>
      <c r="O459" s="290"/>
      <c r="P459" s="290"/>
      <c r="Q459" s="298"/>
      <c r="R459" s="298"/>
      <c r="S459" s="298"/>
      <c r="T459" s="298"/>
      <c r="U459" s="298"/>
      <c r="V459" s="302"/>
      <c r="W459" s="298"/>
      <c r="X459" s="339"/>
      <c r="Y459" s="340"/>
      <c r="Z459" s="267"/>
      <c r="AA459" s="267"/>
      <c r="AB459" s="267"/>
      <c r="AC459" s="267"/>
      <c r="AD459" s="268"/>
      <c r="AE459" s="269"/>
    </row>
    <row r="460" spans="1:31" ht="24.75" customHeight="1" thickBot="1">
      <c r="A460" s="306"/>
      <c r="B460" s="309"/>
      <c r="C460" s="310" t="s">
        <v>197</v>
      </c>
      <c r="D460" s="311">
        <f t="shared" ref="D460:L460" si="148">IF(((D458="")*AND(D459="")),"",(D458-D459)*2)</f>
        <v>6453.3600000000006</v>
      </c>
      <c r="E460" s="311">
        <f t="shared" si="148"/>
        <v>6330.6200000000008</v>
      </c>
      <c r="F460" s="311">
        <f t="shared" si="148"/>
        <v>6247.22</v>
      </c>
      <c r="G460" s="311">
        <f t="shared" si="148"/>
        <v>6347.3</v>
      </c>
      <c r="H460" s="311">
        <f t="shared" si="148"/>
        <v>6602.5599999999995</v>
      </c>
      <c r="I460" s="311">
        <f t="shared" si="148"/>
        <v>6090.02</v>
      </c>
      <c r="J460" s="311">
        <f t="shared" si="148"/>
        <v>6291.5000000000009</v>
      </c>
      <c r="K460" s="311">
        <f t="shared" si="148"/>
        <v>6235.92</v>
      </c>
      <c r="L460" s="311">
        <f t="shared" si="148"/>
        <v>6268.5999999999995</v>
      </c>
      <c r="M460" s="311"/>
      <c r="N460" s="311"/>
      <c r="O460" s="311"/>
      <c r="P460" s="311" t="str">
        <f>IF(((P458="")*AND(P459="")),"",(P458-P459)*2)</f>
        <v/>
      </c>
      <c r="Q460" s="309"/>
      <c r="R460" s="309"/>
      <c r="S460" s="309"/>
      <c r="T460" s="309"/>
      <c r="U460" s="309"/>
      <c r="V460" s="312"/>
      <c r="W460" s="309"/>
      <c r="X460" s="339"/>
      <c r="Y460" s="341"/>
      <c r="Z460" s="267"/>
      <c r="AA460" s="267"/>
      <c r="AB460" s="267"/>
      <c r="AC460" s="267"/>
      <c r="AD460" s="268"/>
      <c r="AE460" s="269"/>
    </row>
    <row r="461" spans="1:31" ht="12.75" customHeight="1">
      <c r="A461" s="351">
        <v>43140</v>
      </c>
      <c r="B461" s="315" t="s">
        <v>200</v>
      </c>
      <c r="C461" s="316" t="s">
        <v>199</v>
      </c>
      <c r="D461" s="278">
        <v>6703.28</v>
      </c>
      <c r="E461" s="278">
        <v>6906.4</v>
      </c>
      <c r="F461" s="278">
        <v>6623.56</v>
      </c>
      <c r="G461" s="278">
        <v>6685.79</v>
      </c>
      <c r="H461" s="278">
        <v>6816.91</v>
      </c>
      <c r="I461" s="278">
        <v>6754.22</v>
      </c>
      <c r="J461" s="278">
        <v>6745.04</v>
      </c>
      <c r="K461" s="278">
        <v>6672.25</v>
      </c>
      <c r="L461" s="278">
        <v>6704.65</v>
      </c>
      <c r="M461" s="278">
        <v>6799.54</v>
      </c>
      <c r="N461" s="278">
        <v>6989.31</v>
      </c>
      <c r="O461" s="278">
        <v>6780.5</v>
      </c>
      <c r="P461" s="278">
        <v>6881.57</v>
      </c>
      <c r="Q461" s="326">
        <f>IF((L462=""),"",MAX(D463:P463))</f>
        <v>5413.76</v>
      </c>
      <c r="R461" s="315">
        <f>IF(L462="","",MIN(D463:L463))</f>
        <v>5265.7600000000011</v>
      </c>
      <c r="S461" s="318">
        <f>IF((P463=""),"",AVERAGE(D463:P463))</f>
        <v>5330.4430769230767</v>
      </c>
      <c r="T461" s="318">
        <f>IF((L462=""),"",(Q461-R461)/(Q461+R461)*100)</f>
        <v>1.3858300747599057</v>
      </c>
      <c r="U461" s="315">
        <f>STDEV(D463:P463)</f>
        <v>51.499497632677048</v>
      </c>
      <c r="V461" s="320" t="str">
        <f>IF(P462="","",IF(T461&lt;2.7,IF(S461&gt;5150,IF(S461&lt;5600,"Pass","Fail"),"Fail"),"Fail"))</f>
        <v>Pass</v>
      </c>
      <c r="W461" s="315">
        <v>1159</v>
      </c>
      <c r="X461" s="339"/>
      <c r="Y461" s="338" t="s">
        <v>305</v>
      </c>
      <c r="Z461" s="321">
        <v>4470</v>
      </c>
      <c r="AA461" s="321">
        <v>6020</v>
      </c>
      <c r="AB461" s="321">
        <v>5150</v>
      </c>
      <c r="AC461" s="321">
        <v>5600</v>
      </c>
      <c r="AD461" s="305">
        <v>10</v>
      </c>
      <c r="AE461" s="322">
        <v>2.7</v>
      </c>
    </row>
    <row r="462" spans="1:31" ht="12.75" customHeight="1">
      <c r="A462" s="306"/>
      <c r="B462" s="298"/>
      <c r="C462" s="307" t="s">
        <v>198</v>
      </c>
      <c r="D462" s="278">
        <v>4067.66</v>
      </c>
      <c r="E462" s="278">
        <v>4270.75</v>
      </c>
      <c r="F462" s="278">
        <v>3990.68</v>
      </c>
      <c r="G462" s="278">
        <v>3987.78</v>
      </c>
      <c r="H462" s="278">
        <v>4170.1899999999996</v>
      </c>
      <c r="I462" s="278">
        <v>4070.6</v>
      </c>
      <c r="J462" s="278">
        <v>4038.16</v>
      </c>
      <c r="K462" s="278">
        <v>3983.73</v>
      </c>
      <c r="L462" s="278">
        <v>4062.16</v>
      </c>
      <c r="M462" s="278">
        <v>4110.74</v>
      </c>
      <c r="N462" s="278">
        <v>4331.08</v>
      </c>
      <c r="O462" s="278">
        <v>4116.72</v>
      </c>
      <c r="P462" s="278">
        <v>4214.8900000000003</v>
      </c>
      <c r="Q462" s="298"/>
      <c r="R462" s="298"/>
      <c r="S462" s="298"/>
      <c r="T462" s="298"/>
      <c r="U462" s="298"/>
      <c r="V462" s="302"/>
      <c r="W462" s="298"/>
      <c r="X462" s="339"/>
      <c r="Y462" s="340"/>
      <c r="Z462" s="267"/>
      <c r="AA462" s="267"/>
      <c r="AB462" s="267"/>
      <c r="AC462" s="267"/>
      <c r="AD462" s="268"/>
      <c r="AE462" s="269"/>
    </row>
    <row r="463" spans="1:31" ht="24" customHeight="1">
      <c r="A463" s="306"/>
      <c r="B463" s="299"/>
      <c r="C463" s="307" t="s">
        <v>197</v>
      </c>
      <c r="D463" s="323">
        <f t="shared" ref="D463:P463" si="149">IF(((D461="")*AND(D462="")),"",(D461-D462)*2)</f>
        <v>5271.24</v>
      </c>
      <c r="E463" s="323">
        <f t="shared" si="149"/>
        <v>5271.2999999999993</v>
      </c>
      <c r="F463" s="323">
        <f t="shared" si="149"/>
        <v>5265.7600000000011</v>
      </c>
      <c r="G463" s="323">
        <f t="shared" si="149"/>
        <v>5396.0199999999995</v>
      </c>
      <c r="H463" s="323">
        <f t="shared" si="149"/>
        <v>5293.4400000000005</v>
      </c>
      <c r="I463" s="323">
        <f t="shared" si="149"/>
        <v>5367.2400000000007</v>
      </c>
      <c r="J463" s="323">
        <f t="shared" si="149"/>
        <v>5413.76</v>
      </c>
      <c r="K463" s="323">
        <f t="shared" si="149"/>
        <v>5377.04</v>
      </c>
      <c r="L463" s="323">
        <f t="shared" si="149"/>
        <v>5284.98</v>
      </c>
      <c r="M463" s="323">
        <f t="shared" si="149"/>
        <v>5377.6</v>
      </c>
      <c r="N463" s="323">
        <f t="shared" si="149"/>
        <v>5316.4600000000009</v>
      </c>
      <c r="O463" s="323">
        <f t="shared" si="149"/>
        <v>5327.5599999999995</v>
      </c>
      <c r="P463" s="323">
        <f t="shared" si="149"/>
        <v>5333.3599999999988</v>
      </c>
      <c r="Q463" s="299"/>
      <c r="R463" s="299"/>
      <c r="S463" s="299"/>
      <c r="T463" s="298"/>
      <c r="U463" s="299"/>
      <c r="V463" s="324"/>
      <c r="W463" s="299"/>
      <c r="X463" s="339"/>
      <c r="Y463" s="340"/>
      <c r="Z463" s="267"/>
      <c r="AA463" s="267"/>
      <c r="AB463" s="267"/>
      <c r="AC463" s="267"/>
      <c r="AD463" s="268"/>
      <c r="AE463" s="269"/>
    </row>
    <row r="464" spans="1:31" ht="12.75" customHeight="1">
      <c r="A464" s="351">
        <v>43140</v>
      </c>
      <c r="B464" s="326" t="s">
        <v>202</v>
      </c>
      <c r="C464" s="307" t="s">
        <v>199</v>
      </c>
      <c r="D464" s="278">
        <v>5847.05</v>
      </c>
      <c r="E464" s="278">
        <v>6006.85</v>
      </c>
      <c r="F464" s="278">
        <v>6037.39</v>
      </c>
      <c r="G464" s="278">
        <v>5997.15</v>
      </c>
      <c r="H464" s="278">
        <v>5765.99</v>
      </c>
      <c r="I464" s="278">
        <v>5776.23</v>
      </c>
      <c r="J464" s="278">
        <v>6008.07</v>
      </c>
      <c r="K464" s="278">
        <v>6033.05</v>
      </c>
      <c r="L464" s="278">
        <v>5897.19</v>
      </c>
      <c r="M464" s="290"/>
      <c r="N464" s="290"/>
      <c r="O464" s="290"/>
      <c r="P464" s="290"/>
      <c r="Q464" s="326">
        <f>IF((L465=""),"",MAX(D466:L466))</f>
        <v>6471.5400000000009</v>
      </c>
      <c r="R464" s="326">
        <f>IF(L465="","",MIN(D466:L466))</f>
        <v>6313.4399999999987</v>
      </c>
      <c r="S464" s="327">
        <f>IF((L466=""),"",AVERAGE(D466:L466))</f>
        <v>6418.2599999999993</v>
      </c>
      <c r="T464" s="319">
        <f>IF((L465=""),"",(Q464-R464)/(Q464+R464)*100)</f>
        <v>1.2366073314154749</v>
      </c>
      <c r="U464" s="326">
        <f>STDEV(D466:P466)</f>
        <v>51.220069308873271</v>
      </c>
      <c r="V464" s="328" t="str">
        <f>IF(L465="","",IF(T464&lt;9.8,IF(S464&gt;5100,IF(S464&lt;8300,"Pass","Fail"),"Fail"),"Fail"))</f>
        <v>Pass</v>
      </c>
      <c r="W464" s="298">
        <v>1159</v>
      </c>
      <c r="X464" s="339"/>
      <c r="Y464" s="340" t="s">
        <v>306</v>
      </c>
      <c r="Z464" s="267">
        <v>4955</v>
      </c>
      <c r="AA464" s="267">
        <v>9645</v>
      </c>
      <c r="AB464" s="267">
        <v>5100</v>
      </c>
      <c r="AC464" s="267">
        <v>8300</v>
      </c>
      <c r="AD464" s="305">
        <v>10</v>
      </c>
      <c r="AE464" s="305">
        <v>9.8000000000000007</v>
      </c>
    </row>
    <row r="465" spans="1:31" ht="12.75" customHeight="1">
      <c r="A465" s="306"/>
      <c r="B465" s="298"/>
      <c r="C465" s="307" t="s">
        <v>198</v>
      </c>
      <c r="D465" s="278">
        <v>3718.25</v>
      </c>
      <c r="E465" s="278">
        <v>3849.67</v>
      </c>
      <c r="F465" s="278">
        <v>3886.91</v>
      </c>
      <c r="G465" s="278">
        <v>3843.87</v>
      </c>
      <c r="H465" s="278">
        <v>3628.47</v>
      </c>
      <c r="I465" s="278">
        <v>3650.57</v>
      </c>
      <c r="J465" s="278">
        <v>3858.01</v>
      </c>
      <c r="K465" s="278">
        <v>3885.73</v>
      </c>
      <c r="L465" s="278">
        <v>3792.71</v>
      </c>
      <c r="M465" s="290"/>
      <c r="N465" s="290"/>
      <c r="O465" s="290"/>
      <c r="P465" s="290"/>
      <c r="Q465" s="298"/>
      <c r="R465" s="298"/>
      <c r="S465" s="298"/>
      <c r="T465" s="298"/>
      <c r="U465" s="298"/>
      <c r="V465" s="302"/>
      <c r="W465" s="298"/>
      <c r="X465" s="339"/>
      <c r="Y465" s="340"/>
      <c r="Z465" s="267"/>
      <c r="AA465" s="267"/>
      <c r="AB465" s="267"/>
      <c r="AC465" s="267"/>
      <c r="AD465" s="268"/>
      <c r="AE465" s="269"/>
    </row>
    <row r="466" spans="1:31" ht="24.75" customHeight="1" thickBot="1">
      <c r="A466" s="306"/>
      <c r="B466" s="309"/>
      <c r="C466" s="310" t="s">
        <v>197</v>
      </c>
      <c r="D466" s="311">
        <f t="shared" ref="D466:L466" si="150">IF(((D464="")*AND(D465="")),"",(D464-D465)*3)</f>
        <v>6386.4000000000005</v>
      </c>
      <c r="E466" s="311">
        <f t="shared" si="150"/>
        <v>6471.5400000000009</v>
      </c>
      <c r="F466" s="311">
        <f t="shared" si="150"/>
        <v>6451.4400000000014</v>
      </c>
      <c r="G466" s="311">
        <f t="shared" si="150"/>
        <v>6459.8399999999992</v>
      </c>
      <c r="H466" s="311">
        <f t="shared" si="150"/>
        <v>6412.5599999999995</v>
      </c>
      <c r="I466" s="311">
        <f t="shared" si="150"/>
        <v>6376.9799999999977</v>
      </c>
      <c r="J466" s="311">
        <f t="shared" si="150"/>
        <v>6450.1799999999985</v>
      </c>
      <c r="K466" s="311">
        <f t="shared" si="150"/>
        <v>6441.9600000000009</v>
      </c>
      <c r="L466" s="311">
        <f t="shared" si="150"/>
        <v>6313.4399999999987</v>
      </c>
      <c r="M466" s="311"/>
      <c r="N466" s="311"/>
      <c r="O466" s="311"/>
      <c r="P466" s="311" t="str">
        <f>IF(((P464="")*AND(P465="")),"",(P464-P465)*2)</f>
        <v/>
      </c>
      <c r="Q466" s="309"/>
      <c r="R466" s="309"/>
      <c r="S466" s="309"/>
      <c r="T466" s="309"/>
      <c r="U466" s="309"/>
      <c r="V466" s="312"/>
      <c r="W466" s="309"/>
      <c r="X466" s="339"/>
      <c r="Y466" s="341"/>
      <c r="Z466" s="267"/>
      <c r="AA466" s="267"/>
      <c r="AB466" s="267"/>
      <c r="AC466" s="267"/>
      <c r="AD466" s="268"/>
      <c r="AE466" s="269"/>
    </row>
    <row r="467" spans="1:31" ht="12.75" customHeight="1">
      <c r="A467" s="351">
        <v>43144</v>
      </c>
      <c r="B467" s="315" t="s">
        <v>200</v>
      </c>
      <c r="C467" s="316" t="s">
        <v>199</v>
      </c>
      <c r="D467" s="278">
        <v>4067.66</v>
      </c>
      <c r="E467" s="278">
        <v>4270.75</v>
      </c>
      <c r="F467" s="278">
        <v>3990.68</v>
      </c>
      <c r="G467" s="278">
        <v>3987.78</v>
      </c>
      <c r="H467" s="278">
        <v>4170.1899999999996</v>
      </c>
      <c r="I467" s="278">
        <v>4070.6</v>
      </c>
      <c r="J467" s="278">
        <v>4038.16</v>
      </c>
      <c r="K467" s="278">
        <v>3983.73</v>
      </c>
      <c r="L467" s="278">
        <v>4062.16</v>
      </c>
      <c r="M467" s="278">
        <v>4110.74</v>
      </c>
      <c r="N467" s="278">
        <v>4331.08</v>
      </c>
      <c r="O467" s="278">
        <v>4116.72</v>
      </c>
      <c r="P467" s="278">
        <v>4214.8900000000003</v>
      </c>
      <c r="Q467" s="326">
        <f>IF((L468=""),"",MAX(D469:P469))</f>
        <v>5380.72</v>
      </c>
      <c r="R467" s="315">
        <f>IF(L468="","",MIN(D469:L469))</f>
        <v>5195.66</v>
      </c>
      <c r="S467" s="318">
        <f>IF((P469=""),"",AVERAGE(D469:P469))</f>
        <v>5273.1</v>
      </c>
      <c r="T467" s="318">
        <f>IF((L468=""),"",(Q467-R467)/(Q467+R467)*100)</f>
        <v>1.7497480234257883</v>
      </c>
      <c r="U467" s="315">
        <f>STDEV(D469:P469)</f>
        <v>54.483934023396003</v>
      </c>
      <c r="V467" s="320" t="str">
        <f>IF(P468="","",IF(T467&lt;2.7,IF(S467&gt;5150,IF(S467&lt;5600,"Pass","Fail"),"Fail"),"Fail"))</f>
        <v>Pass</v>
      </c>
      <c r="W467" s="315">
        <v>1428</v>
      </c>
      <c r="X467" s="339"/>
      <c r="Y467" s="338" t="s">
        <v>305</v>
      </c>
      <c r="Z467" s="321">
        <v>4470</v>
      </c>
      <c r="AA467" s="321">
        <v>6020</v>
      </c>
      <c r="AB467" s="321">
        <v>5150</v>
      </c>
      <c r="AC467" s="321">
        <v>5600</v>
      </c>
      <c r="AD467" s="305">
        <v>10</v>
      </c>
      <c r="AE467" s="322">
        <v>2.7</v>
      </c>
    </row>
    <row r="468" spans="1:31" ht="12.75" customHeight="1">
      <c r="A468" s="306"/>
      <c r="B468" s="298"/>
      <c r="C468" s="307" t="s">
        <v>198</v>
      </c>
      <c r="D468" s="278">
        <v>1469.83</v>
      </c>
      <c r="E468" s="278">
        <v>1654.63</v>
      </c>
      <c r="F468" s="278">
        <v>1387.6</v>
      </c>
      <c r="G468" s="278">
        <v>1330.98</v>
      </c>
      <c r="H468" s="278">
        <v>1547.07</v>
      </c>
      <c r="I468" s="278">
        <v>1414.8</v>
      </c>
      <c r="J468" s="278">
        <v>1371.49</v>
      </c>
      <c r="K468" s="278">
        <v>1293.3699999999999</v>
      </c>
      <c r="L468" s="278">
        <v>1452.62</v>
      </c>
      <c r="M468" s="278">
        <v>1456.73</v>
      </c>
      <c r="N468" s="278">
        <v>1702.72</v>
      </c>
      <c r="O468" s="278">
        <v>1481.29</v>
      </c>
      <c r="P468" s="278">
        <v>1576.86</v>
      </c>
      <c r="Q468" s="298"/>
      <c r="R468" s="298"/>
      <c r="S468" s="298"/>
      <c r="T468" s="298"/>
      <c r="U468" s="298"/>
      <c r="V468" s="302"/>
      <c r="W468" s="298"/>
      <c r="X468" s="339"/>
      <c r="Y468" s="340"/>
      <c r="Z468" s="267"/>
      <c r="AA468" s="267"/>
      <c r="AB468" s="267"/>
      <c r="AC468" s="267"/>
      <c r="AD468" s="268"/>
      <c r="AE468" s="269"/>
    </row>
    <row r="469" spans="1:31" ht="24" customHeight="1">
      <c r="A469" s="306"/>
      <c r="B469" s="299"/>
      <c r="C469" s="307" t="s">
        <v>197</v>
      </c>
      <c r="D469" s="323">
        <f t="shared" ref="D469:P469" si="151">IF(((D467="")*AND(D468="")),"",(D467-D468)*2)</f>
        <v>5195.66</v>
      </c>
      <c r="E469" s="323">
        <f t="shared" si="151"/>
        <v>5232.24</v>
      </c>
      <c r="F469" s="323">
        <f t="shared" si="151"/>
        <v>5206.16</v>
      </c>
      <c r="G469" s="323">
        <f t="shared" si="151"/>
        <v>5313.6</v>
      </c>
      <c r="H469" s="323">
        <f t="shared" si="151"/>
        <v>5246.24</v>
      </c>
      <c r="I469" s="323">
        <f t="shared" si="151"/>
        <v>5311.6</v>
      </c>
      <c r="J469" s="323">
        <f t="shared" si="151"/>
        <v>5333.34</v>
      </c>
      <c r="K469" s="323">
        <f t="shared" si="151"/>
        <v>5380.72</v>
      </c>
      <c r="L469" s="323">
        <f t="shared" si="151"/>
        <v>5219.08</v>
      </c>
      <c r="M469" s="323">
        <f t="shared" si="151"/>
        <v>5308.0199999999995</v>
      </c>
      <c r="N469" s="323">
        <f t="shared" si="151"/>
        <v>5256.7199999999993</v>
      </c>
      <c r="O469" s="323">
        <f t="shared" si="151"/>
        <v>5270.8600000000006</v>
      </c>
      <c r="P469" s="323">
        <f t="shared" si="151"/>
        <v>5276.0600000000013</v>
      </c>
      <c r="Q469" s="299"/>
      <c r="R469" s="299"/>
      <c r="S469" s="299"/>
      <c r="T469" s="298"/>
      <c r="U469" s="299"/>
      <c r="V469" s="324"/>
      <c r="W469" s="299"/>
      <c r="X469" s="339"/>
      <c r="Y469" s="340"/>
      <c r="Z469" s="267"/>
      <c r="AA469" s="267"/>
      <c r="AB469" s="267"/>
      <c r="AC469" s="267"/>
      <c r="AD469" s="268"/>
      <c r="AE469" s="269"/>
    </row>
    <row r="470" spans="1:31" ht="12.75" customHeight="1">
      <c r="A470" s="351">
        <v>43144</v>
      </c>
      <c r="B470" s="326" t="s">
        <v>202</v>
      </c>
      <c r="C470" s="307" t="s">
        <v>199</v>
      </c>
      <c r="D470" s="278">
        <v>3718.25</v>
      </c>
      <c r="E470" s="278">
        <v>3849.67</v>
      </c>
      <c r="F470" s="278">
        <v>3886.91</v>
      </c>
      <c r="G470" s="278">
        <v>3843.87</v>
      </c>
      <c r="H470" s="278">
        <v>3628.47</v>
      </c>
      <c r="I470" s="278">
        <v>3650.57</v>
      </c>
      <c r="J470" s="278">
        <v>3858.01</v>
      </c>
      <c r="K470" s="278">
        <v>3885.73</v>
      </c>
      <c r="L470" s="278">
        <v>3792.71</v>
      </c>
      <c r="M470" s="290"/>
      <c r="N470" s="290"/>
      <c r="O470" s="290"/>
      <c r="P470" s="290"/>
      <c r="Q470" s="326">
        <f>IF((L471=""),"",MAX(D472:L472))</f>
        <v>6514.74</v>
      </c>
      <c r="R470" s="326">
        <f>IF(L471="","",MIN(D472:L472))</f>
        <v>6020.37</v>
      </c>
      <c r="S470" s="327">
        <f>IF((L472=""),"",AVERAGE(D472:L472))</f>
        <v>6176.506666666668</v>
      </c>
      <c r="T470" s="319">
        <f>IF((L471=""),"",(Q470-R470)/(Q470+R470)*100)</f>
        <v>3.9438824230501357</v>
      </c>
      <c r="U470" s="326">
        <f>STDEV(D472:P472)</f>
        <v>182.1403701818609</v>
      </c>
      <c r="V470" s="328" t="str">
        <f>IF(L471="","",IF(T470&lt;9.8,IF(S470&gt;5100,IF(S470&lt;8300,"Pass","Fail"),"Fail"),"Fail"))</f>
        <v>Pass</v>
      </c>
      <c r="W470" s="298">
        <v>1428</v>
      </c>
      <c r="X470" s="339"/>
      <c r="Y470" s="340" t="s">
        <v>306</v>
      </c>
      <c r="Z470" s="267">
        <v>4955</v>
      </c>
      <c r="AA470" s="267">
        <v>9645</v>
      </c>
      <c r="AB470" s="267">
        <v>5100</v>
      </c>
      <c r="AC470" s="267">
        <v>8300</v>
      </c>
      <c r="AD470" s="305">
        <v>10</v>
      </c>
      <c r="AE470" s="305">
        <v>9.8000000000000007</v>
      </c>
    </row>
    <row r="471" spans="1:31" ht="12.75" customHeight="1">
      <c r="A471" s="306"/>
      <c r="B471" s="298"/>
      <c r="C471" s="307" t="s">
        <v>198</v>
      </c>
      <c r="D471" s="278">
        <v>1546.67</v>
      </c>
      <c r="E471" s="278">
        <v>1821.69</v>
      </c>
      <c r="F471" s="278">
        <v>1867.06</v>
      </c>
      <c r="G471" s="278">
        <v>1779.57</v>
      </c>
      <c r="H471" s="278">
        <v>1612.37</v>
      </c>
      <c r="I471" s="278">
        <v>1502.28</v>
      </c>
      <c r="J471" s="278">
        <v>1800.54</v>
      </c>
      <c r="K471" s="278">
        <v>1868.57</v>
      </c>
      <c r="L471" s="278">
        <v>1785.92</v>
      </c>
      <c r="M471" s="290"/>
      <c r="N471" s="290"/>
      <c r="O471" s="290"/>
      <c r="P471" s="290"/>
      <c r="Q471" s="298"/>
      <c r="R471" s="298"/>
      <c r="S471" s="298"/>
      <c r="T471" s="298"/>
      <c r="U471" s="298"/>
      <c r="V471" s="302"/>
      <c r="W471" s="298"/>
      <c r="X471" s="339"/>
      <c r="Y471" s="340"/>
      <c r="Z471" s="267"/>
      <c r="AA471" s="267"/>
      <c r="AB471" s="267"/>
      <c r="AC471" s="267"/>
      <c r="AD471" s="268"/>
      <c r="AE471" s="269"/>
    </row>
    <row r="472" spans="1:31" ht="24.75" customHeight="1" thickBot="1">
      <c r="A472" s="306"/>
      <c r="B472" s="309"/>
      <c r="C472" s="310" t="s">
        <v>197</v>
      </c>
      <c r="D472" s="311">
        <f t="shared" ref="D472:L472" si="152">IF(((D470="")*AND(D471="")),"",(D470-D471)*3)</f>
        <v>6514.74</v>
      </c>
      <c r="E472" s="311">
        <f t="shared" si="152"/>
        <v>6083.9400000000005</v>
      </c>
      <c r="F472" s="311">
        <f t="shared" si="152"/>
        <v>6059.5499999999993</v>
      </c>
      <c r="G472" s="311">
        <f t="shared" si="152"/>
        <v>6192.9000000000005</v>
      </c>
      <c r="H472" s="311">
        <f t="shared" si="152"/>
        <v>6048.2999999999993</v>
      </c>
      <c r="I472" s="311">
        <f t="shared" si="152"/>
        <v>6444.87</v>
      </c>
      <c r="J472" s="311">
        <f t="shared" si="152"/>
        <v>6172.4100000000008</v>
      </c>
      <c r="K472" s="311">
        <f t="shared" si="152"/>
        <v>6051.4800000000005</v>
      </c>
      <c r="L472" s="311">
        <f t="shared" si="152"/>
        <v>6020.37</v>
      </c>
      <c r="M472" s="311"/>
      <c r="N472" s="311"/>
      <c r="O472" s="311"/>
      <c r="P472" s="311" t="str">
        <f>IF(((P470="")*AND(P471="")),"",(P470-P471)*2)</f>
        <v/>
      </c>
      <c r="Q472" s="309"/>
      <c r="R472" s="309"/>
      <c r="S472" s="309"/>
      <c r="T472" s="309"/>
      <c r="U472" s="309"/>
      <c r="V472" s="312"/>
      <c r="W472" s="309"/>
      <c r="X472" s="339"/>
      <c r="Y472" s="341"/>
      <c r="Z472" s="267"/>
      <c r="AA472" s="267"/>
      <c r="AB472" s="267"/>
      <c r="AC472" s="267"/>
      <c r="AD472" s="268"/>
      <c r="AE472" s="269"/>
    </row>
    <row r="473" spans="1:31" ht="12.75" customHeight="1">
      <c r="A473" s="351">
        <v>43172</v>
      </c>
      <c r="B473" s="315" t="s">
        <v>200</v>
      </c>
      <c r="C473" s="316" t="s">
        <v>199</v>
      </c>
      <c r="D473" s="278">
        <v>6743.49</v>
      </c>
      <c r="E473" s="278">
        <v>6927.74</v>
      </c>
      <c r="F473" s="278">
        <v>6640.78</v>
      </c>
      <c r="G473" s="278">
        <v>6692.9</v>
      </c>
      <c r="H473" s="278">
        <v>6833.38</v>
      </c>
      <c r="I473" s="278">
        <v>6770.55</v>
      </c>
      <c r="J473" s="278">
        <v>6739.69</v>
      </c>
      <c r="K473" s="278">
        <v>6670.79</v>
      </c>
      <c r="L473" s="278">
        <v>6712.4</v>
      </c>
      <c r="M473" s="278">
        <v>6800</v>
      </c>
      <c r="N473" s="278">
        <v>6987.24</v>
      </c>
      <c r="O473" s="278">
        <v>6787.98</v>
      </c>
      <c r="P473" s="278">
        <v>6877.33</v>
      </c>
      <c r="Q473" s="326">
        <f>IF((L474=""),"",MAX(D475:P475))</f>
        <v>5417.079999999999</v>
      </c>
      <c r="R473" s="315">
        <f>IF(L474="","",MIN(D475:L475))</f>
        <v>5260.76</v>
      </c>
      <c r="S473" s="318">
        <f>IF((P475=""),"",AVERAGE(D475:P475))</f>
        <v>5334.0476923076922</v>
      </c>
      <c r="T473" s="318">
        <f>IF((L474=""),"",(Q473-R473)/(Q473+R473)*100)</f>
        <v>1.4639664950963753</v>
      </c>
      <c r="U473" s="315">
        <f>STDEV(D475:P475)</f>
        <v>55.334738659918166</v>
      </c>
      <c r="V473" s="320" t="str">
        <f>IF(P474="","",IF(T473&lt;2.7,IF(S473&gt;5150,IF(S473&lt;5600,"Pass","Fail"),"Fail"),"Fail"))</f>
        <v>Pass</v>
      </c>
      <c r="W473" s="315">
        <v>102</v>
      </c>
      <c r="X473" s="339"/>
      <c r="Y473" s="338" t="s">
        <v>305</v>
      </c>
      <c r="Z473" s="321">
        <v>4470</v>
      </c>
      <c r="AA473" s="321">
        <v>6020</v>
      </c>
      <c r="AB473" s="321">
        <v>5150</v>
      </c>
      <c r="AC473" s="321">
        <v>5600</v>
      </c>
      <c r="AD473" s="305">
        <v>10</v>
      </c>
      <c r="AE473" s="322">
        <v>2.7</v>
      </c>
    </row>
    <row r="474" spans="1:31" ht="12.75" customHeight="1">
      <c r="A474" s="306"/>
      <c r="B474" s="298"/>
      <c r="C474" s="307" t="s">
        <v>198</v>
      </c>
      <c r="D474" s="278">
        <v>4113.1099999999997</v>
      </c>
      <c r="E474" s="278">
        <v>4290.87</v>
      </c>
      <c r="F474" s="278">
        <v>4006.96</v>
      </c>
      <c r="G474" s="278">
        <v>3995.63</v>
      </c>
      <c r="H474" s="278">
        <v>4188.54</v>
      </c>
      <c r="I474" s="278">
        <v>4087.87</v>
      </c>
      <c r="J474" s="278">
        <v>4031.15</v>
      </c>
      <c r="K474" s="278">
        <v>3969.38</v>
      </c>
      <c r="L474" s="278">
        <v>4068.96</v>
      </c>
      <c r="M474" s="278">
        <v>4107.75</v>
      </c>
      <c r="N474" s="278">
        <v>4327.83</v>
      </c>
      <c r="O474" s="278">
        <v>4118.8999999999996</v>
      </c>
      <c r="P474" s="278">
        <v>4206.01</v>
      </c>
      <c r="Q474" s="298"/>
      <c r="R474" s="298"/>
      <c r="S474" s="298"/>
      <c r="T474" s="298"/>
      <c r="U474" s="298"/>
      <c r="V474" s="302"/>
      <c r="W474" s="298"/>
      <c r="X474" s="339"/>
      <c r="Y474" s="340"/>
      <c r="Z474" s="267"/>
      <c r="AA474" s="267"/>
      <c r="AB474" s="267"/>
      <c r="AC474" s="267"/>
      <c r="AD474" s="268"/>
      <c r="AE474" s="269"/>
    </row>
    <row r="475" spans="1:31" ht="24" customHeight="1">
      <c r="A475" s="306"/>
      <c r="B475" s="299"/>
      <c r="C475" s="307" t="s">
        <v>197</v>
      </c>
      <c r="D475" s="323">
        <f t="shared" ref="D475:P475" si="153">IF(((D473="")*AND(D474="")),"",(D473-D474)*2)</f>
        <v>5260.76</v>
      </c>
      <c r="E475" s="323">
        <f t="shared" si="153"/>
        <v>5273.74</v>
      </c>
      <c r="F475" s="323">
        <f t="shared" si="153"/>
        <v>5267.6399999999994</v>
      </c>
      <c r="G475" s="323">
        <f t="shared" si="153"/>
        <v>5394.5399999999991</v>
      </c>
      <c r="H475" s="323">
        <f t="shared" si="153"/>
        <v>5289.68</v>
      </c>
      <c r="I475" s="323">
        <f t="shared" si="153"/>
        <v>5365.3600000000006</v>
      </c>
      <c r="J475" s="323">
        <f t="shared" si="153"/>
        <v>5417.079999999999</v>
      </c>
      <c r="K475" s="323">
        <f t="shared" si="153"/>
        <v>5402.82</v>
      </c>
      <c r="L475" s="323">
        <f t="shared" si="153"/>
        <v>5286.8799999999992</v>
      </c>
      <c r="M475" s="323">
        <f t="shared" si="153"/>
        <v>5384.5</v>
      </c>
      <c r="N475" s="323">
        <f t="shared" si="153"/>
        <v>5318.82</v>
      </c>
      <c r="O475" s="323">
        <f t="shared" si="153"/>
        <v>5338.16</v>
      </c>
      <c r="P475" s="323">
        <f t="shared" si="153"/>
        <v>5342.6399999999994</v>
      </c>
      <c r="Q475" s="299"/>
      <c r="R475" s="299"/>
      <c r="S475" s="299"/>
      <c r="T475" s="298"/>
      <c r="U475" s="299"/>
      <c r="V475" s="324"/>
      <c r="W475" s="299"/>
      <c r="X475" s="339"/>
      <c r="Y475" s="340"/>
      <c r="Z475" s="267"/>
      <c r="AA475" s="267"/>
      <c r="AB475" s="267"/>
      <c r="AC475" s="267"/>
      <c r="AD475" s="268"/>
      <c r="AE475" s="269"/>
    </row>
    <row r="476" spans="1:31" ht="12.75" customHeight="1">
      <c r="A476" s="351">
        <v>43172</v>
      </c>
      <c r="B476" s="326" t="s">
        <v>202</v>
      </c>
      <c r="C476" s="307" t="s">
        <v>199</v>
      </c>
      <c r="D476" s="278">
        <v>5846.25</v>
      </c>
      <c r="E476" s="278">
        <v>5996.4</v>
      </c>
      <c r="F476" s="278">
        <v>6025.98</v>
      </c>
      <c r="G476" s="278">
        <v>5978.21</v>
      </c>
      <c r="H476" s="278">
        <v>5761.69</v>
      </c>
      <c r="I476" s="278">
        <v>5793.69</v>
      </c>
      <c r="J476" s="278">
        <v>6006.58</v>
      </c>
      <c r="K476" s="278">
        <v>6024.16</v>
      </c>
      <c r="L476" s="278">
        <v>5924.27</v>
      </c>
      <c r="M476" s="290"/>
      <c r="N476" s="290"/>
      <c r="O476" s="290"/>
      <c r="P476" s="290"/>
      <c r="Q476" s="326">
        <f>IF((L477=""),"",MAX(D478:L478))</f>
        <v>6411.93</v>
      </c>
      <c r="R476" s="326">
        <f>IF(L477="","",MIN(D478:L478))</f>
        <v>6319.7999999999984</v>
      </c>
      <c r="S476" s="327">
        <f>IF((L478=""),"",AVERAGE(D478:L478))</f>
        <v>6366.2366666666667</v>
      </c>
      <c r="T476" s="319">
        <f>IF((L477=""),"",(Q476-R476)/(Q476+R476)*100)</f>
        <v>0.72362514756440743</v>
      </c>
      <c r="U476" s="326">
        <f>STDEV(D478:P478)</f>
        <v>32.328509476884271</v>
      </c>
      <c r="V476" s="328" t="str">
        <f>IF(L477="","",IF(T476&lt;9.8,IF(S476&gt;5100,IF(S476&lt;8300,"Pass","Fail"),"Fail"),"Fail"))</f>
        <v>Pass</v>
      </c>
      <c r="W476" s="298">
        <v>102</v>
      </c>
      <c r="X476" s="339"/>
      <c r="Y476" s="340" t="s">
        <v>306</v>
      </c>
      <c r="Z476" s="267">
        <v>4955</v>
      </c>
      <c r="AA476" s="267">
        <v>9645</v>
      </c>
      <c r="AB476" s="267">
        <v>5100</v>
      </c>
      <c r="AC476" s="267">
        <v>8300</v>
      </c>
      <c r="AD476" s="305">
        <v>10</v>
      </c>
      <c r="AE476" s="305">
        <v>9.8000000000000007</v>
      </c>
    </row>
    <row r="477" spans="1:31" ht="12.75" customHeight="1">
      <c r="A477" s="306"/>
      <c r="B477" s="298"/>
      <c r="C477" s="307" t="s">
        <v>198</v>
      </c>
      <c r="D477" s="278">
        <v>3737.19</v>
      </c>
      <c r="E477" s="278">
        <v>3871.63</v>
      </c>
      <c r="F477" s="278">
        <v>3894.43</v>
      </c>
      <c r="G477" s="278">
        <v>3854.37</v>
      </c>
      <c r="H477" s="278">
        <v>3655.09</v>
      </c>
      <c r="I477" s="278">
        <v>3665.07</v>
      </c>
      <c r="J477" s="278">
        <v>3869.27</v>
      </c>
      <c r="K477" s="278">
        <v>3897.96</v>
      </c>
      <c r="L477" s="278">
        <v>3813.51</v>
      </c>
      <c r="M477" s="290"/>
      <c r="N477" s="290"/>
      <c r="O477" s="290"/>
      <c r="P477" s="290"/>
      <c r="Q477" s="298"/>
      <c r="R477" s="298"/>
      <c r="S477" s="298"/>
      <c r="T477" s="298"/>
      <c r="U477" s="298"/>
      <c r="V477" s="302"/>
      <c r="W477" s="298"/>
      <c r="X477" s="339"/>
      <c r="Y477" s="340"/>
      <c r="Z477" s="267"/>
      <c r="AA477" s="267"/>
      <c r="AB477" s="267"/>
      <c r="AC477" s="267"/>
      <c r="AD477" s="268"/>
      <c r="AE477" s="269"/>
    </row>
    <row r="478" spans="1:31" ht="24.75" customHeight="1" thickBot="1">
      <c r="A478" s="306"/>
      <c r="B478" s="309"/>
      <c r="C478" s="310" t="s">
        <v>197</v>
      </c>
      <c r="D478" s="311">
        <f t="shared" ref="D478:L478" si="154">IF(((D476="")*AND(D477="")),"",(D476-D477)*3)</f>
        <v>6327.18</v>
      </c>
      <c r="E478" s="311">
        <f t="shared" si="154"/>
        <v>6374.3099999999986</v>
      </c>
      <c r="F478" s="311">
        <f t="shared" si="154"/>
        <v>6394.65</v>
      </c>
      <c r="G478" s="311">
        <f t="shared" si="154"/>
        <v>6371.52</v>
      </c>
      <c r="H478" s="311">
        <f t="shared" si="154"/>
        <v>6319.7999999999984</v>
      </c>
      <c r="I478" s="311">
        <f t="shared" si="154"/>
        <v>6385.8599999999988</v>
      </c>
      <c r="J478" s="311">
        <f t="shared" si="154"/>
        <v>6411.93</v>
      </c>
      <c r="K478" s="311">
        <f t="shared" si="154"/>
        <v>6378.5999999999995</v>
      </c>
      <c r="L478" s="311">
        <f t="shared" si="154"/>
        <v>6332.2800000000007</v>
      </c>
      <c r="M478" s="311"/>
      <c r="N478" s="311"/>
      <c r="O478" s="311"/>
      <c r="P478" s="311" t="str">
        <f>IF(((P476="")*AND(P477="")),"",(P476-P477)*2)</f>
        <v/>
      </c>
      <c r="Q478" s="309"/>
      <c r="R478" s="309"/>
      <c r="S478" s="309"/>
      <c r="T478" s="309"/>
      <c r="U478" s="309"/>
      <c r="V478" s="312"/>
      <c r="W478" s="309"/>
      <c r="X478" s="339"/>
      <c r="Y478" s="341"/>
      <c r="Z478" s="267"/>
      <c r="AA478" s="267"/>
      <c r="AB478" s="267"/>
      <c r="AC478" s="267"/>
      <c r="AD478" s="268"/>
      <c r="AE478" s="269"/>
    </row>
    <row r="479" spans="1:31" ht="12.75" customHeight="1">
      <c r="A479" s="351">
        <v>43198</v>
      </c>
      <c r="B479" s="315" t="s">
        <v>200</v>
      </c>
      <c r="C479" s="316" t="s">
        <v>199</v>
      </c>
      <c r="D479" s="278">
        <v>4132.28</v>
      </c>
      <c r="E479" s="278">
        <v>4316.21</v>
      </c>
      <c r="F479" s="278">
        <v>4023.54</v>
      </c>
      <c r="G479" s="278">
        <v>4011</v>
      </c>
      <c r="H479" s="278">
        <v>4212.99</v>
      </c>
      <c r="I479" s="278">
        <v>4107.3599999999997</v>
      </c>
      <c r="J479" s="278">
        <v>4045.83</v>
      </c>
      <c r="K479" s="278">
        <v>3985.52</v>
      </c>
      <c r="L479" s="278">
        <v>4084.21</v>
      </c>
      <c r="M479" s="278">
        <v>4123.88</v>
      </c>
      <c r="N479" s="278">
        <v>4353.43</v>
      </c>
      <c r="O479" s="278">
        <v>4134.8100000000004</v>
      </c>
      <c r="P479" s="278">
        <v>4225.87</v>
      </c>
      <c r="Q479" s="326">
        <f>IF((L480=""),"",MAX(D481:P481))</f>
        <v>5538.12</v>
      </c>
      <c r="R479" s="315">
        <f>IF(L480="","",MIN(D481:L481))</f>
        <v>5372.4</v>
      </c>
      <c r="S479" s="318">
        <f>IF((P481=""),"",AVERAGE(D481:P481))</f>
        <v>5445.1784615384613</v>
      </c>
      <c r="T479" s="318">
        <f>IF((L480=""),"",(Q479-R479)/(Q479+R479)*100)</f>
        <v>1.5189010239658627</v>
      </c>
      <c r="U479" s="315">
        <f>STDEV(D481:P481)</f>
        <v>56.083997992154615</v>
      </c>
      <c r="V479" s="320" t="str">
        <f>IF(P480="","",IF(T479&lt;2.7,IF(S479&gt;5150,IF(S479&lt;5600,"Pass","Fail"),"Fail"),"Fail"))</f>
        <v>Pass</v>
      </c>
      <c r="W479" s="315">
        <v>121</v>
      </c>
      <c r="X479" s="339"/>
      <c r="Y479" s="357" t="s">
        <v>230</v>
      </c>
      <c r="Z479" s="321">
        <v>4470</v>
      </c>
      <c r="AA479" s="321">
        <v>6020</v>
      </c>
      <c r="AB479" s="321">
        <v>5150</v>
      </c>
      <c r="AC479" s="321">
        <v>5600</v>
      </c>
      <c r="AD479" s="305">
        <v>10</v>
      </c>
      <c r="AE479" s="322">
        <v>2.7</v>
      </c>
    </row>
    <row r="480" spans="1:31" ht="12.75" customHeight="1">
      <c r="A480" s="306"/>
      <c r="B480" s="298"/>
      <c r="C480" s="307" t="s">
        <v>198</v>
      </c>
      <c r="D480" s="278">
        <v>1446.08</v>
      </c>
      <c r="E480" s="278">
        <v>1623.48</v>
      </c>
      <c r="F480" s="278">
        <v>1323.98</v>
      </c>
      <c r="G480" s="278">
        <v>1254.58</v>
      </c>
      <c r="H480" s="278">
        <v>1514.01</v>
      </c>
      <c r="I480" s="278">
        <v>1368.76</v>
      </c>
      <c r="J480" s="278">
        <v>1276.77</v>
      </c>
      <c r="K480" s="278">
        <v>1224.19</v>
      </c>
      <c r="L480" s="278">
        <v>1377.16</v>
      </c>
      <c r="M480" s="278">
        <v>1380.2</v>
      </c>
      <c r="N480" s="278">
        <v>1648.08</v>
      </c>
      <c r="O480" s="278">
        <v>1413.39</v>
      </c>
      <c r="P480" s="278">
        <v>1512.59</v>
      </c>
      <c r="Q480" s="298"/>
      <c r="R480" s="298"/>
      <c r="S480" s="298"/>
      <c r="T480" s="298"/>
      <c r="U480" s="298"/>
      <c r="V480" s="302"/>
      <c r="W480" s="298"/>
      <c r="X480" s="339"/>
      <c r="Y480" s="340"/>
      <c r="Z480" s="267"/>
      <c r="AA480" s="267"/>
      <c r="AB480" s="267"/>
      <c r="AC480" s="267"/>
      <c r="AD480" s="268"/>
      <c r="AE480" s="269"/>
    </row>
    <row r="481" spans="1:31" ht="24" customHeight="1">
      <c r="A481" s="306"/>
      <c r="B481" s="299"/>
      <c r="C481" s="307" t="s">
        <v>197</v>
      </c>
      <c r="D481" s="323">
        <f t="shared" ref="D481:P481" si="155">IF(((D479="")*AND(D480="")),"",(D479-D480)*2)</f>
        <v>5372.4</v>
      </c>
      <c r="E481" s="323">
        <f t="shared" si="155"/>
        <v>5385.46</v>
      </c>
      <c r="F481" s="323">
        <f t="shared" si="155"/>
        <v>5399.12</v>
      </c>
      <c r="G481" s="323">
        <f t="shared" si="155"/>
        <v>5512.84</v>
      </c>
      <c r="H481" s="323">
        <f t="shared" si="155"/>
        <v>5397.9599999999991</v>
      </c>
      <c r="I481" s="323">
        <f t="shared" si="155"/>
        <v>5477.1999999999989</v>
      </c>
      <c r="J481" s="323">
        <f t="shared" si="155"/>
        <v>5538.12</v>
      </c>
      <c r="K481" s="323">
        <f t="shared" si="155"/>
        <v>5522.66</v>
      </c>
      <c r="L481" s="323">
        <f t="shared" si="155"/>
        <v>5414.1</v>
      </c>
      <c r="M481" s="323">
        <f t="shared" si="155"/>
        <v>5487.3600000000006</v>
      </c>
      <c r="N481" s="323">
        <f t="shared" si="155"/>
        <v>5410.7000000000007</v>
      </c>
      <c r="O481" s="323">
        <f t="shared" si="155"/>
        <v>5442.84</v>
      </c>
      <c r="P481" s="323">
        <f t="shared" si="155"/>
        <v>5426.5599999999995</v>
      </c>
      <c r="Q481" s="299"/>
      <c r="R481" s="299"/>
      <c r="S481" s="299"/>
      <c r="T481" s="298"/>
      <c r="U481" s="299"/>
      <c r="V481" s="324"/>
      <c r="W481" s="299"/>
      <c r="X481" s="339"/>
      <c r="Y481" s="340"/>
      <c r="Z481" s="267"/>
      <c r="AA481" s="267"/>
      <c r="AB481" s="267"/>
      <c r="AC481" s="267"/>
      <c r="AD481" s="268"/>
      <c r="AE481" s="269"/>
    </row>
    <row r="482" spans="1:31" ht="12.75" customHeight="1">
      <c r="A482" s="351">
        <v>43198</v>
      </c>
      <c r="B482" s="326" t="s">
        <v>202</v>
      </c>
      <c r="C482" s="307" t="s">
        <v>199</v>
      </c>
      <c r="D482" s="278">
        <v>3733.39</v>
      </c>
      <c r="E482" s="278">
        <v>3866.54</v>
      </c>
      <c r="F482" s="278">
        <v>3887.52</v>
      </c>
      <c r="G482" s="278">
        <v>3845.82</v>
      </c>
      <c r="H482" s="278">
        <v>3657.63</v>
      </c>
      <c r="I482" s="278">
        <v>3664.98</v>
      </c>
      <c r="J482" s="278">
        <v>3863.71</v>
      </c>
      <c r="K482" s="278">
        <v>3896.69</v>
      </c>
      <c r="L482" s="278">
        <v>3803.07</v>
      </c>
      <c r="M482" s="290"/>
      <c r="N482" s="290"/>
      <c r="O482" s="290"/>
      <c r="P482" s="290"/>
      <c r="Q482" s="326">
        <f>IF((L483=""),"",MAX(D484:L484))</f>
        <v>7257.63</v>
      </c>
      <c r="R482" s="326">
        <f>IF(L483="","",MIN(D484:L484))</f>
        <v>6615.39</v>
      </c>
      <c r="S482" s="327">
        <f>IF((L484=""),"",AVERAGE(D484:L484))</f>
        <v>6908.6066666666666</v>
      </c>
      <c r="T482" s="319">
        <f>IF((L483=""),"",(Q482-R482)/(Q482+R482)*100)</f>
        <v>4.6294173871298376</v>
      </c>
      <c r="U482" s="326">
        <f>STDEV(D484:P484)</f>
        <v>218.50795551879324</v>
      </c>
      <c r="V482" s="328" t="str">
        <f>IF(L483="","",IF(T482&lt;9.8,IF(S482&gt;5100,IF(S482&lt;8300,"Pass","Fail"),"Fail"),"Fail"))</f>
        <v>Pass</v>
      </c>
      <c r="W482" s="298">
        <v>121</v>
      </c>
      <c r="X482" s="339"/>
      <c r="Y482" s="357" t="s">
        <v>230</v>
      </c>
      <c r="Z482" s="267">
        <v>4955</v>
      </c>
      <c r="AA482" s="267">
        <v>9645</v>
      </c>
      <c r="AB482" s="267">
        <v>5100</v>
      </c>
      <c r="AC482" s="267">
        <v>8300</v>
      </c>
      <c r="AD482" s="305">
        <v>10</v>
      </c>
      <c r="AE482" s="305">
        <v>9.8000000000000007</v>
      </c>
    </row>
    <row r="483" spans="1:31" ht="12.75" customHeight="1">
      <c r="A483" s="306"/>
      <c r="B483" s="298"/>
      <c r="C483" s="307" t="s">
        <v>198</v>
      </c>
      <c r="D483" s="278">
        <v>1457.24</v>
      </c>
      <c r="E483" s="278">
        <v>1603.77</v>
      </c>
      <c r="F483" s="278">
        <v>1573.75</v>
      </c>
      <c r="G483" s="278">
        <v>1604.12</v>
      </c>
      <c r="H483" s="278">
        <v>1238.42</v>
      </c>
      <c r="I483" s="278">
        <v>1255.46</v>
      </c>
      <c r="J483" s="278">
        <v>1594.61</v>
      </c>
      <c r="K483" s="278">
        <v>1568.22</v>
      </c>
      <c r="L483" s="278">
        <v>1597.94</v>
      </c>
      <c r="M483" s="290"/>
      <c r="N483" s="290"/>
      <c r="O483" s="290"/>
      <c r="P483" s="290"/>
      <c r="Q483" s="298"/>
      <c r="R483" s="298"/>
      <c r="S483" s="298"/>
      <c r="T483" s="298"/>
      <c r="U483" s="298"/>
      <c r="V483" s="302"/>
      <c r="W483" s="298"/>
      <c r="X483" s="339"/>
      <c r="Y483" s="340"/>
      <c r="Z483" s="267"/>
      <c r="AA483" s="267"/>
      <c r="AB483" s="267"/>
      <c r="AC483" s="267"/>
      <c r="AD483" s="268"/>
      <c r="AE483" s="269"/>
    </row>
    <row r="484" spans="1:31" ht="24.75" customHeight="1" thickBot="1">
      <c r="A484" s="306"/>
      <c r="B484" s="309"/>
      <c r="C484" s="310" t="s">
        <v>197</v>
      </c>
      <c r="D484" s="311">
        <f t="shared" ref="D484:L484" si="156">IF(((D482="")*AND(D483="")),"",(D482-D483)*3)</f>
        <v>6828.4499999999989</v>
      </c>
      <c r="E484" s="311">
        <f t="shared" si="156"/>
        <v>6788.3099999999995</v>
      </c>
      <c r="F484" s="311">
        <f t="shared" si="156"/>
        <v>6941.3099999999995</v>
      </c>
      <c r="G484" s="311">
        <f t="shared" si="156"/>
        <v>6725.1</v>
      </c>
      <c r="H484" s="311">
        <f t="shared" si="156"/>
        <v>7257.63</v>
      </c>
      <c r="I484" s="311">
        <f t="shared" si="156"/>
        <v>7228.5599999999995</v>
      </c>
      <c r="J484" s="311">
        <f t="shared" si="156"/>
        <v>6807.3000000000011</v>
      </c>
      <c r="K484" s="311">
        <f t="shared" si="156"/>
        <v>6985.4100000000008</v>
      </c>
      <c r="L484" s="311">
        <f t="shared" si="156"/>
        <v>6615.39</v>
      </c>
      <c r="M484" s="311"/>
      <c r="N484" s="311"/>
      <c r="O484" s="311"/>
      <c r="P484" s="311" t="str">
        <f>IF(((P482="")*AND(P483="")),"",(P482-P483)*2)</f>
        <v/>
      </c>
      <c r="Q484" s="309"/>
      <c r="R484" s="309"/>
      <c r="S484" s="309"/>
      <c r="T484" s="309"/>
      <c r="U484" s="309"/>
      <c r="V484" s="312"/>
      <c r="W484" s="309"/>
      <c r="X484" s="339"/>
      <c r="Y484" s="341"/>
      <c r="Z484" s="267"/>
      <c r="AA484" s="267"/>
      <c r="AB484" s="267"/>
      <c r="AC484" s="267"/>
      <c r="AD484" s="268"/>
      <c r="AE484" s="269"/>
    </row>
    <row r="485" spans="1:31" ht="12.75" customHeight="1">
      <c r="A485" s="351">
        <v>43215</v>
      </c>
      <c r="B485" s="315" t="s">
        <v>200</v>
      </c>
      <c r="C485" s="316" t="s">
        <v>199</v>
      </c>
      <c r="D485" s="278">
        <v>6864.06</v>
      </c>
      <c r="E485" s="278">
        <v>7068.26</v>
      </c>
      <c r="F485" s="278">
        <v>6785.94</v>
      </c>
      <c r="G485" s="278">
        <v>6833.8</v>
      </c>
      <c r="H485" s="278">
        <v>6977.42</v>
      </c>
      <c r="I485" s="278">
        <v>6915.96</v>
      </c>
      <c r="J485" s="278">
        <v>6893.52</v>
      </c>
      <c r="K485" s="278">
        <v>6821.33</v>
      </c>
      <c r="L485" s="278">
        <v>6864.97</v>
      </c>
      <c r="M485" s="278">
        <v>6952.59</v>
      </c>
      <c r="N485" s="278">
        <v>7154.49</v>
      </c>
      <c r="O485" s="278">
        <v>6945.31</v>
      </c>
      <c r="P485" s="278">
        <v>7057.04</v>
      </c>
      <c r="Q485" s="326">
        <f>IF((L486=""),"",MAX(D487:P487))</f>
        <v>5349.8017241379312</v>
      </c>
      <c r="R485" s="315">
        <f>IF(L486="","",MIN(D487:L487))</f>
        <v>5118.5172413793098</v>
      </c>
      <c r="S485" s="318">
        <f>IF((P487=""),"",AVERAGE(D487:P487))</f>
        <v>5277.4416445623347</v>
      </c>
      <c r="T485" s="318">
        <f>IF((L486=""),"",(Q485-R485)/(Q485+R485)*100)</f>
        <v>2.2093755790253908</v>
      </c>
      <c r="U485" s="315">
        <f>STDEV(D487:P487)</f>
        <v>66.939221190269834</v>
      </c>
      <c r="V485" s="320" t="str">
        <f>IF(P486="","",IF(T485&lt;2.7,IF(S485&gt;5150,IF(S485&lt;5600,"Pass","Fail"),"Fail"),"Fail"))</f>
        <v>Pass</v>
      </c>
      <c r="W485" s="315">
        <v>121</v>
      </c>
      <c r="X485" s="339"/>
      <c r="Y485" s="338" t="s">
        <v>229</v>
      </c>
      <c r="Z485" s="321">
        <v>4470</v>
      </c>
      <c r="AA485" s="321">
        <v>6020</v>
      </c>
      <c r="AB485" s="321">
        <v>5150</v>
      </c>
      <c r="AC485" s="321">
        <v>5600</v>
      </c>
      <c r="AD485" s="305">
        <v>10</v>
      </c>
      <c r="AE485" s="322">
        <v>2.7</v>
      </c>
    </row>
    <row r="486" spans="1:31" ht="12.75" customHeight="1">
      <c r="A486" s="306"/>
      <c r="B486" s="298"/>
      <c r="C486" s="307" t="s">
        <v>198</v>
      </c>
      <c r="D486" s="278">
        <v>4841.87</v>
      </c>
      <c r="E486" s="278">
        <v>5018.3999999999996</v>
      </c>
      <c r="F486" s="278">
        <v>4806.78</v>
      </c>
      <c r="G486" s="278">
        <v>4792.6000000000004</v>
      </c>
      <c r="H486" s="278">
        <v>4916.6000000000004</v>
      </c>
      <c r="I486" s="278">
        <v>4847.37</v>
      </c>
      <c r="J486" s="278">
        <v>4848.5</v>
      </c>
      <c r="K486" s="278">
        <v>4775.83</v>
      </c>
      <c r="L486" s="278">
        <v>4864</v>
      </c>
      <c r="M486" s="278">
        <v>4891.2299999999996</v>
      </c>
      <c r="N486" s="278">
        <v>5094.3599999999997</v>
      </c>
      <c r="O486" s="278">
        <v>4907.38</v>
      </c>
      <c r="P486" s="278">
        <v>5001.83</v>
      </c>
      <c r="Q486" s="298"/>
      <c r="R486" s="298"/>
      <c r="S486" s="298"/>
      <c r="T486" s="298"/>
      <c r="U486" s="298"/>
      <c r="V486" s="302"/>
      <c r="W486" s="298"/>
      <c r="X486" s="339"/>
      <c r="Y486" s="340"/>
      <c r="Z486" s="267"/>
      <c r="AA486" s="267"/>
      <c r="AB486" s="267"/>
      <c r="AC486" s="267"/>
      <c r="AD486" s="268"/>
      <c r="AE486" s="269"/>
    </row>
    <row r="487" spans="1:31" ht="24" customHeight="1">
      <c r="A487" s="306"/>
      <c r="B487" s="299"/>
      <c r="C487" s="307" t="s">
        <v>197</v>
      </c>
      <c r="D487" s="323">
        <f t="shared" ref="D487:P487" si="157">IF(((D485="")*AND(D486="")),"",(D485-D486)*60/23.2)</f>
        <v>5229.8017241379321</v>
      </c>
      <c r="E487" s="323">
        <f t="shared" si="157"/>
        <v>5301.362068965519</v>
      </c>
      <c r="F487" s="323">
        <f t="shared" si="157"/>
        <v>5118.5172413793098</v>
      </c>
      <c r="G487" s="323">
        <f t="shared" si="157"/>
        <v>5278.9655172413786</v>
      </c>
      <c r="H487" s="323">
        <f t="shared" si="157"/>
        <v>5329.7068965517237</v>
      </c>
      <c r="I487" s="323">
        <f t="shared" si="157"/>
        <v>5349.8017241379312</v>
      </c>
      <c r="J487" s="323">
        <f t="shared" si="157"/>
        <v>5288.8448275862083</v>
      </c>
      <c r="K487" s="323">
        <f t="shared" si="157"/>
        <v>5290.0862068965516</v>
      </c>
      <c r="L487" s="323">
        <f t="shared" si="157"/>
        <v>5174.9224137931042</v>
      </c>
      <c r="M487" s="323">
        <f t="shared" si="157"/>
        <v>5331.1034482758641</v>
      </c>
      <c r="N487" s="323">
        <f t="shared" si="157"/>
        <v>5327.9224137931042</v>
      </c>
      <c r="O487" s="323">
        <f t="shared" si="157"/>
        <v>5270.5086206896558</v>
      </c>
      <c r="P487" s="323">
        <f t="shared" si="157"/>
        <v>5315.1982758620697</v>
      </c>
      <c r="Q487" s="299"/>
      <c r="R487" s="299"/>
      <c r="S487" s="299"/>
      <c r="T487" s="298"/>
      <c r="U487" s="299"/>
      <c r="V487" s="324"/>
      <c r="W487" s="299"/>
      <c r="X487" s="339"/>
      <c r="Y487" s="340"/>
      <c r="Z487" s="267"/>
      <c r="AA487" s="267"/>
      <c r="AB487" s="267"/>
      <c r="AC487" s="267"/>
      <c r="AD487" s="268"/>
      <c r="AE487" s="269"/>
    </row>
    <row r="488" spans="1:31" ht="12.75" customHeight="1">
      <c r="A488" s="351">
        <v>43215</v>
      </c>
      <c r="B488" s="326" t="s">
        <v>202</v>
      </c>
      <c r="C488" s="307" t="s">
        <v>199</v>
      </c>
      <c r="D488" s="278">
        <v>5849.09</v>
      </c>
      <c r="E488" s="278">
        <v>5987.08</v>
      </c>
      <c r="F488" s="278">
        <v>6023.58</v>
      </c>
      <c r="G488" s="278">
        <v>5968.42</v>
      </c>
      <c r="H488" s="278">
        <v>5940.87</v>
      </c>
      <c r="I488" s="278">
        <v>5796.76</v>
      </c>
      <c r="J488" s="278">
        <v>5995.93</v>
      </c>
      <c r="K488" s="278">
        <v>6017.51</v>
      </c>
      <c r="L488" s="278">
        <v>5888.59</v>
      </c>
      <c r="M488" s="290"/>
      <c r="N488" s="290"/>
      <c r="O488" s="290"/>
      <c r="P488" s="290"/>
      <c r="Q488" s="326">
        <f>IF((L489=""),"",MAX(D490:L490))</f>
        <v>7144.5599999999995</v>
      </c>
      <c r="R488" s="326">
        <f>IF(L489="","",MIN(D490:L490))</f>
        <v>5642.61</v>
      </c>
      <c r="S488" s="327">
        <f>IF((L490=""),"",AVERAGE(D490:L490))</f>
        <v>6160.626666666667</v>
      </c>
      <c r="T488" s="319">
        <f>IF((L489=""),"",(Q488-R488)/(Q488+R488)*100)</f>
        <v>11.745757661781301</v>
      </c>
      <c r="U488" s="326">
        <f>STDEV(D490:P490)</f>
        <v>518.34521146626366</v>
      </c>
      <c r="V488" s="328" t="str">
        <f>IF(L489="","",IF(T488&lt;9.8,IF(S488&gt;5100,IF(S488&lt;8300,"Pass","Fail"),"Fail"),"Fail"))</f>
        <v>Fail</v>
      </c>
      <c r="W488" s="298"/>
      <c r="X488" s="339"/>
      <c r="Y488" s="340"/>
      <c r="Z488" s="267">
        <v>4955</v>
      </c>
      <c r="AA488" s="267">
        <v>9645</v>
      </c>
      <c r="AB488" s="267">
        <v>5100</v>
      </c>
      <c r="AC488" s="267">
        <v>8300</v>
      </c>
      <c r="AD488" s="305">
        <v>10</v>
      </c>
      <c r="AE488" s="305">
        <v>9.8000000000000007</v>
      </c>
    </row>
    <row r="489" spans="1:31" ht="12.75" customHeight="1">
      <c r="A489" s="306"/>
      <c r="B489" s="298"/>
      <c r="C489" s="307" t="s">
        <v>198</v>
      </c>
      <c r="D489" s="278">
        <v>3739.12</v>
      </c>
      <c r="E489" s="278">
        <v>4106.21</v>
      </c>
      <c r="F489" s="278">
        <v>4110.72</v>
      </c>
      <c r="G489" s="278">
        <v>3986.82</v>
      </c>
      <c r="H489" s="278">
        <v>3559.35</v>
      </c>
      <c r="I489" s="278">
        <v>3529.59</v>
      </c>
      <c r="J489" s="278">
        <v>3996.91</v>
      </c>
      <c r="K489" s="278">
        <v>4121.07</v>
      </c>
      <c r="L489" s="278">
        <v>3836.16</v>
      </c>
      <c r="M489" s="290"/>
      <c r="N489" s="290"/>
      <c r="O489" s="290"/>
      <c r="P489" s="290"/>
      <c r="Q489" s="298"/>
      <c r="R489" s="298"/>
      <c r="S489" s="298"/>
      <c r="T489" s="298"/>
      <c r="U489" s="298"/>
      <c r="V489" s="302"/>
      <c r="W489" s="298"/>
      <c r="X489" s="339"/>
      <c r="Y489" s="340"/>
      <c r="Z489" s="267"/>
      <c r="AA489" s="267"/>
      <c r="AB489" s="267"/>
      <c r="AC489" s="267"/>
      <c r="AD489" s="268"/>
      <c r="AE489" s="269"/>
    </row>
    <row r="490" spans="1:31" ht="24.75" customHeight="1" thickBot="1">
      <c r="A490" s="306"/>
      <c r="B490" s="309"/>
      <c r="C490" s="310" t="s">
        <v>197</v>
      </c>
      <c r="D490" s="311">
        <f t="shared" ref="D490:L490" si="158">IF(((D488="")*AND(D489="")),"",(D488-D489)*3)</f>
        <v>6329.9100000000008</v>
      </c>
      <c r="E490" s="311">
        <f t="shared" si="158"/>
        <v>5642.61</v>
      </c>
      <c r="F490" s="311">
        <f t="shared" si="158"/>
        <v>5738.579999999999</v>
      </c>
      <c r="G490" s="311">
        <f t="shared" si="158"/>
        <v>5944.7999999999993</v>
      </c>
      <c r="H490" s="311">
        <f t="shared" si="158"/>
        <v>7144.5599999999995</v>
      </c>
      <c r="I490" s="311">
        <f t="shared" si="158"/>
        <v>6801.51</v>
      </c>
      <c r="J490" s="311">
        <f t="shared" si="158"/>
        <v>5997.0600000000013</v>
      </c>
      <c r="K490" s="311">
        <f t="shared" si="158"/>
        <v>5689.3200000000015</v>
      </c>
      <c r="L490" s="311">
        <f t="shared" si="158"/>
        <v>6157.2900000000009</v>
      </c>
      <c r="M490" s="311"/>
      <c r="N490" s="311"/>
      <c r="O490" s="311"/>
      <c r="P490" s="311" t="str">
        <f>IF(((P488="")*AND(P489="")),"",(P488-P489)*2)</f>
        <v/>
      </c>
      <c r="Q490" s="309"/>
      <c r="R490" s="309"/>
      <c r="S490" s="309"/>
      <c r="T490" s="309"/>
      <c r="U490" s="309"/>
      <c r="V490" s="312"/>
      <c r="W490" s="309"/>
      <c r="X490" s="339"/>
      <c r="Y490" s="341"/>
      <c r="Z490" s="267"/>
      <c r="AA490" s="267"/>
      <c r="AB490" s="267"/>
      <c r="AC490" s="267"/>
      <c r="AD490" s="268"/>
      <c r="AE490" s="269"/>
    </row>
    <row r="491" spans="1:31" ht="12.75" customHeight="1">
      <c r="A491" s="351">
        <v>43294</v>
      </c>
      <c r="B491" s="315" t="s">
        <v>200</v>
      </c>
      <c r="C491" s="316" t="s">
        <v>199</v>
      </c>
      <c r="D491" s="278">
        <v>4196.25</v>
      </c>
      <c r="E491" s="278">
        <v>4437.93</v>
      </c>
      <c r="F491" s="278">
        <v>4071.65</v>
      </c>
      <c r="G491" s="278">
        <v>4087.73</v>
      </c>
      <c r="H491" s="278">
        <v>4343.3500000000004</v>
      </c>
      <c r="I491" s="278">
        <v>4233.99</v>
      </c>
      <c r="J491" s="278">
        <v>4135.37</v>
      </c>
      <c r="K491" s="278">
        <v>4053.73</v>
      </c>
      <c r="L491" s="278">
        <v>4123.8900000000003</v>
      </c>
      <c r="M491" s="278">
        <v>4212.49</v>
      </c>
      <c r="N491" s="278">
        <v>4510.67</v>
      </c>
      <c r="O491" s="278">
        <v>4207.03</v>
      </c>
      <c r="P491" s="278">
        <v>4361.67</v>
      </c>
      <c r="Q491" s="326">
        <f>IF((L492=""),"",MAX(D493:P493))</f>
        <v>5772.08</v>
      </c>
      <c r="R491" s="315">
        <f>IF(L492="","",MIN(D493:L493))</f>
        <v>5569.2</v>
      </c>
      <c r="S491" s="318">
        <f>IF((P493=""),"",AVERAGE(D493:P493))</f>
        <v>5655.2630769230764</v>
      </c>
      <c r="T491" s="318">
        <f>IF((L492=""),"",(Q491-R491)/(Q491+R491)*100)</f>
        <v>1.7888633381769972</v>
      </c>
      <c r="U491" s="315">
        <f>STDEV(D493:P493)</f>
        <v>71.584892654821786</v>
      </c>
      <c r="V491" s="320" t="str">
        <f>IF(P492="","",IF(T491&lt;2.7,IF(S491&gt;5150,IF(S491&lt;5600,"Pass","Fail"),"Fail"),"Fail"))</f>
        <v>Fail</v>
      </c>
      <c r="W491" s="315">
        <v>1335</v>
      </c>
      <c r="X491" s="339"/>
      <c r="Y491" s="357" t="s">
        <v>228</v>
      </c>
      <c r="Z491" s="321">
        <v>4470</v>
      </c>
      <c r="AA491" s="321">
        <v>6020</v>
      </c>
      <c r="AB491" s="321">
        <v>5150</v>
      </c>
      <c r="AC491" s="321">
        <v>5600</v>
      </c>
      <c r="AD491" s="305">
        <v>10</v>
      </c>
      <c r="AE491" s="322">
        <v>2.7</v>
      </c>
    </row>
    <row r="492" spans="1:31" ht="12.75" customHeight="1">
      <c r="A492" s="306"/>
      <c r="B492" s="298"/>
      <c r="C492" s="307" t="s">
        <v>198</v>
      </c>
      <c r="D492" s="278">
        <v>1411.65</v>
      </c>
      <c r="E492" s="278">
        <v>1648.13</v>
      </c>
      <c r="F492" s="278">
        <v>1268.8</v>
      </c>
      <c r="G492" s="278">
        <v>1225.1300000000001</v>
      </c>
      <c r="H492" s="278">
        <v>1551.52</v>
      </c>
      <c r="I492" s="278">
        <v>1389</v>
      </c>
      <c r="J492" s="278">
        <v>1249.33</v>
      </c>
      <c r="K492" s="278">
        <v>1179.3699999999999</v>
      </c>
      <c r="L492" s="278">
        <v>1310.42</v>
      </c>
      <c r="M492" s="278">
        <v>1341.4</v>
      </c>
      <c r="N492" s="278">
        <v>1708.06</v>
      </c>
      <c r="O492" s="278">
        <v>1380.77</v>
      </c>
      <c r="P492" s="278">
        <v>1552.96</v>
      </c>
      <c r="Q492" s="298"/>
      <c r="R492" s="298"/>
      <c r="S492" s="298"/>
      <c r="T492" s="298"/>
      <c r="U492" s="298"/>
      <c r="V492" s="302"/>
      <c r="W492" s="298"/>
      <c r="X492" s="339"/>
      <c r="Y492" s="340"/>
      <c r="Z492" s="267"/>
      <c r="AA492" s="267"/>
      <c r="AB492" s="267"/>
      <c r="AC492" s="267"/>
      <c r="AD492" s="268"/>
      <c r="AE492" s="269"/>
    </row>
    <row r="493" spans="1:31" ht="24" customHeight="1">
      <c r="A493" s="306"/>
      <c r="B493" s="299"/>
      <c r="C493" s="307" t="s">
        <v>197</v>
      </c>
      <c r="D493" s="323">
        <f t="shared" ref="D493:P493" si="159">IF(((D491="")*AND(D492="")),"",(D491-D492)*2)</f>
        <v>5569.2</v>
      </c>
      <c r="E493" s="323">
        <f t="shared" si="159"/>
        <v>5579.6</v>
      </c>
      <c r="F493" s="323">
        <f t="shared" si="159"/>
        <v>5605.7000000000007</v>
      </c>
      <c r="G493" s="323">
        <f t="shared" si="159"/>
        <v>5725.2</v>
      </c>
      <c r="H493" s="323">
        <f t="shared" si="159"/>
        <v>5583.6600000000008</v>
      </c>
      <c r="I493" s="323">
        <f t="shared" si="159"/>
        <v>5689.98</v>
      </c>
      <c r="J493" s="323">
        <f t="shared" si="159"/>
        <v>5772.08</v>
      </c>
      <c r="K493" s="323">
        <f t="shared" si="159"/>
        <v>5748.72</v>
      </c>
      <c r="L493" s="323">
        <f t="shared" si="159"/>
        <v>5626.9400000000005</v>
      </c>
      <c r="M493" s="323">
        <f t="shared" si="159"/>
        <v>5742.1799999999994</v>
      </c>
      <c r="N493" s="323">
        <f t="shared" si="159"/>
        <v>5605.22</v>
      </c>
      <c r="O493" s="323">
        <f t="shared" si="159"/>
        <v>5652.5199999999995</v>
      </c>
      <c r="P493" s="323">
        <f t="shared" si="159"/>
        <v>5617.42</v>
      </c>
      <c r="Q493" s="299"/>
      <c r="R493" s="299"/>
      <c r="S493" s="299"/>
      <c r="T493" s="298"/>
      <c r="U493" s="299"/>
      <c r="V493" s="324"/>
      <c r="W493" s="299"/>
      <c r="X493" s="339"/>
      <c r="Y493" s="340"/>
      <c r="Z493" s="267"/>
      <c r="AA493" s="267"/>
      <c r="AB493" s="267"/>
      <c r="AC493" s="267"/>
      <c r="AD493" s="268"/>
      <c r="AE493" s="269"/>
    </row>
    <row r="494" spans="1:31" ht="12.75" customHeight="1">
      <c r="A494" s="351">
        <v>43294</v>
      </c>
      <c r="B494" s="326" t="s">
        <v>202</v>
      </c>
      <c r="C494" s="307" t="s">
        <v>199</v>
      </c>
      <c r="D494" s="278">
        <v>4019.53</v>
      </c>
      <c r="E494" s="278">
        <v>4090.95</v>
      </c>
      <c r="F494" s="278">
        <v>4137.7299999999996</v>
      </c>
      <c r="G494" s="278">
        <v>4113.7299999999996</v>
      </c>
      <c r="H494" s="278">
        <v>4098.33</v>
      </c>
      <c r="I494" s="278">
        <v>3966.93</v>
      </c>
      <c r="J494" s="278">
        <v>4099.2</v>
      </c>
      <c r="K494" s="278">
        <v>4121.72</v>
      </c>
      <c r="L494" s="278">
        <v>3958.42</v>
      </c>
      <c r="M494" s="290"/>
      <c r="N494" s="290"/>
      <c r="O494" s="290"/>
      <c r="P494" s="290"/>
      <c r="Q494" s="326">
        <f>IF((L495=""),"",MAX(D496:L496))</f>
        <v>7571.37</v>
      </c>
      <c r="R494" s="326">
        <f>IF(L495="","",MIN(D496:L496))</f>
        <v>7199.579999999999</v>
      </c>
      <c r="S494" s="327">
        <f>IF((L496=""),"",AVERAGE(D496:L496))</f>
        <v>7470.2966666666662</v>
      </c>
      <c r="T494" s="319">
        <f>IF((L495=""),"",(Q494-R494)/(Q494+R494)*100)</f>
        <v>2.5170351263798256</v>
      </c>
      <c r="U494" s="326">
        <f>STDEV(D496:P496)</f>
        <v>137.43670534107034</v>
      </c>
      <c r="V494" s="328" t="str">
        <f>IF(L495="","",IF(T494&lt;9.8,IF(S494&gt;5100,IF(S494&lt;8300,"Pass","Fail"),"Fail"),"Fail"))</f>
        <v>Pass</v>
      </c>
      <c r="W494" s="298">
        <v>1335</v>
      </c>
      <c r="X494" s="339"/>
      <c r="Y494" s="340" t="s">
        <v>228</v>
      </c>
      <c r="Z494" s="267">
        <v>4955</v>
      </c>
      <c r="AA494" s="267">
        <v>9645</v>
      </c>
      <c r="AB494" s="267">
        <v>5100</v>
      </c>
      <c r="AC494" s="267">
        <v>8300</v>
      </c>
      <c r="AD494" s="305">
        <v>10</v>
      </c>
      <c r="AE494" s="305">
        <v>9.8000000000000007</v>
      </c>
    </row>
    <row r="495" spans="1:31" ht="12.75" customHeight="1">
      <c r="A495" s="306"/>
      <c r="B495" s="298"/>
      <c r="C495" s="307" t="s">
        <v>198</v>
      </c>
      <c r="D495" s="278">
        <v>1529.17</v>
      </c>
      <c r="E495" s="278">
        <v>1584.27</v>
      </c>
      <c r="F495" s="278">
        <v>1614.98</v>
      </c>
      <c r="G495" s="278">
        <v>1604.87</v>
      </c>
      <c r="H495" s="278">
        <v>1574.54</v>
      </c>
      <c r="I495" s="278">
        <v>1567.07</v>
      </c>
      <c r="J495" s="278">
        <v>1580.03</v>
      </c>
      <c r="K495" s="278">
        <v>1606.5</v>
      </c>
      <c r="L495" s="278">
        <v>1534.22</v>
      </c>
      <c r="M495" s="290"/>
      <c r="N495" s="290"/>
      <c r="O495" s="290"/>
      <c r="P495" s="290"/>
      <c r="Q495" s="298"/>
      <c r="R495" s="298"/>
      <c r="S495" s="298"/>
      <c r="T495" s="298"/>
      <c r="U495" s="298"/>
      <c r="V495" s="302"/>
      <c r="W495" s="298"/>
      <c r="X495" s="339"/>
      <c r="Y495" s="340"/>
      <c r="Z495" s="267"/>
      <c r="AA495" s="267"/>
      <c r="AB495" s="267"/>
      <c r="AC495" s="267"/>
      <c r="AD495" s="268"/>
      <c r="AE495" s="269"/>
    </row>
    <row r="496" spans="1:31" ht="24.75" customHeight="1" thickBot="1">
      <c r="A496" s="306"/>
      <c r="B496" s="309"/>
      <c r="C496" s="310" t="s">
        <v>197</v>
      </c>
      <c r="D496" s="311">
        <f t="shared" ref="D496:L496" si="160">IF(((D494="")*AND(D495="")),"",(D494-D495)*3)</f>
        <v>7471.08</v>
      </c>
      <c r="E496" s="311">
        <f t="shared" si="160"/>
        <v>7520.0399999999991</v>
      </c>
      <c r="F496" s="311">
        <f t="shared" si="160"/>
        <v>7568.2499999999982</v>
      </c>
      <c r="G496" s="311">
        <f t="shared" si="160"/>
        <v>7526.579999999999</v>
      </c>
      <c r="H496" s="311">
        <f t="shared" si="160"/>
        <v>7571.37</v>
      </c>
      <c r="I496" s="311">
        <f t="shared" si="160"/>
        <v>7199.579999999999</v>
      </c>
      <c r="J496" s="311">
        <f t="shared" si="160"/>
        <v>7557.51</v>
      </c>
      <c r="K496" s="311">
        <f t="shared" si="160"/>
        <v>7545.6600000000008</v>
      </c>
      <c r="L496" s="311">
        <f t="shared" si="160"/>
        <v>7272.5999999999995</v>
      </c>
      <c r="M496" s="311"/>
      <c r="N496" s="311"/>
      <c r="O496" s="311"/>
      <c r="P496" s="311" t="str">
        <f>IF(((P494="")*AND(P495="")),"",(P494-P495)*2)</f>
        <v/>
      </c>
      <c r="Q496" s="309"/>
      <c r="R496" s="309"/>
      <c r="S496" s="309"/>
      <c r="T496" s="309"/>
      <c r="U496" s="309"/>
      <c r="V496" s="312"/>
      <c r="W496" s="309"/>
      <c r="X496" s="339"/>
      <c r="Y496" s="341"/>
      <c r="Z496" s="267"/>
      <c r="AA496" s="267"/>
      <c r="AB496" s="267"/>
      <c r="AC496" s="267"/>
      <c r="AD496" s="268"/>
      <c r="AE496" s="269"/>
    </row>
    <row r="497" spans="1:31" ht="12.75" customHeight="1">
      <c r="A497" s="351">
        <v>43296</v>
      </c>
      <c r="B497" s="315" t="s">
        <v>200</v>
      </c>
      <c r="C497" s="316" t="s">
        <v>199</v>
      </c>
      <c r="D497" s="278">
        <v>6876.19</v>
      </c>
      <c r="E497" s="278">
        <v>7091.09</v>
      </c>
      <c r="F497" s="278">
        <v>6797.25</v>
      </c>
      <c r="G497" s="278">
        <v>6844.47</v>
      </c>
      <c r="H497" s="278">
        <v>7005.48</v>
      </c>
      <c r="I497" s="278">
        <v>6930.94</v>
      </c>
      <c r="J497" s="278">
        <v>6905.12</v>
      </c>
      <c r="K497" s="278">
        <v>6837.8</v>
      </c>
      <c r="L497" s="278">
        <v>6879.84</v>
      </c>
      <c r="M497" s="278">
        <v>6964.86</v>
      </c>
      <c r="N497" s="278">
        <v>7179.93</v>
      </c>
      <c r="O497" s="278">
        <v>6960.63</v>
      </c>
      <c r="P497" s="278">
        <v>7076.66</v>
      </c>
      <c r="Q497" s="326">
        <f>IF((L498=""),"",MAX(D499:P499))</f>
        <v>5721.68</v>
      </c>
      <c r="R497" s="315">
        <f>IF(L498="","",MIN(D499:L499))</f>
        <v>5516.8399999999983</v>
      </c>
      <c r="S497" s="318">
        <f>IF((P499=""),"",AVERAGE(D499:P499))</f>
        <v>5602.1107692307705</v>
      </c>
      <c r="T497" s="318">
        <f>IF((L498=""),"",(Q497-R497)/(Q497+R497)*100)</f>
        <v>1.8226599231927512</v>
      </c>
      <c r="U497" s="315">
        <f>STDEV(D499:P499)</f>
        <v>71.604041606150872</v>
      </c>
      <c r="V497" s="320" t="str">
        <f>IF(P498="","",IF(T497&lt;2.7,IF(S497&gt;5150,IF(S497&lt;5600,"Pass","Fail"),"Fail"),"Fail"))</f>
        <v>Fail</v>
      </c>
      <c r="W497" s="315">
        <v>74</v>
      </c>
      <c r="X497" s="339"/>
      <c r="Y497" s="357" t="s">
        <v>227</v>
      </c>
      <c r="Z497" s="321">
        <v>4470</v>
      </c>
      <c r="AA497" s="321">
        <v>6020</v>
      </c>
      <c r="AB497" s="321">
        <v>5150</v>
      </c>
      <c r="AC497" s="321">
        <v>5600</v>
      </c>
      <c r="AD497" s="305">
        <v>10</v>
      </c>
      <c r="AE497" s="322">
        <v>2.7</v>
      </c>
    </row>
    <row r="498" spans="1:31" ht="15">
      <c r="A498" s="306"/>
      <c r="B498" s="298"/>
      <c r="C498" s="307" t="s">
        <v>198</v>
      </c>
      <c r="D498" s="278">
        <v>4117.7700000000004</v>
      </c>
      <c r="E498" s="278">
        <v>4329.84</v>
      </c>
      <c r="F498" s="278">
        <v>4019.51</v>
      </c>
      <c r="G498" s="278">
        <v>4006.77</v>
      </c>
      <c r="H498" s="278">
        <v>4239.99</v>
      </c>
      <c r="I498" s="278">
        <v>4114.16</v>
      </c>
      <c r="J498" s="278">
        <v>4066.35</v>
      </c>
      <c r="K498" s="278">
        <v>3976.96</v>
      </c>
      <c r="L498" s="278">
        <v>4093.03</v>
      </c>
      <c r="M498" s="278">
        <v>4114.71</v>
      </c>
      <c r="N498" s="278">
        <v>4404.79</v>
      </c>
      <c r="O498" s="278">
        <v>4159.76</v>
      </c>
      <c r="P498" s="278">
        <v>4292.8999999999996</v>
      </c>
      <c r="Q498" s="298"/>
      <c r="R498" s="298"/>
      <c r="S498" s="298"/>
      <c r="T498" s="298"/>
      <c r="U498" s="298"/>
      <c r="V498" s="302"/>
      <c r="W498" s="298"/>
      <c r="X498" s="339"/>
      <c r="Y498" s="340"/>
      <c r="Z498" s="267"/>
      <c r="AA498" s="267"/>
      <c r="AB498" s="267"/>
      <c r="AC498" s="267"/>
      <c r="AD498" s="268"/>
      <c r="AE498" s="269"/>
    </row>
    <row r="499" spans="1:31" ht="57">
      <c r="A499" s="306"/>
      <c r="B499" s="299"/>
      <c r="C499" s="307" t="s">
        <v>197</v>
      </c>
      <c r="D499" s="323">
        <f t="shared" ref="D499:P499" si="161">IF(((D497="")*AND(D498="")),"",(D497-D498)*2)</f>
        <v>5516.8399999999983</v>
      </c>
      <c r="E499" s="323">
        <f t="shared" si="161"/>
        <v>5522.5</v>
      </c>
      <c r="F499" s="323">
        <f t="shared" si="161"/>
        <v>5555.48</v>
      </c>
      <c r="G499" s="323">
        <f t="shared" si="161"/>
        <v>5675.4000000000005</v>
      </c>
      <c r="H499" s="323">
        <f t="shared" si="161"/>
        <v>5530.98</v>
      </c>
      <c r="I499" s="323">
        <f t="shared" si="161"/>
        <v>5633.5599999999995</v>
      </c>
      <c r="J499" s="323">
        <f t="shared" si="161"/>
        <v>5677.54</v>
      </c>
      <c r="K499" s="323">
        <f t="shared" si="161"/>
        <v>5721.68</v>
      </c>
      <c r="L499" s="323">
        <f t="shared" si="161"/>
        <v>5573.62</v>
      </c>
      <c r="M499" s="323">
        <f t="shared" si="161"/>
        <v>5700.2999999999993</v>
      </c>
      <c r="N499" s="323">
        <f t="shared" si="161"/>
        <v>5550.2800000000007</v>
      </c>
      <c r="O499" s="323">
        <f t="shared" si="161"/>
        <v>5601.74</v>
      </c>
      <c r="P499" s="323">
        <f t="shared" si="161"/>
        <v>5567.52</v>
      </c>
      <c r="Q499" s="299"/>
      <c r="R499" s="299"/>
      <c r="S499" s="299"/>
      <c r="T499" s="298"/>
      <c r="U499" s="299"/>
      <c r="V499" s="324"/>
      <c r="W499" s="299"/>
      <c r="X499" s="339"/>
      <c r="Y499" s="340"/>
      <c r="Z499" s="267"/>
      <c r="AA499" s="267"/>
      <c r="AB499" s="267"/>
      <c r="AC499" s="267"/>
      <c r="AD499" s="268"/>
      <c r="AE499" s="269"/>
    </row>
    <row r="500" spans="1:31" ht="12.75" customHeight="1">
      <c r="A500" s="351">
        <v>43296</v>
      </c>
      <c r="B500" s="326" t="s">
        <v>202</v>
      </c>
      <c r="C500" s="307" t="s">
        <v>199</v>
      </c>
      <c r="D500" s="278">
        <v>5985.57</v>
      </c>
      <c r="E500" s="278">
        <v>6099.74</v>
      </c>
      <c r="F500" s="278">
        <v>6133.99</v>
      </c>
      <c r="G500" s="278">
        <v>6072.97</v>
      </c>
      <c r="H500" s="278">
        <v>5972.51</v>
      </c>
      <c r="I500" s="278">
        <v>5929.71</v>
      </c>
      <c r="J500" s="278">
        <v>6084.1</v>
      </c>
      <c r="K500" s="278">
        <v>6134.12</v>
      </c>
      <c r="L500" s="278">
        <v>5939.77</v>
      </c>
      <c r="M500" s="290"/>
      <c r="N500" s="290"/>
      <c r="O500" s="290"/>
      <c r="P500" s="290"/>
      <c r="Q500" s="326">
        <f>IF((L501=""),"",MAX(D502:L502))</f>
        <v>8125.32</v>
      </c>
      <c r="R500" s="326">
        <f>IF(L501="","",MIN(D502:L502))</f>
        <v>7083.8700000000008</v>
      </c>
      <c r="S500" s="327">
        <f>IF((L502=""),"",AVERAGE(D502:L502))</f>
        <v>7366.5233333333326</v>
      </c>
      <c r="T500" s="319">
        <f>IF((L501=""),"",(Q500-R500)/(Q500+R500)*100)</f>
        <v>6.8475046994613056</v>
      </c>
      <c r="U500" s="326">
        <f>STDEV(D502:P502)</f>
        <v>324.39945264292083</v>
      </c>
      <c r="V500" s="328" t="str">
        <f>IF(L501="","",IF(T500&lt;9.8,IF(S500&gt;5100,IF(S500&lt;8300,"Pass","Fail"),"Fail"),"Fail"))</f>
        <v>Pass</v>
      </c>
      <c r="W500" s="298">
        <v>74</v>
      </c>
      <c r="X500" s="339"/>
      <c r="Y500" s="340" t="s">
        <v>227</v>
      </c>
      <c r="Z500" s="267">
        <v>4955</v>
      </c>
      <c r="AA500" s="267">
        <v>9645</v>
      </c>
      <c r="AB500" s="267">
        <v>5100</v>
      </c>
      <c r="AC500" s="267">
        <v>8300</v>
      </c>
      <c r="AD500" s="305">
        <v>10</v>
      </c>
      <c r="AE500" s="305">
        <v>9.8000000000000007</v>
      </c>
    </row>
    <row r="501" spans="1:31" ht="15">
      <c r="A501" s="306"/>
      <c r="B501" s="298"/>
      <c r="C501" s="307" t="s">
        <v>198</v>
      </c>
      <c r="D501" s="278">
        <v>3595.78</v>
      </c>
      <c r="E501" s="278">
        <v>3694.44</v>
      </c>
      <c r="F501" s="278">
        <v>3699.05</v>
      </c>
      <c r="G501" s="278">
        <v>3673.98</v>
      </c>
      <c r="H501" s="278">
        <v>3424.57</v>
      </c>
      <c r="I501" s="278">
        <v>3221.27</v>
      </c>
      <c r="J501" s="278">
        <v>3657.68</v>
      </c>
      <c r="K501" s="278">
        <v>3707.66</v>
      </c>
      <c r="L501" s="278">
        <v>3578.48</v>
      </c>
      <c r="M501" s="290"/>
      <c r="N501" s="290"/>
      <c r="O501" s="290"/>
      <c r="P501" s="290"/>
      <c r="Q501" s="298"/>
      <c r="R501" s="298"/>
      <c r="S501" s="298"/>
      <c r="T501" s="298"/>
      <c r="U501" s="298"/>
      <c r="V501" s="302"/>
      <c r="W501" s="298"/>
      <c r="X501" s="339"/>
      <c r="Y501" s="340"/>
      <c r="Z501" s="267"/>
      <c r="AA501" s="267"/>
      <c r="AB501" s="267"/>
      <c r="AC501" s="267"/>
      <c r="AD501" s="268"/>
      <c r="AE501" s="269"/>
    </row>
    <row r="502" spans="1:31" ht="57.75" thickBot="1">
      <c r="A502" s="306"/>
      <c r="B502" s="309"/>
      <c r="C502" s="310" t="s">
        <v>197</v>
      </c>
      <c r="D502" s="311">
        <f t="shared" ref="D502:L502" si="162">IF(((D500="")*AND(D501="")),"",(D500-D501)*3)</f>
        <v>7169.369999999999</v>
      </c>
      <c r="E502" s="311">
        <f t="shared" si="162"/>
        <v>7215.9</v>
      </c>
      <c r="F502" s="311">
        <f t="shared" si="162"/>
        <v>7304.8199999999988</v>
      </c>
      <c r="G502" s="311">
        <f t="shared" si="162"/>
        <v>7196.9700000000012</v>
      </c>
      <c r="H502" s="311">
        <f t="shared" si="162"/>
        <v>7643.82</v>
      </c>
      <c r="I502" s="311">
        <f t="shared" si="162"/>
        <v>8125.32</v>
      </c>
      <c r="J502" s="311">
        <f t="shared" si="162"/>
        <v>7279.260000000002</v>
      </c>
      <c r="K502" s="311">
        <f t="shared" si="162"/>
        <v>7279.38</v>
      </c>
      <c r="L502" s="311">
        <f t="shared" si="162"/>
        <v>7083.8700000000008</v>
      </c>
      <c r="M502" s="311"/>
      <c r="N502" s="311"/>
      <c r="O502" s="311"/>
      <c r="P502" s="311" t="str">
        <f>IF(((P500="")*AND(P501="")),"",(P500-P501)*2)</f>
        <v/>
      </c>
      <c r="Q502" s="309"/>
      <c r="R502" s="309"/>
      <c r="S502" s="309"/>
      <c r="T502" s="309"/>
      <c r="U502" s="309"/>
      <c r="V502" s="312"/>
      <c r="W502" s="309"/>
      <c r="X502" s="339"/>
      <c r="Y502" s="341"/>
      <c r="Z502" s="267"/>
      <c r="AA502" s="267"/>
      <c r="AB502" s="267"/>
      <c r="AC502" s="267"/>
      <c r="AD502" s="268"/>
      <c r="AE502" s="269"/>
    </row>
    <row r="503" spans="1:31" ht="12.75" customHeight="1">
      <c r="A503" s="364">
        <v>43304</v>
      </c>
      <c r="B503" s="315" t="s">
        <v>200</v>
      </c>
      <c r="C503" s="316" t="s">
        <v>199</v>
      </c>
      <c r="D503" s="278">
        <v>6756.5</v>
      </c>
      <c r="E503" s="278">
        <v>6966.71</v>
      </c>
      <c r="F503" s="278">
        <v>6680.13</v>
      </c>
      <c r="G503" s="278">
        <v>6741.2</v>
      </c>
      <c r="H503" s="278">
        <v>6866.71</v>
      </c>
      <c r="I503" s="278">
        <v>6811.07</v>
      </c>
      <c r="J503" s="278">
        <v>6803.66</v>
      </c>
      <c r="K503" s="278">
        <v>6735.02</v>
      </c>
      <c r="L503" s="278">
        <v>6762.63</v>
      </c>
      <c r="M503" s="278">
        <v>6857.09</v>
      </c>
      <c r="N503" s="278">
        <v>7052.07</v>
      </c>
      <c r="O503" s="278">
        <v>6840.46</v>
      </c>
      <c r="P503" s="278">
        <v>6946.1</v>
      </c>
      <c r="Q503" s="326">
        <f>IF((L504=""),"",MAX(D505:P505))</f>
        <v>5570.66</v>
      </c>
      <c r="R503" s="315">
        <f>IF(L504="","",MIN(D505:L505))</f>
        <v>5436.44</v>
      </c>
      <c r="S503" s="318">
        <f>IF((P505=""),"",AVERAGE(D505:P505))</f>
        <v>5495.4015384615386</v>
      </c>
      <c r="T503" s="318">
        <f>IF((L504=""),"",(Q503-R503)/(Q503+R503)*100)</f>
        <v>1.2193947542949577</v>
      </c>
      <c r="U503" s="315">
        <f>STDEV(D505:P505)</f>
        <v>49.713502834805134</v>
      </c>
      <c r="V503" s="320" t="str">
        <f>IF(P504="","",IF(T503&lt;2.7,IF(S503&gt;5150,IF(S503&lt;5600,"Pass","Fail"),"Fail"),"Fail"))</f>
        <v>Pass</v>
      </c>
      <c r="W503" s="315">
        <v>121</v>
      </c>
      <c r="X503" s="339"/>
      <c r="Y503" s="518"/>
      <c r="Z503" s="321">
        <v>4470</v>
      </c>
      <c r="AA503" s="321">
        <v>6020</v>
      </c>
      <c r="AB503" s="321">
        <v>5150</v>
      </c>
      <c r="AC503" s="321">
        <v>5600</v>
      </c>
      <c r="AD503" s="305">
        <v>10</v>
      </c>
      <c r="AE503" s="322">
        <v>2.7</v>
      </c>
    </row>
    <row r="504" spans="1:31" ht="15">
      <c r="A504" s="306"/>
      <c r="B504" s="298"/>
      <c r="C504" s="307" t="s">
        <v>198</v>
      </c>
      <c r="D504" s="278">
        <v>4038.28</v>
      </c>
      <c r="E504" s="278">
        <v>4236.3500000000004</v>
      </c>
      <c r="F504" s="278">
        <v>3961.38</v>
      </c>
      <c r="G504" s="278">
        <v>3963.37</v>
      </c>
      <c r="H504" s="278">
        <v>4125.3900000000003</v>
      </c>
      <c r="I504" s="278">
        <v>4046.32</v>
      </c>
      <c r="J504" s="278">
        <v>4018.33</v>
      </c>
      <c r="K504" s="278">
        <v>3952.76</v>
      </c>
      <c r="L504" s="278">
        <v>4039.12</v>
      </c>
      <c r="M504" s="278">
        <v>4086.32</v>
      </c>
      <c r="N504" s="278">
        <v>4314.88</v>
      </c>
      <c r="O504" s="278">
        <v>4104.6000000000004</v>
      </c>
      <c r="P504" s="278">
        <v>4212.1400000000003</v>
      </c>
      <c r="Q504" s="298"/>
      <c r="R504" s="298"/>
      <c r="S504" s="298"/>
      <c r="T504" s="298"/>
      <c r="U504" s="298"/>
      <c r="V504" s="302"/>
      <c r="W504" s="298"/>
      <c r="X504" s="339"/>
      <c r="Y504" s="519"/>
      <c r="Z504" s="267"/>
      <c r="AA504" s="267"/>
      <c r="AB504" s="267"/>
      <c r="AC504" s="267"/>
      <c r="AD504" s="268"/>
      <c r="AE504" s="269"/>
    </row>
    <row r="505" spans="1:31" ht="57">
      <c r="A505" s="306"/>
      <c r="B505" s="299"/>
      <c r="C505" s="307" t="s">
        <v>197</v>
      </c>
      <c r="D505" s="323">
        <f t="shared" ref="D505:P505" si="163">IF(((D503="")*AND(D504="")),"",(D503-D504)*2)</f>
        <v>5436.44</v>
      </c>
      <c r="E505" s="323">
        <f t="shared" si="163"/>
        <v>5460.7199999999993</v>
      </c>
      <c r="F505" s="323">
        <f t="shared" si="163"/>
        <v>5437.5</v>
      </c>
      <c r="G505" s="323">
        <f t="shared" si="163"/>
        <v>5555.66</v>
      </c>
      <c r="H505" s="323">
        <f t="shared" si="163"/>
        <v>5482.6399999999994</v>
      </c>
      <c r="I505" s="323">
        <f t="shared" si="163"/>
        <v>5529.4999999999991</v>
      </c>
      <c r="J505" s="323">
        <f t="shared" si="163"/>
        <v>5570.66</v>
      </c>
      <c r="K505" s="323">
        <f t="shared" si="163"/>
        <v>5564.52</v>
      </c>
      <c r="L505" s="323">
        <f t="shared" si="163"/>
        <v>5447.02</v>
      </c>
      <c r="M505" s="323">
        <f t="shared" si="163"/>
        <v>5541.54</v>
      </c>
      <c r="N505" s="323">
        <f t="shared" si="163"/>
        <v>5474.3799999999992</v>
      </c>
      <c r="O505" s="323">
        <f t="shared" si="163"/>
        <v>5471.7199999999993</v>
      </c>
      <c r="P505" s="323">
        <f t="shared" si="163"/>
        <v>5467.92</v>
      </c>
      <c r="Q505" s="299"/>
      <c r="R505" s="299"/>
      <c r="S505" s="299"/>
      <c r="T505" s="298"/>
      <c r="U505" s="299"/>
      <c r="V505" s="324"/>
      <c r="W505" s="299"/>
      <c r="X505" s="339"/>
      <c r="Y505" s="519"/>
      <c r="Z505" s="267"/>
      <c r="AA505" s="267"/>
      <c r="AB505" s="267"/>
      <c r="AC505" s="267"/>
      <c r="AD505" s="268"/>
      <c r="AE505" s="269"/>
    </row>
    <row r="506" spans="1:31" ht="12.75" customHeight="1">
      <c r="A506" s="364">
        <v>43304</v>
      </c>
      <c r="B506" s="326" t="s">
        <v>202</v>
      </c>
      <c r="C506" s="307" t="s">
        <v>199</v>
      </c>
      <c r="D506" s="278">
        <v>5939.68</v>
      </c>
      <c r="E506" s="278">
        <v>6147.27</v>
      </c>
      <c r="F506" s="278">
        <v>6195.45</v>
      </c>
      <c r="G506" s="278">
        <v>6136.35</v>
      </c>
      <c r="H506" s="278">
        <v>5996.84</v>
      </c>
      <c r="I506" s="278">
        <v>5911.67</v>
      </c>
      <c r="J506" s="278">
        <v>6108.69</v>
      </c>
      <c r="K506" s="278">
        <v>6200.42</v>
      </c>
      <c r="L506" s="278">
        <v>5948.43</v>
      </c>
      <c r="M506" s="290"/>
      <c r="N506" s="290"/>
      <c r="O506" s="290"/>
      <c r="P506" s="290"/>
      <c r="Q506" s="326">
        <f>IF((L507=""),"",MAX(D508:L508))</f>
        <v>8101.38</v>
      </c>
      <c r="R506" s="326">
        <f>IF(L507="","",MIN(D508:L508))</f>
        <v>7155.420000000001</v>
      </c>
      <c r="S506" s="327">
        <f>IF((L508=""),"",AVERAGE(D508:L508))</f>
        <v>7460.5933333333342</v>
      </c>
      <c r="T506" s="319">
        <f>IF((L507=""),"",(Q506-R506)/(Q506+R506)*100)</f>
        <v>6.2002516910492309</v>
      </c>
      <c r="U506" s="326">
        <f>STDEV(D508:P508)</f>
        <v>272.62924169093691</v>
      </c>
      <c r="V506" s="328" t="str">
        <f>IF(L507="","",IF(T506&lt;9.8,IF(S506&gt;5100,IF(S506&lt;8300,"Pass","Fail"),"Fail"),"Fail"))</f>
        <v>Pass</v>
      </c>
      <c r="W506" s="298">
        <v>121</v>
      </c>
      <c r="X506" s="339"/>
      <c r="Y506" s="519"/>
      <c r="Z506" s="267">
        <v>4955</v>
      </c>
      <c r="AA506" s="267">
        <v>9645</v>
      </c>
      <c r="AB506" s="267">
        <v>5100</v>
      </c>
      <c r="AC506" s="267">
        <v>8300</v>
      </c>
      <c r="AD506" s="305">
        <v>10</v>
      </c>
      <c r="AE506" s="305">
        <v>9.8000000000000007</v>
      </c>
    </row>
    <row r="507" spans="1:31" ht="15">
      <c r="A507" s="306"/>
      <c r="B507" s="298"/>
      <c r="C507" s="307" t="s">
        <v>198</v>
      </c>
      <c r="D507" s="278">
        <v>3401.71</v>
      </c>
      <c r="E507" s="278">
        <v>3679.84</v>
      </c>
      <c r="F507" s="278">
        <v>3706.92</v>
      </c>
      <c r="G507" s="278">
        <v>3688.8</v>
      </c>
      <c r="H507" s="278">
        <v>3566.87</v>
      </c>
      <c r="I507" s="278">
        <v>3211.21</v>
      </c>
      <c r="J507" s="278">
        <v>3670.01</v>
      </c>
      <c r="K507" s="278">
        <v>3714.37</v>
      </c>
      <c r="L507" s="278">
        <v>3563.29</v>
      </c>
      <c r="M507" s="290"/>
      <c r="N507" s="290"/>
      <c r="O507" s="290"/>
      <c r="P507" s="290"/>
      <c r="Q507" s="298"/>
      <c r="R507" s="298"/>
      <c r="S507" s="298"/>
      <c r="T507" s="298"/>
      <c r="U507" s="298"/>
      <c r="V507" s="302"/>
      <c r="W507" s="298"/>
      <c r="X507" s="339"/>
      <c r="Y507" s="519"/>
      <c r="Z507" s="267"/>
      <c r="AA507" s="267"/>
      <c r="AB507" s="267"/>
      <c r="AC507" s="267"/>
      <c r="AD507" s="305"/>
      <c r="AE507" s="305"/>
    </row>
    <row r="508" spans="1:31" ht="57.75" thickBot="1">
      <c r="A508" s="306"/>
      <c r="B508" s="309"/>
      <c r="C508" s="310" t="s">
        <v>197</v>
      </c>
      <c r="D508" s="311">
        <f t="shared" ref="D508:L508" si="164">IF(((D506="")*AND(D507="")),"",(D506-D507)*3)</f>
        <v>7613.9100000000008</v>
      </c>
      <c r="E508" s="311">
        <f t="shared" si="164"/>
        <v>7402.2900000000009</v>
      </c>
      <c r="F508" s="311">
        <f t="shared" si="164"/>
        <v>7465.5899999999992</v>
      </c>
      <c r="G508" s="311">
        <f t="shared" si="164"/>
        <v>7342.6500000000005</v>
      </c>
      <c r="H508" s="311">
        <f t="shared" si="164"/>
        <v>7289.9100000000008</v>
      </c>
      <c r="I508" s="311">
        <f t="shared" si="164"/>
        <v>8101.38</v>
      </c>
      <c r="J508" s="311">
        <f t="shared" si="164"/>
        <v>7316.0399999999981</v>
      </c>
      <c r="K508" s="311">
        <f t="shared" si="164"/>
        <v>7458.1500000000005</v>
      </c>
      <c r="L508" s="311">
        <f t="shared" si="164"/>
        <v>7155.420000000001</v>
      </c>
      <c r="M508" s="311"/>
      <c r="N508" s="311"/>
      <c r="O508" s="311"/>
      <c r="P508" s="311" t="str">
        <f>IF(((P506="")*AND(P507="")),"",(P506-P507)*2)</f>
        <v/>
      </c>
      <c r="Q508" s="309"/>
      <c r="R508" s="309"/>
      <c r="S508" s="309"/>
      <c r="T508" s="309"/>
      <c r="U508" s="309"/>
      <c r="V508" s="312"/>
      <c r="W508" s="309"/>
      <c r="X508" s="339"/>
      <c r="Y508" s="520"/>
      <c r="Z508" s="267"/>
      <c r="AA508" s="267"/>
      <c r="AB508" s="267"/>
      <c r="AC508" s="267"/>
      <c r="AD508" s="305"/>
      <c r="AE508" s="305"/>
    </row>
    <row r="509" spans="1:31" ht="12.75" customHeight="1">
      <c r="A509" s="364">
        <v>43311</v>
      </c>
      <c r="B509" s="315" t="s">
        <v>200</v>
      </c>
      <c r="C509" s="316" t="s">
        <v>199</v>
      </c>
      <c r="D509" s="278">
        <v>4049.4</v>
      </c>
      <c r="E509" s="278">
        <v>4249.84</v>
      </c>
      <c r="F509" s="278">
        <v>3971.13</v>
      </c>
      <c r="G509" s="278">
        <v>3972.78</v>
      </c>
      <c r="H509" s="278">
        <v>4138.2700000000004</v>
      </c>
      <c r="I509" s="278">
        <v>4057.38</v>
      </c>
      <c r="J509" s="278">
        <v>4027.95</v>
      </c>
      <c r="K509" s="278">
        <v>3962.25</v>
      </c>
      <c r="L509" s="278">
        <v>4048.84</v>
      </c>
      <c r="M509" s="278">
        <v>4096.8900000000003</v>
      </c>
      <c r="N509" s="278">
        <v>4328.91</v>
      </c>
      <c r="O509" s="278">
        <v>4114.84</v>
      </c>
      <c r="P509" s="278">
        <v>4224.2700000000004</v>
      </c>
      <c r="Q509" s="326">
        <f>IF((L510=""),"",MAX(D511:P511))</f>
        <v>5558.28</v>
      </c>
      <c r="R509" s="315">
        <f>IF(L510="","",MIN(D511:L511))</f>
        <v>5420.58</v>
      </c>
      <c r="S509" s="318">
        <f>IF((P511=""),"",AVERAGE(D511:P511))</f>
        <v>5475.3676923076919</v>
      </c>
      <c r="T509" s="318">
        <f>IF((L510=""),"",(Q509-R509)/(Q509+R509)*100)</f>
        <v>1.2542285811095124</v>
      </c>
      <c r="U509" s="315">
        <f>STDEV(D511:P511)</f>
        <v>48.237454699589925</v>
      </c>
      <c r="V509" s="320" t="str">
        <f>IF(P510="","",IF(T509&lt;2.7,IF(S509&gt;5150,IF(S509&lt;5600,"Pass","Fail"),"Fail"),"Fail"))</f>
        <v>Pass</v>
      </c>
      <c r="W509" s="315">
        <v>1428</v>
      </c>
      <c r="X509" s="339"/>
      <c r="Y509" s="518"/>
      <c r="Z509" s="321">
        <v>4470</v>
      </c>
      <c r="AA509" s="321">
        <v>6020</v>
      </c>
      <c r="AB509" s="321">
        <v>5150</v>
      </c>
      <c r="AC509" s="321">
        <v>5600</v>
      </c>
      <c r="AD509" s="305">
        <v>10</v>
      </c>
      <c r="AE509" s="322">
        <v>2.7</v>
      </c>
    </row>
    <row r="510" spans="1:31" ht="15">
      <c r="A510" s="306"/>
      <c r="B510" s="298"/>
      <c r="C510" s="307" t="s">
        <v>198</v>
      </c>
      <c r="D510" s="278">
        <v>1339.11</v>
      </c>
      <c r="E510" s="278">
        <v>1532.33</v>
      </c>
      <c r="F510" s="278">
        <v>1259.33</v>
      </c>
      <c r="G510" s="278">
        <v>1210.17</v>
      </c>
      <c r="H510" s="278">
        <v>1417.69</v>
      </c>
      <c r="I510" s="278">
        <v>1297.73</v>
      </c>
      <c r="J510" s="278">
        <v>1248.81</v>
      </c>
      <c r="K510" s="278">
        <v>1195.8</v>
      </c>
      <c r="L510" s="278">
        <v>1329.58</v>
      </c>
      <c r="M510" s="278">
        <v>1336.16</v>
      </c>
      <c r="N510" s="278">
        <v>1603.31</v>
      </c>
      <c r="O510" s="278">
        <v>1384.28</v>
      </c>
      <c r="P510" s="278">
        <v>1498.56</v>
      </c>
      <c r="Q510" s="298"/>
      <c r="R510" s="298"/>
      <c r="S510" s="298"/>
      <c r="T510" s="298"/>
      <c r="U510" s="298"/>
      <c r="V510" s="302"/>
      <c r="W510" s="298"/>
      <c r="X510" s="339"/>
      <c r="Y510" s="519"/>
      <c r="Z510" s="267"/>
      <c r="AA510" s="267"/>
      <c r="AB510" s="267"/>
      <c r="AC510" s="267"/>
      <c r="AD510" s="268"/>
      <c r="AE510" s="269"/>
    </row>
    <row r="511" spans="1:31" ht="57">
      <c r="A511" s="306"/>
      <c r="B511" s="299"/>
      <c r="C511" s="307" t="s">
        <v>197</v>
      </c>
      <c r="D511" s="323">
        <f t="shared" ref="D511:P511" si="165">IF(((D509="")*AND(D510="")),"",(D509-D510)*2)</f>
        <v>5420.58</v>
      </c>
      <c r="E511" s="323">
        <f t="shared" si="165"/>
        <v>5435.02</v>
      </c>
      <c r="F511" s="323">
        <f t="shared" si="165"/>
        <v>5423.6</v>
      </c>
      <c r="G511" s="323">
        <f t="shared" si="165"/>
        <v>5525.22</v>
      </c>
      <c r="H511" s="323">
        <f t="shared" si="165"/>
        <v>5441.1600000000008</v>
      </c>
      <c r="I511" s="323">
        <f t="shared" si="165"/>
        <v>5519.3</v>
      </c>
      <c r="J511" s="323">
        <f t="shared" si="165"/>
        <v>5558.28</v>
      </c>
      <c r="K511" s="323">
        <f t="shared" si="165"/>
        <v>5532.9</v>
      </c>
      <c r="L511" s="323">
        <f t="shared" si="165"/>
        <v>5438.52</v>
      </c>
      <c r="M511" s="323">
        <f t="shared" si="165"/>
        <v>5521.4600000000009</v>
      </c>
      <c r="N511" s="323">
        <f t="shared" si="165"/>
        <v>5451.2</v>
      </c>
      <c r="O511" s="323">
        <f t="shared" si="165"/>
        <v>5461.1200000000008</v>
      </c>
      <c r="P511" s="323">
        <f t="shared" si="165"/>
        <v>5451.420000000001</v>
      </c>
      <c r="Q511" s="299"/>
      <c r="R511" s="299"/>
      <c r="S511" s="299"/>
      <c r="T511" s="298"/>
      <c r="U511" s="299"/>
      <c r="V511" s="324"/>
      <c r="W511" s="299"/>
      <c r="X511" s="339"/>
      <c r="Y511" s="519"/>
      <c r="Z511" s="267"/>
      <c r="AA511" s="267"/>
      <c r="AB511" s="267"/>
      <c r="AC511" s="267"/>
      <c r="AD511" s="268"/>
      <c r="AE511" s="269"/>
    </row>
    <row r="512" spans="1:31" ht="12.75" customHeight="1">
      <c r="A512" s="364">
        <v>43311</v>
      </c>
      <c r="B512" s="326" t="s">
        <v>202</v>
      </c>
      <c r="C512" s="307" t="s">
        <v>199</v>
      </c>
      <c r="D512" s="278">
        <v>3400.37</v>
      </c>
      <c r="E512" s="278">
        <v>3678.97</v>
      </c>
      <c r="F512" s="278">
        <v>3702.22</v>
      </c>
      <c r="G512" s="278">
        <v>3681.57</v>
      </c>
      <c r="H512" s="278">
        <v>3567.2</v>
      </c>
      <c r="I512" s="278">
        <v>3211.95</v>
      </c>
      <c r="J512" s="278">
        <v>3669.86</v>
      </c>
      <c r="K512" s="278">
        <v>3712.55</v>
      </c>
      <c r="L512" s="278">
        <v>3571.21</v>
      </c>
      <c r="M512" s="290"/>
      <c r="N512" s="290"/>
      <c r="O512" s="290"/>
      <c r="P512" s="290"/>
      <c r="Q512" s="326">
        <f>IF((L513=""),"",MAX(D514:L514))</f>
        <v>7009.829999999999</v>
      </c>
      <c r="R512" s="326">
        <f>IF(L513="","",MIN(D514:L514))</f>
        <v>6658.170000000001</v>
      </c>
      <c r="S512" s="327">
        <f>IF((L514=""),"",AVERAGE(D514:L514))</f>
        <v>6768.8266666666659</v>
      </c>
      <c r="T512" s="319">
        <f>IF((L513=""),"",(Q512-R512)/(Q512+R512)*100)</f>
        <v>2.5728709394205298</v>
      </c>
      <c r="U512" s="326">
        <f>STDEV(D514:P514)</f>
        <v>114.23149237402235</v>
      </c>
      <c r="V512" s="328" t="str">
        <f>IF(L513="","",IF(T512&lt;9.8,IF(S512&gt;5100,IF(S512&lt;8300,"Pass","Fail"),"Fail"),"Fail"))</f>
        <v>Pass</v>
      </c>
      <c r="W512" s="298">
        <v>1428</v>
      </c>
      <c r="X512" s="339"/>
      <c r="Y512" s="519"/>
      <c r="Z512" s="267">
        <v>4955</v>
      </c>
      <c r="AA512" s="267">
        <v>9645</v>
      </c>
      <c r="AB512" s="267">
        <v>5100</v>
      </c>
      <c r="AC512" s="267">
        <v>8300</v>
      </c>
      <c r="AD512" s="305">
        <v>10</v>
      </c>
      <c r="AE512" s="305">
        <v>9.8000000000000007</v>
      </c>
    </row>
    <row r="513" spans="1:31" ht="15">
      <c r="A513" s="306"/>
      <c r="B513" s="298"/>
      <c r="C513" s="307" t="s">
        <v>198</v>
      </c>
      <c r="D513" s="278">
        <v>1142.83</v>
      </c>
      <c r="E513" s="278">
        <v>1437.53</v>
      </c>
      <c r="F513" s="278">
        <v>1478.23</v>
      </c>
      <c r="G513" s="278">
        <v>1460.05</v>
      </c>
      <c r="H513" s="278">
        <v>1230.5899999999999</v>
      </c>
      <c r="I513" s="278">
        <v>922.03</v>
      </c>
      <c r="J513" s="278">
        <v>1421.17</v>
      </c>
      <c r="K513" s="278">
        <v>1493.16</v>
      </c>
      <c r="L513" s="278">
        <v>1303.83</v>
      </c>
      <c r="M513" s="290"/>
      <c r="N513" s="290"/>
      <c r="O513" s="290"/>
      <c r="P513" s="290"/>
      <c r="Q513" s="298"/>
      <c r="R513" s="298"/>
      <c r="S513" s="298"/>
      <c r="T513" s="298"/>
      <c r="U513" s="298"/>
      <c r="V513" s="302"/>
      <c r="W513" s="298"/>
      <c r="X513" s="339"/>
      <c r="Y513" s="519"/>
      <c r="Z513" s="267"/>
      <c r="AA513" s="267"/>
      <c r="AB513" s="267"/>
      <c r="AC513" s="267"/>
      <c r="AD513" s="268"/>
      <c r="AE513" s="269"/>
    </row>
    <row r="514" spans="1:31" ht="57.75" thickBot="1">
      <c r="A514" s="306"/>
      <c r="B514" s="309"/>
      <c r="C514" s="310" t="s">
        <v>197</v>
      </c>
      <c r="D514" s="311">
        <f t="shared" ref="D514:L514" si="166">IF(((D512="")*AND(D513="")),"",(D512-D513)*3)</f>
        <v>6772.62</v>
      </c>
      <c r="E514" s="311">
        <f t="shared" si="166"/>
        <v>6724.3199999999988</v>
      </c>
      <c r="F514" s="311">
        <f t="shared" si="166"/>
        <v>6671.9699999999993</v>
      </c>
      <c r="G514" s="311">
        <f t="shared" si="166"/>
        <v>6664.5600000000013</v>
      </c>
      <c r="H514" s="311">
        <f t="shared" si="166"/>
        <v>7009.829999999999</v>
      </c>
      <c r="I514" s="311">
        <f t="shared" si="166"/>
        <v>6869.76</v>
      </c>
      <c r="J514" s="311">
        <f t="shared" si="166"/>
        <v>6746.07</v>
      </c>
      <c r="K514" s="311">
        <f t="shared" si="166"/>
        <v>6658.170000000001</v>
      </c>
      <c r="L514" s="311">
        <f t="shared" si="166"/>
        <v>6802.14</v>
      </c>
      <c r="M514" s="311"/>
      <c r="N514" s="311"/>
      <c r="O514" s="311"/>
      <c r="P514" s="311" t="str">
        <f>IF(((P512="")*AND(P513="")),"",(P512-P513)*2)</f>
        <v/>
      </c>
      <c r="Q514" s="309"/>
      <c r="R514" s="309"/>
      <c r="S514" s="309"/>
      <c r="T514" s="309"/>
      <c r="U514" s="309"/>
      <c r="V514" s="312"/>
      <c r="W514" s="309"/>
      <c r="X514" s="339"/>
      <c r="Y514" s="520"/>
      <c r="Z514" s="267"/>
      <c r="AA514" s="267"/>
      <c r="AB514" s="267"/>
      <c r="AC514" s="267"/>
      <c r="AD514" s="268"/>
      <c r="AE514" s="269"/>
    </row>
    <row r="515" spans="1:31" ht="12.75" customHeight="1">
      <c r="A515" s="364">
        <v>43319</v>
      </c>
      <c r="B515" s="315" t="s">
        <v>200</v>
      </c>
      <c r="C515" s="316" t="s">
        <v>199</v>
      </c>
      <c r="D515" s="278">
        <v>6783.36</v>
      </c>
      <c r="E515" s="278">
        <v>6986.89</v>
      </c>
      <c r="F515" s="278">
        <v>6696.2</v>
      </c>
      <c r="G515" s="278">
        <v>6732.79</v>
      </c>
      <c r="H515" s="278">
        <v>6892.05</v>
      </c>
      <c r="I515" s="278">
        <v>6812.59</v>
      </c>
      <c r="J515" s="278">
        <v>6778.67</v>
      </c>
      <c r="K515" s="278">
        <v>6739.09</v>
      </c>
      <c r="L515" s="278">
        <v>6766.72</v>
      </c>
      <c r="M515" s="278">
        <v>6853.29</v>
      </c>
      <c r="N515" s="278">
        <v>7026</v>
      </c>
      <c r="O515" s="278">
        <v>6846.05</v>
      </c>
      <c r="P515" s="278">
        <v>6936.34</v>
      </c>
      <c r="Q515" s="326">
        <f>IF((L516=""),"",MAX(D517:P517))</f>
        <v>5527.88</v>
      </c>
      <c r="R515" s="315">
        <f>IF(L516="","",MIN(D517:L517))</f>
        <v>5391.7199999999993</v>
      </c>
      <c r="S515" s="318">
        <f>IF((P517=""),"",AVERAGE(D517:P517))</f>
        <v>5455.376923076923</v>
      </c>
      <c r="T515" s="318">
        <f>IF((L516=""),"",(Q515-R515)/(Q515+R515)*100)</f>
        <v>1.2469321220557601</v>
      </c>
      <c r="U515" s="315">
        <f>STDEV(D517:P517)</f>
        <v>46.559071329682673</v>
      </c>
      <c r="V515" s="320" t="str">
        <f>IF(P516="","",IF(T515&lt;2.7,IF(S515&gt;5150,IF(S515&lt;5600,"Pass","Fail"),"Fail"),"Fail"))</f>
        <v>Pass</v>
      </c>
      <c r="W515" s="315">
        <v>1340</v>
      </c>
      <c r="X515" s="339"/>
      <c r="Y515" s="525"/>
      <c r="Z515" s="321">
        <v>4470</v>
      </c>
      <c r="AA515" s="321">
        <v>6020</v>
      </c>
      <c r="AB515" s="321">
        <v>5150</v>
      </c>
      <c r="AC515" s="321">
        <v>5600</v>
      </c>
      <c r="AD515" s="305">
        <v>10</v>
      </c>
      <c r="AE515" s="322">
        <v>2.7</v>
      </c>
    </row>
    <row r="516" spans="1:31" ht="15">
      <c r="A516" s="306"/>
      <c r="B516" s="298"/>
      <c r="C516" s="307" t="s">
        <v>198</v>
      </c>
      <c r="D516" s="278">
        <v>4087.5</v>
      </c>
      <c r="E516" s="278">
        <v>4279.37</v>
      </c>
      <c r="F516" s="278">
        <v>3995.92</v>
      </c>
      <c r="G516" s="278">
        <v>3981.89</v>
      </c>
      <c r="H516" s="278">
        <v>4171.01</v>
      </c>
      <c r="I516" s="278">
        <v>4068.91</v>
      </c>
      <c r="J516" s="278">
        <v>4014.73</v>
      </c>
      <c r="K516" s="278">
        <v>3983.62</v>
      </c>
      <c r="L516" s="278">
        <v>4060.85</v>
      </c>
      <c r="M516" s="278">
        <v>4098.09</v>
      </c>
      <c r="N516" s="278">
        <v>4305.78</v>
      </c>
      <c r="O516" s="278">
        <v>4125.83</v>
      </c>
      <c r="P516" s="278">
        <v>4216.59</v>
      </c>
      <c r="Q516" s="298"/>
      <c r="R516" s="298"/>
      <c r="S516" s="298"/>
      <c r="T516" s="298"/>
      <c r="U516" s="298"/>
      <c r="V516" s="302"/>
      <c r="W516" s="298"/>
      <c r="X516" s="365"/>
      <c r="Y516" s="526"/>
      <c r="Z516" s="267"/>
      <c r="AA516" s="267"/>
      <c r="AB516" s="267"/>
      <c r="AC516" s="267"/>
      <c r="AD516" s="268"/>
      <c r="AE516" s="269"/>
    </row>
    <row r="517" spans="1:31" ht="57">
      <c r="A517" s="306"/>
      <c r="B517" s="299"/>
      <c r="C517" s="307" t="s">
        <v>197</v>
      </c>
      <c r="D517" s="323">
        <f t="shared" ref="D517:P517" si="167">IF(((D515="")*AND(D516="")),"",(D515-D516)*2)</f>
        <v>5391.7199999999993</v>
      </c>
      <c r="E517" s="323">
        <f t="shared" si="167"/>
        <v>5415.0400000000009</v>
      </c>
      <c r="F517" s="323">
        <f t="shared" si="167"/>
        <v>5400.5599999999995</v>
      </c>
      <c r="G517" s="323">
        <f t="shared" si="167"/>
        <v>5501.8</v>
      </c>
      <c r="H517" s="323">
        <f t="shared" si="167"/>
        <v>5442.08</v>
      </c>
      <c r="I517" s="323">
        <f t="shared" si="167"/>
        <v>5487.3600000000006</v>
      </c>
      <c r="J517" s="323">
        <f t="shared" si="167"/>
        <v>5527.88</v>
      </c>
      <c r="K517" s="323">
        <f t="shared" si="167"/>
        <v>5510.9400000000005</v>
      </c>
      <c r="L517" s="323">
        <f t="shared" si="167"/>
        <v>5411.7400000000007</v>
      </c>
      <c r="M517" s="323">
        <f t="shared" si="167"/>
        <v>5510.4</v>
      </c>
      <c r="N517" s="323">
        <f t="shared" si="167"/>
        <v>5440.4400000000005</v>
      </c>
      <c r="O517" s="323">
        <f t="shared" si="167"/>
        <v>5440.4400000000005</v>
      </c>
      <c r="P517" s="323">
        <f t="shared" si="167"/>
        <v>5439.5</v>
      </c>
      <c r="Q517" s="299"/>
      <c r="R517" s="299"/>
      <c r="S517" s="299"/>
      <c r="T517" s="298"/>
      <c r="U517" s="299"/>
      <c r="V517" s="324"/>
      <c r="W517" s="299"/>
      <c r="X517" s="365"/>
      <c r="Y517" s="526"/>
      <c r="Z517" s="267"/>
      <c r="AA517" s="267"/>
      <c r="AB517" s="267"/>
      <c r="AC517" s="267"/>
      <c r="AD517" s="268"/>
      <c r="AE517" s="269"/>
    </row>
    <row r="518" spans="1:31" ht="12.75" customHeight="1">
      <c r="A518" s="364">
        <v>43319</v>
      </c>
      <c r="B518" s="326" t="s">
        <v>202</v>
      </c>
      <c r="C518" s="307" t="s">
        <v>199</v>
      </c>
      <c r="D518" s="278">
        <v>5968.16</v>
      </c>
      <c r="E518" s="278">
        <v>5951.85</v>
      </c>
      <c r="F518" s="278">
        <v>6240.47</v>
      </c>
      <c r="G518" s="278">
        <v>6167.8</v>
      </c>
      <c r="H518" s="278">
        <v>6418.78</v>
      </c>
      <c r="I518" s="278">
        <v>6335</v>
      </c>
      <c r="J518" s="278">
        <v>6186.25</v>
      </c>
      <c r="K518" s="278">
        <v>6155.23</v>
      </c>
      <c r="L518" s="278">
        <v>6373.59</v>
      </c>
      <c r="M518" s="290"/>
      <c r="N518" s="290"/>
      <c r="O518" s="290"/>
      <c r="P518" s="290"/>
      <c r="Q518" s="326">
        <f>IF((L519=""),"",MAX(D520:L520))</f>
        <v>8457.2999999999993</v>
      </c>
      <c r="R518" s="326">
        <f>IF(L519="","",MIN(D520:L520))</f>
        <v>7031.52</v>
      </c>
      <c r="S518" s="327">
        <f>IF((L520=""),"",AVERAGE(D520:L520))</f>
        <v>7776.8199999999988</v>
      </c>
      <c r="T518" s="319">
        <f>IF((L519=""),"",(Q518-R518)/(Q518+R518)*100)</f>
        <v>9.205220281467529</v>
      </c>
      <c r="U518" s="326">
        <f>STDEV(D520:P520)</f>
        <v>482.47649463474141</v>
      </c>
      <c r="V518" s="328" t="str">
        <f>IF(L519="","",IF(T518&lt;9.8,IF(S518&gt;5100,IF(S518&lt;8300,"Pass","Fail"),"Fail"),"Fail"))</f>
        <v>Pass</v>
      </c>
      <c r="W518" s="298">
        <v>1340</v>
      </c>
      <c r="X518" s="365"/>
      <c r="Y518" s="526"/>
      <c r="Z518" s="267">
        <v>4955</v>
      </c>
      <c r="AA518" s="267">
        <v>9645</v>
      </c>
      <c r="AB518" s="267">
        <v>5100</v>
      </c>
      <c r="AC518" s="267">
        <v>8300</v>
      </c>
      <c r="AD518" s="305">
        <v>10</v>
      </c>
      <c r="AE518" s="305">
        <v>9.8000000000000007</v>
      </c>
    </row>
    <row r="519" spans="1:31" ht="15">
      <c r="A519" s="306"/>
      <c r="B519" s="298"/>
      <c r="C519" s="307" t="s">
        <v>198</v>
      </c>
      <c r="D519" s="278">
        <v>3547.85</v>
      </c>
      <c r="E519" s="278">
        <v>3608.01</v>
      </c>
      <c r="F519" s="278">
        <v>3644.91</v>
      </c>
      <c r="G519" s="278">
        <v>3610.84</v>
      </c>
      <c r="H519" s="278">
        <v>3599.68</v>
      </c>
      <c r="I519" s="278">
        <v>3592.21</v>
      </c>
      <c r="J519" s="278">
        <v>3610.73</v>
      </c>
      <c r="K519" s="278">
        <v>3650.77</v>
      </c>
      <c r="L519" s="278">
        <v>3601.67</v>
      </c>
      <c r="M519" s="290"/>
      <c r="N519" s="290"/>
      <c r="O519" s="290"/>
      <c r="P519" s="290"/>
      <c r="Q519" s="298"/>
      <c r="R519" s="298"/>
      <c r="S519" s="298"/>
      <c r="T519" s="298"/>
      <c r="U519" s="298"/>
      <c r="V519" s="302"/>
      <c r="W519" s="298"/>
      <c r="X519" s="365"/>
      <c r="Y519" s="526"/>
      <c r="Z519" s="267"/>
      <c r="AA519" s="267"/>
      <c r="AB519" s="267"/>
      <c r="AC519" s="267"/>
      <c r="AD519" s="268"/>
      <c r="AE519" s="269"/>
    </row>
    <row r="520" spans="1:31" ht="57.75" thickBot="1">
      <c r="A520" s="306"/>
      <c r="B520" s="309"/>
      <c r="C520" s="310" t="s">
        <v>197</v>
      </c>
      <c r="D520" s="311">
        <f t="shared" ref="D520:L520" si="168">IF(((D518="")*AND(D519="")),"",(D518-D519)*3)</f>
        <v>7260.93</v>
      </c>
      <c r="E520" s="311">
        <f t="shared" si="168"/>
        <v>7031.52</v>
      </c>
      <c r="F520" s="311">
        <f t="shared" si="168"/>
        <v>7786.6800000000012</v>
      </c>
      <c r="G520" s="311">
        <f t="shared" si="168"/>
        <v>7670.88</v>
      </c>
      <c r="H520" s="311">
        <f t="shared" si="168"/>
        <v>8457.2999999999993</v>
      </c>
      <c r="I520" s="311">
        <f t="shared" si="168"/>
        <v>8228.369999999999</v>
      </c>
      <c r="J520" s="311">
        <f t="shared" si="168"/>
        <v>7726.5599999999995</v>
      </c>
      <c r="K520" s="311">
        <f t="shared" si="168"/>
        <v>7513.3799999999992</v>
      </c>
      <c r="L520" s="311">
        <f t="shared" si="168"/>
        <v>8315.76</v>
      </c>
      <c r="M520" s="311"/>
      <c r="N520" s="311"/>
      <c r="O520" s="311"/>
      <c r="P520" s="311" t="str">
        <f>IF(((P518="")*AND(P519="")),"",(P518-P519)*2)</f>
        <v/>
      </c>
      <c r="Q520" s="309"/>
      <c r="R520" s="309"/>
      <c r="S520" s="309"/>
      <c r="T520" s="309"/>
      <c r="U520" s="309"/>
      <c r="V520" s="312"/>
      <c r="W520" s="309"/>
      <c r="X520" s="365"/>
      <c r="Y520" s="527"/>
      <c r="Z520" s="267"/>
      <c r="AA520" s="267"/>
      <c r="AB520" s="267"/>
      <c r="AC520" s="267"/>
      <c r="AD520" s="268"/>
      <c r="AE520" s="269"/>
    </row>
    <row r="521" spans="1:31" ht="12.75" customHeight="1">
      <c r="A521" s="364">
        <v>43319</v>
      </c>
      <c r="B521" s="315" t="s">
        <v>200</v>
      </c>
      <c r="C521" s="316" t="s">
        <v>199</v>
      </c>
      <c r="D521" s="278">
        <v>4087</v>
      </c>
      <c r="E521" s="278">
        <v>4279</v>
      </c>
      <c r="F521" s="278">
        <v>3993</v>
      </c>
      <c r="G521" s="278">
        <v>3981</v>
      </c>
      <c r="H521" s="356">
        <v>4171</v>
      </c>
      <c r="I521" s="356">
        <v>4068</v>
      </c>
      <c r="J521" s="356">
        <v>4014</v>
      </c>
      <c r="K521" s="356">
        <v>3983</v>
      </c>
      <c r="L521" s="356">
        <v>4060</v>
      </c>
      <c r="M521" s="356">
        <v>4098</v>
      </c>
      <c r="N521" s="356">
        <v>4305</v>
      </c>
      <c r="O521" s="356">
        <v>4125</v>
      </c>
      <c r="P521" s="356">
        <v>4215</v>
      </c>
      <c r="Q521" s="326">
        <f>IF((L522=""),"",MAX(D523:P523))</f>
        <v>5572</v>
      </c>
      <c r="R521" s="315">
        <f>IF(L522="","",MIN(D523:L523))</f>
        <v>5438</v>
      </c>
      <c r="S521" s="318">
        <f>IF((P523=""),"",AVERAGE(D523:P523))</f>
        <v>5503.0769230769229</v>
      </c>
      <c r="T521" s="318">
        <f>IF((L522=""),"",(Q521-R521)/(Q521+R521)*100)</f>
        <v>1.2170753860127157</v>
      </c>
      <c r="U521" s="315">
        <f>STDEV(D523:P523)</f>
        <v>47.107079330789603</v>
      </c>
      <c r="V521" s="320" t="str">
        <f>IF(P522="","",IF(T521&lt;2.7,IF(S521&gt;5150,IF(S521&lt;5600,"Pass","Fail"),"Fail"),"Fail"))</f>
        <v>Pass</v>
      </c>
      <c r="W521" s="315">
        <v>1340</v>
      </c>
      <c r="X521" s="339"/>
      <c r="Y521" s="525"/>
      <c r="Z521" s="321">
        <v>4470</v>
      </c>
      <c r="AA521" s="321">
        <v>6020</v>
      </c>
      <c r="AB521" s="321">
        <v>5150</v>
      </c>
      <c r="AC521" s="321">
        <v>5600</v>
      </c>
      <c r="AD521" s="305">
        <v>10</v>
      </c>
      <c r="AE521" s="322">
        <v>2.7</v>
      </c>
    </row>
    <row r="522" spans="1:31" ht="15">
      <c r="A522" s="306"/>
      <c r="B522" s="298"/>
      <c r="C522" s="307" t="s">
        <v>198</v>
      </c>
      <c r="D522" s="278">
        <v>1368</v>
      </c>
      <c r="E522" s="278">
        <v>1552</v>
      </c>
      <c r="F522" s="278">
        <v>1270</v>
      </c>
      <c r="G522" s="278">
        <v>1213</v>
      </c>
      <c r="H522" s="278">
        <v>1431</v>
      </c>
      <c r="I522" s="356">
        <v>1293</v>
      </c>
      <c r="J522" s="356">
        <v>1228</v>
      </c>
      <c r="K522" s="356">
        <v>1209</v>
      </c>
      <c r="L522" s="356">
        <v>1327</v>
      </c>
      <c r="M522" s="356">
        <v>1313</v>
      </c>
      <c r="N522" s="356">
        <v>1559</v>
      </c>
      <c r="O522" s="356">
        <v>1378</v>
      </c>
      <c r="P522" s="356">
        <v>1468</v>
      </c>
      <c r="Q522" s="298"/>
      <c r="R522" s="298"/>
      <c r="S522" s="298"/>
      <c r="T522" s="298"/>
      <c r="U522" s="298"/>
      <c r="V522" s="302"/>
      <c r="W522" s="298"/>
      <c r="X522" s="339"/>
      <c r="Y522" s="519"/>
      <c r="Z522" s="267"/>
      <c r="AA522" s="267"/>
      <c r="AB522" s="267"/>
      <c r="AC522" s="267"/>
      <c r="AD522" s="268"/>
      <c r="AE522" s="269"/>
    </row>
    <row r="523" spans="1:31" ht="57">
      <c r="A523" s="306"/>
      <c r="B523" s="299"/>
      <c r="C523" s="307" t="s">
        <v>197</v>
      </c>
      <c r="D523" s="323">
        <f t="shared" ref="D523:P523" si="169">IF(((D521="")*AND(D522="")),"",(D521-D522)*2)</f>
        <v>5438</v>
      </c>
      <c r="E523" s="323">
        <f t="shared" si="169"/>
        <v>5454</v>
      </c>
      <c r="F523" s="323">
        <f t="shared" si="169"/>
        <v>5446</v>
      </c>
      <c r="G523" s="323">
        <f t="shared" si="169"/>
        <v>5536</v>
      </c>
      <c r="H523" s="323">
        <f t="shared" si="169"/>
        <v>5480</v>
      </c>
      <c r="I523" s="323">
        <f t="shared" si="169"/>
        <v>5550</v>
      </c>
      <c r="J523" s="323">
        <f t="shared" si="169"/>
        <v>5572</v>
      </c>
      <c r="K523" s="323">
        <f t="shared" si="169"/>
        <v>5548</v>
      </c>
      <c r="L523" s="323">
        <f t="shared" si="169"/>
        <v>5466</v>
      </c>
      <c r="M523" s="323">
        <f t="shared" si="169"/>
        <v>5570</v>
      </c>
      <c r="N523" s="323">
        <f t="shared" si="169"/>
        <v>5492</v>
      </c>
      <c r="O523" s="323">
        <f t="shared" si="169"/>
        <v>5494</v>
      </c>
      <c r="P523" s="323">
        <f t="shared" si="169"/>
        <v>5494</v>
      </c>
      <c r="Q523" s="299"/>
      <c r="R523" s="299"/>
      <c r="S523" s="299"/>
      <c r="T523" s="298"/>
      <c r="U523" s="299"/>
      <c r="V523" s="324"/>
      <c r="W523" s="299"/>
      <c r="X523" s="339"/>
      <c r="Y523" s="519"/>
      <c r="Z523" s="267"/>
      <c r="AA523" s="267"/>
      <c r="AB523" s="267"/>
      <c r="AC523" s="267"/>
      <c r="AD523" s="268"/>
      <c r="AE523" s="269"/>
    </row>
    <row r="524" spans="1:31" ht="12.75" customHeight="1">
      <c r="A524" s="364">
        <v>43319</v>
      </c>
      <c r="B524" s="326" t="s">
        <v>202</v>
      </c>
      <c r="C524" s="307" t="s">
        <v>199</v>
      </c>
      <c r="D524" s="278">
        <v>3547</v>
      </c>
      <c r="E524" s="278">
        <v>3638</v>
      </c>
      <c r="F524" s="278">
        <v>3644</v>
      </c>
      <c r="G524" s="278">
        <v>3610</v>
      </c>
      <c r="H524" s="278">
        <v>3369</v>
      </c>
      <c r="I524" s="356">
        <v>3172</v>
      </c>
      <c r="J524" s="356">
        <v>3610</v>
      </c>
      <c r="K524" s="290">
        <v>3650</v>
      </c>
      <c r="L524" s="290">
        <v>3501</v>
      </c>
      <c r="M524" s="290"/>
      <c r="N524" s="290"/>
      <c r="O524" s="290"/>
      <c r="P524" s="290"/>
      <c r="Q524" s="326">
        <f>IF((L525=""),"",MAX(D526:L526))</f>
        <v>6870</v>
      </c>
      <c r="R524" s="326">
        <f>IF(L525="","",MIN(D526:L526))</f>
        <v>6642</v>
      </c>
      <c r="S524" s="327">
        <f>IF((L526=""),"",AVERAGE(D526:L526))</f>
        <v>6778.333333333333</v>
      </c>
      <c r="T524" s="319">
        <f>IF((L525=""),"",(Q524-R524)/(Q524+R524)*100)</f>
        <v>1.6873889875666075</v>
      </c>
      <c r="U524" s="326">
        <f>STDEV(D526:P526)</f>
        <v>78.547756174189985</v>
      </c>
      <c r="V524" s="328" t="str">
        <f>IF(L525="","",IF(T524&lt;9.8,IF(S524&gt;5100,IF(S524&lt;8300,"Pass","Fail"),"Fail"),"Fail"))</f>
        <v>Pass</v>
      </c>
      <c r="W524" s="298">
        <v>1340</v>
      </c>
      <c r="X524" s="365"/>
      <c r="Y524" s="366"/>
      <c r="Z524" s="267">
        <v>4955</v>
      </c>
      <c r="AA524" s="267">
        <v>9645</v>
      </c>
      <c r="AB524" s="267">
        <v>5100</v>
      </c>
      <c r="AC524" s="267">
        <v>8300</v>
      </c>
      <c r="AD524" s="305">
        <v>10</v>
      </c>
      <c r="AE524" s="305">
        <v>9.8000000000000007</v>
      </c>
    </row>
    <row r="525" spans="1:31" ht="15">
      <c r="A525" s="306"/>
      <c r="B525" s="298"/>
      <c r="C525" s="307" t="s">
        <v>198</v>
      </c>
      <c r="D525" s="278">
        <v>1257</v>
      </c>
      <c r="E525" s="278">
        <v>1398</v>
      </c>
      <c r="F525" s="278">
        <v>1391</v>
      </c>
      <c r="G525" s="278">
        <v>1326</v>
      </c>
      <c r="H525" s="278">
        <v>1084</v>
      </c>
      <c r="I525" s="356">
        <v>912</v>
      </c>
      <c r="J525" s="356">
        <v>1336</v>
      </c>
      <c r="K525" s="356">
        <v>1436</v>
      </c>
      <c r="L525" s="356">
        <v>1266</v>
      </c>
      <c r="M525" s="290"/>
      <c r="N525" s="290"/>
      <c r="O525" s="290"/>
      <c r="P525" s="290"/>
      <c r="Q525" s="298"/>
      <c r="R525" s="298"/>
      <c r="S525" s="298"/>
      <c r="T525" s="298"/>
      <c r="U525" s="298"/>
      <c r="V525" s="302"/>
      <c r="W525" s="298"/>
      <c r="X525" s="365"/>
      <c r="Y525" s="366"/>
      <c r="Z525" s="267"/>
      <c r="AA525" s="267"/>
      <c r="AB525" s="267"/>
      <c r="AC525" s="267"/>
      <c r="AD525" s="268"/>
      <c r="AE525" s="269"/>
    </row>
    <row r="526" spans="1:31" ht="57.75" thickBot="1">
      <c r="A526" s="306"/>
      <c r="B526" s="298"/>
      <c r="C526" s="326" t="s">
        <v>197</v>
      </c>
      <c r="D526" s="343">
        <f t="shared" ref="D526:L526" si="170">IF(((D524="")*AND(D525="")),"",(D524-D525)*3)</f>
        <v>6870</v>
      </c>
      <c r="E526" s="343">
        <f t="shared" si="170"/>
        <v>6720</v>
      </c>
      <c r="F526" s="343">
        <f t="shared" si="170"/>
        <v>6759</v>
      </c>
      <c r="G526" s="343">
        <f t="shared" si="170"/>
        <v>6852</v>
      </c>
      <c r="H526" s="343">
        <f t="shared" si="170"/>
        <v>6855</v>
      </c>
      <c r="I526" s="343">
        <f t="shared" si="170"/>
        <v>6780</v>
      </c>
      <c r="J526" s="343">
        <f t="shared" si="170"/>
        <v>6822</v>
      </c>
      <c r="K526" s="343">
        <f t="shared" si="170"/>
        <v>6642</v>
      </c>
      <c r="L526" s="343">
        <f t="shared" si="170"/>
        <v>6705</v>
      </c>
      <c r="M526" s="343"/>
      <c r="N526" s="343"/>
      <c r="O526" s="343"/>
      <c r="P526" s="343" t="str">
        <f>IF(((P524="")*AND(P525="")),"",(P524-P525)*2)</f>
        <v/>
      </c>
      <c r="Q526" s="298"/>
      <c r="R526" s="298"/>
      <c r="S526" s="298"/>
      <c r="T526" s="298"/>
      <c r="U526" s="298"/>
      <c r="V526" s="302"/>
      <c r="W526" s="298"/>
      <c r="X526" s="365"/>
      <c r="Y526" s="366"/>
      <c r="Z526" s="267"/>
      <c r="AA526" s="267"/>
      <c r="AB526" s="267"/>
      <c r="AC526" s="267"/>
      <c r="AD526" s="268"/>
      <c r="AE526" s="269"/>
    </row>
    <row r="527" spans="1:31" ht="12.75" customHeight="1">
      <c r="A527" s="351">
        <v>43319</v>
      </c>
      <c r="B527" s="326" t="s">
        <v>200</v>
      </c>
      <c r="C527" s="326" t="s">
        <v>199</v>
      </c>
      <c r="D527" s="367">
        <v>6904</v>
      </c>
      <c r="E527" s="367">
        <v>7106</v>
      </c>
      <c r="F527" s="367">
        <v>6813</v>
      </c>
      <c r="G527" s="367">
        <v>6848</v>
      </c>
      <c r="H527" s="368">
        <v>7011</v>
      </c>
      <c r="I527" s="368">
        <v>6928</v>
      </c>
      <c r="J527" s="368">
        <v>6893</v>
      </c>
      <c r="K527" s="368">
        <v>6852</v>
      </c>
      <c r="L527" s="368">
        <v>6883</v>
      </c>
      <c r="M527" s="368">
        <v>6969</v>
      </c>
      <c r="N527" s="368">
        <v>7142</v>
      </c>
      <c r="O527" s="368">
        <v>6964</v>
      </c>
      <c r="P527" s="368">
        <v>7057</v>
      </c>
      <c r="Q527" s="326">
        <f>IF((L528=""),"",MAX(D529:P529))</f>
        <v>5500</v>
      </c>
      <c r="R527" s="326">
        <f>IF(L528="","",MIN(D529:L529))</f>
        <v>5384</v>
      </c>
      <c r="S527" s="318">
        <f>IF((P529=""),"",AVERAGE(D529:P529))</f>
        <v>5440.3076923076924</v>
      </c>
      <c r="T527" s="319">
        <f>IF((L528=""),"",(Q527-R527)/(Q527+R527)*100)</f>
        <v>1.065784638000735</v>
      </c>
      <c r="U527" s="326">
        <f>STDEV(D529:P529)</f>
        <v>41.189368805132823</v>
      </c>
      <c r="V527" s="328" t="str">
        <f>IF(P528="","",IF(T527&lt;2.7,IF(S527&gt;5150,IF(S527&lt;5600,"Pass","Fail"),"Fail"),"Fail"))</f>
        <v>Pass</v>
      </c>
      <c r="W527" s="326">
        <v>121</v>
      </c>
      <c r="X527" s="339"/>
      <c r="Y527" s="515"/>
      <c r="Z527" s="321">
        <v>4470</v>
      </c>
      <c r="AA527" s="321">
        <v>6020</v>
      </c>
      <c r="AB527" s="321">
        <v>5150</v>
      </c>
      <c r="AC527" s="321">
        <v>5600</v>
      </c>
      <c r="AD527" s="305">
        <v>10</v>
      </c>
      <c r="AE527" s="322">
        <v>2.7</v>
      </c>
    </row>
    <row r="528" spans="1:31" ht="15">
      <c r="A528" s="306"/>
      <c r="B528" s="298"/>
      <c r="C528" s="298" t="s">
        <v>198</v>
      </c>
      <c r="D528" s="369">
        <v>4212</v>
      </c>
      <c r="E528" s="369">
        <v>4404</v>
      </c>
      <c r="F528" s="369">
        <v>4118</v>
      </c>
      <c r="G528" s="369">
        <v>4112</v>
      </c>
      <c r="H528" s="369">
        <v>4296</v>
      </c>
      <c r="I528" s="370">
        <v>4191</v>
      </c>
      <c r="J528" s="370">
        <v>4149</v>
      </c>
      <c r="K528" s="370">
        <v>4104</v>
      </c>
      <c r="L528" s="370">
        <v>4184</v>
      </c>
      <c r="M528" s="370">
        <v>4219</v>
      </c>
      <c r="N528" s="370">
        <v>4427</v>
      </c>
      <c r="O528" s="370">
        <v>4249</v>
      </c>
      <c r="P528" s="370">
        <v>4343</v>
      </c>
      <c r="Q528" s="298"/>
      <c r="R528" s="298"/>
      <c r="S528" s="298"/>
      <c r="T528" s="298"/>
      <c r="U528" s="298"/>
      <c r="V528" s="302"/>
      <c r="W528" s="298"/>
      <c r="X528" s="339"/>
      <c r="Y528" s="516"/>
      <c r="Z528" s="267"/>
      <c r="AA528" s="267"/>
      <c r="AB528" s="267"/>
      <c r="AC528" s="267"/>
      <c r="AD528" s="268"/>
      <c r="AE528" s="269"/>
    </row>
    <row r="529" spans="1:31" ht="57">
      <c r="A529" s="306"/>
      <c r="B529" s="299"/>
      <c r="C529" s="299" t="s">
        <v>197</v>
      </c>
      <c r="D529" s="371">
        <f t="shared" ref="D529:P529" si="171">IF(((D527="")*AND(D528="")),"",(D527-D528)*2)</f>
        <v>5384</v>
      </c>
      <c r="E529" s="371">
        <f t="shared" si="171"/>
        <v>5404</v>
      </c>
      <c r="F529" s="371">
        <f t="shared" si="171"/>
        <v>5390</v>
      </c>
      <c r="G529" s="371">
        <f t="shared" si="171"/>
        <v>5472</v>
      </c>
      <c r="H529" s="371">
        <f t="shared" si="171"/>
        <v>5430</v>
      </c>
      <c r="I529" s="371">
        <f t="shared" si="171"/>
        <v>5474</v>
      </c>
      <c r="J529" s="371">
        <f t="shared" si="171"/>
        <v>5488</v>
      </c>
      <c r="K529" s="371">
        <f t="shared" si="171"/>
        <v>5496</v>
      </c>
      <c r="L529" s="371">
        <f t="shared" si="171"/>
        <v>5398</v>
      </c>
      <c r="M529" s="371">
        <f t="shared" si="171"/>
        <v>5500</v>
      </c>
      <c r="N529" s="371">
        <f t="shared" si="171"/>
        <v>5430</v>
      </c>
      <c r="O529" s="371">
        <f t="shared" si="171"/>
        <v>5430</v>
      </c>
      <c r="P529" s="371">
        <f t="shared" si="171"/>
        <v>5428</v>
      </c>
      <c r="Q529" s="299"/>
      <c r="R529" s="299"/>
      <c r="S529" s="299"/>
      <c r="T529" s="299"/>
      <c r="U529" s="299"/>
      <c r="V529" s="324"/>
      <c r="W529" s="299"/>
      <c r="X529" s="339"/>
      <c r="Y529" s="517"/>
      <c r="Z529" s="267"/>
      <c r="AA529" s="267"/>
      <c r="AB529" s="267"/>
      <c r="AC529" s="267"/>
      <c r="AD529" s="268"/>
      <c r="AE529" s="269"/>
    </row>
    <row r="530" spans="1:31" ht="12.75" customHeight="1">
      <c r="A530" s="364">
        <v>43342</v>
      </c>
      <c r="B530" s="326" t="s">
        <v>202</v>
      </c>
      <c r="C530" s="307" t="s">
        <v>199</v>
      </c>
      <c r="D530" s="278">
        <v>6041.27</v>
      </c>
      <c r="E530" s="278">
        <v>6027.69</v>
      </c>
      <c r="F530" s="278">
        <v>6263.28</v>
      </c>
      <c r="G530" s="278">
        <v>6122.38</v>
      </c>
      <c r="H530" s="278">
        <v>6416.59</v>
      </c>
      <c r="I530" s="278">
        <v>6302.09</v>
      </c>
      <c r="J530" s="278">
        <v>6278.52</v>
      </c>
      <c r="K530" s="278">
        <v>6170.85</v>
      </c>
      <c r="L530" s="278">
        <v>6375.58</v>
      </c>
      <c r="M530" s="290"/>
      <c r="N530" s="290"/>
      <c r="O530" s="290"/>
      <c r="P530" s="290"/>
      <c r="Q530" s="326">
        <f>IF((L531=""),"",MAX(D532:L532))</f>
        <v>7462.4700000000012</v>
      </c>
      <c r="R530" s="326">
        <f>IF(L531="","",MIN(D532:L532))</f>
        <v>6779.5800000000017</v>
      </c>
      <c r="S530" s="327">
        <f>IF((L532=""),"",AVERAGE(D532:L532))</f>
        <v>7071.0466666666671</v>
      </c>
      <c r="T530" s="319">
        <f>IF((L531=""),"",(Q530-R530)/(Q530+R530)*100)</f>
        <v>4.7948855677377855</v>
      </c>
      <c r="U530" s="326">
        <f>STDEV(D532:P532)</f>
        <v>216.26145328048398</v>
      </c>
      <c r="V530" s="328" t="str">
        <f>IF(L531="","",IF(T530&lt;9.8,IF(S530&gt;5100,IF(S530&lt;8300,"Pass","Fail"),"Fail"),"Fail"))</f>
        <v>Pass</v>
      </c>
      <c r="W530" s="298">
        <v>1335</v>
      </c>
      <c r="X530" s="365"/>
      <c r="Y530" s="366"/>
      <c r="Z530" s="267">
        <v>4955</v>
      </c>
      <c r="AA530" s="267">
        <v>9645</v>
      </c>
      <c r="AB530" s="267">
        <v>5100</v>
      </c>
      <c r="AC530" s="267">
        <v>8300</v>
      </c>
      <c r="AD530" s="305">
        <v>10</v>
      </c>
      <c r="AE530" s="305">
        <v>9.8000000000000007</v>
      </c>
    </row>
    <row r="531" spans="1:31" ht="15">
      <c r="A531" s="306"/>
      <c r="B531" s="298"/>
      <c r="C531" s="307" t="s">
        <v>198</v>
      </c>
      <c r="D531" s="278">
        <v>3661.79</v>
      </c>
      <c r="E531" s="278">
        <v>3661.79</v>
      </c>
      <c r="F531" s="278">
        <v>3918.35</v>
      </c>
      <c r="G531" s="278">
        <v>3683.36</v>
      </c>
      <c r="H531" s="278">
        <v>4085.61</v>
      </c>
      <c r="I531" s="278">
        <v>4022.65</v>
      </c>
      <c r="J531" s="278">
        <v>4018.66</v>
      </c>
      <c r="K531" s="278">
        <v>3683.36</v>
      </c>
      <c r="L531" s="278">
        <v>4049.54</v>
      </c>
      <c r="M531" s="290"/>
      <c r="N531" s="290"/>
      <c r="O531" s="290"/>
      <c r="P531" s="290"/>
      <c r="Q531" s="298"/>
      <c r="R531" s="298"/>
      <c r="S531" s="298"/>
      <c r="T531" s="298"/>
      <c r="U531" s="298"/>
      <c r="V531" s="302"/>
      <c r="W531" s="298"/>
      <c r="X531" s="365"/>
      <c r="Y531" s="366"/>
      <c r="Z531" s="267"/>
      <c r="AA531" s="267"/>
      <c r="AB531" s="267"/>
      <c r="AC531" s="267"/>
      <c r="AD531" s="268"/>
      <c r="AE531" s="269"/>
    </row>
    <row r="532" spans="1:31" ht="57.75" thickBot="1">
      <c r="A532" s="306"/>
      <c r="B532" s="298"/>
      <c r="C532" s="326" t="s">
        <v>197</v>
      </c>
      <c r="D532" s="343">
        <f t="shared" ref="D532:L532" si="172">IF(((D530="")*AND(D531="")),"",(D530-D531)*3)</f>
        <v>7138.4400000000014</v>
      </c>
      <c r="E532" s="343">
        <f t="shared" si="172"/>
        <v>7097.6999999999989</v>
      </c>
      <c r="F532" s="343">
        <f t="shared" si="172"/>
        <v>7034.7899999999991</v>
      </c>
      <c r="G532" s="343">
        <f t="shared" si="172"/>
        <v>7317.0599999999995</v>
      </c>
      <c r="H532" s="343">
        <f t="shared" si="172"/>
        <v>6992.9400000000005</v>
      </c>
      <c r="I532" s="343">
        <f t="shared" si="172"/>
        <v>6838.32</v>
      </c>
      <c r="J532" s="343">
        <f t="shared" si="172"/>
        <v>6779.5800000000017</v>
      </c>
      <c r="K532" s="343">
        <f t="shared" si="172"/>
        <v>7462.4700000000012</v>
      </c>
      <c r="L532" s="343">
        <f t="shared" si="172"/>
        <v>6978.12</v>
      </c>
      <c r="M532" s="343"/>
      <c r="N532" s="343"/>
      <c r="O532" s="343"/>
      <c r="P532" s="343" t="str">
        <f>IF(((P530="")*AND(P531="")),"",(P530-P531)*2)</f>
        <v/>
      </c>
      <c r="Q532" s="298"/>
      <c r="R532" s="298"/>
      <c r="S532" s="298"/>
      <c r="T532" s="298"/>
      <c r="U532" s="298"/>
      <c r="V532" s="302"/>
      <c r="W532" s="298"/>
      <c r="X532" s="365"/>
      <c r="Y532" s="366"/>
      <c r="Z532" s="267"/>
      <c r="AA532" s="267"/>
      <c r="AB532" s="267"/>
      <c r="AC532" s="267"/>
      <c r="AD532" s="268"/>
      <c r="AE532" s="269"/>
    </row>
    <row r="533" spans="1:31" ht="12.75" customHeight="1">
      <c r="A533" s="364">
        <v>43342</v>
      </c>
      <c r="B533" s="326" t="s">
        <v>200</v>
      </c>
      <c r="C533" s="326" t="s">
        <v>199</v>
      </c>
      <c r="D533" s="278">
        <v>4222.54</v>
      </c>
      <c r="E533" s="278">
        <v>4416.46</v>
      </c>
      <c r="F533" s="278">
        <v>4128.49</v>
      </c>
      <c r="G533" s="278">
        <v>4122.26</v>
      </c>
      <c r="H533" s="278">
        <v>4308.78</v>
      </c>
      <c r="I533" s="278">
        <v>4202.3500000000004</v>
      </c>
      <c r="J533" s="278">
        <v>4159.26</v>
      </c>
      <c r="K533" s="278">
        <v>4114.3100000000004</v>
      </c>
      <c r="L533" s="278">
        <v>4194.58</v>
      </c>
      <c r="M533" s="278">
        <v>4230.2</v>
      </c>
      <c r="N533" s="278">
        <v>4439.42</v>
      </c>
      <c r="O533" s="278">
        <v>4260.43</v>
      </c>
      <c r="P533" s="278">
        <v>4355.5200000000004</v>
      </c>
      <c r="Q533" s="326">
        <f>IF((L534=""),"",MAX(D535:P535))</f>
        <v>5608.4400000000005</v>
      </c>
      <c r="R533" s="326">
        <f>IF(L534="","",MIN(D535:L535))</f>
        <v>5466.7999999999993</v>
      </c>
      <c r="S533" s="318">
        <f>IF((P535=""),"",AVERAGE(D535:P535))</f>
        <v>5535.5092307692312</v>
      </c>
      <c r="T533" s="319">
        <f>IF((L534=""),"",(Q533-R533)/(Q533+R533)*100)</f>
        <v>1.2788887644872819</v>
      </c>
      <c r="U533" s="326">
        <f>STDEV(D535:P535)</f>
        <v>47.744882179691992</v>
      </c>
      <c r="V533" s="328" t="str">
        <f>IF(P534="","",IF(T533&lt;2.7,IF(S533&gt;5150,IF(S533&lt;5600,"Pass","Fail"),"Fail"),"Fail"))</f>
        <v>Pass</v>
      </c>
      <c r="W533" s="326">
        <v>1335</v>
      </c>
      <c r="X533" s="339"/>
      <c r="Y533" s="515"/>
      <c r="Z533" s="321">
        <v>4470</v>
      </c>
      <c r="AA533" s="321">
        <v>6020</v>
      </c>
      <c r="AB533" s="321">
        <v>5150</v>
      </c>
      <c r="AC533" s="321">
        <v>5600</v>
      </c>
      <c r="AD533" s="305">
        <v>10</v>
      </c>
      <c r="AE533" s="322">
        <v>2.7</v>
      </c>
    </row>
    <row r="534" spans="1:31" ht="15">
      <c r="A534" s="306"/>
      <c r="B534" s="298"/>
      <c r="C534" s="298" t="s">
        <v>198</v>
      </c>
      <c r="D534" s="278">
        <v>1489.14</v>
      </c>
      <c r="E534" s="278">
        <v>1669.63</v>
      </c>
      <c r="F534" s="278">
        <v>1385.26</v>
      </c>
      <c r="G534" s="278">
        <v>1333.06</v>
      </c>
      <c r="H534" s="278">
        <v>1556.83</v>
      </c>
      <c r="I534" s="278">
        <v>1415</v>
      </c>
      <c r="J534" s="278">
        <v>1362.17</v>
      </c>
      <c r="K534" s="278">
        <v>1310.0899999999999</v>
      </c>
      <c r="L534" s="278">
        <v>1448.97</v>
      </c>
      <c r="M534" s="278">
        <v>1435.02</v>
      </c>
      <c r="N534" s="278">
        <v>1676.17</v>
      </c>
      <c r="O534" s="278">
        <v>1498.3</v>
      </c>
      <c r="P534" s="278">
        <v>1594.15</v>
      </c>
      <c r="Q534" s="298"/>
      <c r="R534" s="298"/>
      <c r="S534" s="298"/>
      <c r="T534" s="298"/>
      <c r="U534" s="298"/>
      <c r="V534" s="302"/>
      <c r="W534" s="298"/>
      <c r="X534" s="339"/>
      <c r="Y534" s="516"/>
      <c r="Z534" s="267"/>
      <c r="AA534" s="267"/>
      <c r="AB534" s="267"/>
      <c r="AC534" s="267"/>
      <c r="AD534" s="268"/>
      <c r="AE534" s="269"/>
    </row>
    <row r="535" spans="1:31" ht="57">
      <c r="A535" s="306"/>
      <c r="B535" s="299"/>
      <c r="C535" s="299" t="s">
        <v>197</v>
      </c>
      <c r="D535" s="371">
        <f t="shared" ref="D535:P535" si="173">IF(((D533="")*AND(D534="")),"",(D533-D534)*2)</f>
        <v>5466.7999999999993</v>
      </c>
      <c r="E535" s="371">
        <f t="shared" si="173"/>
        <v>5493.66</v>
      </c>
      <c r="F535" s="371">
        <f t="shared" si="173"/>
        <v>5486.4599999999991</v>
      </c>
      <c r="G535" s="371">
        <f t="shared" si="173"/>
        <v>5578.4000000000005</v>
      </c>
      <c r="H535" s="371">
        <f t="shared" si="173"/>
        <v>5503.9</v>
      </c>
      <c r="I535" s="371">
        <f t="shared" si="173"/>
        <v>5574.7000000000007</v>
      </c>
      <c r="J535" s="371">
        <f t="shared" si="173"/>
        <v>5594.18</v>
      </c>
      <c r="K535" s="371">
        <f t="shared" si="173"/>
        <v>5608.4400000000005</v>
      </c>
      <c r="L535" s="371">
        <f t="shared" si="173"/>
        <v>5491.2199999999993</v>
      </c>
      <c r="M535" s="371">
        <f t="shared" si="173"/>
        <v>5590.36</v>
      </c>
      <c r="N535" s="371">
        <f t="shared" si="173"/>
        <v>5526.5</v>
      </c>
      <c r="O535" s="371">
        <f t="shared" si="173"/>
        <v>5524.26</v>
      </c>
      <c r="P535" s="371">
        <f t="shared" si="173"/>
        <v>5522.7400000000007</v>
      </c>
      <c r="Q535" s="299"/>
      <c r="R535" s="299"/>
      <c r="S535" s="299"/>
      <c r="T535" s="299"/>
      <c r="U535" s="299"/>
      <c r="V535" s="324"/>
      <c r="W535" s="299"/>
      <c r="X535" s="339"/>
      <c r="Y535" s="517"/>
      <c r="Z535" s="267"/>
      <c r="AA535" s="267"/>
      <c r="AB535" s="267"/>
      <c r="AC535" s="267"/>
      <c r="AD535" s="268"/>
      <c r="AE535" s="269"/>
    </row>
    <row r="536" spans="1:31" ht="12.75" customHeight="1">
      <c r="A536" s="364">
        <v>43347</v>
      </c>
      <c r="B536" s="326" t="s">
        <v>202</v>
      </c>
      <c r="C536" s="307" t="s">
        <v>199</v>
      </c>
      <c r="D536" s="278">
        <v>6041.27</v>
      </c>
      <c r="E536" s="278">
        <v>6027.69</v>
      </c>
      <c r="F536" s="278">
        <v>6263.28</v>
      </c>
      <c r="G536" s="278">
        <v>6122.38</v>
      </c>
      <c r="H536" s="278">
        <v>6416.59</v>
      </c>
      <c r="I536" s="278">
        <v>6302.09</v>
      </c>
      <c r="J536" s="278">
        <v>6278.52</v>
      </c>
      <c r="K536" s="278">
        <v>6170.85</v>
      </c>
      <c r="L536" s="278">
        <v>6375.58</v>
      </c>
      <c r="M536" s="290"/>
      <c r="N536" s="290"/>
      <c r="O536" s="290"/>
      <c r="P536" s="290"/>
      <c r="Q536" s="326">
        <f>IF((L537=""),"",MAX(D538:L538))</f>
        <v>7462.4700000000012</v>
      </c>
      <c r="R536" s="326">
        <f>IF(L537="","",MIN(D538:L538))</f>
        <v>6779.5800000000017</v>
      </c>
      <c r="S536" s="327">
        <f>IF((L538=""),"",AVERAGE(D538:L538))</f>
        <v>7071.0466666666671</v>
      </c>
      <c r="T536" s="319">
        <f>IF((L537=""),"",(Q536-R536)/(Q536+R536)*100)</f>
        <v>4.7948855677377855</v>
      </c>
      <c r="U536" s="326">
        <f>STDEV(D538:P538)</f>
        <v>216.26145328048398</v>
      </c>
      <c r="V536" s="328" t="str">
        <f>IF(L537="","",IF(T536&lt;9.8,IF(S536&gt;5100,IF(S536&lt;8300,"Pass","Fail"),"Fail"),"Fail"))</f>
        <v>Pass</v>
      </c>
      <c r="W536" s="298">
        <v>1335</v>
      </c>
      <c r="X536" s="268"/>
      <c r="Y536" s="268"/>
      <c r="Z536" s="267">
        <v>4955</v>
      </c>
      <c r="AA536" s="267">
        <v>9645</v>
      </c>
      <c r="AB536" s="267">
        <v>5100</v>
      </c>
      <c r="AC536" s="267">
        <v>8300</v>
      </c>
      <c r="AD536" s="305">
        <v>10</v>
      </c>
      <c r="AE536" s="305">
        <v>9.8000000000000007</v>
      </c>
    </row>
    <row r="537" spans="1:31" ht="15">
      <c r="A537" s="306"/>
      <c r="B537" s="298"/>
      <c r="C537" s="307" t="s">
        <v>198</v>
      </c>
      <c r="D537" s="278">
        <v>3661.79</v>
      </c>
      <c r="E537" s="278">
        <v>3661.79</v>
      </c>
      <c r="F537" s="278">
        <v>3918.35</v>
      </c>
      <c r="G537" s="278">
        <v>3683.36</v>
      </c>
      <c r="H537" s="278">
        <v>4085.61</v>
      </c>
      <c r="I537" s="278">
        <v>4022.65</v>
      </c>
      <c r="J537" s="278">
        <v>4018.66</v>
      </c>
      <c r="K537" s="278">
        <v>3683.36</v>
      </c>
      <c r="L537" s="278">
        <v>4049.54</v>
      </c>
      <c r="M537" s="290"/>
      <c r="N537" s="290"/>
      <c r="O537" s="290"/>
      <c r="P537" s="290"/>
      <c r="Q537" s="298"/>
      <c r="R537" s="298"/>
      <c r="S537" s="298"/>
      <c r="T537" s="298"/>
      <c r="U537" s="298"/>
      <c r="V537" s="302"/>
      <c r="W537" s="298"/>
      <c r="X537" s="268"/>
      <c r="Y537" s="268"/>
      <c r="Z537" s="267"/>
      <c r="AA537" s="267"/>
      <c r="AB537" s="267"/>
      <c r="AC537" s="267"/>
      <c r="AD537" s="268"/>
      <c r="AE537" s="269"/>
    </row>
    <row r="538" spans="1:31" ht="57.75" thickBot="1">
      <c r="A538" s="306"/>
      <c r="B538" s="298"/>
      <c r="C538" s="326" t="s">
        <v>197</v>
      </c>
      <c r="D538" s="343">
        <f t="shared" ref="D538:L538" si="174">IF(((D536="")*AND(D537="")),"",(D536-D537)*3)</f>
        <v>7138.4400000000014</v>
      </c>
      <c r="E538" s="343">
        <f t="shared" si="174"/>
        <v>7097.6999999999989</v>
      </c>
      <c r="F538" s="343">
        <f t="shared" si="174"/>
        <v>7034.7899999999991</v>
      </c>
      <c r="G538" s="343">
        <f t="shared" si="174"/>
        <v>7317.0599999999995</v>
      </c>
      <c r="H538" s="343">
        <f t="shared" si="174"/>
        <v>6992.9400000000005</v>
      </c>
      <c r="I538" s="343">
        <f t="shared" si="174"/>
        <v>6838.32</v>
      </c>
      <c r="J538" s="343">
        <f t="shared" si="174"/>
        <v>6779.5800000000017</v>
      </c>
      <c r="K538" s="343">
        <f t="shared" si="174"/>
        <v>7462.4700000000012</v>
      </c>
      <c r="L538" s="343">
        <f t="shared" si="174"/>
        <v>6978.12</v>
      </c>
      <c r="M538" s="343"/>
      <c r="N538" s="343"/>
      <c r="O538" s="343"/>
      <c r="P538" s="343" t="str">
        <f>IF(((P536="")*AND(P537="")),"",(P536-P537)*2)</f>
        <v/>
      </c>
      <c r="Q538" s="298"/>
      <c r="R538" s="298"/>
      <c r="S538" s="298"/>
      <c r="T538" s="298"/>
      <c r="U538" s="298"/>
      <c r="V538" s="302"/>
      <c r="W538" s="298"/>
      <c r="X538" s="268"/>
      <c r="Y538" s="268"/>
      <c r="Z538" s="267"/>
      <c r="AA538" s="267"/>
      <c r="AB538" s="267"/>
      <c r="AC538" s="267"/>
      <c r="AD538" s="268"/>
      <c r="AE538" s="269"/>
    </row>
    <row r="539" spans="1:31" ht="12.75" customHeight="1">
      <c r="A539" s="364">
        <v>43347</v>
      </c>
      <c r="B539" s="326" t="s">
        <v>200</v>
      </c>
      <c r="C539" s="326" t="s">
        <v>199</v>
      </c>
      <c r="D539" s="278">
        <v>6900.47</v>
      </c>
      <c r="E539" s="278">
        <v>7103.04</v>
      </c>
      <c r="F539" s="278">
        <v>6808.1</v>
      </c>
      <c r="G539" s="278">
        <v>6844.01</v>
      </c>
      <c r="H539" s="278">
        <v>7008.12</v>
      </c>
      <c r="I539" s="278">
        <v>6925.08</v>
      </c>
      <c r="J539" s="278">
        <v>6889.02</v>
      </c>
      <c r="K539" s="278">
        <v>6847.57</v>
      </c>
      <c r="L539" s="278">
        <v>6875.63</v>
      </c>
      <c r="M539" s="278">
        <v>6962.77</v>
      </c>
      <c r="N539" s="278">
        <v>7135.97</v>
      </c>
      <c r="O539" s="278">
        <v>6953.86</v>
      </c>
      <c r="P539" s="278">
        <v>7046.49</v>
      </c>
      <c r="Q539" s="326">
        <f>IF((L540=""),"",MAX(D541:P541))</f>
        <v>5512.2</v>
      </c>
      <c r="R539" s="326">
        <f>IF(L540="","",MIN(D541:L541))</f>
        <v>5411.1200000000008</v>
      </c>
      <c r="S539" s="318">
        <f>IF((P541=""),"",AVERAGE(D541:P541))</f>
        <v>5457.373846153846</v>
      </c>
      <c r="T539" s="319">
        <f>IF((L540=""),"",(Q539-R539)/(Q539+R539)*100)</f>
        <v>0.92535968917873879</v>
      </c>
      <c r="U539" s="326">
        <f>STDEV(D541:P541)</f>
        <v>40.556513151144081</v>
      </c>
      <c r="V539" s="328" t="str">
        <f>IF(P540="","",IF(T539&lt;2.7,IF(S539&gt;5150,IF(S539&lt;5600,"Pass","Fail"),"Fail"),"Fail"))</f>
        <v>Pass</v>
      </c>
      <c r="W539" s="326">
        <v>1335</v>
      </c>
      <c r="X539" s="268"/>
      <c r="Y539" s="268"/>
      <c r="Z539" s="321">
        <v>4470</v>
      </c>
      <c r="AA539" s="321">
        <v>6020</v>
      </c>
      <c r="AB539" s="321">
        <v>5150</v>
      </c>
      <c r="AC539" s="321">
        <v>5600</v>
      </c>
      <c r="AD539" s="305">
        <v>10</v>
      </c>
      <c r="AE539" s="322">
        <v>2.7</v>
      </c>
    </row>
    <row r="540" spans="1:31" ht="15">
      <c r="A540" s="306"/>
      <c r="B540" s="298"/>
      <c r="C540" s="298" t="s">
        <v>198</v>
      </c>
      <c r="D540" s="278">
        <v>4194.91</v>
      </c>
      <c r="E540" s="278">
        <v>4391.59</v>
      </c>
      <c r="F540" s="278">
        <v>4102.1000000000004</v>
      </c>
      <c r="G540" s="278">
        <v>4093.75</v>
      </c>
      <c r="H540" s="278">
        <v>4287.09</v>
      </c>
      <c r="I540" s="278">
        <v>4179.4399999999996</v>
      </c>
      <c r="J540" s="278">
        <v>4135.49</v>
      </c>
      <c r="K540" s="278">
        <v>4091.47</v>
      </c>
      <c r="L540" s="278">
        <v>4168.1400000000003</v>
      </c>
      <c r="M540" s="278">
        <v>4207.09</v>
      </c>
      <c r="N540" s="278">
        <v>4417.29</v>
      </c>
      <c r="O540" s="278">
        <v>4231.72</v>
      </c>
      <c r="P540" s="278">
        <v>4327.12</v>
      </c>
      <c r="Q540" s="298"/>
      <c r="R540" s="298"/>
      <c r="S540" s="298"/>
      <c r="T540" s="298"/>
      <c r="U540" s="298"/>
      <c r="V540" s="302"/>
      <c r="W540" s="298"/>
      <c r="X540" s="268"/>
      <c r="Y540" s="268"/>
      <c r="Z540" s="267"/>
      <c r="AA540" s="267"/>
      <c r="AB540" s="267"/>
      <c r="AC540" s="267"/>
      <c r="AD540" s="268"/>
      <c r="AE540" s="269"/>
    </row>
    <row r="541" spans="1:31" ht="57">
      <c r="A541" s="306"/>
      <c r="B541" s="299"/>
      <c r="C541" s="299" t="s">
        <v>197</v>
      </c>
      <c r="D541" s="371">
        <f t="shared" ref="D541:P541" si="175">IF(((D539="")*AND(D540="")),"",(D539-D540)*2)</f>
        <v>5411.1200000000008</v>
      </c>
      <c r="E541" s="371">
        <f t="shared" si="175"/>
        <v>5422.9</v>
      </c>
      <c r="F541" s="371">
        <f t="shared" si="175"/>
        <v>5412</v>
      </c>
      <c r="G541" s="371">
        <f t="shared" si="175"/>
        <v>5500.52</v>
      </c>
      <c r="H541" s="371">
        <f t="shared" si="175"/>
        <v>5442.0599999999995</v>
      </c>
      <c r="I541" s="371">
        <f t="shared" si="175"/>
        <v>5491.2800000000007</v>
      </c>
      <c r="J541" s="371">
        <f t="shared" si="175"/>
        <v>5507.0600000000013</v>
      </c>
      <c r="K541" s="371">
        <f t="shared" si="175"/>
        <v>5512.2</v>
      </c>
      <c r="L541" s="371">
        <f t="shared" si="175"/>
        <v>5414.98</v>
      </c>
      <c r="M541" s="371">
        <f t="shared" si="175"/>
        <v>5511.3600000000006</v>
      </c>
      <c r="N541" s="371">
        <f t="shared" si="175"/>
        <v>5437.3600000000006</v>
      </c>
      <c r="O541" s="371">
        <f t="shared" si="175"/>
        <v>5444.2799999999988</v>
      </c>
      <c r="P541" s="371">
        <f t="shared" si="175"/>
        <v>5438.74</v>
      </c>
      <c r="Q541" s="299"/>
      <c r="R541" s="299"/>
      <c r="S541" s="299"/>
      <c r="T541" s="299"/>
      <c r="U541" s="299"/>
      <c r="V541" s="324"/>
      <c r="W541" s="299"/>
      <c r="X541" s="268"/>
      <c r="Y541" s="268"/>
      <c r="Z541" s="267"/>
      <c r="AA541" s="267"/>
      <c r="AB541" s="267"/>
      <c r="AC541" s="267"/>
      <c r="AD541" s="268"/>
      <c r="AE541" s="269"/>
    </row>
    <row r="542" spans="1:31" ht="12.75" customHeight="1">
      <c r="A542" s="364">
        <v>43350</v>
      </c>
      <c r="B542" s="326" t="s">
        <v>202</v>
      </c>
      <c r="C542" s="307" t="s">
        <v>199</v>
      </c>
      <c r="D542" s="278">
        <v>5814.28</v>
      </c>
      <c r="E542" s="278">
        <v>5994.02</v>
      </c>
      <c r="F542" s="278">
        <v>6365.78</v>
      </c>
      <c r="G542" s="278">
        <v>6125.41</v>
      </c>
      <c r="H542" s="278">
        <v>6335.07</v>
      </c>
      <c r="I542" s="278">
        <v>6380.67</v>
      </c>
      <c r="J542" s="278">
        <v>6199</v>
      </c>
      <c r="K542" s="278">
        <v>6249.19</v>
      </c>
      <c r="L542" s="278">
        <v>6354.84</v>
      </c>
      <c r="M542" s="290"/>
      <c r="N542" s="290"/>
      <c r="O542" s="290"/>
      <c r="P542" s="290"/>
      <c r="Q542" s="326">
        <f>IF((L543=""),"",MAX(D544:L544))</f>
        <v>7384.4999999999982</v>
      </c>
      <c r="R542" s="326">
        <f>IF(L543="","",MIN(D544:L544))</f>
        <v>6096.840000000002</v>
      </c>
      <c r="S542" s="327">
        <f>IF((L544=""),"",AVERAGE(D544:L544))</f>
        <v>6764.6366666666663</v>
      </c>
      <c r="T542" s="319">
        <f>IF((L543=""),"",(Q542-R542)/(Q542+R542)*100)</f>
        <v>9.5514244133001327</v>
      </c>
      <c r="U542" s="326">
        <f>STDEV(D544:P544)</f>
        <v>485.76086997616432</v>
      </c>
      <c r="V542" s="328" t="str">
        <f>IF(L543="","",IF(T542&lt;9.8,IF(S542&gt;5100,IF(S542&lt;8300,"Pass","Fail"),"Fail"),"Fail"))</f>
        <v>Pass</v>
      </c>
      <c r="W542" s="298">
        <v>1335</v>
      </c>
      <c r="X542" s="268"/>
      <c r="Y542" s="268"/>
      <c r="Z542" s="267">
        <v>4955</v>
      </c>
      <c r="AA542" s="267">
        <v>9645</v>
      </c>
      <c r="AB542" s="267">
        <v>5100</v>
      </c>
      <c r="AC542" s="267">
        <v>8300</v>
      </c>
      <c r="AD542" s="305">
        <v>10</v>
      </c>
      <c r="AE542" s="305">
        <v>9.8000000000000007</v>
      </c>
    </row>
    <row r="543" spans="1:31" ht="15">
      <c r="A543" s="306"/>
      <c r="B543" s="298"/>
      <c r="C543" s="307" t="s">
        <v>198</v>
      </c>
      <c r="D543" s="278">
        <v>3352.78</v>
      </c>
      <c r="E543" s="278">
        <v>3961.74</v>
      </c>
      <c r="F543" s="278">
        <v>4098.24</v>
      </c>
      <c r="G543" s="278">
        <v>4060.66</v>
      </c>
      <c r="H543" s="278">
        <v>3939.7</v>
      </c>
      <c r="I543" s="278">
        <v>4323.0600000000004</v>
      </c>
      <c r="J543" s="278">
        <v>3856.05</v>
      </c>
      <c r="K543" s="278">
        <v>3884.62</v>
      </c>
      <c r="L543" s="278">
        <v>4047.5</v>
      </c>
      <c r="M543" s="290"/>
      <c r="N543" s="290"/>
      <c r="O543" s="290"/>
      <c r="P543" s="290"/>
      <c r="Q543" s="298"/>
      <c r="R543" s="298"/>
      <c r="S543" s="298"/>
      <c r="T543" s="298"/>
      <c r="U543" s="298"/>
      <c r="V543" s="302"/>
      <c r="W543" s="298"/>
      <c r="X543" s="268"/>
      <c r="Y543" s="268"/>
      <c r="Z543" s="267"/>
      <c r="AA543" s="267"/>
      <c r="AB543" s="267"/>
      <c r="AC543" s="267"/>
      <c r="AD543" s="268"/>
      <c r="AE543" s="269"/>
    </row>
    <row r="544" spans="1:31" ht="57.75" thickBot="1">
      <c r="A544" s="306"/>
      <c r="B544" s="298"/>
      <c r="C544" s="326" t="s">
        <v>197</v>
      </c>
      <c r="D544" s="343">
        <f t="shared" ref="D544:L544" si="176">IF(((D542="")*AND(D543="")),"",(D542-D543)*3)</f>
        <v>7384.4999999999982</v>
      </c>
      <c r="E544" s="343">
        <f t="shared" si="176"/>
        <v>6096.840000000002</v>
      </c>
      <c r="F544" s="343">
        <f t="shared" si="176"/>
        <v>6802.62</v>
      </c>
      <c r="G544" s="343">
        <f t="shared" si="176"/>
        <v>6194.25</v>
      </c>
      <c r="H544" s="343">
        <f t="shared" si="176"/>
        <v>7186.11</v>
      </c>
      <c r="I544" s="343">
        <f t="shared" si="176"/>
        <v>6172.829999999999</v>
      </c>
      <c r="J544" s="343">
        <f t="shared" si="176"/>
        <v>7028.8499999999995</v>
      </c>
      <c r="K544" s="343">
        <f t="shared" si="176"/>
        <v>7093.7099999999991</v>
      </c>
      <c r="L544" s="343">
        <f t="shared" si="176"/>
        <v>6922.02</v>
      </c>
      <c r="M544" s="343"/>
      <c r="N544" s="343"/>
      <c r="O544" s="343"/>
      <c r="P544" s="343" t="str">
        <f>IF(((P542="")*AND(P543="")),"",(P542-P543)*2)</f>
        <v/>
      </c>
      <c r="Q544" s="298"/>
      <c r="R544" s="298"/>
      <c r="S544" s="298"/>
      <c r="T544" s="298"/>
      <c r="U544" s="298"/>
      <c r="V544" s="302"/>
      <c r="W544" s="298"/>
      <c r="X544" s="268"/>
      <c r="Y544" s="268"/>
      <c r="Z544" s="267"/>
      <c r="AA544" s="267"/>
      <c r="AB544" s="267"/>
      <c r="AC544" s="267"/>
      <c r="AD544" s="268"/>
      <c r="AE544" s="269"/>
    </row>
    <row r="545" spans="1:31" ht="12.75" customHeight="1">
      <c r="A545" s="364">
        <v>43350</v>
      </c>
      <c r="B545" s="326" t="s">
        <v>200</v>
      </c>
      <c r="C545" s="326" t="s">
        <v>199</v>
      </c>
      <c r="D545" s="278">
        <v>4204.1099999999997</v>
      </c>
      <c r="E545" s="278">
        <v>4402.37</v>
      </c>
      <c r="F545" s="278">
        <v>4110.4799999999996</v>
      </c>
      <c r="G545" s="278">
        <v>4101.82</v>
      </c>
      <c r="H545" s="278">
        <v>4297.24</v>
      </c>
      <c r="I545" s="278">
        <v>4188.4799999999996</v>
      </c>
      <c r="J545" s="278">
        <v>4143.67</v>
      </c>
      <c r="K545" s="278">
        <v>4099.46</v>
      </c>
      <c r="L545" s="278">
        <v>4176.62</v>
      </c>
      <c r="M545" s="278">
        <v>4215.8900000000003</v>
      </c>
      <c r="N545" s="278">
        <v>4427.79</v>
      </c>
      <c r="O545" s="278">
        <v>4240.6499999999996</v>
      </c>
      <c r="P545" s="278">
        <v>4336.72</v>
      </c>
      <c r="Q545" s="326">
        <f>IF((L546=""),"",MAX(D547:P547))</f>
        <v>5563.9400000000005</v>
      </c>
      <c r="R545" s="326">
        <f>IF(L546="","",MIN(D547:L547))</f>
        <v>5432.8599999999988</v>
      </c>
      <c r="S545" s="318">
        <f>IF((P547=""),"",AVERAGE(D547:P547))</f>
        <v>5500.5276923076926</v>
      </c>
      <c r="T545" s="319">
        <f>IF((L546=""),"",(Q545-R545)/(Q545+R545)*100)</f>
        <v>1.1919831223628852</v>
      </c>
      <c r="U545" s="326">
        <f>STDEV(D547:P547)</f>
        <v>44.850563384319457</v>
      </c>
      <c r="V545" s="328" t="str">
        <f>IF(P546="","",IF(T545&lt;2.7,IF(S545&gt;5150,IF(S545&lt;5600,"Pass","Fail"),"Fail"),"Fail"))</f>
        <v>Pass</v>
      </c>
      <c r="W545" s="326">
        <v>1335</v>
      </c>
      <c r="X545" s="268"/>
      <c r="Y545" s="268"/>
      <c r="Z545" s="321">
        <v>4470</v>
      </c>
      <c r="AA545" s="321">
        <v>6020</v>
      </c>
      <c r="AB545" s="321">
        <v>5150</v>
      </c>
      <c r="AC545" s="321">
        <v>5600</v>
      </c>
      <c r="AD545" s="305">
        <v>10</v>
      </c>
      <c r="AE545" s="322">
        <v>2.7</v>
      </c>
    </row>
    <row r="546" spans="1:31" ht="15">
      <c r="A546" s="306"/>
      <c r="B546" s="298"/>
      <c r="C546" s="298" t="s">
        <v>198</v>
      </c>
      <c r="D546" s="278">
        <v>1487.68</v>
      </c>
      <c r="E546" s="278">
        <v>1671.46</v>
      </c>
      <c r="F546" s="278">
        <v>1387.76</v>
      </c>
      <c r="G546" s="278">
        <v>1329.47</v>
      </c>
      <c r="H546" s="278">
        <v>1552.22</v>
      </c>
      <c r="I546" s="278">
        <v>1419.17</v>
      </c>
      <c r="J546" s="278">
        <v>1368.22</v>
      </c>
      <c r="K546" s="278">
        <v>1317.49</v>
      </c>
      <c r="L546" s="278">
        <v>1451.37</v>
      </c>
      <c r="M546" s="278">
        <v>1442.06</v>
      </c>
      <c r="N546" s="278">
        <v>1678.02</v>
      </c>
      <c r="O546" s="278">
        <v>1497.27</v>
      </c>
      <c r="P546" s="278">
        <v>1589.68</v>
      </c>
      <c r="Q546" s="298"/>
      <c r="R546" s="298"/>
      <c r="S546" s="298"/>
      <c r="T546" s="298"/>
      <c r="U546" s="298"/>
      <c r="V546" s="302"/>
      <c r="W546" s="298"/>
      <c r="X546" s="268"/>
      <c r="Y546" s="268"/>
      <c r="Z546" s="267"/>
      <c r="AA546" s="267"/>
      <c r="AB546" s="267"/>
      <c r="AC546" s="267"/>
      <c r="AD546" s="268"/>
      <c r="AE546" s="269"/>
    </row>
    <row r="547" spans="1:31" ht="57">
      <c r="A547" s="306"/>
      <c r="B547" s="299"/>
      <c r="C547" s="299" t="s">
        <v>197</v>
      </c>
      <c r="D547" s="371">
        <f t="shared" ref="D547:P547" si="177">IF(((D545="")*AND(D546="")),"",(D545-D546)*2)</f>
        <v>5432.8599999999988</v>
      </c>
      <c r="E547" s="371">
        <f t="shared" si="177"/>
        <v>5461.82</v>
      </c>
      <c r="F547" s="371">
        <f t="shared" si="177"/>
        <v>5445.4399999999987</v>
      </c>
      <c r="G547" s="371">
        <f t="shared" si="177"/>
        <v>5544.6999999999989</v>
      </c>
      <c r="H547" s="371">
        <f t="shared" si="177"/>
        <v>5490.0399999999991</v>
      </c>
      <c r="I547" s="371">
        <f t="shared" si="177"/>
        <v>5538.619999999999</v>
      </c>
      <c r="J547" s="371">
        <f t="shared" si="177"/>
        <v>5550.9</v>
      </c>
      <c r="K547" s="371">
        <f t="shared" si="177"/>
        <v>5563.9400000000005</v>
      </c>
      <c r="L547" s="371">
        <f t="shared" si="177"/>
        <v>5450.5</v>
      </c>
      <c r="M547" s="371">
        <f t="shared" si="177"/>
        <v>5547.6600000000008</v>
      </c>
      <c r="N547" s="371">
        <f t="shared" si="177"/>
        <v>5499.54</v>
      </c>
      <c r="O547" s="371">
        <f t="shared" si="177"/>
        <v>5486.7599999999993</v>
      </c>
      <c r="P547" s="371">
        <f t="shared" si="177"/>
        <v>5494.08</v>
      </c>
      <c r="Q547" s="299"/>
      <c r="R547" s="299"/>
      <c r="S547" s="299"/>
      <c r="T547" s="299"/>
      <c r="U547" s="299"/>
      <c r="V547" s="324"/>
      <c r="W547" s="299"/>
      <c r="X547" s="268"/>
      <c r="Y547" s="268"/>
      <c r="Z547" s="267"/>
      <c r="AA547" s="267"/>
      <c r="AB547" s="267"/>
      <c r="AC547" s="267"/>
      <c r="AD547" s="268"/>
      <c r="AE547" s="269"/>
    </row>
    <row r="548" spans="1:31" ht="12.75" customHeight="1">
      <c r="A548" s="364">
        <v>43356</v>
      </c>
      <c r="B548" s="326" t="s">
        <v>202</v>
      </c>
      <c r="C548" s="307" t="s">
        <v>199</v>
      </c>
      <c r="D548" s="278">
        <v>6008.8</v>
      </c>
      <c r="E548" s="278">
        <v>5993.13</v>
      </c>
      <c r="F548" s="278">
        <v>6270.94</v>
      </c>
      <c r="G548" s="278">
        <v>6002.62</v>
      </c>
      <c r="H548" s="278">
        <v>6438.9</v>
      </c>
      <c r="I548" s="278">
        <v>6387.59</v>
      </c>
      <c r="J548" s="278">
        <v>6074.24</v>
      </c>
      <c r="K548" s="278">
        <v>6131.07</v>
      </c>
      <c r="L548" s="278">
        <v>6309.55</v>
      </c>
      <c r="M548" s="290"/>
      <c r="N548" s="290"/>
      <c r="O548" s="290"/>
      <c r="P548" s="290"/>
      <c r="Q548" s="326">
        <f>IF((L549=""),"",MAX(D550:L550))</f>
        <v>8281.2599999999984</v>
      </c>
      <c r="R548" s="326">
        <f>IF(L549="","",MIN(D550:L550))</f>
        <v>6846.87</v>
      </c>
      <c r="S548" s="327">
        <f>IF((L550=""),"",AVERAGE(D550:L550))</f>
        <v>7550.993333333332</v>
      </c>
      <c r="T548" s="319">
        <f>IF((L549=""),"",(Q548-R548)/(Q548+R548)*100)</f>
        <v>9.4816081035792177</v>
      </c>
      <c r="U548" s="326">
        <f>STDEV(D550:P550)</f>
        <v>437.75907452046721</v>
      </c>
      <c r="V548" s="328" t="str">
        <f>IF(L549="","",IF(T548&lt;9.8,IF(S548&gt;5100,IF(S548&lt;8300,"Pass","Fail"),"Fail"),"Fail"))</f>
        <v>Pass</v>
      </c>
      <c r="W548" s="298">
        <v>1335</v>
      </c>
      <c r="X548" s="268"/>
      <c r="Y548" s="268"/>
      <c r="Z548" s="267">
        <v>4955</v>
      </c>
      <c r="AA548" s="267">
        <v>9645</v>
      </c>
      <c r="AB548" s="267">
        <v>5100</v>
      </c>
      <c r="AC548" s="267">
        <v>8300</v>
      </c>
      <c r="AD548" s="305">
        <v>10</v>
      </c>
      <c r="AE548" s="305">
        <v>9.8000000000000007</v>
      </c>
    </row>
    <row r="549" spans="1:31" ht="15">
      <c r="A549" s="306"/>
      <c r="B549" s="298"/>
      <c r="C549" s="307" t="s">
        <v>198</v>
      </c>
      <c r="D549" s="278">
        <v>3618.36</v>
      </c>
      <c r="E549" s="278">
        <v>3710.84</v>
      </c>
      <c r="F549" s="278">
        <v>3722.95</v>
      </c>
      <c r="G549" s="278">
        <v>3533.6</v>
      </c>
      <c r="H549" s="278">
        <v>3678.48</v>
      </c>
      <c r="I549" s="278">
        <v>3724.21</v>
      </c>
      <c r="J549" s="278">
        <v>3630.18</v>
      </c>
      <c r="K549" s="278">
        <v>3646.97</v>
      </c>
      <c r="L549" s="278">
        <v>3698.27</v>
      </c>
      <c r="M549" s="290"/>
      <c r="N549" s="290"/>
      <c r="O549" s="290"/>
      <c r="P549" s="290"/>
      <c r="Q549" s="298"/>
      <c r="R549" s="298"/>
      <c r="S549" s="298"/>
      <c r="T549" s="298"/>
      <c r="U549" s="298"/>
      <c r="V549" s="302"/>
      <c r="W549" s="298"/>
      <c r="X549" s="268"/>
      <c r="Y549" s="268"/>
      <c r="Z549" s="267"/>
      <c r="AA549" s="267"/>
      <c r="AB549" s="267"/>
      <c r="AC549" s="267"/>
      <c r="AD549" s="268"/>
      <c r="AE549" s="269"/>
    </row>
    <row r="550" spans="1:31" ht="57.75" thickBot="1">
      <c r="A550" s="306"/>
      <c r="B550" s="298"/>
      <c r="C550" s="326" t="s">
        <v>197</v>
      </c>
      <c r="D550" s="343">
        <f t="shared" ref="D550:L550" si="178">IF(((D548="")*AND(D549="")),"",(D548-D549)*3)</f>
        <v>7171.32</v>
      </c>
      <c r="E550" s="343">
        <f t="shared" si="178"/>
        <v>6846.87</v>
      </c>
      <c r="F550" s="343">
        <f t="shared" si="178"/>
        <v>7643.9699999999993</v>
      </c>
      <c r="G550" s="343">
        <f t="shared" si="178"/>
        <v>7407.0599999999995</v>
      </c>
      <c r="H550" s="343">
        <f t="shared" si="178"/>
        <v>8281.2599999999984</v>
      </c>
      <c r="I550" s="343">
        <f t="shared" si="178"/>
        <v>7990.14</v>
      </c>
      <c r="J550" s="343">
        <f t="shared" si="178"/>
        <v>7332.18</v>
      </c>
      <c r="K550" s="343">
        <f t="shared" si="178"/>
        <v>7452.2999999999993</v>
      </c>
      <c r="L550" s="343">
        <f t="shared" si="178"/>
        <v>7833.84</v>
      </c>
      <c r="M550" s="343"/>
      <c r="N550" s="343"/>
      <c r="O550" s="343"/>
      <c r="P550" s="343" t="str">
        <f>IF(((P548="")*AND(P549="")),"",(P548-P549)*2)</f>
        <v/>
      </c>
      <c r="Q550" s="298"/>
      <c r="R550" s="298"/>
      <c r="S550" s="298"/>
      <c r="T550" s="298"/>
      <c r="U550" s="298"/>
      <c r="V550" s="302"/>
      <c r="W550" s="298"/>
      <c r="X550" s="268"/>
      <c r="Y550" s="268"/>
      <c r="Z550" s="267"/>
      <c r="AA550" s="267"/>
      <c r="AB550" s="267"/>
      <c r="AC550" s="267"/>
      <c r="AD550" s="268"/>
      <c r="AE550" s="269"/>
    </row>
    <row r="551" spans="1:31" ht="12.75" customHeight="1">
      <c r="A551" s="364">
        <v>43356</v>
      </c>
      <c r="B551" s="326" t="s">
        <v>200</v>
      </c>
      <c r="C551" s="326" t="s">
        <v>199</v>
      </c>
      <c r="D551" s="278">
        <v>4118.01</v>
      </c>
      <c r="E551" s="278">
        <v>4292.26</v>
      </c>
      <c r="F551" s="278">
        <v>3998.41</v>
      </c>
      <c r="G551" s="278">
        <v>3985.36</v>
      </c>
      <c r="H551" s="278">
        <v>4182.95</v>
      </c>
      <c r="I551" s="278">
        <v>4072.9</v>
      </c>
      <c r="J551" s="278">
        <v>4010.78</v>
      </c>
      <c r="K551" s="278">
        <v>3974.89</v>
      </c>
      <c r="L551" s="278">
        <v>4053.65</v>
      </c>
      <c r="M551" s="278">
        <v>4085.78</v>
      </c>
      <c r="N551" s="278">
        <v>4280.1000000000004</v>
      </c>
      <c r="O551" s="278">
        <v>4113.05</v>
      </c>
      <c r="P551" s="278">
        <v>4176.84</v>
      </c>
      <c r="Q551" s="326">
        <f>IF((L552=""),"",MAX(D553:P553))</f>
        <v>5816.66</v>
      </c>
      <c r="R551" s="326">
        <f>IF(L552="","",MIN(D553:L553))</f>
        <v>5613.68</v>
      </c>
      <c r="S551" s="318">
        <f>IF((P553=""),"",AVERAGE(D553:P553))</f>
        <v>5710.1753846153861</v>
      </c>
      <c r="T551" s="319">
        <f>IF((L552=""),"",(Q551-R551)/(Q551+R551)*100)</f>
        <v>1.7758001949198323</v>
      </c>
      <c r="U551" s="326">
        <f>STDEV(D553:P553)</f>
        <v>73.026280271178749</v>
      </c>
      <c r="V551" s="328" t="str">
        <f>IF(P552="","",IF(T551&lt;2.7,IF(S551&gt;5150,IF(S551&lt;5600,"Pass","Fail"),"Fail"),"Fail"))</f>
        <v>Fail</v>
      </c>
      <c r="W551" s="326">
        <v>1335</v>
      </c>
      <c r="X551" s="268"/>
      <c r="Y551" s="268"/>
      <c r="Z551" s="321">
        <v>4470</v>
      </c>
      <c r="AA551" s="321">
        <v>6020</v>
      </c>
      <c r="AB551" s="321">
        <v>5150</v>
      </c>
      <c r="AC551" s="321">
        <v>5600</v>
      </c>
      <c r="AD551" s="305">
        <v>10</v>
      </c>
      <c r="AE551" s="322">
        <v>2.7</v>
      </c>
    </row>
    <row r="552" spans="1:31" ht="15">
      <c r="A552" s="306"/>
      <c r="B552" s="298"/>
      <c r="C552" s="298" t="s">
        <v>198</v>
      </c>
      <c r="D552" s="278">
        <v>1311.17</v>
      </c>
      <c r="E552" s="278">
        <v>1479.9</v>
      </c>
      <c r="F552" s="278">
        <v>1187.1099999999999</v>
      </c>
      <c r="G552" s="278">
        <v>1100.07</v>
      </c>
      <c r="H552" s="278">
        <v>1360.68</v>
      </c>
      <c r="I552" s="278">
        <v>1210.23</v>
      </c>
      <c r="J552" s="278">
        <v>1102.45</v>
      </c>
      <c r="K552" s="278">
        <v>1068.56</v>
      </c>
      <c r="L552" s="278">
        <v>1220.93</v>
      </c>
      <c r="M552" s="278">
        <v>1189.57</v>
      </c>
      <c r="N552" s="278">
        <v>1434.64</v>
      </c>
      <c r="O552" s="278">
        <v>1248.22</v>
      </c>
      <c r="P552" s="278">
        <v>1315.31</v>
      </c>
      <c r="Q552" s="298"/>
      <c r="R552" s="298"/>
      <c r="S552" s="298"/>
      <c r="T552" s="298"/>
      <c r="U552" s="298"/>
      <c r="V552" s="302"/>
      <c r="W552" s="298"/>
      <c r="X552" s="268"/>
      <c r="Y552" s="268"/>
      <c r="Z552" s="267"/>
      <c r="AA552" s="267"/>
      <c r="AB552" s="267"/>
      <c r="AC552" s="267"/>
      <c r="AD552" s="268"/>
      <c r="AE552" s="269"/>
    </row>
    <row r="553" spans="1:31" ht="57.75" thickBot="1">
      <c r="A553" s="306"/>
      <c r="B553" s="299"/>
      <c r="C553" s="299" t="s">
        <v>197</v>
      </c>
      <c r="D553" s="371">
        <f t="shared" ref="D553:P553" si="179">IF(((D551="")*AND(D552="")),"",(D551-D552)*2)</f>
        <v>5613.68</v>
      </c>
      <c r="E553" s="371">
        <f t="shared" si="179"/>
        <v>5624.72</v>
      </c>
      <c r="F553" s="371">
        <f t="shared" si="179"/>
        <v>5622.6</v>
      </c>
      <c r="G553" s="371">
        <f t="shared" si="179"/>
        <v>5770.58</v>
      </c>
      <c r="H553" s="371">
        <f t="shared" si="179"/>
        <v>5644.5399999999991</v>
      </c>
      <c r="I553" s="371">
        <f t="shared" si="179"/>
        <v>5725.34</v>
      </c>
      <c r="J553" s="371">
        <f t="shared" si="179"/>
        <v>5816.66</v>
      </c>
      <c r="K553" s="371">
        <f t="shared" si="179"/>
        <v>5812.66</v>
      </c>
      <c r="L553" s="371">
        <f t="shared" si="179"/>
        <v>5665.4400000000005</v>
      </c>
      <c r="M553" s="371">
        <f t="shared" si="179"/>
        <v>5792.42</v>
      </c>
      <c r="N553" s="371">
        <f t="shared" si="179"/>
        <v>5690.92</v>
      </c>
      <c r="O553" s="371">
        <f t="shared" si="179"/>
        <v>5729.66</v>
      </c>
      <c r="P553" s="371">
        <f t="shared" si="179"/>
        <v>5723.06</v>
      </c>
      <c r="Q553" s="299"/>
      <c r="R553" s="299"/>
      <c r="S553" s="299"/>
      <c r="T553" s="299"/>
      <c r="U553" s="299"/>
      <c r="V553" s="324"/>
      <c r="W553" s="299"/>
      <c r="X553" s="268"/>
      <c r="Y553" s="268"/>
      <c r="Z553" s="267"/>
      <c r="AA553" s="267"/>
      <c r="AB553" s="267"/>
      <c r="AC553" s="267"/>
      <c r="AD553" s="268"/>
      <c r="AE553" s="269"/>
    </row>
    <row r="554" spans="1:31" ht="12.75" customHeight="1">
      <c r="A554" s="364">
        <v>43357</v>
      </c>
      <c r="B554" s="326" t="s">
        <v>200</v>
      </c>
      <c r="C554" s="326" t="s">
        <v>199</v>
      </c>
      <c r="D554" s="278">
        <v>6787.68</v>
      </c>
      <c r="E554" s="278">
        <v>6980.94</v>
      </c>
      <c r="F554" s="278">
        <v>6692.12</v>
      </c>
      <c r="G554" s="278">
        <v>6745.14</v>
      </c>
      <c r="H554" s="278">
        <v>6879.66</v>
      </c>
      <c r="I554" s="278">
        <v>6812.37</v>
      </c>
      <c r="J554" s="278">
        <v>6794.83</v>
      </c>
      <c r="K554" s="278">
        <v>6753.25</v>
      </c>
      <c r="L554" s="278">
        <v>6767.86</v>
      </c>
      <c r="M554" s="278">
        <v>6866.85</v>
      </c>
      <c r="N554" s="278">
        <v>7014.16</v>
      </c>
      <c r="O554" s="278">
        <v>6851.68</v>
      </c>
      <c r="P554" s="278">
        <v>6924.01</v>
      </c>
      <c r="Q554" s="326">
        <f>IF((L555=""),"",MAX(D556:P556))</f>
        <v>5693.16</v>
      </c>
      <c r="R554" s="326">
        <f>IF(L555="","",MIN(D556:L556))</f>
        <v>5505.380000000001</v>
      </c>
      <c r="S554" s="318">
        <f>IF((P556=""),"",AVERAGE(D556:P556))</f>
        <v>5600.3507692307703</v>
      </c>
      <c r="T554" s="319">
        <f>IF((L555=""),"",(Q554-R554)/(Q554+R554)*100)</f>
        <v>1.6768257290682431</v>
      </c>
      <c r="U554" s="326">
        <f>STDEV(D556:P556)</f>
        <v>64.177747761015368</v>
      </c>
      <c r="V554" s="328" t="str">
        <f>IF(P555="","",IF(T554&lt;2.7,IF(S554&gt;5150,IF(S554&lt;5600,"Pass","Fail"),"Fail"),"Fail"))</f>
        <v>Fail</v>
      </c>
      <c r="W554" s="326">
        <v>121</v>
      </c>
      <c r="X554" s="268"/>
      <c r="Y554" s="268"/>
      <c r="Z554" s="321">
        <v>4470</v>
      </c>
      <c r="AA554" s="321">
        <v>6020</v>
      </c>
      <c r="AB554" s="321">
        <v>5150</v>
      </c>
      <c r="AC554" s="321">
        <v>5600</v>
      </c>
      <c r="AD554" s="305">
        <v>10</v>
      </c>
      <c r="AE554" s="322">
        <v>2.7</v>
      </c>
    </row>
    <row r="555" spans="1:31" ht="15">
      <c r="A555" s="306"/>
      <c r="B555" s="298"/>
      <c r="C555" s="298" t="s">
        <v>198</v>
      </c>
      <c r="D555" s="278">
        <v>4034.99</v>
      </c>
      <c r="E555" s="278">
        <v>4217.99</v>
      </c>
      <c r="F555" s="278">
        <v>3926.96</v>
      </c>
      <c r="G555" s="278">
        <v>3917.86</v>
      </c>
      <c r="H555" s="278">
        <v>4104.8100000000004</v>
      </c>
      <c r="I555" s="278">
        <v>3998.29</v>
      </c>
      <c r="J555" s="278">
        <v>3948.25</v>
      </c>
      <c r="K555" s="278">
        <v>3913.74</v>
      </c>
      <c r="L555" s="278">
        <v>3989.98</v>
      </c>
      <c r="M555" s="278">
        <v>4026.3</v>
      </c>
      <c r="N555" s="278">
        <v>4221.7299999999996</v>
      </c>
      <c r="O555" s="278">
        <v>4046.9</v>
      </c>
      <c r="P555" s="278">
        <v>4120.47</v>
      </c>
      <c r="Q555" s="298"/>
      <c r="R555" s="298"/>
      <c r="S555" s="298"/>
      <c r="T555" s="298"/>
      <c r="U555" s="298"/>
      <c r="V555" s="302"/>
      <c r="W555" s="298"/>
      <c r="X555" s="268"/>
      <c r="Y555" s="268"/>
      <c r="Z555" s="267"/>
      <c r="AA555" s="267"/>
      <c r="AB555" s="267"/>
      <c r="AC555" s="267"/>
      <c r="AD555" s="268"/>
      <c r="AE555" s="269"/>
    </row>
    <row r="556" spans="1:31" ht="57">
      <c r="A556" s="306"/>
      <c r="B556" s="299"/>
      <c r="C556" s="299" t="s">
        <v>197</v>
      </c>
      <c r="D556" s="371">
        <f t="shared" ref="D556:P556" si="180">IF(((D554="")*AND(D555="")),"",(D554-D555)*2)</f>
        <v>5505.380000000001</v>
      </c>
      <c r="E556" s="371">
        <f t="shared" si="180"/>
        <v>5525.9</v>
      </c>
      <c r="F556" s="371">
        <f t="shared" si="180"/>
        <v>5530.32</v>
      </c>
      <c r="G556" s="371">
        <f t="shared" si="180"/>
        <v>5654.56</v>
      </c>
      <c r="H556" s="371">
        <f t="shared" si="180"/>
        <v>5549.6999999999989</v>
      </c>
      <c r="I556" s="371">
        <f t="shared" si="180"/>
        <v>5628.16</v>
      </c>
      <c r="J556" s="371">
        <f t="shared" si="180"/>
        <v>5693.16</v>
      </c>
      <c r="K556" s="371">
        <f t="shared" si="180"/>
        <v>5679.02</v>
      </c>
      <c r="L556" s="371">
        <f t="shared" si="180"/>
        <v>5555.7599999999993</v>
      </c>
      <c r="M556" s="371">
        <f t="shared" si="180"/>
        <v>5681.1</v>
      </c>
      <c r="N556" s="371">
        <f t="shared" si="180"/>
        <v>5584.8600000000006</v>
      </c>
      <c r="O556" s="371">
        <f t="shared" si="180"/>
        <v>5609.56</v>
      </c>
      <c r="P556" s="371">
        <f t="shared" si="180"/>
        <v>5607.08</v>
      </c>
      <c r="Q556" s="299"/>
      <c r="R556" s="299"/>
      <c r="S556" s="299"/>
      <c r="T556" s="299"/>
      <c r="U556" s="299"/>
      <c r="V556" s="324"/>
      <c r="W556" s="299"/>
      <c r="X556" s="268"/>
      <c r="Y556" s="268"/>
      <c r="Z556" s="267"/>
      <c r="AA556" s="267"/>
      <c r="AB556" s="267"/>
      <c r="AC556" s="267"/>
      <c r="AD556" s="268"/>
      <c r="AE556" s="269"/>
    </row>
    <row r="557" spans="1:31" ht="12.75" customHeight="1">
      <c r="A557" s="364">
        <v>43362</v>
      </c>
      <c r="B557" s="326" t="s">
        <v>202</v>
      </c>
      <c r="C557" s="307" t="s">
        <v>199</v>
      </c>
      <c r="D557" s="278">
        <v>3618.36</v>
      </c>
      <c r="E557" s="278">
        <v>3710.84</v>
      </c>
      <c r="F557" s="278">
        <v>3722.95</v>
      </c>
      <c r="G557" s="278">
        <v>3533.6</v>
      </c>
      <c r="H557" s="278">
        <v>3678.48</v>
      </c>
      <c r="I557" s="278">
        <v>3724.21</v>
      </c>
      <c r="J557" s="278">
        <v>3630.18</v>
      </c>
      <c r="K557" s="278">
        <v>3646.97</v>
      </c>
      <c r="L557" s="278">
        <v>3698.27</v>
      </c>
      <c r="M557" s="290"/>
      <c r="N557" s="290"/>
      <c r="O557" s="290"/>
      <c r="P557" s="290"/>
      <c r="Q557" s="326">
        <f>IF((L558=""),"",MAX(D559:L559))</f>
        <v>7803</v>
      </c>
      <c r="R557" s="326">
        <f>IF(L558="","",MIN(D559:L559))</f>
        <v>6499.92</v>
      </c>
      <c r="S557" s="327">
        <f>IF((L559=""),"",AVERAGE(D559:L559))</f>
        <v>6772.1033333333326</v>
      </c>
      <c r="T557" s="319">
        <f>IF((L558=""),"",(Q557-R557)/(Q557+R557)*100)</f>
        <v>9.1105872087657627</v>
      </c>
      <c r="U557" s="326">
        <f>STDEV(D559:P559)</f>
        <v>397.83279807603839</v>
      </c>
      <c r="V557" s="328" t="str">
        <f>IF(L558="","",IF(T557&lt;9.8,IF(S557&gt;5100,IF(S557&lt;8300,"Pass","Fail"),"Fail"),"Fail"))</f>
        <v>Pass</v>
      </c>
      <c r="W557" s="298" t="s">
        <v>161</v>
      </c>
      <c r="X557" s="268"/>
      <c r="Y557" s="268"/>
      <c r="Z557" s="267">
        <v>4955</v>
      </c>
      <c r="AA557" s="267">
        <v>9645</v>
      </c>
      <c r="AB557" s="267">
        <v>5100</v>
      </c>
      <c r="AC557" s="267">
        <v>8300</v>
      </c>
      <c r="AD557" s="305">
        <v>10</v>
      </c>
      <c r="AE557" s="305">
        <v>9.8000000000000007</v>
      </c>
    </row>
    <row r="558" spans="1:31" ht="15">
      <c r="A558" s="306"/>
      <c r="B558" s="298"/>
      <c r="C558" s="307" t="s">
        <v>198</v>
      </c>
      <c r="D558" s="278">
        <v>1397.39</v>
      </c>
      <c r="E558" s="278">
        <v>1530.04</v>
      </c>
      <c r="F558" s="278">
        <v>1504.16</v>
      </c>
      <c r="G558" s="278">
        <v>932.6</v>
      </c>
      <c r="H558" s="278">
        <v>1451.2</v>
      </c>
      <c r="I558" s="278">
        <v>1525.45</v>
      </c>
      <c r="J558" s="278">
        <v>1463.54</v>
      </c>
      <c r="K558" s="278">
        <v>1370.69</v>
      </c>
      <c r="L558" s="278">
        <v>1472.48</v>
      </c>
      <c r="M558" s="290"/>
      <c r="N558" s="290"/>
      <c r="O558" s="290"/>
      <c r="P558" s="290"/>
      <c r="Q558" s="298"/>
      <c r="R558" s="298"/>
      <c r="S558" s="298"/>
      <c r="T558" s="298"/>
      <c r="U558" s="298"/>
      <c r="V558" s="302"/>
      <c r="W558" s="298"/>
      <c r="X558" s="268"/>
      <c r="Y558" s="268"/>
      <c r="Z558" s="267"/>
      <c r="AA558" s="267"/>
      <c r="AB558" s="267"/>
      <c r="AC558" s="267"/>
      <c r="AD558" s="268"/>
      <c r="AE558" s="269"/>
    </row>
    <row r="559" spans="1:31" ht="57.75" thickBot="1">
      <c r="A559" s="306"/>
      <c r="B559" s="298"/>
      <c r="C559" s="326" t="s">
        <v>197</v>
      </c>
      <c r="D559" s="343">
        <f t="shared" ref="D559:L559" si="181">IF(((D557="")*AND(D558="")),"",(D557-D558)*3)</f>
        <v>6662.9100000000008</v>
      </c>
      <c r="E559" s="343">
        <f t="shared" si="181"/>
        <v>6542.4000000000005</v>
      </c>
      <c r="F559" s="343">
        <f t="shared" si="181"/>
        <v>6656.37</v>
      </c>
      <c r="G559" s="343">
        <f t="shared" si="181"/>
        <v>7803</v>
      </c>
      <c r="H559" s="343">
        <f t="shared" si="181"/>
        <v>6681.8399999999992</v>
      </c>
      <c r="I559" s="343">
        <f t="shared" si="181"/>
        <v>6596.2800000000007</v>
      </c>
      <c r="J559" s="343">
        <f t="shared" si="181"/>
        <v>6499.92</v>
      </c>
      <c r="K559" s="343">
        <f t="shared" si="181"/>
        <v>6828.8399999999992</v>
      </c>
      <c r="L559" s="343">
        <f t="shared" si="181"/>
        <v>6677.37</v>
      </c>
      <c r="M559" s="343"/>
      <c r="N559" s="343"/>
      <c r="O559" s="343"/>
      <c r="P559" s="343" t="str">
        <f>IF(((P557="")*AND(P558="")),"",(P557-P558)*2)</f>
        <v/>
      </c>
      <c r="Q559" s="298"/>
      <c r="R559" s="298"/>
      <c r="S559" s="298"/>
      <c r="T559" s="298"/>
      <c r="U559" s="298"/>
      <c r="V559" s="302"/>
      <c r="W559" s="298"/>
      <c r="X559" s="268"/>
      <c r="Y559" s="268"/>
      <c r="Z559" s="267"/>
      <c r="AA559" s="267"/>
      <c r="AB559" s="267"/>
      <c r="AC559" s="267"/>
      <c r="AD559" s="268"/>
      <c r="AE559" s="269"/>
    </row>
    <row r="560" spans="1:31" ht="12.75" customHeight="1">
      <c r="A560" s="364">
        <v>43362</v>
      </c>
      <c r="B560" s="326" t="s">
        <v>200</v>
      </c>
      <c r="C560" s="326" t="s">
        <v>199</v>
      </c>
      <c r="D560" s="278">
        <v>4034.99</v>
      </c>
      <c r="E560" s="278">
        <v>4217.99</v>
      </c>
      <c r="F560" s="278">
        <v>3926.96</v>
      </c>
      <c r="G560" s="278">
        <v>3917.86</v>
      </c>
      <c r="H560" s="278">
        <v>4104.8100000000004</v>
      </c>
      <c r="I560" s="278">
        <v>3998.29</v>
      </c>
      <c r="J560" s="278">
        <v>3948.25</v>
      </c>
      <c r="K560" s="278">
        <v>3913.74</v>
      </c>
      <c r="L560" s="278">
        <v>3989.98</v>
      </c>
      <c r="M560" s="278">
        <v>4026.3</v>
      </c>
      <c r="N560" s="278">
        <v>4221.7299999999996</v>
      </c>
      <c r="O560" s="278">
        <v>4046.9</v>
      </c>
      <c r="P560" s="278">
        <v>4120.47</v>
      </c>
      <c r="Q560" s="326">
        <f>IF((L561=""),"",MAX(D562:P562))</f>
        <v>5657.48</v>
      </c>
      <c r="R560" s="326">
        <f>IF(L561="","",MIN(D562:L562))</f>
        <v>5490.82</v>
      </c>
      <c r="S560" s="318">
        <f>IF((P562=""),"",AVERAGE(D562:P562))</f>
        <v>5575.1630769230769</v>
      </c>
      <c r="T560" s="319">
        <f>IF((L561=""),"",(Q560-R560)/(Q560+R560)*100)</f>
        <v>1.4949364477095151</v>
      </c>
      <c r="U560" s="326">
        <f>STDEV(D562:P562)</f>
        <v>59.79660572657226</v>
      </c>
      <c r="V560" s="328" t="str">
        <f>IF(P561="","",IF(T560&lt;2.7,IF(S560&gt;5150,IF(S560&lt;5600,"Pass","Fail"),"Fail"),"Fail"))</f>
        <v>Pass</v>
      </c>
      <c r="W560" s="326" t="s">
        <v>161</v>
      </c>
      <c r="X560" s="268"/>
      <c r="Y560" s="268"/>
      <c r="Z560" s="321">
        <v>4470</v>
      </c>
      <c r="AA560" s="321">
        <v>6020</v>
      </c>
      <c r="AB560" s="321">
        <v>5150</v>
      </c>
      <c r="AC560" s="321">
        <v>5600</v>
      </c>
      <c r="AD560" s="305">
        <v>10</v>
      </c>
      <c r="AE560" s="322">
        <v>2.7</v>
      </c>
    </row>
    <row r="561" spans="1:31" ht="15">
      <c r="A561" s="306"/>
      <c r="B561" s="298"/>
      <c r="C561" s="298" t="s">
        <v>198</v>
      </c>
      <c r="D561" s="278">
        <v>1288.67</v>
      </c>
      <c r="E561" s="278">
        <v>1465.72</v>
      </c>
      <c r="F561" s="278">
        <v>1181.55</v>
      </c>
      <c r="G561" s="278">
        <v>1107.83</v>
      </c>
      <c r="H561" s="278">
        <v>1340.03</v>
      </c>
      <c r="I561" s="278">
        <v>1201.4100000000001</v>
      </c>
      <c r="J561" s="278">
        <v>1119.51</v>
      </c>
      <c r="K561" s="278">
        <v>1090.0999999999999</v>
      </c>
      <c r="L561" s="278">
        <v>1224.98</v>
      </c>
      <c r="M561" s="278">
        <v>1205.23</v>
      </c>
      <c r="N561" s="278">
        <v>1435.03</v>
      </c>
      <c r="O561" s="278">
        <v>1250.03</v>
      </c>
      <c r="P561" s="278">
        <v>1319.62</v>
      </c>
      <c r="Q561" s="298"/>
      <c r="R561" s="298"/>
      <c r="S561" s="298"/>
      <c r="T561" s="298"/>
      <c r="U561" s="298"/>
      <c r="V561" s="302"/>
      <c r="W561" s="298"/>
      <c r="X561" s="268"/>
      <c r="Y561" s="268"/>
      <c r="Z561" s="267"/>
      <c r="AA561" s="267"/>
      <c r="AB561" s="267"/>
      <c r="AC561" s="267"/>
      <c r="AD561" s="268"/>
      <c r="AE561" s="269"/>
    </row>
    <row r="562" spans="1:31" ht="57">
      <c r="A562" s="306"/>
      <c r="B562" s="299"/>
      <c r="C562" s="299" t="s">
        <v>197</v>
      </c>
      <c r="D562" s="371">
        <f t="shared" ref="D562:P562" si="182">IF(((D560="")*AND(D561="")),"",(D560-D561)*2)</f>
        <v>5492.6399999999994</v>
      </c>
      <c r="E562" s="371">
        <f t="shared" si="182"/>
        <v>5504.5399999999991</v>
      </c>
      <c r="F562" s="371">
        <f t="shared" si="182"/>
        <v>5490.82</v>
      </c>
      <c r="G562" s="371">
        <f t="shared" si="182"/>
        <v>5620.06</v>
      </c>
      <c r="H562" s="371">
        <f t="shared" si="182"/>
        <v>5529.5600000000013</v>
      </c>
      <c r="I562" s="371">
        <f t="shared" si="182"/>
        <v>5593.76</v>
      </c>
      <c r="J562" s="371">
        <f t="shared" si="182"/>
        <v>5657.48</v>
      </c>
      <c r="K562" s="371">
        <f t="shared" si="182"/>
        <v>5647.28</v>
      </c>
      <c r="L562" s="371">
        <f t="shared" si="182"/>
        <v>5530</v>
      </c>
      <c r="M562" s="371">
        <f t="shared" si="182"/>
        <v>5642.14</v>
      </c>
      <c r="N562" s="371">
        <f t="shared" si="182"/>
        <v>5573.4</v>
      </c>
      <c r="O562" s="371">
        <f t="shared" si="182"/>
        <v>5593.74</v>
      </c>
      <c r="P562" s="371">
        <f t="shared" si="182"/>
        <v>5601.7000000000007</v>
      </c>
      <c r="Q562" s="299"/>
      <c r="R562" s="299"/>
      <c r="S562" s="299"/>
      <c r="T562" s="299"/>
      <c r="U562" s="299"/>
      <c r="V562" s="324"/>
      <c r="W562" s="299"/>
      <c r="X562" s="268"/>
      <c r="Y562" s="268"/>
      <c r="Z562" s="267"/>
      <c r="AA562" s="267"/>
      <c r="AB562" s="267"/>
      <c r="AC562" s="267"/>
      <c r="AD562" s="268"/>
      <c r="AE562" s="269"/>
    </row>
    <row r="563" spans="1:31" ht="12.75" customHeight="1">
      <c r="A563" s="364">
        <v>43362</v>
      </c>
      <c r="B563" s="326" t="s">
        <v>202</v>
      </c>
      <c r="C563" s="307" t="s">
        <v>199</v>
      </c>
      <c r="D563" s="278">
        <v>5945</v>
      </c>
      <c r="E563" s="278">
        <v>6061.14</v>
      </c>
      <c r="F563" s="278">
        <v>6106.15</v>
      </c>
      <c r="G563" s="278">
        <v>6043</v>
      </c>
      <c r="H563" s="278">
        <v>6032.46</v>
      </c>
      <c r="I563" s="278">
        <v>6116.86</v>
      </c>
      <c r="J563" s="278">
        <v>5952.71</v>
      </c>
      <c r="K563" s="278">
        <v>6041.16</v>
      </c>
      <c r="L563" s="278">
        <v>6090.35</v>
      </c>
      <c r="M563" s="290"/>
      <c r="N563" s="290"/>
      <c r="O563" s="290"/>
      <c r="P563" s="290"/>
      <c r="Q563" s="326">
        <f>IF((L564=""),"",MAX(D565:L565))</f>
        <v>7143.2999999999984</v>
      </c>
      <c r="R563" s="326">
        <f>IF(L564="","",MIN(D565:L565))</f>
        <v>6930.0300000000007</v>
      </c>
      <c r="S563" s="327">
        <f>IF((L565=""),"",AVERAGE(D565:L565))</f>
        <v>7069.6099999999988</v>
      </c>
      <c r="T563" s="319">
        <f>IF((L564=""),"",(Q563-R563)/(Q563+R563)*100)</f>
        <v>1.5154195915252306</v>
      </c>
      <c r="U563" s="326">
        <f>STDEV(D565:P565)</f>
        <v>66.565573872804521</v>
      </c>
      <c r="V563" s="328" t="str">
        <f>IF(L564="","",IF(T563&lt;9.8,IF(S563&gt;5100,IF(S563&lt;8300,"Pass","Fail"),"Fail"),"Fail"))</f>
        <v>Pass</v>
      </c>
      <c r="W563" s="298" t="s">
        <v>161</v>
      </c>
      <c r="X563" s="268"/>
      <c r="Y563" s="268"/>
      <c r="Z563" s="267">
        <v>4955</v>
      </c>
      <c r="AA563" s="267">
        <v>9645</v>
      </c>
      <c r="AB563" s="267">
        <v>5100</v>
      </c>
      <c r="AC563" s="267">
        <v>8300</v>
      </c>
      <c r="AD563" s="305">
        <v>10</v>
      </c>
      <c r="AE563" s="305">
        <v>9.8000000000000007</v>
      </c>
    </row>
    <row r="564" spans="1:31" ht="15">
      <c r="A564" s="306"/>
      <c r="B564" s="298"/>
      <c r="C564" s="307" t="s">
        <v>198</v>
      </c>
      <c r="D564" s="278">
        <v>3570.9</v>
      </c>
      <c r="E564" s="278">
        <v>3703.38</v>
      </c>
      <c r="F564" s="278">
        <v>3730.83</v>
      </c>
      <c r="G564" s="278">
        <v>3686</v>
      </c>
      <c r="H564" s="278">
        <v>3687.25</v>
      </c>
      <c r="I564" s="278">
        <v>3735.76</v>
      </c>
      <c r="J564" s="278">
        <v>3642.7</v>
      </c>
      <c r="K564" s="278">
        <v>3700.56</v>
      </c>
      <c r="L564" s="278">
        <v>3722.62</v>
      </c>
      <c r="M564" s="290"/>
      <c r="N564" s="290"/>
      <c r="O564" s="290"/>
      <c r="P564" s="290"/>
      <c r="Q564" s="298"/>
      <c r="R564" s="298"/>
      <c r="S564" s="298"/>
      <c r="T564" s="298"/>
      <c r="U564" s="298"/>
      <c r="V564" s="302"/>
      <c r="W564" s="298"/>
      <c r="X564" s="268"/>
      <c r="Y564" s="268"/>
      <c r="Z564" s="267"/>
      <c r="AA564" s="267"/>
      <c r="AB564" s="267"/>
      <c r="AC564" s="267"/>
      <c r="AD564" s="268"/>
      <c r="AE564" s="269"/>
    </row>
    <row r="565" spans="1:31" ht="57.75" thickBot="1">
      <c r="A565" s="306"/>
      <c r="B565" s="298"/>
      <c r="C565" s="326" t="s">
        <v>197</v>
      </c>
      <c r="D565" s="343">
        <f t="shared" ref="D565:L565" si="183">IF(((D563="")*AND(D564="")),"",(D563-D564)*3)</f>
        <v>7122.2999999999993</v>
      </c>
      <c r="E565" s="343">
        <f t="shared" si="183"/>
        <v>7073.2800000000007</v>
      </c>
      <c r="F565" s="343">
        <f t="shared" si="183"/>
        <v>7125.9599999999991</v>
      </c>
      <c r="G565" s="343">
        <f t="shared" si="183"/>
        <v>7071</v>
      </c>
      <c r="H565" s="343">
        <f t="shared" si="183"/>
        <v>7035.63</v>
      </c>
      <c r="I565" s="343">
        <f t="shared" si="183"/>
        <v>7143.2999999999984</v>
      </c>
      <c r="J565" s="343">
        <f t="shared" si="183"/>
        <v>6930.0300000000007</v>
      </c>
      <c r="K565" s="343">
        <f t="shared" si="183"/>
        <v>7021.7999999999993</v>
      </c>
      <c r="L565" s="343">
        <f t="shared" si="183"/>
        <v>7103.1900000000014</v>
      </c>
      <c r="M565" s="343"/>
      <c r="N565" s="343"/>
      <c r="O565" s="343"/>
      <c r="P565" s="343" t="str">
        <f>IF(((P563="")*AND(P564="")),"",(P563-P564)*2)</f>
        <v/>
      </c>
      <c r="Q565" s="298"/>
      <c r="R565" s="298"/>
      <c r="S565" s="298"/>
      <c r="T565" s="298"/>
      <c r="U565" s="298"/>
      <c r="V565" s="302"/>
      <c r="W565" s="298"/>
      <c r="X565" s="268"/>
      <c r="Y565" s="268"/>
      <c r="Z565" s="267"/>
      <c r="AA565" s="267"/>
      <c r="AB565" s="267"/>
      <c r="AC565" s="267"/>
      <c r="AD565" s="268"/>
      <c r="AE565" s="269"/>
    </row>
    <row r="566" spans="1:31" ht="12.75" customHeight="1">
      <c r="A566" s="364">
        <v>43362</v>
      </c>
      <c r="B566" s="326" t="s">
        <v>200</v>
      </c>
      <c r="C566" s="326" t="s">
        <v>199</v>
      </c>
      <c r="D566" s="278">
        <v>6769.62</v>
      </c>
      <c r="E566" s="278">
        <v>6967.41</v>
      </c>
      <c r="F566" s="278">
        <v>6683.12</v>
      </c>
      <c r="G566" s="278">
        <v>6733.74</v>
      </c>
      <c r="H566" s="278">
        <v>6858.92</v>
      </c>
      <c r="I566" s="278">
        <v>6795.72</v>
      </c>
      <c r="J566" s="278">
        <v>6783.49</v>
      </c>
      <c r="K566" s="278">
        <v>6744.44</v>
      </c>
      <c r="L566" s="278">
        <v>6756.23</v>
      </c>
      <c r="M566" s="278">
        <v>6854.87</v>
      </c>
      <c r="N566" s="278">
        <v>7003.49</v>
      </c>
      <c r="O566" s="278">
        <v>6836.48</v>
      </c>
      <c r="P566" s="278">
        <v>6915.93</v>
      </c>
      <c r="Q566" s="326">
        <f>IF((L567=""),"",MAX(D568:P568))</f>
        <v>5650.04</v>
      </c>
      <c r="R566" s="326">
        <f>IF(L567="","",MIN(D568:L568))</f>
        <v>5442.62</v>
      </c>
      <c r="S566" s="318">
        <f>IF((P568=""),"",AVERAGE(D568:P568))</f>
        <v>5550.2307692307695</v>
      </c>
      <c r="T566" s="319">
        <f>IF((L567=""),"",(Q566-R566)/(Q566+R566)*100)</f>
        <v>1.8698851312489526</v>
      </c>
      <c r="U566" s="326">
        <f>STDEV(D568:P568)</f>
        <v>72.310829348163068</v>
      </c>
      <c r="V566" s="328" t="str">
        <f>IF(P567="","",IF(T566&lt;2.7,IF(S566&gt;5150,IF(S566&lt;5600,"Pass","Fail"),"Fail"),"Fail"))</f>
        <v>Pass</v>
      </c>
      <c r="W566" s="298" t="s">
        <v>161</v>
      </c>
      <c r="X566" s="268"/>
      <c r="Y566" s="268"/>
      <c r="Z566" s="321">
        <v>4470</v>
      </c>
      <c r="AA566" s="321">
        <v>6020</v>
      </c>
      <c r="AB566" s="321">
        <v>5150</v>
      </c>
      <c r="AC566" s="321">
        <v>5600</v>
      </c>
      <c r="AD566" s="305">
        <v>10</v>
      </c>
      <c r="AE566" s="322">
        <v>2.7</v>
      </c>
    </row>
    <row r="567" spans="1:31" ht="15">
      <c r="A567" s="306"/>
      <c r="B567" s="298"/>
      <c r="C567" s="298" t="s">
        <v>198</v>
      </c>
      <c r="D567" s="278">
        <v>4048.31</v>
      </c>
      <c r="E567" s="278">
        <v>4239.79</v>
      </c>
      <c r="F567" s="278">
        <v>3941.65</v>
      </c>
      <c r="G567" s="278">
        <v>3928.8</v>
      </c>
      <c r="H567" s="278">
        <v>4117.78</v>
      </c>
      <c r="I567" s="278">
        <v>4007.32</v>
      </c>
      <c r="J567" s="278">
        <v>3958.47</v>
      </c>
      <c r="K567" s="278">
        <v>3924.42</v>
      </c>
      <c r="L567" s="278">
        <v>3999.71</v>
      </c>
      <c r="M567" s="278">
        <v>4033.51</v>
      </c>
      <c r="N567" s="278">
        <v>4238.22</v>
      </c>
      <c r="O567" s="278">
        <v>4052.75</v>
      </c>
      <c r="P567" s="278">
        <v>4136.2299999999996</v>
      </c>
      <c r="Q567" s="298"/>
      <c r="R567" s="298"/>
      <c r="S567" s="298"/>
      <c r="T567" s="298"/>
      <c r="U567" s="298"/>
      <c r="V567" s="302"/>
      <c r="W567" s="298"/>
      <c r="X567" s="268"/>
      <c r="Y567" s="268"/>
      <c r="Z567" s="267"/>
      <c r="AA567" s="267"/>
      <c r="AB567" s="267"/>
      <c r="AC567" s="267"/>
      <c r="AD567" s="268"/>
      <c r="AE567" s="269"/>
    </row>
    <row r="568" spans="1:31" ht="57">
      <c r="A568" s="306"/>
      <c r="B568" s="299"/>
      <c r="C568" s="299" t="s">
        <v>197</v>
      </c>
      <c r="D568" s="371">
        <f t="shared" ref="D568:P568" si="184">IF(((D566="")*AND(D567="")),"",(D566-D567)*2)</f>
        <v>5442.62</v>
      </c>
      <c r="E568" s="371">
        <f t="shared" si="184"/>
        <v>5455.24</v>
      </c>
      <c r="F568" s="371">
        <f t="shared" si="184"/>
        <v>5482.94</v>
      </c>
      <c r="G568" s="371">
        <f t="shared" si="184"/>
        <v>5609.8799999999992</v>
      </c>
      <c r="H568" s="371">
        <f t="shared" si="184"/>
        <v>5482.2800000000007</v>
      </c>
      <c r="I568" s="371">
        <f t="shared" si="184"/>
        <v>5576.8</v>
      </c>
      <c r="J568" s="371">
        <f t="shared" si="184"/>
        <v>5650.04</v>
      </c>
      <c r="K568" s="371">
        <f t="shared" si="184"/>
        <v>5640.0399999999991</v>
      </c>
      <c r="L568" s="371">
        <f t="shared" si="184"/>
        <v>5513.0399999999991</v>
      </c>
      <c r="M568" s="371">
        <f t="shared" si="184"/>
        <v>5642.7199999999993</v>
      </c>
      <c r="N568" s="371">
        <f t="shared" si="184"/>
        <v>5530.5399999999991</v>
      </c>
      <c r="O568" s="371">
        <f t="shared" si="184"/>
        <v>5567.4599999999991</v>
      </c>
      <c r="P568" s="371">
        <f t="shared" si="184"/>
        <v>5559.4000000000015</v>
      </c>
      <c r="Q568" s="299"/>
      <c r="R568" s="299"/>
      <c r="S568" s="299"/>
      <c r="T568" s="299"/>
      <c r="U568" s="299"/>
      <c r="V568" s="324"/>
      <c r="W568" s="299"/>
      <c r="X568" s="268"/>
      <c r="Y568" s="268"/>
      <c r="Z568" s="267"/>
      <c r="AA568" s="267"/>
      <c r="AB568" s="267"/>
      <c r="AC568" s="267"/>
      <c r="AD568" s="268"/>
      <c r="AE568" s="269"/>
    </row>
    <row r="569" spans="1:31" ht="12.75" customHeight="1">
      <c r="A569" s="364">
        <v>43368</v>
      </c>
      <c r="B569" s="326" t="s">
        <v>202</v>
      </c>
      <c r="C569" s="307" t="s">
        <v>199</v>
      </c>
      <c r="D569" s="278">
        <v>6080.11</v>
      </c>
      <c r="E569" s="278">
        <v>6237.54</v>
      </c>
      <c r="F569" s="278">
        <v>6272.48</v>
      </c>
      <c r="G569" s="278">
        <v>6186.5</v>
      </c>
      <c r="H569" s="278">
        <v>6063.49</v>
      </c>
      <c r="I569" s="278">
        <v>6041.6</v>
      </c>
      <c r="J569" s="278">
        <v>6214.02</v>
      </c>
      <c r="K569" s="278">
        <v>6274.05</v>
      </c>
      <c r="L569" s="278">
        <v>5988.47</v>
      </c>
      <c r="M569" s="290"/>
      <c r="N569" s="290"/>
      <c r="O569" s="290"/>
      <c r="P569" s="290"/>
      <c r="Q569" s="326">
        <f>IF((L570=""),"",MAX(D571:L571))</f>
        <v>7660.9500000000007</v>
      </c>
      <c r="R569" s="326">
        <f>IF(L570="","",MIN(D571:L571))</f>
        <v>6641.9700000000012</v>
      </c>
      <c r="S569" s="327">
        <f>IF((L571=""),"",AVERAGE(D571:L571))</f>
        <v>7176.12</v>
      </c>
      <c r="T569" s="319">
        <f>IF((L570=""),"",(Q569-R569)/(Q569+R569)*100)</f>
        <v>7.1242795177488185</v>
      </c>
      <c r="U569" s="326">
        <f>STDEV(D571:P571)</f>
        <v>361.70277113950533</v>
      </c>
      <c r="V569" s="328" t="str">
        <f>IF(L570="","",IF(T569&lt;9.8,IF(S569&gt;5100,IF(S569&lt;8300,"Pass","Fail"),"Fail"),"Fail"))</f>
        <v>Pass</v>
      </c>
      <c r="W569" s="298">
        <v>1340</v>
      </c>
      <c r="X569" s="268"/>
      <c r="Y569" s="268"/>
      <c r="Z569" s="267">
        <v>4955</v>
      </c>
      <c r="AA569" s="267">
        <v>9645</v>
      </c>
      <c r="AB569" s="267">
        <v>5100</v>
      </c>
      <c r="AC569" s="267">
        <v>8300</v>
      </c>
      <c r="AD569" s="305">
        <v>10</v>
      </c>
      <c r="AE569" s="305">
        <v>9.8000000000000007</v>
      </c>
    </row>
    <row r="570" spans="1:31" ht="15">
      <c r="A570" s="306"/>
      <c r="B570" s="298"/>
      <c r="C570" s="307" t="s">
        <v>198</v>
      </c>
      <c r="D570" s="278">
        <v>3705.88</v>
      </c>
      <c r="E570" s="278">
        <v>3785.48</v>
      </c>
      <c r="F570" s="278">
        <v>3810.92</v>
      </c>
      <c r="G570" s="278">
        <v>3757.98</v>
      </c>
      <c r="H570" s="278">
        <v>3760.43</v>
      </c>
      <c r="I570" s="278">
        <v>3811.59</v>
      </c>
      <c r="J570" s="278">
        <v>3702.74</v>
      </c>
      <c r="K570" s="278">
        <v>3720.4</v>
      </c>
      <c r="L570" s="278">
        <v>3774.48</v>
      </c>
      <c r="M570" s="290"/>
      <c r="N570" s="290"/>
      <c r="O570" s="290"/>
      <c r="P570" s="290"/>
      <c r="Q570" s="298"/>
      <c r="R570" s="298"/>
      <c r="S570" s="298"/>
      <c r="T570" s="298"/>
      <c r="U570" s="298"/>
      <c r="V570" s="302"/>
      <c r="W570" s="298"/>
      <c r="X570" s="268"/>
      <c r="Y570" s="268"/>
      <c r="Z570" s="267"/>
      <c r="AA570" s="267"/>
      <c r="AB570" s="267"/>
      <c r="AC570" s="267"/>
      <c r="AD570" s="268"/>
      <c r="AE570" s="269"/>
    </row>
    <row r="571" spans="1:31" ht="57.75" thickBot="1">
      <c r="A571" s="306"/>
      <c r="B571" s="298"/>
      <c r="C571" s="326" t="s">
        <v>197</v>
      </c>
      <c r="D571" s="343">
        <f t="shared" ref="D571:L571" si="185">IF(((D569="")*AND(D570="")),"",(D569-D570)*3)</f>
        <v>7122.6899999999987</v>
      </c>
      <c r="E571" s="343">
        <f t="shared" si="185"/>
        <v>7356.18</v>
      </c>
      <c r="F571" s="343">
        <f t="shared" si="185"/>
        <v>7384.6799999999985</v>
      </c>
      <c r="G571" s="343">
        <f t="shared" si="185"/>
        <v>7285.5599999999995</v>
      </c>
      <c r="H571" s="343">
        <f t="shared" si="185"/>
        <v>6909.18</v>
      </c>
      <c r="I571" s="343">
        <f t="shared" si="185"/>
        <v>6690.0300000000007</v>
      </c>
      <c r="J571" s="343">
        <f t="shared" si="185"/>
        <v>7533.840000000002</v>
      </c>
      <c r="K571" s="343">
        <f t="shared" si="185"/>
        <v>7660.9500000000007</v>
      </c>
      <c r="L571" s="343">
        <f t="shared" si="185"/>
        <v>6641.9700000000012</v>
      </c>
      <c r="M571" s="343"/>
      <c r="N571" s="343"/>
      <c r="O571" s="343"/>
      <c r="P571" s="343" t="str">
        <f>IF(((P569="")*AND(P570="")),"",(P569-P570)*2)</f>
        <v/>
      </c>
      <c r="Q571" s="298"/>
      <c r="R571" s="298"/>
      <c r="S571" s="298"/>
      <c r="T571" s="298"/>
      <c r="U571" s="298"/>
      <c r="V571" s="302"/>
      <c r="W571" s="298"/>
      <c r="X571" s="268"/>
      <c r="Y571" s="268"/>
      <c r="Z571" s="267"/>
      <c r="AA571" s="267"/>
      <c r="AB571" s="267"/>
      <c r="AC571" s="267"/>
      <c r="AD571" s="268"/>
      <c r="AE571" s="269"/>
    </row>
    <row r="572" spans="1:31" ht="12.75" customHeight="1">
      <c r="A572" s="364">
        <v>43368</v>
      </c>
      <c r="B572" s="326" t="s">
        <v>200</v>
      </c>
      <c r="C572" s="326" t="s">
        <v>199</v>
      </c>
      <c r="D572" s="278">
        <v>6775.39</v>
      </c>
      <c r="E572" s="278">
        <v>6984</v>
      </c>
      <c r="F572" s="278">
        <v>6684.83</v>
      </c>
      <c r="G572" s="278">
        <v>6726.8</v>
      </c>
      <c r="H572" s="278">
        <v>6891.55</v>
      </c>
      <c r="I572" s="278">
        <v>6810.45</v>
      </c>
      <c r="J572" s="278">
        <v>6774.81</v>
      </c>
      <c r="K572" s="278">
        <v>6729.66</v>
      </c>
      <c r="L572" s="278">
        <v>6757.02</v>
      </c>
      <c r="M572" s="278">
        <v>6848.05</v>
      </c>
      <c r="N572" s="278">
        <v>7035.79</v>
      </c>
      <c r="O572" s="278">
        <v>6839.93</v>
      </c>
      <c r="P572" s="278">
        <v>6940.11</v>
      </c>
      <c r="Q572" s="326">
        <f>IF((L573=""),"",MAX(D574:P574))</f>
        <v>5528.1200000000008</v>
      </c>
      <c r="R572" s="326">
        <f>IF(L573="","",MIN(D574:L574))</f>
        <v>5377.380000000001</v>
      </c>
      <c r="S572" s="318">
        <f>IF((P574=""),"",AVERAGE(D574:P574))</f>
        <v>5451.6292307692302</v>
      </c>
      <c r="T572" s="319">
        <f>IF((L573=""),"",(Q572-R572)/(Q572+R572)*100)</f>
        <v>1.3822383201137018</v>
      </c>
      <c r="U572" s="326">
        <f>STDEV(D574:P574)</f>
        <v>51.154882866005067</v>
      </c>
      <c r="V572" s="328" t="str">
        <f>IF(P573="","",IF(T572&lt;2.7,IF(S572&gt;5150,IF(S572&lt;5600,"Pass","Fail"),"Fail"),"Fail"))</f>
        <v>Pass</v>
      </c>
      <c r="W572" s="326" t="s">
        <v>161</v>
      </c>
      <c r="X572" s="268"/>
      <c r="Y572" s="268"/>
      <c r="Z572" s="321">
        <v>4470</v>
      </c>
      <c r="AA572" s="321">
        <v>6020</v>
      </c>
      <c r="AB572" s="321">
        <v>5150</v>
      </c>
      <c r="AC572" s="321">
        <v>5600</v>
      </c>
      <c r="AD572" s="305">
        <v>10</v>
      </c>
      <c r="AE572" s="322">
        <v>2.7</v>
      </c>
    </row>
    <row r="573" spans="1:31" ht="15">
      <c r="A573" s="306"/>
      <c r="B573" s="298"/>
      <c r="C573" s="298" t="s">
        <v>198</v>
      </c>
      <c r="D573" s="278">
        <v>4086.7</v>
      </c>
      <c r="E573" s="278">
        <v>4285.33</v>
      </c>
      <c r="F573" s="278">
        <v>3989.38</v>
      </c>
      <c r="G573" s="278">
        <v>3979.55</v>
      </c>
      <c r="H573" s="278">
        <v>4180.68</v>
      </c>
      <c r="I573" s="278">
        <v>4070.3</v>
      </c>
      <c r="J573" s="278">
        <v>4010.75</v>
      </c>
      <c r="K573" s="278">
        <v>3973.44</v>
      </c>
      <c r="L573" s="278">
        <v>4051.97</v>
      </c>
      <c r="M573" s="278">
        <v>4089.75</v>
      </c>
      <c r="N573" s="278">
        <v>4317.13</v>
      </c>
      <c r="O573" s="278">
        <v>4113.68</v>
      </c>
      <c r="P573" s="278">
        <v>4214.1400000000003</v>
      </c>
      <c r="Q573" s="298"/>
      <c r="R573" s="298"/>
      <c r="S573" s="298"/>
      <c r="T573" s="298"/>
      <c r="U573" s="298"/>
      <c r="V573" s="302"/>
      <c r="W573" s="298"/>
      <c r="X573" s="268"/>
      <c r="Y573" s="268"/>
      <c r="Z573" s="267"/>
      <c r="AA573" s="267"/>
      <c r="AB573" s="267"/>
      <c r="AC573" s="267"/>
      <c r="AD573" s="268"/>
      <c r="AE573" s="269"/>
    </row>
    <row r="574" spans="1:31" ht="57">
      <c r="A574" s="306"/>
      <c r="B574" s="299"/>
      <c r="C574" s="299" t="s">
        <v>197</v>
      </c>
      <c r="D574" s="371">
        <f t="shared" ref="D574:P574" si="186">IF(((D572="")*AND(D573="")),"",(D572-D573)*2)</f>
        <v>5377.380000000001</v>
      </c>
      <c r="E574" s="371">
        <f t="shared" si="186"/>
        <v>5397.34</v>
      </c>
      <c r="F574" s="371">
        <f t="shared" si="186"/>
        <v>5390.9</v>
      </c>
      <c r="G574" s="371">
        <f t="shared" si="186"/>
        <v>5494.5</v>
      </c>
      <c r="H574" s="371">
        <f t="shared" si="186"/>
        <v>5421.74</v>
      </c>
      <c r="I574" s="371">
        <f t="shared" si="186"/>
        <v>5480.2999999999993</v>
      </c>
      <c r="J574" s="371">
        <f t="shared" si="186"/>
        <v>5528.1200000000008</v>
      </c>
      <c r="K574" s="371">
        <f t="shared" si="186"/>
        <v>5512.44</v>
      </c>
      <c r="L574" s="371">
        <f t="shared" si="186"/>
        <v>5410.1000000000013</v>
      </c>
      <c r="M574" s="371">
        <f t="shared" si="186"/>
        <v>5516.6</v>
      </c>
      <c r="N574" s="371">
        <f t="shared" si="186"/>
        <v>5437.32</v>
      </c>
      <c r="O574" s="371">
        <f t="shared" si="186"/>
        <v>5452.5</v>
      </c>
      <c r="P574" s="371">
        <f t="shared" si="186"/>
        <v>5451.9399999999987</v>
      </c>
      <c r="Q574" s="299"/>
      <c r="R574" s="299"/>
      <c r="S574" s="299"/>
      <c r="T574" s="299"/>
      <c r="U574" s="299"/>
      <c r="V574" s="324"/>
      <c r="W574" s="299"/>
      <c r="X574" s="268"/>
      <c r="Y574" s="268"/>
      <c r="Z574" s="267"/>
      <c r="AA574" s="267"/>
      <c r="AB574" s="267"/>
      <c r="AC574" s="267"/>
      <c r="AD574" s="268"/>
      <c r="AE574" s="269"/>
    </row>
    <row r="575" spans="1:31" ht="12.75" customHeight="1">
      <c r="A575" s="364">
        <v>43378</v>
      </c>
      <c r="B575" s="326" t="s">
        <v>202</v>
      </c>
      <c r="C575" s="307" t="s">
        <v>199</v>
      </c>
      <c r="D575" s="278">
        <v>3705.88</v>
      </c>
      <c r="E575" s="278">
        <v>3785.48</v>
      </c>
      <c r="F575" s="278">
        <v>3810.92</v>
      </c>
      <c r="G575" s="278">
        <v>3757.98</v>
      </c>
      <c r="H575" s="278">
        <v>3760.43</v>
      </c>
      <c r="I575" s="278">
        <v>3811.59</v>
      </c>
      <c r="J575" s="278">
        <v>3702.74</v>
      </c>
      <c r="K575" s="278">
        <v>3720.4</v>
      </c>
      <c r="L575" s="278">
        <v>3774.48</v>
      </c>
      <c r="M575" s="290"/>
      <c r="N575" s="290"/>
      <c r="O575" s="290"/>
      <c r="P575" s="290"/>
      <c r="Q575" s="326">
        <f>IF((L576=""),"",MAX(D577:L577))</f>
        <v>8158.74</v>
      </c>
      <c r="R575" s="326">
        <f>IF(L576="","",MIN(D577:L577))</f>
        <v>6791.82</v>
      </c>
      <c r="S575" s="327">
        <f>IF((L577=""),"",AVERAGE(D577:L577))</f>
        <v>7058.9533333333338</v>
      </c>
      <c r="T575" s="319">
        <f>IF((L576=""),"",(Q575-R575)/(Q575+R575)*100)</f>
        <v>9.1429351141361934</v>
      </c>
      <c r="U575" s="326">
        <f>STDEV(D577:P577)</f>
        <v>422.57186447986908</v>
      </c>
      <c r="V575" s="328" t="str">
        <f>IF(L576="","",IF(T575&lt;9.8,IF(S575&gt;5100,IF(S575&lt;8300,"Pass","Fail"),"Fail"),"Fail"))</f>
        <v>Pass</v>
      </c>
      <c r="W575" s="298">
        <v>1340</v>
      </c>
      <c r="X575" s="268" t="s">
        <v>226</v>
      </c>
      <c r="Y575" s="268"/>
      <c r="Z575" s="267">
        <v>4955</v>
      </c>
      <c r="AA575" s="267">
        <v>9645</v>
      </c>
      <c r="AB575" s="267">
        <v>5100</v>
      </c>
      <c r="AC575" s="267">
        <v>8300</v>
      </c>
      <c r="AD575" s="305">
        <v>10</v>
      </c>
      <c r="AE575" s="305">
        <v>9.8000000000000007</v>
      </c>
    </row>
    <row r="576" spans="1:31" ht="15">
      <c r="A576" s="306"/>
      <c r="B576" s="298"/>
      <c r="C576" s="307" t="s">
        <v>198</v>
      </c>
      <c r="D576" s="278">
        <v>1372.2</v>
      </c>
      <c r="E576" s="278">
        <v>1521.54</v>
      </c>
      <c r="F576" s="278">
        <v>1520.07</v>
      </c>
      <c r="G576" s="278">
        <v>1038.4000000000001</v>
      </c>
      <c r="H576" s="278">
        <v>1441.04</v>
      </c>
      <c r="I576" s="278">
        <v>1533.12</v>
      </c>
      <c r="J576" s="278">
        <v>1411.56</v>
      </c>
      <c r="K576" s="278">
        <v>1354.75</v>
      </c>
      <c r="L576" s="278">
        <v>1460.36</v>
      </c>
      <c r="M576" s="290"/>
      <c r="N576" s="290"/>
      <c r="O576" s="290"/>
      <c r="P576" s="290"/>
      <c r="Q576" s="298"/>
      <c r="R576" s="298"/>
      <c r="S576" s="298"/>
      <c r="T576" s="298"/>
      <c r="U576" s="298"/>
      <c r="V576" s="302"/>
      <c r="W576" s="298"/>
      <c r="X576" s="268"/>
      <c r="Y576" s="268"/>
      <c r="Z576" s="267"/>
      <c r="AA576" s="267"/>
      <c r="AB576" s="267"/>
      <c r="AC576" s="267"/>
      <c r="AD576" s="268"/>
      <c r="AE576" s="269"/>
    </row>
    <row r="577" spans="1:31" ht="57.75" thickBot="1">
      <c r="A577" s="306"/>
      <c r="B577" s="298"/>
      <c r="C577" s="326" t="s">
        <v>197</v>
      </c>
      <c r="D577" s="343">
        <f t="shared" ref="D577:L577" si="187">IF(((D575="")*AND(D576="")),"",(D575-D576)*3)</f>
        <v>7001.0400000000009</v>
      </c>
      <c r="E577" s="343">
        <f t="shared" si="187"/>
        <v>6791.82</v>
      </c>
      <c r="F577" s="343">
        <f t="shared" si="187"/>
        <v>6872.5500000000011</v>
      </c>
      <c r="G577" s="343">
        <f t="shared" si="187"/>
        <v>8158.74</v>
      </c>
      <c r="H577" s="343">
        <f t="shared" si="187"/>
        <v>6958.17</v>
      </c>
      <c r="I577" s="343">
        <f t="shared" si="187"/>
        <v>6835.4100000000008</v>
      </c>
      <c r="J577" s="343">
        <f t="shared" si="187"/>
        <v>6873.5399999999991</v>
      </c>
      <c r="K577" s="343">
        <f t="shared" si="187"/>
        <v>7096.9500000000007</v>
      </c>
      <c r="L577" s="343">
        <f t="shared" si="187"/>
        <v>6942.36</v>
      </c>
      <c r="M577" s="343"/>
      <c r="N577" s="343"/>
      <c r="O577" s="343"/>
      <c r="P577" s="343" t="str">
        <f>IF(((P575="")*AND(P576="")),"",(P575-P576)*2)</f>
        <v/>
      </c>
      <c r="Q577" s="298"/>
      <c r="R577" s="298"/>
      <c r="S577" s="298"/>
      <c r="T577" s="298"/>
      <c r="U577" s="298"/>
      <c r="V577" s="302"/>
      <c r="W577" s="298"/>
      <c r="X577" s="268"/>
      <c r="Y577" s="268"/>
      <c r="Z577" s="267"/>
      <c r="AA577" s="267"/>
      <c r="AB577" s="267"/>
      <c r="AC577" s="267"/>
      <c r="AD577" s="268"/>
      <c r="AE577" s="269"/>
    </row>
    <row r="578" spans="1:31" ht="12.75" customHeight="1">
      <c r="A578" s="364">
        <v>43378</v>
      </c>
      <c r="B578" s="326" t="s">
        <v>200</v>
      </c>
      <c r="C578" s="326" t="s">
        <v>199</v>
      </c>
      <c r="D578" s="278">
        <v>4086.7</v>
      </c>
      <c r="E578" s="278">
        <v>4285.33</v>
      </c>
      <c r="F578" s="278">
        <v>3989.38</v>
      </c>
      <c r="G578" s="278">
        <v>3979.55</v>
      </c>
      <c r="H578" s="278">
        <v>4180.68</v>
      </c>
      <c r="I578" s="278">
        <v>4070.3</v>
      </c>
      <c r="J578" s="278">
        <v>4010.75</v>
      </c>
      <c r="K578" s="278">
        <v>3973.44</v>
      </c>
      <c r="L578" s="278">
        <v>4051.97</v>
      </c>
      <c r="M578" s="278">
        <v>4089.75</v>
      </c>
      <c r="N578" s="278">
        <v>4317.13</v>
      </c>
      <c r="O578" s="278">
        <v>4113.68</v>
      </c>
      <c r="P578" s="278">
        <v>4214.1400000000003</v>
      </c>
      <c r="Q578" s="326">
        <f>IF((L579=""),"",MAX(D580:P580))</f>
        <v>5605.04</v>
      </c>
      <c r="R578" s="326">
        <f>IF(L579="","",MIN(D580:L580))</f>
        <v>5440.94</v>
      </c>
      <c r="S578" s="318">
        <f>IF((P580=""),"",AVERAGE(D580:P580))</f>
        <v>5523.0492307692311</v>
      </c>
      <c r="T578" s="319">
        <f>IF((L579=""),"",(Q578-R578)/(Q578+R578)*100)</f>
        <v>1.4856083389613268</v>
      </c>
      <c r="U578" s="326">
        <f>STDEV(D580:P580)</f>
        <v>53.571745423203993</v>
      </c>
      <c r="V578" s="328" t="str">
        <f>IF(P579="","",IF(T578&lt;2.7,IF(S578&gt;5150,IF(S578&lt;5600,"Pass","Fail"),"Fail"),"Fail"))</f>
        <v>Pass</v>
      </c>
      <c r="W578" s="326" t="s">
        <v>161</v>
      </c>
      <c r="X578" s="268" t="s">
        <v>226</v>
      </c>
      <c r="Y578" s="268"/>
      <c r="Z578" s="321">
        <v>4470</v>
      </c>
      <c r="AA578" s="321">
        <v>6020</v>
      </c>
      <c r="AB578" s="321">
        <v>5150</v>
      </c>
      <c r="AC578" s="321">
        <v>5600</v>
      </c>
      <c r="AD578" s="305">
        <v>10</v>
      </c>
      <c r="AE578" s="322">
        <v>2.7</v>
      </c>
    </row>
    <row r="579" spans="1:31" ht="15">
      <c r="A579" s="306"/>
      <c r="B579" s="298"/>
      <c r="C579" s="298" t="s">
        <v>198</v>
      </c>
      <c r="D579" s="278">
        <v>1366.23</v>
      </c>
      <c r="E579" s="278">
        <v>1558.41</v>
      </c>
      <c r="F579" s="278">
        <v>1259.31</v>
      </c>
      <c r="G579" s="278">
        <v>1206.71</v>
      </c>
      <c r="H579" s="278">
        <v>1437.6</v>
      </c>
      <c r="I579" s="278">
        <v>1286.8</v>
      </c>
      <c r="J579" s="278">
        <v>1214.05</v>
      </c>
      <c r="K579" s="278">
        <v>1188.54</v>
      </c>
      <c r="L579" s="278">
        <v>1305.3599999999999</v>
      </c>
      <c r="M579" s="278">
        <v>1287.23</v>
      </c>
      <c r="N579" s="278">
        <v>1560.17</v>
      </c>
      <c r="O579" s="278">
        <v>1344.6</v>
      </c>
      <c r="P579" s="278">
        <v>1447.97</v>
      </c>
      <c r="Q579" s="298"/>
      <c r="R579" s="298"/>
      <c r="S579" s="298"/>
      <c r="T579" s="298"/>
      <c r="U579" s="298"/>
      <c r="V579" s="302"/>
      <c r="W579" s="298"/>
      <c r="X579" s="268"/>
      <c r="Y579" s="268"/>
      <c r="Z579" s="267"/>
      <c r="AA579" s="267"/>
      <c r="AB579" s="267"/>
      <c r="AC579" s="267"/>
      <c r="AD579" s="268"/>
      <c r="AE579" s="269"/>
    </row>
    <row r="580" spans="1:31" ht="57">
      <c r="A580" s="306"/>
      <c r="B580" s="299"/>
      <c r="C580" s="299" t="s">
        <v>197</v>
      </c>
      <c r="D580" s="371">
        <f t="shared" ref="D580:P580" si="188">IF(((D578="")*AND(D579="")),"",(D578-D579)*2)</f>
        <v>5440.94</v>
      </c>
      <c r="E580" s="371">
        <f t="shared" si="188"/>
        <v>5453.84</v>
      </c>
      <c r="F580" s="371">
        <f t="shared" si="188"/>
        <v>5460.14</v>
      </c>
      <c r="G580" s="371">
        <f t="shared" si="188"/>
        <v>5545.68</v>
      </c>
      <c r="H580" s="371">
        <f t="shared" si="188"/>
        <v>5486.1600000000008</v>
      </c>
      <c r="I580" s="371">
        <f t="shared" si="188"/>
        <v>5567</v>
      </c>
      <c r="J580" s="371">
        <f t="shared" si="188"/>
        <v>5593.4</v>
      </c>
      <c r="K580" s="371">
        <f t="shared" si="188"/>
        <v>5569.8</v>
      </c>
      <c r="L580" s="371">
        <f t="shared" si="188"/>
        <v>5493.2199999999993</v>
      </c>
      <c r="M580" s="371">
        <f t="shared" si="188"/>
        <v>5605.04</v>
      </c>
      <c r="N580" s="371">
        <f t="shared" si="188"/>
        <v>5513.92</v>
      </c>
      <c r="O580" s="371">
        <f t="shared" si="188"/>
        <v>5538.1600000000008</v>
      </c>
      <c r="P580" s="371">
        <f t="shared" si="188"/>
        <v>5532.34</v>
      </c>
      <c r="Q580" s="299"/>
      <c r="R580" s="299"/>
      <c r="S580" s="299"/>
      <c r="T580" s="299"/>
      <c r="U580" s="299"/>
      <c r="V580" s="324"/>
      <c r="W580" s="299"/>
      <c r="X580" s="268"/>
      <c r="Y580" s="268"/>
      <c r="Z580" s="267"/>
      <c r="AA580" s="267"/>
      <c r="AB580" s="267"/>
      <c r="AC580" s="267"/>
      <c r="AD580" s="268"/>
      <c r="AE580" s="269"/>
    </row>
    <row r="581" spans="1:31" ht="12.75" customHeight="1">
      <c r="A581" s="364">
        <v>43382</v>
      </c>
      <c r="B581" s="326" t="s">
        <v>202</v>
      </c>
      <c r="C581" s="307" t="s">
        <v>199</v>
      </c>
      <c r="D581" s="278">
        <v>5981.93</v>
      </c>
      <c r="E581" s="278">
        <v>6240.64</v>
      </c>
      <c r="F581" s="278">
        <v>6277.56</v>
      </c>
      <c r="G581" s="278">
        <v>6172</v>
      </c>
      <c r="H581" s="278">
        <v>6148.52</v>
      </c>
      <c r="I581" s="278">
        <v>6297.98</v>
      </c>
      <c r="J581" s="278">
        <v>6021.24</v>
      </c>
      <c r="K581" s="278">
        <v>6163.37</v>
      </c>
      <c r="L581" s="278">
        <v>6252.47</v>
      </c>
      <c r="M581" s="290"/>
      <c r="N581" s="290"/>
      <c r="O581" s="290"/>
      <c r="P581" s="290"/>
      <c r="Q581" s="326">
        <f>IF((L582=""),"",MAX(D583:L583))</f>
        <v>7787.2800000000007</v>
      </c>
      <c r="R581" s="326">
        <f>IF(L582="","",MIN(D583:L583))</f>
        <v>7281.42</v>
      </c>
      <c r="S581" s="327">
        <f>IF((L583=""),"",AVERAGE(D583:L583))</f>
        <v>7527.8666666666668</v>
      </c>
      <c r="T581" s="319">
        <f>IF((L582=""),"",(Q581-R581)/(Q581+R581)*100)</f>
        <v>3.3570248262955702</v>
      </c>
      <c r="U581" s="326">
        <f>STDEV(D583:P583)</f>
        <v>153.89007675936188</v>
      </c>
      <c r="V581" s="328" t="str">
        <f>IF(L582="","",IF(T581&lt;9.8,IF(S581&gt;5100,IF(S581&lt;8300,"Pass","Fail"),"Fail"),"Fail"))</f>
        <v>Pass</v>
      </c>
      <c r="W581" s="298">
        <v>1340</v>
      </c>
      <c r="X581" s="268"/>
      <c r="Y581" s="268"/>
      <c r="Z581" s="267">
        <v>4955</v>
      </c>
      <c r="AA581" s="267">
        <v>9645</v>
      </c>
      <c r="AB581" s="267">
        <v>5100</v>
      </c>
      <c r="AC581" s="267">
        <v>8300</v>
      </c>
      <c r="AD581" s="305">
        <v>10</v>
      </c>
      <c r="AE581" s="305">
        <v>9.8000000000000007</v>
      </c>
    </row>
    <row r="582" spans="1:31" ht="15">
      <c r="A582" s="306"/>
      <c r="B582" s="298"/>
      <c r="C582" s="307" t="s">
        <v>198</v>
      </c>
      <c r="D582" s="278">
        <v>3386.17</v>
      </c>
      <c r="E582" s="278">
        <v>3728.7</v>
      </c>
      <c r="F582" s="278">
        <v>3743</v>
      </c>
      <c r="G582" s="278">
        <v>3663</v>
      </c>
      <c r="H582" s="278">
        <v>3691.97</v>
      </c>
      <c r="I582" s="278">
        <v>3747.76</v>
      </c>
      <c r="J582" s="278">
        <v>3594.1</v>
      </c>
      <c r="K582" s="278">
        <v>3691.72</v>
      </c>
      <c r="L582" s="278">
        <v>3725.69</v>
      </c>
      <c r="M582" s="290"/>
      <c r="N582" s="290"/>
      <c r="O582" s="290"/>
      <c r="P582" s="290"/>
      <c r="Q582" s="298"/>
      <c r="R582" s="298"/>
      <c r="S582" s="298"/>
      <c r="T582" s="298"/>
      <c r="U582" s="298"/>
      <c r="V582" s="302"/>
      <c r="W582" s="298"/>
      <c r="X582" s="268"/>
      <c r="Y582" s="268"/>
      <c r="Z582" s="267"/>
      <c r="AA582" s="267"/>
      <c r="AB582" s="267"/>
      <c r="AC582" s="267"/>
      <c r="AD582" s="268"/>
      <c r="AE582" s="269"/>
    </row>
    <row r="583" spans="1:31" ht="57.75" thickBot="1">
      <c r="A583" s="306"/>
      <c r="B583" s="298"/>
      <c r="C583" s="326" t="s">
        <v>197</v>
      </c>
      <c r="D583" s="343">
        <f t="shared" ref="D583:L583" si="189">IF(((D581="")*AND(D582="")),"",(D581-D582)*3)</f>
        <v>7787.2800000000007</v>
      </c>
      <c r="E583" s="343">
        <f t="shared" si="189"/>
        <v>7535.8200000000015</v>
      </c>
      <c r="F583" s="343">
        <f t="shared" si="189"/>
        <v>7603.6800000000012</v>
      </c>
      <c r="G583" s="343">
        <f t="shared" si="189"/>
        <v>7527</v>
      </c>
      <c r="H583" s="343">
        <f t="shared" si="189"/>
        <v>7369.6500000000015</v>
      </c>
      <c r="I583" s="343">
        <f t="shared" si="189"/>
        <v>7650.659999999998</v>
      </c>
      <c r="J583" s="343">
        <f t="shared" si="189"/>
        <v>7281.42</v>
      </c>
      <c r="K583" s="343">
        <f t="shared" si="189"/>
        <v>7414.9500000000007</v>
      </c>
      <c r="L583" s="343">
        <f t="shared" si="189"/>
        <v>7580.34</v>
      </c>
      <c r="M583" s="343"/>
      <c r="N583" s="343"/>
      <c r="O583" s="343"/>
      <c r="P583" s="343" t="str">
        <f>IF(((P581="")*AND(P582="")),"",(P581-P582)*2)</f>
        <v/>
      </c>
      <c r="Q583" s="298"/>
      <c r="R583" s="298"/>
      <c r="S583" s="298"/>
      <c r="T583" s="298"/>
      <c r="U583" s="298"/>
      <c r="V583" s="302"/>
      <c r="W583" s="298"/>
      <c r="X583" s="268"/>
      <c r="Y583" s="268"/>
      <c r="Z583" s="267"/>
      <c r="AA583" s="267"/>
      <c r="AB583" s="267"/>
      <c r="AC583" s="267"/>
      <c r="AD583" s="268"/>
      <c r="AE583" s="269"/>
    </row>
    <row r="584" spans="1:31" ht="12.75" customHeight="1">
      <c r="A584" s="364">
        <v>43382</v>
      </c>
      <c r="B584" s="326" t="s">
        <v>200</v>
      </c>
      <c r="C584" s="326" t="s">
        <v>199</v>
      </c>
      <c r="D584" s="278">
        <v>6892.36</v>
      </c>
      <c r="E584" s="278">
        <v>7102.94</v>
      </c>
      <c r="F584" s="278">
        <v>6801.25</v>
      </c>
      <c r="G584" s="278">
        <v>6843.73</v>
      </c>
      <c r="H584" s="278">
        <v>7021.43</v>
      </c>
      <c r="I584" s="278">
        <v>6932.91</v>
      </c>
      <c r="J584" s="278">
        <v>6892.21</v>
      </c>
      <c r="K584" s="278">
        <v>6845.61</v>
      </c>
      <c r="L584" s="278">
        <v>6872.38</v>
      </c>
      <c r="M584" s="278">
        <v>6966.64</v>
      </c>
      <c r="N584" s="278">
        <v>7155.97</v>
      </c>
      <c r="O584" s="278">
        <v>6954.82</v>
      </c>
      <c r="P584" s="278">
        <v>7058.02</v>
      </c>
      <c r="Q584" s="326">
        <f>IF((L585=""),"",MAX(D586:P586))</f>
        <v>5562.84</v>
      </c>
      <c r="R584" s="326">
        <f>IF(L585="","",MIN(D586:L586))</f>
        <v>5402.0399999999991</v>
      </c>
      <c r="S584" s="318">
        <f>IF((P586=""),"",AVERAGE(D586:P586))</f>
        <v>5484.1507692307696</v>
      </c>
      <c r="T584" s="319">
        <f>IF((L585=""),"",(Q584-R584)/(Q584+R584)*100)</f>
        <v>1.4665003173769444</v>
      </c>
      <c r="U584" s="326">
        <f>STDEV(D586:P586)</f>
        <v>55.534454539647413</v>
      </c>
      <c r="V584" s="328" t="str">
        <f>IF(P585="","",IF(T584&lt;2.7,IF(S584&gt;5150,IF(S584&lt;5600,"Pass","Fail"),"Fail"),"Fail"))</f>
        <v>Pass</v>
      </c>
      <c r="W584" s="326">
        <v>1340</v>
      </c>
      <c r="X584" s="268"/>
      <c r="Y584" s="268"/>
      <c r="Z584" s="321">
        <v>4470</v>
      </c>
      <c r="AA584" s="321">
        <v>6020</v>
      </c>
      <c r="AB584" s="321">
        <v>5150</v>
      </c>
      <c r="AC584" s="321">
        <v>5600</v>
      </c>
      <c r="AD584" s="305">
        <v>10</v>
      </c>
      <c r="AE584" s="322">
        <v>2.7</v>
      </c>
    </row>
    <row r="585" spans="1:31" ht="15">
      <c r="A585" s="306"/>
      <c r="B585" s="298"/>
      <c r="C585" s="298" t="s">
        <v>198</v>
      </c>
      <c r="D585" s="278">
        <v>4191.34</v>
      </c>
      <c r="E585" s="278">
        <v>4394.95</v>
      </c>
      <c r="F585" s="278">
        <v>4087.77</v>
      </c>
      <c r="G585" s="278">
        <v>4079.53</v>
      </c>
      <c r="H585" s="278">
        <v>4301.26</v>
      </c>
      <c r="I585" s="278">
        <v>4176.8999999999996</v>
      </c>
      <c r="J585" s="278">
        <v>4117.32</v>
      </c>
      <c r="K585" s="278">
        <v>4066.3</v>
      </c>
      <c r="L585" s="278">
        <v>4147.51</v>
      </c>
      <c r="M585" s="278">
        <v>4185.22</v>
      </c>
      <c r="N585" s="278">
        <v>4423.1000000000004</v>
      </c>
      <c r="O585" s="278">
        <v>4207.22</v>
      </c>
      <c r="P585" s="278">
        <v>4314.87</v>
      </c>
      <c r="Q585" s="298"/>
      <c r="R585" s="298"/>
      <c r="S585" s="298"/>
      <c r="T585" s="298"/>
      <c r="U585" s="298"/>
      <c r="V585" s="302"/>
      <c r="W585" s="298"/>
      <c r="X585" s="268"/>
      <c r="Y585" s="268"/>
      <c r="Z585" s="267"/>
      <c r="AA585" s="267"/>
      <c r="AB585" s="267"/>
      <c r="AC585" s="267"/>
      <c r="AD585" s="268"/>
      <c r="AE585" s="269"/>
    </row>
    <row r="586" spans="1:31" ht="57">
      <c r="A586" s="306"/>
      <c r="B586" s="299"/>
      <c r="C586" s="299" t="s">
        <v>197</v>
      </c>
      <c r="D586" s="371">
        <f t="shared" ref="D586:P586" si="190">IF(((D584="")*AND(D585="")),"",(D584-D585)*2)</f>
        <v>5402.0399999999991</v>
      </c>
      <c r="E586" s="371">
        <f t="shared" si="190"/>
        <v>5415.98</v>
      </c>
      <c r="F586" s="371">
        <f t="shared" si="190"/>
        <v>5426.96</v>
      </c>
      <c r="G586" s="371">
        <f t="shared" si="190"/>
        <v>5528.3999999999987</v>
      </c>
      <c r="H586" s="371">
        <f t="shared" si="190"/>
        <v>5440.34</v>
      </c>
      <c r="I586" s="371">
        <f t="shared" si="190"/>
        <v>5512.02</v>
      </c>
      <c r="J586" s="371">
        <f t="shared" si="190"/>
        <v>5549.7800000000007</v>
      </c>
      <c r="K586" s="371">
        <f t="shared" si="190"/>
        <v>5558.619999999999</v>
      </c>
      <c r="L586" s="371">
        <f t="shared" si="190"/>
        <v>5449.74</v>
      </c>
      <c r="M586" s="371">
        <f t="shared" si="190"/>
        <v>5562.84</v>
      </c>
      <c r="N586" s="371">
        <f t="shared" si="190"/>
        <v>5465.74</v>
      </c>
      <c r="O586" s="371">
        <f t="shared" si="190"/>
        <v>5495.1999999999989</v>
      </c>
      <c r="P586" s="371">
        <f t="shared" si="190"/>
        <v>5486.3000000000011</v>
      </c>
      <c r="Q586" s="299"/>
      <c r="R586" s="299"/>
      <c r="S586" s="299"/>
      <c r="T586" s="299"/>
      <c r="U586" s="299"/>
      <c r="V586" s="324"/>
      <c r="W586" s="299"/>
      <c r="X586" s="268"/>
      <c r="Y586" s="268"/>
      <c r="Z586" s="267"/>
      <c r="AA586" s="267"/>
      <c r="AB586" s="267"/>
      <c r="AC586" s="267"/>
      <c r="AD586" s="268"/>
      <c r="AE586" s="269"/>
    </row>
    <row r="587" spans="1:31" ht="12.75" customHeight="1">
      <c r="A587" s="364">
        <v>43391</v>
      </c>
      <c r="B587" s="326" t="s">
        <v>202</v>
      </c>
      <c r="C587" s="307" t="s">
        <v>199</v>
      </c>
      <c r="D587" s="278">
        <v>5949.54</v>
      </c>
      <c r="E587" s="278">
        <v>6103.15</v>
      </c>
      <c r="F587" s="278">
        <v>6149.36</v>
      </c>
      <c r="G587" s="278">
        <v>6081.41</v>
      </c>
      <c r="H587" s="278">
        <v>5956.24</v>
      </c>
      <c r="I587" s="278">
        <v>5886.86</v>
      </c>
      <c r="J587" s="278">
        <v>6088.58</v>
      </c>
      <c r="K587" s="278">
        <v>6138.41</v>
      </c>
      <c r="L587" s="278">
        <v>5886.77</v>
      </c>
      <c r="M587" s="290"/>
      <c r="N587" s="290"/>
      <c r="O587" s="290"/>
      <c r="P587" s="290"/>
      <c r="Q587" s="326">
        <f>IF((L588=""),"",MAX(D589:L589))</f>
        <v>7355.61</v>
      </c>
      <c r="R587" s="326">
        <f>IF(L588="","",MIN(D589:L589))</f>
        <v>6310.23</v>
      </c>
      <c r="S587" s="327">
        <f>IF((L589=""),"",AVERAGE(D589:L589))</f>
        <v>6931.64</v>
      </c>
      <c r="T587" s="319">
        <f>IF((L588=""),"",(Q587-R587)/(Q587+R587)*100)</f>
        <v>7.6495846578036915</v>
      </c>
      <c r="U587" s="326">
        <f>STDEV(D589:P589)</f>
        <v>383.28162286363562</v>
      </c>
      <c r="V587" s="328" t="str">
        <f>IF(L588="","",IF(T587&lt;9.8,IF(S587&gt;5100,IF(S587&lt;8300,"Pass","Fail"),"Fail"),"Fail"))</f>
        <v>Pass</v>
      </c>
      <c r="W587" s="298">
        <v>1159</v>
      </c>
      <c r="X587" s="268"/>
      <c r="Y587" s="268"/>
      <c r="Z587" s="267">
        <v>4955</v>
      </c>
      <c r="AA587" s="267">
        <v>9645</v>
      </c>
      <c r="AB587" s="267">
        <v>5100</v>
      </c>
      <c r="AC587" s="267">
        <v>8300</v>
      </c>
      <c r="AD587" s="305">
        <v>10</v>
      </c>
      <c r="AE587" s="305">
        <v>9.8000000000000007</v>
      </c>
    </row>
    <row r="588" spans="1:31" ht="15">
      <c r="A588" s="306"/>
      <c r="B588" s="298"/>
      <c r="C588" s="307" t="s">
        <v>198</v>
      </c>
      <c r="D588" s="278">
        <v>3627.8</v>
      </c>
      <c r="E588" s="278">
        <v>3751.58</v>
      </c>
      <c r="F588" s="278">
        <v>3781.57</v>
      </c>
      <c r="G588" s="278">
        <v>3679.65</v>
      </c>
      <c r="H588" s="278">
        <v>3731.88</v>
      </c>
      <c r="I588" s="278">
        <v>3783.45</v>
      </c>
      <c r="J588" s="278">
        <v>3651.23</v>
      </c>
      <c r="K588" s="278">
        <v>3686.54</v>
      </c>
      <c r="L588" s="278">
        <v>3751.7</v>
      </c>
      <c r="M588" s="290"/>
      <c r="N588" s="290"/>
      <c r="O588" s="290"/>
      <c r="P588" s="290"/>
      <c r="Q588" s="298"/>
      <c r="R588" s="298"/>
      <c r="S588" s="298"/>
      <c r="T588" s="298"/>
      <c r="U588" s="298"/>
      <c r="V588" s="302"/>
      <c r="W588" s="298"/>
      <c r="X588" s="268"/>
      <c r="Y588" s="268"/>
      <c r="Z588" s="267"/>
      <c r="AA588" s="267"/>
      <c r="AB588" s="267"/>
      <c r="AC588" s="267"/>
      <c r="AD588" s="268"/>
      <c r="AE588" s="269"/>
    </row>
    <row r="589" spans="1:31" ht="57.75" thickBot="1">
      <c r="A589" s="306"/>
      <c r="B589" s="298"/>
      <c r="C589" s="326" t="s">
        <v>197</v>
      </c>
      <c r="D589" s="343">
        <f t="shared" ref="D589:L589" si="191">IF(((D587="")*AND(D588="")),"",(D587-D588)*3)</f>
        <v>6965.2199999999993</v>
      </c>
      <c r="E589" s="343">
        <f t="shared" si="191"/>
        <v>7054.7099999999991</v>
      </c>
      <c r="F589" s="343">
        <f t="shared" si="191"/>
        <v>7103.369999999999</v>
      </c>
      <c r="G589" s="343">
        <f t="shared" si="191"/>
        <v>7205.2799999999988</v>
      </c>
      <c r="H589" s="343">
        <f t="shared" si="191"/>
        <v>6673.079999999999</v>
      </c>
      <c r="I589" s="343">
        <f t="shared" si="191"/>
        <v>6310.23</v>
      </c>
      <c r="J589" s="343">
        <f t="shared" si="191"/>
        <v>7312.0499999999993</v>
      </c>
      <c r="K589" s="343">
        <f t="shared" si="191"/>
        <v>7355.61</v>
      </c>
      <c r="L589" s="343">
        <f t="shared" si="191"/>
        <v>6405.2100000000019</v>
      </c>
      <c r="M589" s="343"/>
      <c r="N589" s="343"/>
      <c r="O589" s="343"/>
      <c r="P589" s="343" t="str">
        <f>IF(((P587="")*AND(P588="")),"",(P587-P588)*2)</f>
        <v/>
      </c>
      <c r="Q589" s="298"/>
      <c r="R589" s="298"/>
      <c r="S589" s="298"/>
      <c r="T589" s="298"/>
      <c r="U589" s="298"/>
      <c r="V589" s="302"/>
      <c r="W589" s="298"/>
      <c r="X589" s="268"/>
      <c r="Y589" s="268"/>
      <c r="Z589" s="267"/>
      <c r="AA589" s="267"/>
      <c r="AB589" s="267"/>
      <c r="AC589" s="267"/>
      <c r="AD589" s="268"/>
      <c r="AE589" s="269"/>
    </row>
    <row r="590" spans="1:31" ht="12.75" customHeight="1">
      <c r="A590" s="364">
        <v>43391</v>
      </c>
      <c r="B590" s="326" t="s">
        <v>200</v>
      </c>
      <c r="C590" s="326" t="s">
        <v>199</v>
      </c>
      <c r="D590" s="278">
        <v>6761.93</v>
      </c>
      <c r="E590" s="278">
        <v>6967.16</v>
      </c>
      <c r="F590" s="278">
        <v>6680.38</v>
      </c>
      <c r="G590" s="278">
        <v>6734.24</v>
      </c>
      <c r="H590" s="278">
        <v>6868.13</v>
      </c>
      <c r="I590" s="278">
        <v>6800.83</v>
      </c>
      <c r="J590" s="278">
        <v>6786.86</v>
      </c>
      <c r="K590" s="278">
        <v>6744.83</v>
      </c>
      <c r="L590" s="278">
        <v>6757.45</v>
      </c>
      <c r="M590" s="278">
        <v>6858.24</v>
      </c>
      <c r="N590" s="278">
        <v>7021.47</v>
      </c>
      <c r="O590" s="278">
        <v>6838.99</v>
      </c>
      <c r="P590" s="278">
        <v>6927.05</v>
      </c>
      <c r="Q590" s="326">
        <f>IF((L591=""),"",MAX(D592:P592))</f>
        <v>5495.0599999999995</v>
      </c>
      <c r="R590" s="326">
        <f>IF(L591="","",MIN(D592:L592))</f>
        <v>5360.6200000000008</v>
      </c>
      <c r="S590" s="318">
        <f>IF((P592=""),"",AVERAGE(D592:P592))</f>
        <v>5425.043076923077</v>
      </c>
      <c r="T590" s="319">
        <f>IF((L591=""),"",(Q590-R590)/(Q590+R590)*100)</f>
        <v>1.238430020044794</v>
      </c>
      <c r="U590" s="326">
        <f>STDEV(D592:P592)</f>
        <v>47.513108960372499</v>
      </c>
      <c r="V590" s="328" t="str">
        <f>IF(P591="","",IF(T590&lt;2.7,IF(S590&gt;5150,IF(S590&lt;5600,"Pass","Fail"),"Fail"),"Fail"))</f>
        <v>Pass</v>
      </c>
      <c r="W590" s="326">
        <v>1159</v>
      </c>
      <c r="X590" s="268"/>
      <c r="Y590" s="268"/>
      <c r="Z590" s="321">
        <v>4470</v>
      </c>
      <c r="AA590" s="321">
        <v>6020</v>
      </c>
      <c r="AB590" s="321">
        <v>5150</v>
      </c>
      <c r="AC590" s="321">
        <v>5600</v>
      </c>
      <c r="AD590" s="305">
        <v>10</v>
      </c>
      <c r="AE590" s="322">
        <v>2.7</v>
      </c>
    </row>
    <row r="591" spans="1:31" ht="15">
      <c r="A591" s="306"/>
      <c r="B591" s="298"/>
      <c r="C591" s="298" t="s">
        <v>198</v>
      </c>
      <c r="D591" s="278">
        <v>4081.62</v>
      </c>
      <c r="E591" s="278">
        <v>4279.43</v>
      </c>
      <c r="F591" s="278">
        <v>3995.73</v>
      </c>
      <c r="G591" s="278">
        <v>4001.81</v>
      </c>
      <c r="H591" s="278">
        <v>4171.2299999999996</v>
      </c>
      <c r="I591" s="278">
        <v>4073.76</v>
      </c>
      <c r="J591" s="278">
        <v>4039.33</v>
      </c>
      <c r="K591" s="278">
        <v>4002.68</v>
      </c>
      <c r="L591" s="278">
        <v>4064.84</v>
      </c>
      <c r="M591" s="278">
        <v>4115.17</v>
      </c>
      <c r="N591" s="278">
        <v>4316.47</v>
      </c>
      <c r="O591" s="278">
        <v>4126.96</v>
      </c>
      <c r="P591" s="278">
        <v>4215.75</v>
      </c>
      <c r="Q591" s="298"/>
      <c r="R591" s="298"/>
      <c r="S591" s="298"/>
      <c r="T591" s="298"/>
      <c r="U591" s="298"/>
      <c r="V591" s="302"/>
      <c r="W591" s="298"/>
      <c r="X591" s="268"/>
      <c r="Y591" s="268"/>
      <c r="Z591" s="267"/>
      <c r="AA591" s="267"/>
      <c r="AB591" s="267"/>
      <c r="AC591" s="267"/>
      <c r="AD591" s="268"/>
      <c r="AE591" s="269"/>
    </row>
    <row r="592" spans="1:31" ht="57">
      <c r="A592" s="306"/>
      <c r="B592" s="299"/>
      <c r="C592" s="299" t="s">
        <v>197</v>
      </c>
      <c r="D592" s="371">
        <f t="shared" ref="D592:P592" si="192">IF(((D590="")*AND(D591="")),"",(D590-D591)*2)</f>
        <v>5360.6200000000008</v>
      </c>
      <c r="E592" s="371">
        <f t="shared" si="192"/>
        <v>5375.4599999999991</v>
      </c>
      <c r="F592" s="371">
        <f t="shared" si="192"/>
        <v>5369.3</v>
      </c>
      <c r="G592" s="371">
        <f t="shared" si="192"/>
        <v>5464.86</v>
      </c>
      <c r="H592" s="371">
        <f t="shared" si="192"/>
        <v>5393.8000000000011</v>
      </c>
      <c r="I592" s="371">
        <f t="shared" si="192"/>
        <v>5454.1399999999994</v>
      </c>
      <c r="J592" s="371">
        <f t="shared" si="192"/>
        <v>5495.0599999999995</v>
      </c>
      <c r="K592" s="371">
        <f t="shared" si="192"/>
        <v>5484.3</v>
      </c>
      <c r="L592" s="371">
        <f t="shared" si="192"/>
        <v>5385.2199999999993</v>
      </c>
      <c r="M592" s="371">
        <f t="shared" si="192"/>
        <v>5486.1399999999994</v>
      </c>
      <c r="N592" s="371">
        <f t="shared" si="192"/>
        <v>5410</v>
      </c>
      <c r="O592" s="371">
        <f t="shared" si="192"/>
        <v>5424.0599999999995</v>
      </c>
      <c r="P592" s="371">
        <f t="shared" si="192"/>
        <v>5422.6</v>
      </c>
      <c r="Q592" s="299"/>
      <c r="R592" s="299"/>
      <c r="S592" s="299"/>
      <c r="T592" s="299"/>
      <c r="U592" s="299"/>
      <c r="V592" s="324"/>
      <c r="W592" s="299"/>
      <c r="X592" s="268"/>
      <c r="Y592" s="268"/>
      <c r="Z592" s="267"/>
      <c r="AA592" s="267"/>
      <c r="AB592" s="267"/>
      <c r="AC592" s="267"/>
      <c r="AD592" s="268"/>
      <c r="AE592" s="269"/>
    </row>
    <row r="593" spans="1:31" ht="12.75" customHeight="1">
      <c r="A593" s="364">
        <v>43396</v>
      </c>
      <c r="B593" s="326" t="s">
        <v>202</v>
      </c>
      <c r="C593" s="307" t="s">
        <v>199</v>
      </c>
      <c r="D593" s="278">
        <v>5849.95</v>
      </c>
      <c r="E593" s="278">
        <v>6104.21</v>
      </c>
      <c r="F593" s="278">
        <v>6181.15</v>
      </c>
      <c r="G593" s="278">
        <v>5876.35</v>
      </c>
      <c r="H593" s="278">
        <v>6100.36</v>
      </c>
      <c r="I593" s="278">
        <v>6152.96</v>
      </c>
      <c r="J593" s="278">
        <v>5945.47</v>
      </c>
      <c r="K593" s="278">
        <v>6045.29</v>
      </c>
      <c r="L593" s="278">
        <v>6193.35</v>
      </c>
      <c r="M593" s="290"/>
      <c r="N593" s="290"/>
      <c r="O593" s="290"/>
      <c r="P593" s="290"/>
      <c r="Q593" s="326">
        <f>IF((L594=""),"",MAX(D595:L595))</f>
        <v>7234.4699999999993</v>
      </c>
      <c r="R593" s="326">
        <f>IF(L594="","",MIN(D595:L595))</f>
        <v>6054.510000000002</v>
      </c>
      <c r="S593" s="327">
        <f>IF((L595=""),"",AVERAGE(D595:L595))</f>
        <v>6876.83</v>
      </c>
      <c r="T593" s="319">
        <f>IF((L594=""),"",(Q593-R593)/(Q593+R593)*100)</f>
        <v>8.8792367811524837</v>
      </c>
      <c r="U593" s="326">
        <f>STDEV(D595:P595)</f>
        <v>336.19412294090318</v>
      </c>
      <c r="V593" s="328" t="str">
        <f>IF(L594="","",IF(T593&lt;9.8,IF(S593&gt;5100,IF(S593&lt;8300,"Pass","Fail"),"Fail"),"Fail"))</f>
        <v>Pass</v>
      </c>
      <c r="W593" s="298">
        <v>1159</v>
      </c>
      <c r="X593" s="268" t="s">
        <v>225</v>
      </c>
      <c r="Y593" s="268"/>
      <c r="Z593" s="267">
        <v>4955</v>
      </c>
      <c r="AA593" s="267">
        <v>9645</v>
      </c>
      <c r="AB593" s="267">
        <v>5100</v>
      </c>
      <c r="AC593" s="267">
        <v>8300</v>
      </c>
      <c r="AD593" s="305">
        <v>10</v>
      </c>
      <c r="AE593" s="305">
        <v>9.8000000000000007</v>
      </c>
    </row>
    <row r="594" spans="1:31" ht="15">
      <c r="A594" s="306"/>
      <c r="B594" s="298"/>
      <c r="C594" s="307" t="s">
        <v>198</v>
      </c>
      <c r="D594" s="278">
        <v>3438.46</v>
      </c>
      <c r="E594" s="278">
        <v>3801.75</v>
      </c>
      <c r="F594" s="278">
        <v>3832.46</v>
      </c>
      <c r="G594" s="278">
        <v>3858.18</v>
      </c>
      <c r="H594" s="278">
        <v>3802.28</v>
      </c>
      <c r="I594" s="278">
        <v>3821.48</v>
      </c>
      <c r="J594" s="278">
        <v>3690.72</v>
      </c>
      <c r="K594" s="278">
        <v>3740.81</v>
      </c>
      <c r="L594" s="278">
        <v>3832.46</v>
      </c>
      <c r="M594" s="290"/>
      <c r="N594" s="290"/>
      <c r="O594" s="290"/>
      <c r="P594" s="290"/>
      <c r="Q594" s="298"/>
      <c r="R594" s="298"/>
      <c r="S594" s="298"/>
      <c r="T594" s="298"/>
      <c r="U594" s="298"/>
      <c r="V594" s="302"/>
      <c r="W594" s="298"/>
      <c r="X594" s="268"/>
      <c r="Y594" s="268"/>
      <c r="Z594" s="267"/>
      <c r="AA594" s="267"/>
      <c r="AB594" s="267"/>
      <c r="AC594" s="267"/>
      <c r="AD594" s="268"/>
      <c r="AE594" s="269"/>
    </row>
    <row r="595" spans="1:31" ht="57.75" thickBot="1">
      <c r="A595" s="306"/>
      <c r="B595" s="298"/>
      <c r="C595" s="326" t="s">
        <v>197</v>
      </c>
      <c r="D595" s="343">
        <f t="shared" ref="D595:L595" si="193">IF(((D593="")*AND(D594="")),"",(D593-D594)*3)</f>
        <v>7234.4699999999993</v>
      </c>
      <c r="E595" s="343">
        <f t="shared" si="193"/>
        <v>6907.38</v>
      </c>
      <c r="F595" s="343">
        <f t="shared" si="193"/>
        <v>7046.0699999999988</v>
      </c>
      <c r="G595" s="343">
        <f t="shared" si="193"/>
        <v>6054.510000000002</v>
      </c>
      <c r="H595" s="343">
        <f t="shared" si="193"/>
        <v>6894.239999999998</v>
      </c>
      <c r="I595" s="343">
        <f t="shared" si="193"/>
        <v>6994.4400000000005</v>
      </c>
      <c r="J595" s="343">
        <f t="shared" si="193"/>
        <v>6764.2500000000018</v>
      </c>
      <c r="K595" s="343">
        <f t="shared" si="193"/>
        <v>6913.4400000000005</v>
      </c>
      <c r="L595" s="343">
        <f t="shared" si="193"/>
        <v>7082.670000000001</v>
      </c>
      <c r="M595" s="343"/>
      <c r="N595" s="343"/>
      <c r="O595" s="343"/>
      <c r="P595" s="343" t="str">
        <f>IF(((P593="")*AND(P594="")),"",(P593-P594)*2)</f>
        <v/>
      </c>
      <c r="Q595" s="298"/>
      <c r="R595" s="298"/>
      <c r="S595" s="298"/>
      <c r="T595" s="298"/>
      <c r="U595" s="298"/>
      <c r="V595" s="302"/>
      <c r="W595" s="298"/>
      <c r="X595" s="268"/>
      <c r="Y595" s="268"/>
      <c r="Z595" s="267"/>
      <c r="AA595" s="267"/>
      <c r="AB595" s="267"/>
      <c r="AC595" s="267"/>
      <c r="AD595" s="268"/>
      <c r="AE595" s="269"/>
    </row>
    <row r="596" spans="1:31" ht="12.75" customHeight="1">
      <c r="A596" s="364">
        <v>43396</v>
      </c>
      <c r="B596" s="326" t="s">
        <v>200</v>
      </c>
      <c r="C596" s="326" t="s">
        <v>199</v>
      </c>
      <c r="D596" s="278">
        <v>4088.56</v>
      </c>
      <c r="E596" s="278">
        <v>4288.32</v>
      </c>
      <c r="F596" s="278">
        <v>4001.96</v>
      </c>
      <c r="G596" s="278">
        <v>4007.82</v>
      </c>
      <c r="H596" s="278">
        <v>4180.08</v>
      </c>
      <c r="I596" s="278">
        <v>4080.83</v>
      </c>
      <c r="J596" s="278">
        <v>4045.48</v>
      </c>
      <c r="K596" s="278">
        <v>4008.7</v>
      </c>
      <c r="L596" s="278">
        <v>4071.32</v>
      </c>
      <c r="M596" s="278">
        <v>4121.88</v>
      </c>
      <c r="N596" s="278">
        <v>4325.54</v>
      </c>
      <c r="O596" s="278">
        <v>4133.74</v>
      </c>
      <c r="P596" s="278">
        <v>4223.62</v>
      </c>
      <c r="Q596" s="326">
        <f>IF((L597=""),"",MAX(D598:P598))</f>
        <v>5541.2800000000007</v>
      </c>
      <c r="R596" s="326">
        <f>IF(L597="","",MIN(D598:L598))</f>
        <v>5401.74</v>
      </c>
      <c r="S596" s="318">
        <f>IF((P598=""),"",AVERAGE(D598:P598))</f>
        <v>5465.2415384615388</v>
      </c>
      <c r="T596" s="319">
        <f>IF((L597=""),"",(Q596-R596)/(Q596+R596)*100)</f>
        <v>1.2751507353545994</v>
      </c>
      <c r="U596" s="326">
        <f>STDEV(D598:P598)</f>
        <v>48.513614901049721</v>
      </c>
      <c r="V596" s="328" t="str">
        <f>IF(P597="","",IF(T596&lt;2.7,IF(S596&gt;5150,IF(S596&lt;5600,"Pass","Fail"),"Fail"),"Fail"))</f>
        <v>Pass</v>
      </c>
      <c r="W596" s="326">
        <v>1159</v>
      </c>
      <c r="X596" s="268" t="s">
        <v>225</v>
      </c>
      <c r="Y596" s="268"/>
      <c r="Z596" s="321">
        <v>4470</v>
      </c>
      <c r="AA596" s="321">
        <v>6020</v>
      </c>
      <c r="AB596" s="321">
        <v>5150</v>
      </c>
      <c r="AC596" s="321">
        <v>5600</v>
      </c>
      <c r="AD596" s="305">
        <v>10</v>
      </c>
      <c r="AE596" s="322">
        <v>2.7</v>
      </c>
    </row>
    <row r="597" spans="1:31" ht="15">
      <c r="A597" s="306"/>
      <c r="B597" s="298"/>
      <c r="C597" s="298" t="s">
        <v>198</v>
      </c>
      <c r="D597" s="278">
        <v>1387.69</v>
      </c>
      <c r="E597" s="278">
        <v>1581.52</v>
      </c>
      <c r="F597" s="278">
        <v>1294.98</v>
      </c>
      <c r="G597" s="278">
        <v>1255.3900000000001</v>
      </c>
      <c r="H597" s="278">
        <v>1465.23</v>
      </c>
      <c r="I597" s="278">
        <v>1327.93</v>
      </c>
      <c r="J597" s="278">
        <v>1274.8399999999999</v>
      </c>
      <c r="K597" s="278">
        <v>1246.83</v>
      </c>
      <c r="L597" s="278">
        <v>1358.28</v>
      </c>
      <c r="M597" s="278">
        <v>1360.63</v>
      </c>
      <c r="N597" s="278">
        <v>1602.08</v>
      </c>
      <c r="O597" s="278">
        <v>1403.4</v>
      </c>
      <c r="P597" s="278">
        <v>1494.98</v>
      </c>
      <c r="Q597" s="298"/>
      <c r="R597" s="298"/>
      <c r="S597" s="298"/>
      <c r="T597" s="298"/>
      <c r="U597" s="298"/>
      <c r="V597" s="302"/>
      <c r="W597" s="298"/>
      <c r="X597" s="268"/>
      <c r="Y597" s="268"/>
      <c r="Z597" s="267"/>
      <c r="AA597" s="267"/>
      <c r="AB597" s="267"/>
      <c r="AC597" s="267"/>
      <c r="AD597" s="268"/>
      <c r="AE597" s="269"/>
    </row>
    <row r="598" spans="1:31" ht="57">
      <c r="A598" s="306"/>
      <c r="B598" s="299"/>
      <c r="C598" s="299" t="s">
        <v>197</v>
      </c>
      <c r="D598" s="371">
        <f t="shared" ref="D598:P598" si="194">IF(((D596="")*AND(D597="")),"",(D596-D597)*2)</f>
        <v>5401.74</v>
      </c>
      <c r="E598" s="371">
        <f t="shared" si="194"/>
        <v>5413.5999999999995</v>
      </c>
      <c r="F598" s="371">
        <f t="shared" si="194"/>
        <v>5413.96</v>
      </c>
      <c r="G598" s="371">
        <f t="shared" si="194"/>
        <v>5504.8600000000006</v>
      </c>
      <c r="H598" s="371">
        <f t="shared" si="194"/>
        <v>5429.7</v>
      </c>
      <c r="I598" s="371">
        <f t="shared" si="194"/>
        <v>5505.7999999999993</v>
      </c>
      <c r="J598" s="371">
        <f t="shared" si="194"/>
        <v>5541.2800000000007</v>
      </c>
      <c r="K598" s="371">
        <f t="shared" si="194"/>
        <v>5523.74</v>
      </c>
      <c r="L598" s="371">
        <f t="shared" si="194"/>
        <v>5426.08</v>
      </c>
      <c r="M598" s="371">
        <f t="shared" si="194"/>
        <v>5522.5</v>
      </c>
      <c r="N598" s="371">
        <f t="shared" si="194"/>
        <v>5446.92</v>
      </c>
      <c r="O598" s="371">
        <f t="shared" si="194"/>
        <v>5460.6799999999994</v>
      </c>
      <c r="P598" s="371">
        <f t="shared" si="194"/>
        <v>5457.28</v>
      </c>
      <c r="Q598" s="299"/>
      <c r="R598" s="299"/>
      <c r="S598" s="299"/>
      <c r="T598" s="299"/>
      <c r="U598" s="299"/>
      <c r="V598" s="324"/>
      <c r="W598" s="299"/>
      <c r="X598" s="268"/>
      <c r="Y598" s="268"/>
      <c r="Z598" s="267"/>
      <c r="AA598" s="267"/>
      <c r="AB598" s="267"/>
      <c r="AC598" s="267"/>
      <c r="AD598" s="268"/>
      <c r="AE598" s="269"/>
    </row>
    <row r="599" spans="1:31" ht="12.75" customHeight="1">
      <c r="A599" s="364">
        <v>43403</v>
      </c>
      <c r="B599" s="326" t="s">
        <v>202</v>
      </c>
      <c r="C599" s="307" t="s">
        <v>199</v>
      </c>
      <c r="D599" s="278">
        <v>3623.41</v>
      </c>
      <c r="E599" s="278">
        <v>3741.34</v>
      </c>
      <c r="F599" s="278">
        <v>3772.61</v>
      </c>
      <c r="G599" s="278">
        <v>3646.73</v>
      </c>
      <c r="H599" s="278">
        <v>3723.53</v>
      </c>
      <c r="I599" s="278">
        <v>3769.49</v>
      </c>
      <c r="J599" s="278">
        <v>3646.73</v>
      </c>
      <c r="K599" s="278">
        <v>3680.63</v>
      </c>
      <c r="L599" s="278">
        <v>3741.49</v>
      </c>
      <c r="M599" s="290"/>
      <c r="N599" s="290"/>
      <c r="O599" s="290"/>
      <c r="P599" s="290"/>
      <c r="Q599" s="326">
        <f>IF((L600=""),"",MAX(D601:L601))</f>
        <v>7872.8399999999992</v>
      </c>
      <c r="R599" s="326">
        <f>IF(L600="","",MIN(D601:L601))</f>
        <v>6522.48</v>
      </c>
      <c r="S599" s="327">
        <f>IF((L601=""),"",AVERAGE(D601:L601))</f>
        <v>6828.68</v>
      </c>
      <c r="T599" s="319">
        <f>IF((L600=""),"",(Q599-R599)/(Q599+R599)*100)</f>
        <v>9.3805486783204515</v>
      </c>
      <c r="U599" s="326">
        <f>STDEV(D601:P601)</f>
        <v>428.47099989379706</v>
      </c>
      <c r="V599" s="328" t="str">
        <f>IF(L600="","",IF(T599&lt;9.8,IF(S599&gt;5100,IF(S599&lt;8300,"Pass","Fail"),"Fail"),"Fail"))</f>
        <v>Pass</v>
      </c>
      <c r="W599" s="298">
        <v>1335</v>
      </c>
      <c r="X599" s="268" t="s">
        <v>224</v>
      </c>
      <c r="Y599" s="268"/>
      <c r="Z599" s="267">
        <v>4955</v>
      </c>
      <c r="AA599" s="267">
        <v>9645</v>
      </c>
      <c r="AB599" s="267">
        <v>5100</v>
      </c>
      <c r="AC599" s="267">
        <v>8300</v>
      </c>
      <c r="AD599" s="305">
        <v>10</v>
      </c>
      <c r="AE599" s="305">
        <v>9.8000000000000007</v>
      </c>
    </row>
    <row r="600" spans="1:31" ht="15">
      <c r="A600" s="306"/>
      <c r="B600" s="298"/>
      <c r="C600" s="307" t="s">
        <v>198</v>
      </c>
      <c r="D600" s="278">
        <v>1262.69</v>
      </c>
      <c r="E600" s="278">
        <v>1552.05</v>
      </c>
      <c r="F600" s="278">
        <v>1585.69</v>
      </c>
      <c r="G600" s="278">
        <v>1022.45</v>
      </c>
      <c r="H600" s="278">
        <v>1503.7</v>
      </c>
      <c r="I600" s="278">
        <v>1595.33</v>
      </c>
      <c r="J600" s="278">
        <v>1397.53</v>
      </c>
      <c r="K600" s="278">
        <v>1404.18</v>
      </c>
      <c r="L600" s="278">
        <v>1536.3</v>
      </c>
      <c r="M600" s="290"/>
      <c r="N600" s="290"/>
      <c r="O600" s="290"/>
      <c r="P600" s="290"/>
      <c r="Q600" s="298"/>
      <c r="R600" s="298"/>
      <c r="S600" s="298"/>
      <c r="T600" s="298"/>
      <c r="U600" s="298"/>
      <c r="V600" s="302"/>
      <c r="W600" s="298"/>
      <c r="X600" s="268"/>
      <c r="Y600" s="268"/>
      <c r="Z600" s="267"/>
      <c r="AA600" s="267"/>
      <c r="AB600" s="267"/>
      <c r="AC600" s="267"/>
      <c r="AD600" s="268"/>
      <c r="AE600" s="269"/>
    </row>
    <row r="601" spans="1:31" ht="57.75" thickBot="1">
      <c r="A601" s="306"/>
      <c r="B601" s="298"/>
      <c r="C601" s="326" t="s">
        <v>197</v>
      </c>
      <c r="D601" s="343">
        <f t="shared" ref="D601:L601" si="195">IF(((D599="")*AND(D600="")),"",(D599-D600)*3)</f>
        <v>7082.16</v>
      </c>
      <c r="E601" s="343">
        <f t="shared" si="195"/>
        <v>6567.87</v>
      </c>
      <c r="F601" s="343">
        <f t="shared" si="195"/>
        <v>6560.76</v>
      </c>
      <c r="G601" s="343">
        <f t="shared" si="195"/>
        <v>7872.8399999999992</v>
      </c>
      <c r="H601" s="343">
        <f t="shared" si="195"/>
        <v>6659.49</v>
      </c>
      <c r="I601" s="343">
        <f t="shared" si="195"/>
        <v>6522.48</v>
      </c>
      <c r="J601" s="343">
        <f t="shared" si="195"/>
        <v>6747.5999999999995</v>
      </c>
      <c r="K601" s="343">
        <f t="shared" si="195"/>
        <v>6829.3499999999995</v>
      </c>
      <c r="L601" s="343">
        <f t="shared" si="195"/>
        <v>6615.5699999999988</v>
      </c>
      <c r="M601" s="343"/>
      <c r="N601" s="343"/>
      <c r="O601" s="343"/>
      <c r="P601" s="343" t="str">
        <f>IF(((P599="")*AND(P600="")),"",(P599-P600)*2)</f>
        <v/>
      </c>
      <c r="Q601" s="298"/>
      <c r="R601" s="298"/>
      <c r="S601" s="298"/>
      <c r="T601" s="298"/>
      <c r="U601" s="298"/>
      <c r="V601" s="302"/>
      <c r="W601" s="298"/>
      <c r="X601" s="268"/>
      <c r="Y601" s="268"/>
      <c r="Z601" s="267"/>
      <c r="AA601" s="267"/>
      <c r="AB601" s="267"/>
      <c r="AC601" s="267"/>
      <c r="AD601" s="268"/>
      <c r="AE601" s="269"/>
    </row>
    <row r="602" spans="1:31" ht="12.75" customHeight="1">
      <c r="A602" s="364">
        <v>43403</v>
      </c>
      <c r="B602" s="326" t="s">
        <v>200</v>
      </c>
      <c r="C602" s="326" t="s">
        <v>199</v>
      </c>
      <c r="D602" s="278">
        <v>6532.79</v>
      </c>
      <c r="E602" s="278">
        <v>6629.23</v>
      </c>
      <c r="F602" s="278">
        <v>6559.08</v>
      </c>
      <c r="G602" s="278">
        <v>6602.02</v>
      </c>
      <c r="H602" s="278">
        <v>6454.43</v>
      </c>
      <c r="I602" s="278">
        <v>6551.79</v>
      </c>
      <c r="J602" s="278">
        <v>6618.97</v>
      </c>
      <c r="K602" s="278">
        <v>6547.09</v>
      </c>
      <c r="L602" s="278">
        <v>6588.73</v>
      </c>
      <c r="M602" s="278">
        <v>6622.17</v>
      </c>
      <c r="N602" s="278">
        <v>6675.37</v>
      </c>
      <c r="O602" s="278">
        <v>6592.62</v>
      </c>
      <c r="P602" s="278">
        <v>6479.62</v>
      </c>
      <c r="Q602" s="326">
        <f>IF((L603=""),"",MAX(D604:P604))</f>
        <v>5371.24</v>
      </c>
      <c r="R602" s="326">
        <f>IF(L603="","",MIN(D604:L604))</f>
        <v>5267.0599999999995</v>
      </c>
      <c r="S602" s="318">
        <f>IF((P604=""),"",AVERAGE(D604:P604))</f>
        <v>5330.9461538461528</v>
      </c>
      <c r="T602" s="319">
        <f>IF((L603=""),"",(Q602-R602)/(Q602+R602)*100)</f>
        <v>0.97929180414164196</v>
      </c>
      <c r="U602" s="326">
        <f>STDEV(D604:P604)</f>
        <v>36.429130637272948</v>
      </c>
      <c r="V602" s="328" t="str">
        <f>IF(P603="","",IF(T602&lt;2.7,IF(S602&gt;5150,IF(S602&lt;5600,"Pass","Fail"),"Fail"),"Fail"))</f>
        <v>Pass</v>
      </c>
      <c r="W602" s="326">
        <v>1335</v>
      </c>
      <c r="X602" s="268" t="s">
        <v>224</v>
      </c>
      <c r="Y602" s="268"/>
      <c r="Z602" s="321">
        <v>4470</v>
      </c>
      <c r="AA602" s="321">
        <v>6020</v>
      </c>
      <c r="AB602" s="321">
        <v>5150</v>
      </c>
      <c r="AC602" s="321">
        <v>5600</v>
      </c>
      <c r="AD602" s="305">
        <v>10</v>
      </c>
      <c r="AE602" s="322">
        <v>2.7</v>
      </c>
    </row>
    <row r="603" spans="1:31" ht="15">
      <c r="A603" s="306"/>
      <c r="B603" s="298"/>
      <c r="C603" s="298" t="s">
        <v>198</v>
      </c>
      <c r="D603" s="278">
        <v>3895.44</v>
      </c>
      <c r="E603" s="278">
        <v>3963.04</v>
      </c>
      <c r="F603" s="278">
        <v>3925.55</v>
      </c>
      <c r="G603" s="278">
        <v>3937.56</v>
      </c>
      <c r="H603" s="278">
        <v>3774.38</v>
      </c>
      <c r="I603" s="278">
        <v>3866.17</v>
      </c>
      <c r="J603" s="278">
        <v>3943.37</v>
      </c>
      <c r="K603" s="278">
        <v>3868.15</v>
      </c>
      <c r="L603" s="278">
        <v>3949.22</v>
      </c>
      <c r="M603" s="278">
        <v>3937.16</v>
      </c>
      <c r="N603" s="278">
        <v>3996.4</v>
      </c>
      <c r="O603" s="278">
        <v>3932.45</v>
      </c>
      <c r="P603" s="278">
        <v>3813.87</v>
      </c>
      <c r="Q603" s="298"/>
      <c r="R603" s="298"/>
      <c r="S603" s="298"/>
      <c r="T603" s="298"/>
      <c r="U603" s="298"/>
      <c r="V603" s="302"/>
      <c r="W603" s="298"/>
      <c r="X603" s="268"/>
      <c r="Y603" s="268"/>
      <c r="Z603" s="267"/>
      <c r="AA603" s="267"/>
      <c r="AB603" s="267"/>
      <c r="AC603" s="267"/>
      <c r="AD603" s="268"/>
      <c r="AE603" s="269"/>
    </row>
    <row r="604" spans="1:31" ht="57">
      <c r="A604" s="306"/>
      <c r="B604" s="299"/>
      <c r="C604" s="299" t="s">
        <v>197</v>
      </c>
      <c r="D604" s="371">
        <f t="shared" ref="D604:P604" si="196">IF(((D602="")*AND(D603="")),"",(D602-D603)*2)</f>
        <v>5274.7</v>
      </c>
      <c r="E604" s="371">
        <f t="shared" si="196"/>
        <v>5332.3799999999992</v>
      </c>
      <c r="F604" s="371">
        <f t="shared" si="196"/>
        <v>5267.0599999999995</v>
      </c>
      <c r="G604" s="371">
        <f t="shared" si="196"/>
        <v>5328.920000000001</v>
      </c>
      <c r="H604" s="371">
        <f t="shared" si="196"/>
        <v>5360.1</v>
      </c>
      <c r="I604" s="371">
        <f t="shared" si="196"/>
        <v>5371.24</v>
      </c>
      <c r="J604" s="371">
        <f t="shared" si="196"/>
        <v>5351.2000000000007</v>
      </c>
      <c r="K604" s="371">
        <f t="shared" si="196"/>
        <v>5357.88</v>
      </c>
      <c r="L604" s="371">
        <f t="shared" si="196"/>
        <v>5279.0199999999995</v>
      </c>
      <c r="M604" s="371">
        <f t="shared" si="196"/>
        <v>5370.02</v>
      </c>
      <c r="N604" s="371">
        <f t="shared" si="196"/>
        <v>5357.94</v>
      </c>
      <c r="O604" s="371">
        <f t="shared" si="196"/>
        <v>5320.34</v>
      </c>
      <c r="P604" s="371">
        <f t="shared" si="196"/>
        <v>5331.5</v>
      </c>
      <c r="Q604" s="299"/>
      <c r="R604" s="299"/>
      <c r="S604" s="299"/>
      <c r="T604" s="299"/>
      <c r="U604" s="299"/>
      <c r="V604" s="324"/>
      <c r="W604" s="299"/>
      <c r="X604" s="268"/>
      <c r="Y604" s="268"/>
      <c r="Z604" s="267"/>
      <c r="AA604" s="267"/>
      <c r="AB604" s="267"/>
      <c r="AC604" s="267"/>
      <c r="AD604" s="268"/>
      <c r="AE604" s="269"/>
    </row>
    <row r="605" spans="1:31" ht="12.75" customHeight="1">
      <c r="A605" s="364">
        <v>43409</v>
      </c>
      <c r="B605" s="326" t="s">
        <v>202</v>
      </c>
      <c r="C605" s="307" t="s">
        <v>199</v>
      </c>
      <c r="D605" s="278">
        <v>5863.61</v>
      </c>
      <c r="E605" s="278">
        <v>6125.35</v>
      </c>
      <c r="F605" s="278">
        <v>6144.95</v>
      </c>
      <c r="G605" s="278">
        <v>6074</v>
      </c>
      <c r="H605" s="278">
        <v>6085.47</v>
      </c>
      <c r="I605" s="278">
        <v>6160.08</v>
      </c>
      <c r="J605" s="278">
        <v>6011.24</v>
      </c>
      <c r="K605" s="278">
        <v>6053.22</v>
      </c>
      <c r="L605" s="278">
        <v>6151.13</v>
      </c>
      <c r="M605" s="290"/>
      <c r="N605" s="290"/>
      <c r="O605" s="290"/>
      <c r="P605" s="290"/>
      <c r="Q605" s="326">
        <f>IF((L606=""),"",MAX(D607:L607))</f>
        <v>7824.7499999999982</v>
      </c>
      <c r="R605" s="326">
        <f>IF(L606="","",MIN(D607:L607))</f>
        <v>7052.8799999999992</v>
      </c>
      <c r="S605" s="327">
        <f>IF((L607=""),"",AVERAGE(D607:L607))</f>
        <v>7315.7766666666657</v>
      </c>
      <c r="T605" s="319">
        <f>IF((L606=""),"",(Q605-R605)/(Q605+R605)*100)</f>
        <v>5.1881247214778101</v>
      </c>
      <c r="U605" s="326">
        <f>STDEV(D607:P607)</f>
        <v>216.0186204358719</v>
      </c>
      <c r="V605" s="328" t="str">
        <f>IF(L606="","",IF(T605&lt;9.8,IF(S605&gt;5100,IF(S605&lt;8300,"Pass","Fail"),"Fail"),"Fail"))</f>
        <v>Pass</v>
      </c>
      <c r="W605" s="298">
        <v>1340</v>
      </c>
      <c r="X605" s="268"/>
      <c r="Y605" s="268"/>
      <c r="Z605" s="267">
        <v>4955</v>
      </c>
      <c r="AA605" s="267">
        <v>9645</v>
      </c>
      <c r="AB605" s="267">
        <v>5100</v>
      </c>
      <c r="AC605" s="267">
        <v>8300</v>
      </c>
      <c r="AD605" s="305">
        <v>10</v>
      </c>
      <c r="AE605" s="305">
        <v>9.8000000000000007</v>
      </c>
    </row>
    <row r="606" spans="1:31" ht="15">
      <c r="A606" s="306"/>
      <c r="B606" s="298"/>
      <c r="C606" s="307" t="s">
        <v>198</v>
      </c>
      <c r="D606" s="278">
        <v>3255.36</v>
      </c>
      <c r="E606" s="278">
        <v>3707.23</v>
      </c>
      <c r="F606" s="278">
        <v>3716.66</v>
      </c>
      <c r="G606" s="278">
        <v>3597.78</v>
      </c>
      <c r="H606" s="278">
        <v>3680.51</v>
      </c>
      <c r="I606" s="278">
        <v>3730.11</v>
      </c>
      <c r="J606" s="278">
        <v>3660.28</v>
      </c>
      <c r="K606" s="278">
        <v>3657.72</v>
      </c>
      <c r="L606" s="278">
        <v>3716.07</v>
      </c>
      <c r="M606" s="290"/>
      <c r="N606" s="290"/>
      <c r="O606" s="290"/>
      <c r="P606" s="290"/>
      <c r="Q606" s="298"/>
      <c r="R606" s="298"/>
      <c r="S606" s="298"/>
      <c r="T606" s="298"/>
      <c r="U606" s="298"/>
      <c r="V606" s="302"/>
      <c r="W606" s="298"/>
      <c r="X606" s="268"/>
      <c r="Y606" s="268"/>
      <c r="Z606" s="267"/>
      <c r="AA606" s="267"/>
      <c r="AB606" s="267"/>
      <c r="AC606" s="267"/>
      <c r="AD606" s="268"/>
      <c r="AE606" s="269"/>
    </row>
    <row r="607" spans="1:31" ht="57.75" thickBot="1">
      <c r="A607" s="306"/>
      <c r="B607" s="298"/>
      <c r="C607" s="326" t="s">
        <v>197</v>
      </c>
      <c r="D607" s="343">
        <f t="shared" ref="D607:L607" si="197">IF(((D605="")*AND(D606="")),"",(D605-D606)*3)</f>
        <v>7824.7499999999982</v>
      </c>
      <c r="E607" s="343">
        <f t="shared" si="197"/>
        <v>7254.3600000000006</v>
      </c>
      <c r="F607" s="343">
        <f t="shared" si="197"/>
        <v>7284.87</v>
      </c>
      <c r="G607" s="343">
        <f t="shared" si="197"/>
        <v>7428.66</v>
      </c>
      <c r="H607" s="343">
        <f t="shared" si="197"/>
        <v>7214.88</v>
      </c>
      <c r="I607" s="343">
        <f t="shared" si="197"/>
        <v>7289.91</v>
      </c>
      <c r="J607" s="343">
        <f t="shared" si="197"/>
        <v>7052.8799999999992</v>
      </c>
      <c r="K607" s="343">
        <f t="shared" si="197"/>
        <v>7186.5000000000018</v>
      </c>
      <c r="L607" s="343">
        <f t="shared" si="197"/>
        <v>7305.18</v>
      </c>
      <c r="M607" s="343"/>
      <c r="N607" s="343"/>
      <c r="O607" s="343"/>
      <c r="P607" s="343" t="str">
        <f>IF(((P605="")*AND(P606="")),"",(P605-P606)*2)</f>
        <v/>
      </c>
      <c r="Q607" s="298"/>
      <c r="R607" s="298"/>
      <c r="S607" s="298"/>
      <c r="T607" s="298"/>
      <c r="U607" s="298"/>
      <c r="V607" s="302"/>
      <c r="W607" s="298"/>
      <c r="X607" s="268"/>
      <c r="Y607" s="268"/>
      <c r="Z607" s="267"/>
      <c r="AA607" s="267"/>
      <c r="AB607" s="267"/>
      <c r="AC607" s="267"/>
      <c r="AD607" s="268"/>
      <c r="AE607" s="269"/>
    </row>
    <row r="608" spans="1:31" ht="12.75" customHeight="1">
      <c r="A608" s="364">
        <v>43409</v>
      </c>
      <c r="B608" s="326" t="s">
        <v>200</v>
      </c>
      <c r="C608" s="326" t="s">
        <v>199</v>
      </c>
      <c r="D608" s="278">
        <v>6670.67</v>
      </c>
      <c r="E608" s="278">
        <v>6767.9</v>
      </c>
      <c r="F608" s="278">
        <v>6664.26</v>
      </c>
      <c r="G608" s="278">
        <v>6688.79</v>
      </c>
      <c r="H608" s="278">
        <v>6589.12</v>
      </c>
      <c r="I608" s="278">
        <v>6649.7</v>
      </c>
      <c r="J608" s="278">
        <v>6713.58</v>
      </c>
      <c r="K608" s="278">
        <v>6656.47</v>
      </c>
      <c r="L608" s="278">
        <v>6685.5</v>
      </c>
      <c r="M608" s="278">
        <v>6711.56</v>
      </c>
      <c r="N608" s="278">
        <v>6826.74</v>
      </c>
      <c r="O608" s="278">
        <v>6682.91</v>
      </c>
      <c r="P608" s="278">
        <v>6604.95</v>
      </c>
      <c r="Q608" s="326">
        <f>IF((L609=""),"",MAX(D610:P610))</f>
        <v>5405.880000000001</v>
      </c>
      <c r="R608" s="326">
        <f>IF(L609="","",MIN(D610:L610))</f>
        <v>5307.7400000000007</v>
      </c>
      <c r="S608" s="318">
        <f>IF((P610=""),"",AVERAGE(D610:P610))</f>
        <v>5365.3923076923074</v>
      </c>
      <c r="T608" s="319">
        <f>IF((L609=""),"",(Q608-R608)/(Q608+R608)*100)</f>
        <v>0.91603024934616228</v>
      </c>
      <c r="U608" s="326">
        <f>STDEV(D610:P610)</f>
        <v>33.608562935400684</v>
      </c>
      <c r="V608" s="328" t="str">
        <f>IF(P609="","",IF(T608&lt;2.7,IF(S608&gt;5150,IF(S608&lt;5600,"Pass","Fail"),"Fail"),"Fail"))</f>
        <v>Pass</v>
      </c>
      <c r="W608" s="326">
        <v>1340</v>
      </c>
      <c r="X608" s="268"/>
      <c r="Y608" s="268"/>
      <c r="Z608" s="321">
        <v>4470</v>
      </c>
      <c r="AA608" s="321">
        <v>6020</v>
      </c>
      <c r="AB608" s="321">
        <v>5150</v>
      </c>
      <c r="AC608" s="321">
        <v>5600</v>
      </c>
      <c r="AD608" s="305">
        <v>10</v>
      </c>
      <c r="AE608" s="322">
        <v>2.7</v>
      </c>
    </row>
    <row r="609" spans="1:31" ht="15">
      <c r="A609" s="306"/>
      <c r="B609" s="298"/>
      <c r="C609" s="298" t="s">
        <v>198</v>
      </c>
      <c r="D609" s="278">
        <v>4014.04</v>
      </c>
      <c r="E609" s="278">
        <v>4089.12</v>
      </c>
      <c r="F609" s="278">
        <v>4010.39</v>
      </c>
      <c r="G609" s="278">
        <v>4009.14</v>
      </c>
      <c r="H609" s="278">
        <v>3895.18</v>
      </c>
      <c r="I609" s="278">
        <v>3948.23</v>
      </c>
      <c r="J609" s="278">
        <v>4022</v>
      </c>
      <c r="K609" s="278">
        <v>3960.15</v>
      </c>
      <c r="L609" s="278">
        <v>4026.45</v>
      </c>
      <c r="M609" s="278">
        <v>4008.62</v>
      </c>
      <c r="N609" s="278">
        <v>4133.45</v>
      </c>
      <c r="O609" s="278">
        <v>4002.8</v>
      </c>
      <c r="P609" s="278">
        <v>3917.53</v>
      </c>
      <c r="Q609" s="298"/>
      <c r="R609" s="298"/>
      <c r="S609" s="298"/>
      <c r="T609" s="298"/>
      <c r="U609" s="298"/>
      <c r="V609" s="302"/>
      <c r="W609" s="298"/>
      <c r="X609" s="268"/>
      <c r="Y609" s="268"/>
      <c r="Z609" s="267"/>
      <c r="AA609" s="267"/>
      <c r="AB609" s="267"/>
      <c r="AC609" s="267"/>
      <c r="AD609" s="268"/>
      <c r="AE609" s="269"/>
    </row>
    <row r="610" spans="1:31" ht="57.75" thickBot="1">
      <c r="A610" s="306"/>
      <c r="B610" s="298"/>
      <c r="C610" s="298" t="s">
        <v>197</v>
      </c>
      <c r="D610" s="372">
        <f t="shared" ref="D610:P610" si="198">IF(((D608="")*AND(D609="")),"",(D608-D609)*2)</f>
        <v>5313.26</v>
      </c>
      <c r="E610" s="372">
        <f t="shared" si="198"/>
        <v>5357.5599999999995</v>
      </c>
      <c r="F610" s="372">
        <f t="shared" si="198"/>
        <v>5307.7400000000007</v>
      </c>
      <c r="G610" s="372">
        <f t="shared" si="198"/>
        <v>5359.3</v>
      </c>
      <c r="H610" s="372">
        <f t="shared" si="198"/>
        <v>5387.88</v>
      </c>
      <c r="I610" s="372">
        <f t="shared" si="198"/>
        <v>5402.94</v>
      </c>
      <c r="J610" s="372">
        <f t="shared" si="198"/>
        <v>5383.16</v>
      </c>
      <c r="K610" s="372">
        <f t="shared" si="198"/>
        <v>5392.64</v>
      </c>
      <c r="L610" s="372">
        <f t="shared" si="198"/>
        <v>5318.1</v>
      </c>
      <c r="M610" s="372">
        <f t="shared" si="198"/>
        <v>5405.880000000001</v>
      </c>
      <c r="N610" s="372">
        <f t="shared" si="198"/>
        <v>5386.58</v>
      </c>
      <c r="O610" s="372">
        <f t="shared" si="198"/>
        <v>5360.2199999999993</v>
      </c>
      <c r="P610" s="372">
        <f t="shared" si="198"/>
        <v>5374.8399999999992</v>
      </c>
      <c r="Q610" s="298"/>
      <c r="R610" s="298"/>
      <c r="S610" s="298"/>
      <c r="T610" s="298"/>
      <c r="U610" s="298"/>
      <c r="V610" s="302"/>
      <c r="W610" s="298"/>
      <c r="X610" s="268"/>
      <c r="Y610" s="268"/>
      <c r="Z610" s="267"/>
      <c r="AA610" s="267"/>
      <c r="AB610" s="267"/>
      <c r="AC610" s="267"/>
      <c r="AD610" s="268"/>
      <c r="AE610" s="269"/>
    </row>
    <row r="611" spans="1:31" ht="12.75" customHeight="1">
      <c r="A611" s="373">
        <v>43424</v>
      </c>
      <c r="B611" s="315" t="s">
        <v>202</v>
      </c>
      <c r="C611" s="316" t="s">
        <v>199</v>
      </c>
      <c r="D611" s="345">
        <v>3253.02</v>
      </c>
      <c r="E611" s="345">
        <v>3698.35</v>
      </c>
      <c r="F611" s="345">
        <v>3707.04</v>
      </c>
      <c r="G611" s="345">
        <v>3617.38</v>
      </c>
      <c r="H611" s="345">
        <v>3672.2</v>
      </c>
      <c r="I611" s="345">
        <v>3716.11</v>
      </c>
      <c r="J611" s="345">
        <v>3655.12</v>
      </c>
      <c r="K611" s="345">
        <v>3651.82</v>
      </c>
      <c r="L611" s="345">
        <v>3708.79</v>
      </c>
      <c r="M611" s="346"/>
      <c r="N611" s="346"/>
      <c r="O611" s="346"/>
      <c r="P611" s="346"/>
      <c r="Q611" s="315">
        <f>IF((L612=""),"",MAX(D613:L613))</f>
        <v>6809.01</v>
      </c>
      <c r="R611" s="315">
        <f>IF(L612="","",MIN(D613:L613))</f>
        <v>6385.59</v>
      </c>
      <c r="S611" s="347">
        <f>IF((L613=""),"",AVERAGE(D613:L613))</f>
        <v>6628.4433333333327</v>
      </c>
      <c r="T611" s="318">
        <f>IF((L612=""),"",(Q611-R611)/(Q611+R611)*100)</f>
        <v>3.2090400618434822</v>
      </c>
      <c r="U611" s="315">
        <f>STDEV(D613:P613)</f>
        <v>131.67137084423402</v>
      </c>
      <c r="V611" s="320" t="str">
        <f>IF(L612="","",IF(T611&lt;9.8,IF(S611&gt;5100,IF(S611&lt;8300,"Pass","Fail"),"Fail"),"Fail"))</f>
        <v>Pass</v>
      </c>
      <c r="W611" s="315">
        <v>121</v>
      </c>
      <c r="X611" s="374" t="s">
        <v>223</v>
      </c>
      <c r="Y611" s="268"/>
      <c r="Z611" s="267">
        <v>4955</v>
      </c>
      <c r="AA611" s="267">
        <v>9645</v>
      </c>
      <c r="AB611" s="267">
        <v>5100</v>
      </c>
      <c r="AC611" s="267">
        <v>8300</v>
      </c>
      <c r="AD611" s="305">
        <v>10</v>
      </c>
      <c r="AE611" s="305">
        <v>9.8000000000000007</v>
      </c>
    </row>
    <row r="612" spans="1:31" ht="15">
      <c r="A612" s="306"/>
      <c r="B612" s="298"/>
      <c r="C612" s="307" t="s">
        <v>198</v>
      </c>
      <c r="D612" s="259">
        <v>1032.82</v>
      </c>
      <c r="E612" s="259">
        <v>1488.11</v>
      </c>
      <c r="F612" s="259">
        <v>1490.65</v>
      </c>
      <c r="G612" s="259">
        <v>1488.85</v>
      </c>
      <c r="H612" s="259">
        <v>1410.15</v>
      </c>
      <c r="I612" s="259">
        <v>1535.24</v>
      </c>
      <c r="J612" s="259">
        <v>1481.5</v>
      </c>
      <c r="K612" s="259">
        <v>1382.15</v>
      </c>
      <c r="L612" s="259">
        <v>1485.03</v>
      </c>
      <c r="M612" s="290"/>
      <c r="N612" s="290"/>
      <c r="O612" s="290"/>
      <c r="P612" s="290"/>
      <c r="Q612" s="298"/>
      <c r="R612" s="298"/>
      <c r="S612" s="298"/>
      <c r="T612" s="298"/>
      <c r="U612" s="298"/>
      <c r="V612" s="302"/>
      <c r="W612" s="298"/>
      <c r="X612" s="375"/>
      <c r="Y612" s="268"/>
      <c r="Z612" s="267"/>
      <c r="AA612" s="267"/>
      <c r="AB612" s="267"/>
      <c r="AC612" s="267"/>
      <c r="AD612" s="268"/>
      <c r="AE612" s="269"/>
    </row>
    <row r="613" spans="1:31" ht="57.75" thickBot="1">
      <c r="A613" s="306"/>
      <c r="B613" s="298"/>
      <c r="C613" s="326" t="s">
        <v>197</v>
      </c>
      <c r="D613" s="343">
        <f t="shared" ref="D613:L613" si="199">IF(((D611="")*AND(D612="")),"",(D611-D612)*3)</f>
        <v>6660.5999999999995</v>
      </c>
      <c r="E613" s="343">
        <f t="shared" si="199"/>
        <v>6630.7199999999993</v>
      </c>
      <c r="F613" s="343">
        <f t="shared" si="199"/>
        <v>6649.17</v>
      </c>
      <c r="G613" s="343">
        <f t="shared" si="199"/>
        <v>6385.59</v>
      </c>
      <c r="H613" s="343">
        <f t="shared" si="199"/>
        <v>6786.15</v>
      </c>
      <c r="I613" s="343">
        <f t="shared" si="199"/>
        <v>6542.61</v>
      </c>
      <c r="J613" s="343">
        <f t="shared" si="199"/>
        <v>6520.86</v>
      </c>
      <c r="K613" s="343">
        <f t="shared" si="199"/>
        <v>6809.01</v>
      </c>
      <c r="L613" s="343">
        <f t="shared" si="199"/>
        <v>6671.2800000000007</v>
      </c>
      <c r="M613" s="343"/>
      <c r="N613" s="343"/>
      <c r="O613" s="343"/>
      <c r="P613" s="343" t="str">
        <f>IF(((P611="")*AND(P612="")),"",(P611-P612)*2)</f>
        <v/>
      </c>
      <c r="Q613" s="298"/>
      <c r="R613" s="298"/>
      <c r="S613" s="298"/>
      <c r="T613" s="298"/>
      <c r="U613" s="298"/>
      <c r="V613" s="302"/>
      <c r="W613" s="298"/>
      <c r="X613" s="375"/>
      <c r="Y613" s="268"/>
      <c r="Z613" s="267"/>
      <c r="AA613" s="267"/>
      <c r="AB613" s="267"/>
      <c r="AC613" s="267"/>
      <c r="AD613" s="268"/>
      <c r="AE613" s="269"/>
    </row>
    <row r="614" spans="1:31" ht="12.75" customHeight="1">
      <c r="A614" s="376">
        <v>43424</v>
      </c>
      <c r="B614" s="326" t="s">
        <v>200</v>
      </c>
      <c r="C614" s="326" t="s">
        <v>199</v>
      </c>
      <c r="D614" s="259">
        <v>4025.87</v>
      </c>
      <c r="E614" s="259">
        <v>4101.12</v>
      </c>
      <c r="F614" s="259">
        <v>4021.82</v>
      </c>
      <c r="G614" s="259">
        <v>4020.21</v>
      </c>
      <c r="H614" s="259">
        <v>3905.71</v>
      </c>
      <c r="I614" s="259">
        <v>3958.4</v>
      </c>
      <c r="J614" s="259">
        <v>4032.71</v>
      </c>
      <c r="K614" s="259">
        <v>3970</v>
      </c>
      <c r="L614" s="259">
        <v>4037.23</v>
      </c>
      <c r="M614" s="259">
        <v>4019.08</v>
      </c>
      <c r="N614" s="259">
        <v>4145.09</v>
      </c>
      <c r="O614" s="259">
        <v>4013.14</v>
      </c>
      <c r="P614" s="259">
        <v>3927.48</v>
      </c>
      <c r="Q614" s="326">
        <f>IF((L615=""),"",MAX(D616:P616))</f>
        <v>5473.52</v>
      </c>
      <c r="R614" s="326">
        <f>IF(L615="","",MIN(D616:L616))</f>
        <v>5313.1</v>
      </c>
      <c r="S614" s="318">
        <f>IF((P616=""),"",AVERAGE(D616:P616))</f>
        <v>5388.6353846153843</v>
      </c>
      <c r="T614" s="319">
        <f>IF((L615=""),"",(Q614-R614)/(Q614+R614)*100)</f>
        <v>1.4872128618603424</v>
      </c>
      <c r="U614" s="326">
        <f>STDEV(D616:P616)</f>
        <v>50.378043599618351</v>
      </c>
      <c r="V614" s="328" t="str">
        <f>IF(P615="","",IF(T614&lt;2.7,IF(S614&gt;5150,IF(S614&lt;5600,"Pass","Fail"),"Fail"),"Fail"))</f>
        <v>Pass</v>
      </c>
      <c r="W614" s="326">
        <v>121</v>
      </c>
      <c r="X614" s="375" t="s">
        <v>223</v>
      </c>
      <c r="Y614" s="268"/>
      <c r="Z614" s="321">
        <v>4470</v>
      </c>
      <c r="AA614" s="321">
        <v>6020</v>
      </c>
      <c r="AB614" s="321">
        <v>5150</v>
      </c>
      <c r="AC614" s="321">
        <v>5600</v>
      </c>
      <c r="AD614" s="305">
        <v>10</v>
      </c>
      <c r="AE614" s="322">
        <v>2.7</v>
      </c>
    </row>
    <row r="615" spans="1:31" ht="15">
      <c r="A615" s="306"/>
      <c r="B615" s="298"/>
      <c r="C615" s="298" t="s">
        <v>198</v>
      </c>
      <c r="D615" s="259">
        <v>1363.97</v>
      </c>
      <c r="E615" s="259">
        <v>1414.27</v>
      </c>
      <c r="F615" s="259">
        <v>1365.27</v>
      </c>
      <c r="G615" s="259">
        <v>1338.05</v>
      </c>
      <c r="H615" s="259">
        <v>1168.95</v>
      </c>
      <c r="I615" s="259">
        <v>1232.44</v>
      </c>
      <c r="J615" s="259">
        <v>1337.55</v>
      </c>
      <c r="K615" s="259">
        <v>1264.24</v>
      </c>
      <c r="L615" s="259">
        <v>1373.3</v>
      </c>
      <c r="M615" s="259">
        <v>1317.8</v>
      </c>
      <c r="N615" s="259">
        <v>1439.33</v>
      </c>
      <c r="O615" s="259">
        <v>1330.82</v>
      </c>
      <c r="P615" s="259">
        <v>1205.74</v>
      </c>
      <c r="Q615" s="298"/>
      <c r="R615" s="298"/>
      <c r="S615" s="298"/>
      <c r="T615" s="298"/>
      <c r="U615" s="298"/>
      <c r="V615" s="302"/>
      <c r="W615" s="298"/>
      <c r="X615" s="375"/>
      <c r="Y615" s="268"/>
      <c r="Z615" s="267"/>
      <c r="AA615" s="267"/>
      <c r="AB615" s="267"/>
      <c r="AC615" s="267"/>
      <c r="AD615" s="268"/>
      <c r="AE615" s="269"/>
    </row>
    <row r="616" spans="1:31" ht="57.75" thickBot="1">
      <c r="A616" s="306"/>
      <c r="B616" s="309"/>
      <c r="C616" s="309" t="s">
        <v>197</v>
      </c>
      <c r="D616" s="377">
        <f t="shared" ref="D616:P616" si="200">IF(((D614="")*AND(D615="")),"",(D614-D615)*2)</f>
        <v>5323.7999999999993</v>
      </c>
      <c r="E616" s="377">
        <f t="shared" si="200"/>
        <v>5373.7</v>
      </c>
      <c r="F616" s="377">
        <f t="shared" si="200"/>
        <v>5313.1</v>
      </c>
      <c r="G616" s="377">
        <f t="shared" si="200"/>
        <v>5364.32</v>
      </c>
      <c r="H616" s="377">
        <f t="shared" si="200"/>
        <v>5473.52</v>
      </c>
      <c r="I616" s="377">
        <f t="shared" si="200"/>
        <v>5451.92</v>
      </c>
      <c r="J616" s="377">
        <f t="shared" si="200"/>
        <v>5390.32</v>
      </c>
      <c r="K616" s="377">
        <f t="shared" si="200"/>
        <v>5411.52</v>
      </c>
      <c r="L616" s="377">
        <f t="shared" si="200"/>
        <v>5327.8600000000006</v>
      </c>
      <c r="M616" s="377">
        <f t="shared" si="200"/>
        <v>5402.5599999999995</v>
      </c>
      <c r="N616" s="377">
        <f t="shared" si="200"/>
        <v>5411.52</v>
      </c>
      <c r="O616" s="377">
        <f t="shared" si="200"/>
        <v>5364.6399999999994</v>
      </c>
      <c r="P616" s="377">
        <f t="shared" si="200"/>
        <v>5443.48</v>
      </c>
      <c r="Q616" s="309"/>
      <c r="R616" s="309"/>
      <c r="S616" s="309"/>
      <c r="T616" s="309"/>
      <c r="U616" s="309"/>
      <c r="V616" s="312"/>
      <c r="W616" s="309"/>
      <c r="X616" s="378"/>
      <c r="Y616" s="268"/>
      <c r="Z616" s="267"/>
      <c r="AA616" s="267"/>
      <c r="AB616" s="267"/>
      <c r="AC616" s="267"/>
      <c r="AD616" s="268"/>
      <c r="AE616" s="269"/>
    </row>
    <row r="617" spans="1:31" ht="12.75" customHeight="1">
      <c r="A617" s="373">
        <v>43430</v>
      </c>
      <c r="B617" s="315" t="s">
        <v>200</v>
      </c>
      <c r="C617" s="315" t="s">
        <v>199</v>
      </c>
      <c r="D617" s="278">
        <v>6687.74</v>
      </c>
      <c r="E617" s="278">
        <v>6806.67</v>
      </c>
      <c r="F617" s="278">
        <v>6650.92</v>
      </c>
      <c r="G617" s="278">
        <v>6686.51</v>
      </c>
      <c r="H617" s="278">
        <v>6633.52</v>
      </c>
      <c r="I617" s="278">
        <v>6666.63</v>
      </c>
      <c r="J617" s="278">
        <v>6709.58</v>
      </c>
      <c r="K617" s="278">
        <v>6649.86</v>
      </c>
      <c r="L617" s="278">
        <v>6659.69</v>
      </c>
      <c r="M617" s="278">
        <v>6696.91</v>
      </c>
      <c r="N617" s="278">
        <v>6856.59</v>
      </c>
      <c r="O617" s="278">
        <v>6652.6</v>
      </c>
      <c r="P617" s="278">
        <v>6597.31</v>
      </c>
      <c r="Q617" s="326">
        <f>IF((L618=""),"",MAX(D619:P619))</f>
        <v>5414.2599999999993</v>
      </c>
      <c r="R617" s="326">
        <f>IF(L618="","",MIN(D619:L619))</f>
        <v>5321.26</v>
      </c>
      <c r="S617" s="318">
        <f>IF((P619=""),"",AVERAGE(D619:P619))</f>
        <v>5373.0292307692298</v>
      </c>
      <c r="T617" s="319">
        <f>IF((L618=""),"",(Q617-R617)/(Q617+R617)*100)</f>
        <v>0.86628314231633941</v>
      </c>
      <c r="U617" s="326">
        <f>STDEV(D619:P619)</f>
        <v>30.685294649171535</v>
      </c>
      <c r="V617" s="328" t="str">
        <f>IF(P618="","",IF(T617&lt;2.7,IF(S617&gt;5150,IF(S617&lt;5600,"Pass","Fail"),"Fail"),"Fail"))</f>
        <v>Pass</v>
      </c>
      <c r="W617" s="326">
        <v>1340</v>
      </c>
      <c r="X617" s="379"/>
      <c r="Y617" s="268"/>
      <c r="Z617" s="321">
        <v>4470</v>
      </c>
      <c r="AA617" s="321">
        <v>6020</v>
      </c>
      <c r="AB617" s="321">
        <v>5150</v>
      </c>
      <c r="AC617" s="321">
        <v>5600</v>
      </c>
      <c r="AD617" s="305">
        <v>10</v>
      </c>
      <c r="AE617" s="322">
        <v>2.7</v>
      </c>
    </row>
    <row r="618" spans="1:31" ht="15">
      <c r="A618" s="306"/>
      <c r="B618" s="298"/>
      <c r="C618" s="298" t="s">
        <v>198</v>
      </c>
      <c r="D618" s="278">
        <v>4022.65</v>
      </c>
      <c r="E618" s="278">
        <v>4120.5600000000004</v>
      </c>
      <c r="F618" s="278">
        <v>3990.29</v>
      </c>
      <c r="G618" s="278">
        <v>4001.41</v>
      </c>
      <c r="H618" s="278">
        <v>3950.13</v>
      </c>
      <c r="I618" s="278">
        <v>3963.96</v>
      </c>
      <c r="J618" s="278">
        <v>4012.5</v>
      </c>
      <c r="K618" s="278">
        <v>3949.58</v>
      </c>
      <c r="L618" s="278">
        <v>3997.09</v>
      </c>
      <c r="M618" s="278">
        <v>3989.78</v>
      </c>
      <c r="N618" s="278">
        <v>4160.63</v>
      </c>
      <c r="O618" s="278">
        <v>3966.42</v>
      </c>
      <c r="P618" s="278">
        <v>3904.84</v>
      </c>
      <c r="Q618" s="298"/>
      <c r="R618" s="298"/>
      <c r="S618" s="298"/>
      <c r="T618" s="298"/>
      <c r="U618" s="298"/>
      <c r="V618" s="302"/>
      <c r="W618" s="298"/>
      <c r="X618" s="366"/>
      <c r="Y618" s="268"/>
      <c r="Z618" s="267"/>
      <c r="AA618" s="267"/>
      <c r="AB618" s="267"/>
      <c r="AC618" s="267"/>
      <c r="AD618" s="268"/>
      <c r="AE618" s="269"/>
    </row>
    <row r="619" spans="1:31" ht="57">
      <c r="A619" s="306"/>
      <c r="B619" s="299"/>
      <c r="C619" s="299" t="s">
        <v>197</v>
      </c>
      <c r="D619" s="372">
        <f t="shared" ref="D619:P619" si="201">IF(((D617="")*AND(D618="")),"",(D617-D618)*2)</f>
        <v>5330.1799999999994</v>
      </c>
      <c r="E619" s="372">
        <f t="shared" si="201"/>
        <v>5372.2199999999993</v>
      </c>
      <c r="F619" s="372">
        <f t="shared" si="201"/>
        <v>5321.26</v>
      </c>
      <c r="G619" s="372">
        <f t="shared" si="201"/>
        <v>5370.2000000000007</v>
      </c>
      <c r="H619" s="372">
        <f t="shared" si="201"/>
        <v>5366.7800000000007</v>
      </c>
      <c r="I619" s="372">
        <f t="shared" si="201"/>
        <v>5405.34</v>
      </c>
      <c r="J619" s="372">
        <f t="shared" si="201"/>
        <v>5394.16</v>
      </c>
      <c r="K619" s="372">
        <f t="shared" si="201"/>
        <v>5400.5599999999995</v>
      </c>
      <c r="L619" s="372">
        <f t="shared" si="201"/>
        <v>5325.1999999999989</v>
      </c>
      <c r="M619" s="372">
        <f t="shared" si="201"/>
        <v>5414.2599999999993</v>
      </c>
      <c r="N619" s="372">
        <f t="shared" si="201"/>
        <v>5391.92</v>
      </c>
      <c r="O619" s="372">
        <f t="shared" si="201"/>
        <v>5372.3600000000006</v>
      </c>
      <c r="P619" s="372">
        <f t="shared" si="201"/>
        <v>5384.9400000000005</v>
      </c>
      <c r="Q619" s="298"/>
      <c r="R619" s="298"/>
      <c r="S619" s="298"/>
      <c r="T619" s="298"/>
      <c r="U619" s="298"/>
      <c r="V619" s="302"/>
      <c r="W619" s="298"/>
      <c r="X619" s="366"/>
      <c r="Y619" s="268"/>
      <c r="Z619" s="267"/>
      <c r="AA619" s="267"/>
      <c r="AB619" s="267"/>
      <c r="AC619" s="267"/>
      <c r="AD619" s="268"/>
      <c r="AE619" s="269"/>
    </row>
    <row r="620" spans="1:31" ht="12.75" customHeight="1">
      <c r="A620" s="376">
        <v>43430</v>
      </c>
      <c r="B620" s="326" t="s">
        <v>202</v>
      </c>
      <c r="C620" s="307" t="s">
        <v>199</v>
      </c>
      <c r="D620" s="278">
        <v>5965.84</v>
      </c>
      <c r="E620" s="278">
        <v>6083.65</v>
      </c>
      <c r="F620" s="278">
        <v>6137.2</v>
      </c>
      <c r="G620" s="278">
        <v>6081</v>
      </c>
      <c r="H620" s="278">
        <v>6096.07</v>
      </c>
      <c r="I620" s="278">
        <v>6151.94</v>
      </c>
      <c r="J620" s="278">
        <v>6036.17</v>
      </c>
      <c r="K620" s="278">
        <v>6046.72</v>
      </c>
      <c r="L620" s="278">
        <v>6131.11</v>
      </c>
      <c r="M620" s="290"/>
      <c r="N620" s="290"/>
      <c r="O620" s="290"/>
      <c r="P620" s="290"/>
      <c r="Q620" s="326">
        <f>IF((L621=""),"",MAX(D622:L622))</f>
        <v>7213.7100000000009</v>
      </c>
      <c r="R620" s="326">
        <f>IF(L621="","",MIN(D622:L622))</f>
        <v>6800.1600000000008</v>
      </c>
      <c r="S620" s="327">
        <f>IF((L622=""),"",AVERAGE(D622:L622))</f>
        <v>7002.7566666666671</v>
      </c>
      <c r="T620" s="319">
        <f>IF((L621=""),"",(Q620-R620)/(Q620+R620)*100)</f>
        <v>2.9510049686489177</v>
      </c>
      <c r="U620" s="326">
        <f>STDEV(D622:P622)</f>
        <v>114.76195014022804</v>
      </c>
      <c r="V620" s="328" t="str">
        <f>IF(L621="","",IF(T620&lt;9.8,IF(S620&gt;5100,IF(S620&lt;8300,"Pass","Fail"),"Fail"),"Fail"))</f>
        <v>Pass</v>
      </c>
      <c r="W620" s="298">
        <v>1340</v>
      </c>
      <c r="X620" s="366"/>
      <c r="Y620" s="268"/>
      <c r="Z620" s="267">
        <v>4955</v>
      </c>
      <c r="AA620" s="267">
        <v>9645</v>
      </c>
      <c r="AB620" s="267">
        <v>5100</v>
      </c>
      <c r="AC620" s="267">
        <v>8300</v>
      </c>
      <c r="AD620" s="305">
        <v>10</v>
      </c>
      <c r="AE620" s="305">
        <v>9.8000000000000007</v>
      </c>
    </row>
    <row r="621" spans="1:31" ht="15">
      <c r="A621" s="306"/>
      <c r="B621" s="298"/>
      <c r="C621" s="307" t="s">
        <v>198</v>
      </c>
      <c r="D621" s="278">
        <v>3603.78</v>
      </c>
      <c r="E621" s="278">
        <v>3757.26</v>
      </c>
      <c r="F621" s="278">
        <v>3791.35</v>
      </c>
      <c r="G621" s="278">
        <v>3676.43</v>
      </c>
      <c r="H621" s="278">
        <v>3768.26</v>
      </c>
      <c r="I621" s="278">
        <v>3810.54</v>
      </c>
      <c r="J621" s="278">
        <v>3769.45</v>
      </c>
      <c r="K621" s="278">
        <v>3746.2</v>
      </c>
      <c r="L621" s="278">
        <v>3798.16</v>
      </c>
      <c r="M621" s="290"/>
      <c r="N621" s="290"/>
      <c r="O621" s="290"/>
      <c r="P621" s="290"/>
      <c r="Q621" s="298"/>
      <c r="R621" s="298"/>
      <c r="S621" s="298"/>
      <c r="T621" s="298"/>
      <c r="U621" s="298"/>
      <c r="V621" s="302"/>
      <c r="W621" s="298"/>
      <c r="X621" s="366"/>
      <c r="Y621" s="268"/>
      <c r="Z621" s="267"/>
      <c r="AA621" s="267"/>
      <c r="AB621" s="267"/>
      <c r="AC621" s="267"/>
      <c r="AD621" s="268"/>
      <c r="AE621" s="269"/>
    </row>
    <row r="622" spans="1:31" ht="57.75" thickBot="1">
      <c r="A622" s="306"/>
      <c r="B622" s="309"/>
      <c r="C622" s="310" t="s">
        <v>197</v>
      </c>
      <c r="D622" s="343">
        <f t="shared" ref="D622:L622" si="202">IF(((D620="")*AND(D621="")),"",(D620-D621)*3)</f>
        <v>7086.18</v>
      </c>
      <c r="E622" s="343">
        <f t="shared" si="202"/>
        <v>6979.1699999999983</v>
      </c>
      <c r="F622" s="343">
        <f t="shared" si="202"/>
        <v>7037.5499999999993</v>
      </c>
      <c r="G622" s="343">
        <f t="shared" si="202"/>
        <v>7213.7100000000009</v>
      </c>
      <c r="H622" s="343">
        <f t="shared" si="202"/>
        <v>6983.4299999999985</v>
      </c>
      <c r="I622" s="343">
        <f t="shared" si="202"/>
        <v>7024.1999999999989</v>
      </c>
      <c r="J622" s="343">
        <f t="shared" si="202"/>
        <v>6800.1600000000008</v>
      </c>
      <c r="K622" s="343">
        <f t="shared" si="202"/>
        <v>6901.5600000000013</v>
      </c>
      <c r="L622" s="343">
        <f t="shared" si="202"/>
        <v>6998.8499999999995</v>
      </c>
      <c r="M622" s="343"/>
      <c r="N622" s="343"/>
      <c r="O622" s="343"/>
      <c r="P622" s="343" t="str">
        <f>IF(((P620="")*AND(P621="")),"",(P620-P621)*2)</f>
        <v/>
      </c>
      <c r="Q622" s="298"/>
      <c r="R622" s="298"/>
      <c r="S622" s="298"/>
      <c r="T622" s="298"/>
      <c r="U622" s="298"/>
      <c r="V622" s="302"/>
      <c r="W622" s="298"/>
      <c r="X622" s="380"/>
      <c r="Y622" s="268"/>
      <c r="Z622" s="267"/>
      <c r="AA622" s="267"/>
      <c r="AB622" s="267"/>
      <c r="AC622" s="267"/>
      <c r="AD622" s="268"/>
      <c r="AE622" s="269"/>
    </row>
    <row r="623" spans="1:31" ht="12.75" customHeight="1">
      <c r="A623" s="373">
        <v>43432</v>
      </c>
      <c r="B623" s="315" t="s">
        <v>200</v>
      </c>
      <c r="C623" s="315" t="s">
        <v>199</v>
      </c>
      <c r="D623" s="278">
        <v>6865.9</v>
      </c>
      <c r="E623" s="278">
        <v>6979.12</v>
      </c>
      <c r="F623" s="278">
        <v>6831.94</v>
      </c>
      <c r="G623" s="278">
        <v>6870.1</v>
      </c>
      <c r="H623" s="278">
        <v>6787.82</v>
      </c>
      <c r="I623" s="278">
        <v>6831.11</v>
      </c>
      <c r="J623" s="278">
        <v>6897.33</v>
      </c>
      <c r="K623" s="278">
        <v>6844.52</v>
      </c>
      <c r="L623" s="278">
        <v>6847.02</v>
      </c>
      <c r="M623" s="278">
        <v>6880.87</v>
      </c>
      <c r="N623" s="278">
        <v>7033.6</v>
      </c>
      <c r="O623" s="278">
        <v>6836.33</v>
      </c>
      <c r="P623" s="278">
        <v>6766.03</v>
      </c>
      <c r="Q623" s="326">
        <f>IF((L624=""),"",MAX(D625:P625))</f>
        <v>5569.96</v>
      </c>
      <c r="R623" s="326">
        <f>IF(L624="","",MIN(D625:L625))</f>
        <v>5441.34</v>
      </c>
      <c r="S623" s="318">
        <f>IF((P625=""),"",AVERAGE(D625:P625))</f>
        <v>5505.7830769230777</v>
      </c>
      <c r="T623" s="319">
        <f>IF((L624=""),"",(Q623-R623)/(Q623+R623)*100)</f>
        <v>1.1680727979439294</v>
      </c>
      <c r="U623" s="326">
        <f>STDEV(D625:P625)</f>
        <v>40.716921827080306</v>
      </c>
      <c r="V623" s="328" t="str">
        <f>IF(P624="","",IF(T623&lt;2.7,IF(S623&gt;5150,IF(S623&lt;5600,"Pass","Fail"),"Fail"),"Fail"))</f>
        <v>Pass</v>
      </c>
      <c r="W623" s="326">
        <v>74</v>
      </c>
      <c r="X623" s="379"/>
      <c r="Y623" s="268"/>
      <c r="Z623" s="321">
        <v>4470</v>
      </c>
      <c r="AA623" s="321">
        <v>6020</v>
      </c>
      <c r="AB623" s="321">
        <v>5150</v>
      </c>
      <c r="AC623" s="321">
        <v>5600</v>
      </c>
      <c r="AD623" s="305">
        <v>10</v>
      </c>
      <c r="AE623" s="322">
        <v>2.7</v>
      </c>
    </row>
    <row r="624" spans="1:31" ht="15">
      <c r="A624" s="306"/>
      <c r="B624" s="298"/>
      <c r="C624" s="298" t="s">
        <v>198</v>
      </c>
      <c r="D624" s="278">
        <v>4145.2299999999996</v>
      </c>
      <c r="E624" s="278">
        <v>4241.82</v>
      </c>
      <c r="F624" s="278">
        <v>4109.79</v>
      </c>
      <c r="G624" s="278">
        <v>4113.78</v>
      </c>
      <c r="H624" s="278">
        <v>4035.95</v>
      </c>
      <c r="I624" s="278">
        <v>4063.35</v>
      </c>
      <c r="J624" s="278">
        <v>4126.75</v>
      </c>
      <c r="K624" s="278">
        <v>4068.21</v>
      </c>
      <c r="L624" s="278">
        <v>4117.57</v>
      </c>
      <c r="M624" s="278">
        <v>4095.89</v>
      </c>
      <c r="N624" s="278">
        <v>4276.72</v>
      </c>
      <c r="O624" s="278">
        <v>4083.45</v>
      </c>
      <c r="P624" s="278">
        <v>4005.59</v>
      </c>
      <c r="Q624" s="298"/>
      <c r="R624" s="298"/>
      <c r="S624" s="298"/>
      <c r="T624" s="298"/>
      <c r="U624" s="298"/>
      <c r="V624" s="302"/>
      <c r="W624" s="298"/>
      <c r="X624" s="366"/>
      <c r="Y624" s="268"/>
      <c r="Z624" s="267"/>
      <c r="AA624" s="267"/>
      <c r="AB624" s="267"/>
      <c r="AC624" s="267"/>
      <c r="AD624" s="268"/>
      <c r="AE624" s="269"/>
    </row>
    <row r="625" spans="1:31" ht="57">
      <c r="A625" s="306"/>
      <c r="B625" s="299"/>
      <c r="C625" s="299" t="s">
        <v>197</v>
      </c>
      <c r="D625" s="372">
        <f t="shared" ref="D625:P625" si="203">IF(((D623="")*AND(D624="")),"",(D623-D624)*2)</f>
        <v>5441.34</v>
      </c>
      <c r="E625" s="372">
        <f t="shared" si="203"/>
        <v>5474.6</v>
      </c>
      <c r="F625" s="372">
        <f t="shared" si="203"/>
        <v>5444.2999999999993</v>
      </c>
      <c r="G625" s="372">
        <f t="shared" si="203"/>
        <v>5512.6400000000012</v>
      </c>
      <c r="H625" s="372">
        <f t="shared" si="203"/>
        <v>5503.74</v>
      </c>
      <c r="I625" s="372">
        <f t="shared" si="203"/>
        <v>5535.5199999999995</v>
      </c>
      <c r="J625" s="372">
        <f t="shared" si="203"/>
        <v>5541.16</v>
      </c>
      <c r="K625" s="372">
        <f t="shared" si="203"/>
        <v>5552.6200000000008</v>
      </c>
      <c r="L625" s="372">
        <f t="shared" si="203"/>
        <v>5458.9000000000015</v>
      </c>
      <c r="M625" s="372">
        <f t="shared" si="203"/>
        <v>5569.96</v>
      </c>
      <c r="N625" s="372">
        <f t="shared" si="203"/>
        <v>5513.76</v>
      </c>
      <c r="O625" s="372">
        <f t="shared" si="203"/>
        <v>5505.76</v>
      </c>
      <c r="P625" s="372">
        <f t="shared" si="203"/>
        <v>5520.8799999999992</v>
      </c>
      <c r="Q625" s="298"/>
      <c r="R625" s="298"/>
      <c r="S625" s="298"/>
      <c r="T625" s="298"/>
      <c r="U625" s="298"/>
      <c r="V625" s="302"/>
      <c r="W625" s="298"/>
      <c r="X625" s="366"/>
      <c r="Y625" s="268"/>
      <c r="Z625" s="267"/>
      <c r="AA625" s="267"/>
      <c r="AB625" s="267"/>
      <c r="AC625" s="267"/>
      <c r="AD625" s="268"/>
      <c r="AE625" s="269"/>
    </row>
    <row r="626" spans="1:31" ht="12.75" customHeight="1">
      <c r="A626" s="376">
        <v>43432</v>
      </c>
      <c r="B626" s="326" t="s">
        <v>202</v>
      </c>
      <c r="C626" s="307" t="s">
        <v>199</v>
      </c>
      <c r="D626" s="278">
        <v>5984.51</v>
      </c>
      <c r="E626" s="278">
        <v>6080.26</v>
      </c>
      <c r="F626" s="278">
        <v>6139.81</v>
      </c>
      <c r="G626" s="278">
        <v>6083</v>
      </c>
      <c r="H626" s="278">
        <v>6062.46</v>
      </c>
      <c r="I626" s="278">
        <v>6152.69</v>
      </c>
      <c r="J626" s="278">
        <v>6020.16</v>
      </c>
      <c r="K626" s="278">
        <v>6094.42</v>
      </c>
      <c r="L626" s="278">
        <v>6132.28</v>
      </c>
      <c r="M626" s="290"/>
      <c r="N626" s="290"/>
      <c r="O626" s="290"/>
      <c r="P626" s="290"/>
      <c r="Q626" s="326">
        <f>IF((L627=""),"",MAX(D628:L628))</f>
        <v>7769.85</v>
      </c>
      <c r="R626" s="326">
        <f>IF(L627="","",MIN(D628:L628))</f>
        <v>7184.6399999999994</v>
      </c>
      <c r="S626" s="327">
        <f>IF((L628=""),"",AVERAGE(D628:L628))</f>
        <v>7398.8433333333332</v>
      </c>
      <c r="T626" s="319">
        <f>IF((L627=""),"",(Q626-R626)/(Q626+R626)*100)</f>
        <v>3.9132728698872445</v>
      </c>
      <c r="U626" s="326">
        <f>STDEV(D628:P628)</f>
        <v>186.01028345231961</v>
      </c>
      <c r="V626" s="328" t="str">
        <f>IF(L627="","",IF(T626&lt;9.8,IF(S626&gt;5100,IF(S626&lt;8300,"Pass","Fail"),"Fail"),"Fail"))</f>
        <v>Pass</v>
      </c>
      <c r="W626" s="298">
        <v>74</v>
      </c>
      <c r="X626" s="366"/>
      <c r="Y626" s="268"/>
      <c r="Z626" s="267">
        <v>4955</v>
      </c>
      <c r="AA626" s="267">
        <v>9645</v>
      </c>
      <c r="AB626" s="267">
        <v>5100</v>
      </c>
      <c r="AC626" s="267">
        <v>8300</v>
      </c>
      <c r="AD626" s="305">
        <v>10</v>
      </c>
      <c r="AE626" s="305">
        <v>9.8000000000000007</v>
      </c>
    </row>
    <row r="627" spans="1:31" ht="15">
      <c r="A627" s="306"/>
      <c r="B627" s="298"/>
      <c r="C627" s="307" t="s">
        <v>198</v>
      </c>
      <c r="D627" s="278">
        <v>3394.56</v>
      </c>
      <c r="E627" s="278">
        <v>3640.16</v>
      </c>
      <c r="F627" s="278">
        <v>3678.42</v>
      </c>
      <c r="G627" s="278">
        <v>3536.08</v>
      </c>
      <c r="H627" s="278">
        <v>3629.61</v>
      </c>
      <c r="I627" s="278">
        <v>3696.43</v>
      </c>
      <c r="J627" s="278">
        <v>3625.28</v>
      </c>
      <c r="K627" s="278">
        <v>3668.03</v>
      </c>
      <c r="L627" s="278">
        <v>3684.49</v>
      </c>
      <c r="M627" s="290"/>
      <c r="N627" s="290"/>
      <c r="O627" s="290"/>
      <c r="P627" s="290"/>
      <c r="Q627" s="298"/>
      <c r="R627" s="298"/>
      <c r="S627" s="298"/>
      <c r="T627" s="298"/>
      <c r="U627" s="298"/>
      <c r="V627" s="302"/>
      <c r="W627" s="298"/>
      <c r="X627" s="366"/>
      <c r="Y627" s="268"/>
      <c r="Z627" s="267"/>
      <c r="AA627" s="267"/>
      <c r="AB627" s="267"/>
      <c r="AC627" s="267"/>
      <c r="AD627" s="268"/>
      <c r="AE627" s="269"/>
    </row>
    <row r="628" spans="1:31" ht="57.75" thickBot="1">
      <c r="A628" s="306"/>
      <c r="B628" s="309"/>
      <c r="C628" s="310" t="s">
        <v>197</v>
      </c>
      <c r="D628" s="343">
        <f t="shared" ref="D628:L628" si="204">IF(((D626="")*AND(D627="")),"",(D626-D627)*3)</f>
        <v>7769.85</v>
      </c>
      <c r="E628" s="343">
        <f t="shared" si="204"/>
        <v>7320.3000000000011</v>
      </c>
      <c r="F628" s="343">
        <f t="shared" si="204"/>
        <v>7384.170000000001</v>
      </c>
      <c r="G628" s="343">
        <f t="shared" si="204"/>
        <v>7640.76</v>
      </c>
      <c r="H628" s="343">
        <f t="shared" si="204"/>
        <v>7298.5499999999993</v>
      </c>
      <c r="I628" s="343">
        <f t="shared" si="204"/>
        <v>7368.7799999999988</v>
      </c>
      <c r="J628" s="343">
        <f t="shared" si="204"/>
        <v>7184.6399999999994</v>
      </c>
      <c r="K628" s="343">
        <f t="shared" si="204"/>
        <v>7279.17</v>
      </c>
      <c r="L628" s="343">
        <f t="shared" si="204"/>
        <v>7343.37</v>
      </c>
      <c r="M628" s="343"/>
      <c r="N628" s="343"/>
      <c r="O628" s="343"/>
      <c r="P628" s="343" t="str">
        <f>IF(((P626="")*AND(P627="")),"",(P626-P627)*2)</f>
        <v/>
      </c>
      <c r="Q628" s="298"/>
      <c r="R628" s="298"/>
      <c r="S628" s="298"/>
      <c r="T628" s="298"/>
      <c r="U628" s="298"/>
      <c r="V628" s="302"/>
      <c r="W628" s="298"/>
      <c r="X628" s="380"/>
      <c r="Y628" s="268"/>
      <c r="Z628" s="267"/>
      <c r="AA628" s="267"/>
      <c r="AB628" s="267"/>
      <c r="AC628" s="267"/>
      <c r="AD628" s="268"/>
      <c r="AE628" s="269"/>
    </row>
    <row r="629" spans="1:31" ht="12.75" customHeight="1">
      <c r="A629" s="373">
        <v>43434</v>
      </c>
      <c r="B629" s="315" t="s">
        <v>200</v>
      </c>
      <c r="C629" s="315" t="s">
        <v>199</v>
      </c>
      <c r="D629" s="278">
        <v>4145.2299999999996</v>
      </c>
      <c r="E629" s="278">
        <v>4241.82</v>
      </c>
      <c r="F629" s="278">
        <v>4109.79</v>
      </c>
      <c r="G629" s="278">
        <v>4113.78</v>
      </c>
      <c r="H629" s="278">
        <v>4035.95</v>
      </c>
      <c r="I629" s="278">
        <v>4063.35</v>
      </c>
      <c r="J629" s="278">
        <v>4126.75</v>
      </c>
      <c r="K629" s="278">
        <v>4068.21</v>
      </c>
      <c r="L629" s="278">
        <v>4117.57</v>
      </c>
      <c r="M629" s="278">
        <v>4095.89</v>
      </c>
      <c r="N629" s="278">
        <v>4276.72</v>
      </c>
      <c r="O629" s="278">
        <v>4083.45</v>
      </c>
      <c r="P629" s="278">
        <v>4005.59</v>
      </c>
      <c r="Q629" s="326">
        <f>IF((L630=""),"",MAX(D631:P631))</f>
        <v>5686.46</v>
      </c>
      <c r="R629" s="315">
        <f>IF(L630="","",MIN(D631:L631))</f>
        <v>5511.6999999999989</v>
      </c>
      <c r="S629" s="318">
        <f>IF((P631=""),"",AVERAGE(D631:P631))</f>
        <v>5578.0538461538463</v>
      </c>
      <c r="T629" s="318">
        <f>IF((L630=""),"",(Q629-R629)/(Q629+R629)*100)</f>
        <v>1.5606135293655488</v>
      </c>
      <c r="U629" s="315">
        <f>STDEV(D631:P631)</f>
        <v>54.066455641593208</v>
      </c>
      <c r="V629" s="320" t="str">
        <f>IF(P630="","",IF(T629&lt;2.7,IF(S629&gt;5150,IF(S629&lt;5600,"Pass","Fail"),"Fail"),"Fail"))</f>
        <v>Pass</v>
      </c>
      <c r="W629" s="315">
        <v>64</v>
      </c>
      <c r="X629" s="379"/>
      <c r="Y629" s="268"/>
      <c r="Z629" s="321">
        <v>4470</v>
      </c>
      <c r="AA629" s="321">
        <v>6020</v>
      </c>
      <c r="AB629" s="321">
        <v>5150</v>
      </c>
      <c r="AC629" s="321">
        <v>5600</v>
      </c>
      <c r="AD629" s="305">
        <v>10</v>
      </c>
      <c r="AE629" s="322">
        <v>2.7</v>
      </c>
    </row>
    <row r="630" spans="1:31" ht="15">
      <c r="A630" s="306"/>
      <c r="B630" s="298"/>
      <c r="C630" s="298" t="s">
        <v>198</v>
      </c>
      <c r="D630" s="278">
        <v>1389.38</v>
      </c>
      <c r="E630" s="278">
        <v>1468.54</v>
      </c>
      <c r="F630" s="278">
        <v>1349.68</v>
      </c>
      <c r="G630" s="278">
        <v>1312.56</v>
      </c>
      <c r="H630" s="278">
        <v>1260.4100000000001</v>
      </c>
      <c r="I630" s="278">
        <v>1256.72</v>
      </c>
      <c r="J630" s="278">
        <v>1309.96</v>
      </c>
      <c r="K630" s="278">
        <v>1224.98</v>
      </c>
      <c r="L630" s="278">
        <v>1350.53</v>
      </c>
      <c r="M630" s="278">
        <v>1270.42</v>
      </c>
      <c r="N630" s="278">
        <v>1497.73</v>
      </c>
      <c r="O630" s="278">
        <v>1304.17</v>
      </c>
      <c r="P630" s="278">
        <v>1231.67</v>
      </c>
      <c r="Q630" s="298"/>
      <c r="R630" s="298"/>
      <c r="S630" s="298"/>
      <c r="T630" s="298"/>
      <c r="U630" s="298"/>
      <c r="V630" s="302"/>
      <c r="W630" s="298"/>
      <c r="X630" s="366"/>
      <c r="Y630" s="268"/>
      <c r="Z630" s="267"/>
      <c r="AA630" s="267"/>
      <c r="AB630" s="267"/>
      <c r="AC630" s="267"/>
      <c r="AD630" s="268"/>
      <c r="AE630" s="269"/>
    </row>
    <row r="631" spans="1:31" ht="57.75" thickBot="1">
      <c r="A631" s="306"/>
      <c r="B631" s="299"/>
      <c r="C631" s="299" t="s">
        <v>197</v>
      </c>
      <c r="D631" s="371">
        <f t="shared" ref="D631:P631" si="205">IF(((D629="")*AND(D630="")),"",(D629-D630)*2)</f>
        <v>5511.6999999999989</v>
      </c>
      <c r="E631" s="371">
        <f t="shared" si="205"/>
        <v>5546.5599999999995</v>
      </c>
      <c r="F631" s="371">
        <f t="shared" si="205"/>
        <v>5520.2199999999993</v>
      </c>
      <c r="G631" s="371">
        <f t="shared" si="205"/>
        <v>5602.44</v>
      </c>
      <c r="H631" s="371">
        <f t="shared" si="205"/>
        <v>5551.08</v>
      </c>
      <c r="I631" s="371">
        <f t="shared" si="205"/>
        <v>5613.26</v>
      </c>
      <c r="J631" s="371">
        <f t="shared" si="205"/>
        <v>5633.58</v>
      </c>
      <c r="K631" s="371">
        <f t="shared" si="205"/>
        <v>5686.46</v>
      </c>
      <c r="L631" s="371">
        <f t="shared" si="205"/>
        <v>5534.08</v>
      </c>
      <c r="M631" s="371">
        <f t="shared" si="205"/>
        <v>5650.94</v>
      </c>
      <c r="N631" s="371">
        <f t="shared" si="205"/>
        <v>5557.9800000000005</v>
      </c>
      <c r="O631" s="371">
        <f t="shared" si="205"/>
        <v>5558.5599999999995</v>
      </c>
      <c r="P631" s="371">
        <f t="shared" si="205"/>
        <v>5547.84</v>
      </c>
      <c r="Q631" s="299"/>
      <c r="R631" s="299"/>
      <c r="S631" s="299"/>
      <c r="T631" s="299"/>
      <c r="U631" s="299"/>
      <c r="V631" s="324"/>
      <c r="W631" s="299"/>
      <c r="X631" s="366"/>
      <c r="Y631" s="268"/>
      <c r="Z631" s="267"/>
      <c r="AA631" s="267"/>
      <c r="AB631" s="267"/>
      <c r="AC631" s="267"/>
      <c r="AD631" s="268"/>
      <c r="AE631" s="269"/>
    </row>
    <row r="632" spans="1:31" ht="12.75" customHeight="1">
      <c r="A632" s="373">
        <v>43434</v>
      </c>
      <c r="B632" s="326" t="s">
        <v>202</v>
      </c>
      <c r="C632" s="307" t="s">
        <v>199</v>
      </c>
      <c r="D632" s="278">
        <v>3394.56</v>
      </c>
      <c r="E632" s="278">
        <v>3640.16</v>
      </c>
      <c r="F632" s="278">
        <v>3678.42</v>
      </c>
      <c r="G632" s="278">
        <v>3536.08</v>
      </c>
      <c r="H632" s="278">
        <v>3629.61</v>
      </c>
      <c r="I632" s="278">
        <v>3696.43</v>
      </c>
      <c r="J632" s="278">
        <v>3625.28</v>
      </c>
      <c r="K632" s="278">
        <v>3668.03</v>
      </c>
      <c r="L632" s="278">
        <v>3684.49</v>
      </c>
      <c r="M632" s="290"/>
      <c r="N632" s="290"/>
      <c r="O632" s="290"/>
      <c r="P632" s="290"/>
      <c r="Q632" s="326">
        <f>IF((L633=""),"",MAX(D634:L634))</f>
        <v>8564.61</v>
      </c>
      <c r="R632" s="326">
        <f>IF(L633="","",MIN(D634:L634))</f>
        <v>7417.02</v>
      </c>
      <c r="S632" s="327">
        <f>IF((L634=""),"",AVERAGE(D634:L634))</f>
        <v>7657.3466666666682</v>
      </c>
      <c r="T632" s="319">
        <f>IF((L633=""),"",(Q632-R632)/(Q632+R632)*100)</f>
        <v>7.1806818203149492</v>
      </c>
      <c r="U632" s="326">
        <f>STDEV(D634:P634)</f>
        <v>349.43648611009951</v>
      </c>
      <c r="V632" s="328" t="str">
        <f>IF(L633="","",IF(T632&lt;9.8,IF(S632&gt;5100,IF(S632&lt;8300,"Pass","Fail"),"Fail"),"Fail"))</f>
        <v>Pass</v>
      </c>
      <c r="W632" s="298">
        <v>64</v>
      </c>
      <c r="X632" s="366"/>
      <c r="Y632" s="268"/>
      <c r="Z632" s="267">
        <v>4955</v>
      </c>
      <c r="AA632" s="267">
        <v>9645</v>
      </c>
      <c r="AB632" s="267">
        <v>5100</v>
      </c>
      <c r="AC632" s="267">
        <v>8300</v>
      </c>
      <c r="AD632" s="305">
        <v>10</v>
      </c>
      <c r="AE632" s="305">
        <v>9.8000000000000007</v>
      </c>
    </row>
    <row r="633" spans="1:31" ht="15">
      <c r="A633" s="306"/>
      <c r="B633" s="298"/>
      <c r="C633" s="307" t="s">
        <v>198</v>
      </c>
      <c r="D633" s="278">
        <v>880.66</v>
      </c>
      <c r="E633" s="278">
        <v>1086.4100000000001</v>
      </c>
      <c r="F633" s="278">
        <v>1150.77</v>
      </c>
      <c r="G633" s="278">
        <v>681.21</v>
      </c>
      <c r="H633" s="278">
        <v>1077.24</v>
      </c>
      <c r="I633" s="278">
        <v>1196.57</v>
      </c>
      <c r="J633" s="278">
        <v>1124.95</v>
      </c>
      <c r="K633" s="278">
        <v>1195.69</v>
      </c>
      <c r="L633" s="278">
        <v>1187.52</v>
      </c>
      <c r="M633" s="290"/>
      <c r="N633" s="290"/>
      <c r="O633" s="290"/>
      <c r="P633" s="290"/>
      <c r="Q633" s="298"/>
      <c r="R633" s="298"/>
      <c r="S633" s="298"/>
      <c r="T633" s="298"/>
      <c r="U633" s="298"/>
      <c r="V633" s="302"/>
      <c r="W633" s="298"/>
      <c r="X633" s="366"/>
      <c r="Y633" s="268"/>
      <c r="Z633" s="267"/>
      <c r="AA633" s="267"/>
      <c r="AB633" s="267"/>
      <c r="AC633" s="267"/>
      <c r="AD633" s="268"/>
      <c r="AE633" s="269"/>
    </row>
    <row r="634" spans="1:31" ht="57.75" thickBot="1">
      <c r="A634" s="306"/>
      <c r="B634" s="309"/>
      <c r="C634" s="310" t="s">
        <v>197</v>
      </c>
      <c r="D634" s="311">
        <f t="shared" ref="D634:L634" si="206">IF(((D632="")*AND(D633="")),"",(D632-D633)*3)</f>
        <v>7541.7000000000007</v>
      </c>
      <c r="E634" s="311">
        <f t="shared" si="206"/>
        <v>7661.25</v>
      </c>
      <c r="F634" s="311">
        <f t="shared" si="206"/>
        <v>7582.9500000000007</v>
      </c>
      <c r="G634" s="311">
        <f t="shared" si="206"/>
        <v>8564.61</v>
      </c>
      <c r="H634" s="311">
        <f t="shared" si="206"/>
        <v>7657.11</v>
      </c>
      <c r="I634" s="311">
        <f t="shared" si="206"/>
        <v>7499.579999999999</v>
      </c>
      <c r="J634" s="311">
        <f t="shared" si="206"/>
        <v>7500.99</v>
      </c>
      <c r="K634" s="311">
        <f t="shared" si="206"/>
        <v>7417.02</v>
      </c>
      <c r="L634" s="311">
        <f t="shared" si="206"/>
        <v>7490.91</v>
      </c>
      <c r="M634" s="311"/>
      <c r="N634" s="311"/>
      <c r="O634" s="311"/>
      <c r="P634" s="311" t="str">
        <f>IF(((P632="")*AND(P633="")),"",(P632-P633)*2)</f>
        <v/>
      </c>
      <c r="Q634" s="309"/>
      <c r="R634" s="309"/>
      <c r="S634" s="309"/>
      <c r="T634" s="309"/>
      <c r="U634" s="309"/>
      <c r="V634" s="312"/>
      <c r="W634" s="309"/>
      <c r="X634" s="380"/>
      <c r="Y634" s="268"/>
      <c r="Z634" s="267"/>
      <c r="AA634" s="267"/>
      <c r="AB634" s="267"/>
      <c r="AC634" s="267"/>
      <c r="AD634" s="268"/>
      <c r="AE634" s="269"/>
    </row>
    <row r="635" spans="1:31" ht="12.75" customHeight="1">
      <c r="A635" s="373">
        <v>43439</v>
      </c>
      <c r="B635" s="315" t="s">
        <v>200</v>
      </c>
      <c r="C635" s="315" t="s">
        <v>199</v>
      </c>
      <c r="D635" s="278">
        <v>6667.69</v>
      </c>
      <c r="E635" s="278">
        <v>6780.27</v>
      </c>
      <c r="F635" s="278">
        <v>6617.61</v>
      </c>
      <c r="G635" s="278">
        <v>6651.81</v>
      </c>
      <c r="H635" s="278">
        <v>6597.76</v>
      </c>
      <c r="I635" s="278">
        <v>6618.61</v>
      </c>
      <c r="J635" s="278">
        <v>6678.21</v>
      </c>
      <c r="K635" s="278">
        <v>6627.15</v>
      </c>
      <c r="L635" s="278">
        <v>6624.44</v>
      </c>
      <c r="M635" s="278">
        <v>6657.11</v>
      </c>
      <c r="N635" s="278">
        <v>6828.67</v>
      </c>
      <c r="O635" s="278">
        <v>6607.07</v>
      </c>
      <c r="P635" s="278">
        <v>6557.1</v>
      </c>
      <c r="Q635" s="326">
        <f>IF((L636=""),"",MAX(D637:P637))</f>
        <v>5581.8799999999992</v>
      </c>
      <c r="R635" s="326">
        <f>IF(L636="","",MIN(D637:L637))</f>
        <v>5487.7599999999993</v>
      </c>
      <c r="S635" s="318">
        <f>IF((P637=""),"",AVERAGE(D637:P637))</f>
        <v>5542.250769230769</v>
      </c>
      <c r="T635" s="319">
        <f>IF((L636=""),"",(Q635-R635)/(Q635+R635)*100)</f>
        <v>0.85025348611156193</v>
      </c>
      <c r="U635" s="326">
        <f>STDEV(D637:P637)</f>
        <v>32.687917865245495</v>
      </c>
      <c r="V635" s="328" t="str">
        <f>IF(P636="","",IF(T635&lt;2.7,IF(S635&gt;5150,IF(S635&lt;5600,"Pass","Fail"),"Fail"),"Fail"))</f>
        <v>Pass</v>
      </c>
      <c r="W635" s="326">
        <v>1340</v>
      </c>
      <c r="X635" s="379"/>
      <c r="Y635" s="268"/>
      <c r="Z635" s="321">
        <v>4470</v>
      </c>
      <c r="AA635" s="321">
        <v>6020</v>
      </c>
      <c r="AB635" s="321">
        <v>5150</v>
      </c>
      <c r="AC635" s="321">
        <v>5600</v>
      </c>
      <c r="AD635" s="305">
        <v>10</v>
      </c>
      <c r="AE635" s="322">
        <v>2.7</v>
      </c>
    </row>
    <row r="636" spans="1:31" ht="15">
      <c r="A636" s="306"/>
      <c r="B636" s="298"/>
      <c r="C636" s="298" t="s">
        <v>198</v>
      </c>
      <c r="D636" s="278">
        <v>3905.22</v>
      </c>
      <c r="E636" s="278">
        <v>3991.58</v>
      </c>
      <c r="F636" s="278">
        <v>3873.73</v>
      </c>
      <c r="G636" s="278">
        <v>3894.77</v>
      </c>
      <c r="H636" s="278">
        <v>3809.17</v>
      </c>
      <c r="I636" s="278">
        <v>3827.67</v>
      </c>
      <c r="J636" s="278">
        <v>3914.21</v>
      </c>
      <c r="K636" s="278">
        <v>3859.5</v>
      </c>
      <c r="L636" s="278">
        <v>3877.21</v>
      </c>
      <c r="M636" s="278">
        <v>3885.03</v>
      </c>
      <c r="N636" s="278">
        <v>4039.28</v>
      </c>
      <c r="O636" s="278">
        <v>3839.71</v>
      </c>
      <c r="P636" s="278">
        <v>3771.79</v>
      </c>
      <c r="Q636" s="298"/>
      <c r="R636" s="298"/>
      <c r="S636" s="298"/>
      <c r="T636" s="298"/>
      <c r="U636" s="298"/>
      <c r="V636" s="302"/>
      <c r="W636" s="298"/>
      <c r="X636" s="366"/>
      <c r="Y636" s="268"/>
      <c r="Z636" s="267"/>
      <c r="AA636" s="267"/>
      <c r="AB636" s="267"/>
      <c r="AC636" s="267"/>
      <c r="AD636" s="268"/>
      <c r="AE636" s="269"/>
    </row>
    <row r="637" spans="1:31" ht="57">
      <c r="A637" s="306"/>
      <c r="B637" s="299"/>
      <c r="C637" s="299" t="s">
        <v>197</v>
      </c>
      <c r="D637" s="372">
        <f t="shared" ref="D637:P637" si="207">IF(((D635="")*AND(D636="")),"",(D635-D636)*2)</f>
        <v>5524.94</v>
      </c>
      <c r="E637" s="372">
        <f t="shared" si="207"/>
        <v>5577.380000000001</v>
      </c>
      <c r="F637" s="372">
        <f t="shared" si="207"/>
        <v>5487.7599999999993</v>
      </c>
      <c r="G637" s="372">
        <f t="shared" si="207"/>
        <v>5514.0800000000008</v>
      </c>
      <c r="H637" s="372">
        <f t="shared" si="207"/>
        <v>5577.18</v>
      </c>
      <c r="I637" s="372">
        <f t="shared" si="207"/>
        <v>5581.8799999999992</v>
      </c>
      <c r="J637" s="372">
        <f t="shared" si="207"/>
        <v>5528</v>
      </c>
      <c r="K637" s="372">
        <f t="shared" si="207"/>
        <v>5535.2999999999993</v>
      </c>
      <c r="L637" s="372">
        <f t="shared" si="207"/>
        <v>5494.4599999999991</v>
      </c>
      <c r="M637" s="372">
        <f t="shared" si="207"/>
        <v>5544.1599999999989</v>
      </c>
      <c r="N637" s="372">
        <f t="shared" si="207"/>
        <v>5578.78</v>
      </c>
      <c r="O637" s="372">
        <f t="shared" si="207"/>
        <v>5534.7199999999993</v>
      </c>
      <c r="P637" s="372">
        <f t="shared" si="207"/>
        <v>5570.6200000000008</v>
      </c>
      <c r="Q637" s="298"/>
      <c r="R637" s="298"/>
      <c r="S637" s="298"/>
      <c r="T637" s="298"/>
      <c r="U637" s="298"/>
      <c r="V637" s="302"/>
      <c r="W637" s="298"/>
      <c r="X637" s="366"/>
      <c r="Y637" s="268"/>
      <c r="Z637" s="267"/>
      <c r="AA637" s="267"/>
      <c r="AB637" s="267"/>
      <c r="AC637" s="267"/>
      <c r="AD637" s="268"/>
      <c r="AE637" s="269"/>
    </row>
    <row r="638" spans="1:31" ht="12.75" customHeight="1">
      <c r="A638" s="376">
        <v>43439</v>
      </c>
      <c r="B638" s="326" t="s">
        <v>202</v>
      </c>
      <c r="C638" s="307" t="s">
        <v>199</v>
      </c>
      <c r="D638" s="278">
        <v>5843.54</v>
      </c>
      <c r="E638" s="278">
        <v>6103.71</v>
      </c>
      <c r="F638" s="278">
        <v>6152.68</v>
      </c>
      <c r="G638" s="278">
        <v>6033</v>
      </c>
      <c r="H638" s="278">
        <v>6109.65</v>
      </c>
      <c r="I638" s="278">
        <v>6128.97</v>
      </c>
      <c r="J638" s="278">
        <v>5989.24</v>
      </c>
      <c r="K638" s="278">
        <v>6076.24</v>
      </c>
      <c r="L638" s="278">
        <v>6172.28</v>
      </c>
      <c r="M638" s="290"/>
      <c r="N638" s="290"/>
      <c r="O638" s="290"/>
      <c r="P638" s="290"/>
      <c r="Q638" s="326">
        <f>IF((L639=""),"",MAX(D640:L640))</f>
        <v>7927.11</v>
      </c>
      <c r="R638" s="326">
        <f>IF(L639="","",MIN(D640:L640))</f>
        <v>7334.5499999999993</v>
      </c>
      <c r="S638" s="327">
        <f>IF((L640=""),"",AVERAGE(D640:L640))</f>
        <v>7461.9933333333338</v>
      </c>
      <c r="T638" s="319">
        <f>IF((L639=""),"",(Q638-R638)/(Q638+R638)*100)</f>
        <v>3.8826706924410606</v>
      </c>
      <c r="U638" s="326">
        <f>STDEV(D640:P640)</f>
        <v>190.51344191419605</v>
      </c>
      <c r="V638" s="328" t="str">
        <f>IF(L639="","",IF(T638&lt;9.8,IF(S638&gt;5100,IF(S638&lt;8300,"Pass","Fail"),"Fail"),"Fail"))</f>
        <v>Pass</v>
      </c>
      <c r="W638" s="298">
        <v>1340</v>
      </c>
      <c r="X638" s="366"/>
      <c r="Y638" s="268"/>
      <c r="Z638" s="267">
        <v>4955</v>
      </c>
      <c r="AA638" s="267">
        <v>9645</v>
      </c>
      <c r="AB638" s="267">
        <v>5100</v>
      </c>
      <c r="AC638" s="267">
        <v>8300</v>
      </c>
      <c r="AD638" s="305">
        <v>10</v>
      </c>
      <c r="AE638" s="305">
        <v>9.8000000000000007</v>
      </c>
    </row>
    <row r="639" spans="1:31" ht="15">
      <c r="A639" s="306"/>
      <c r="B639" s="298"/>
      <c r="C639" s="307" t="s">
        <v>198</v>
      </c>
      <c r="D639" s="278">
        <v>3201.17</v>
      </c>
      <c r="E639" s="278">
        <v>3653.54</v>
      </c>
      <c r="F639" s="278">
        <v>3678.12</v>
      </c>
      <c r="G639" s="278">
        <v>3510</v>
      </c>
      <c r="H639" s="278">
        <v>3662.19</v>
      </c>
      <c r="I639" s="278">
        <v>3658.57</v>
      </c>
      <c r="J639" s="278">
        <v>3544.39</v>
      </c>
      <c r="K639" s="278">
        <v>3630.48</v>
      </c>
      <c r="L639" s="278">
        <v>3684.87</v>
      </c>
      <c r="M639" s="290"/>
      <c r="N639" s="290"/>
      <c r="O639" s="290"/>
      <c r="P639" s="290"/>
      <c r="Q639" s="298"/>
      <c r="R639" s="298"/>
      <c r="S639" s="298"/>
      <c r="T639" s="298"/>
      <c r="U639" s="298"/>
      <c r="V639" s="302"/>
      <c r="W639" s="298"/>
      <c r="X639" s="366"/>
      <c r="Y639" s="268"/>
      <c r="Z639" s="267"/>
      <c r="AA639" s="267"/>
      <c r="AB639" s="267"/>
      <c r="AC639" s="267"/>
      <c r="AD639" s="268"/>
      <c r="AE639" s="269"/>
    </row>
    <row r="640" spans="1:31" ht="57.75" thickBot="1">
      <c r="A640" s="306"/>
      <c r="B640" s="309"/>
      <c r="C640" s="310" t="s">
        <v>197</v>
      </c>
      <c r="D640" s="343">
        <f t="shared" ref="D640:L640" si="208">IF(((D638="")*AND(D639="")),"",(D638-D639)*3)</f>
        <v>7927.11</v>
      </c>
      <c r="E640" s="343">
        <f t="shared" si="208"/>
        <v>7350.51</v>
      </c>
      <c r="F640" s="343">
        <f t="shared" si="208"/>
        <v>7423.6800000000012</v>
      </c>
      <c r="G640" s="343">
        <f t="shared" si="208"/>
        <v>7569</v>
      </c>
      <c r="H640" s="343">
        <f t="shared" si="208"/>
        <v>7342.3799999999992</v>
      </c>
      <c r="I640" s="343">
        <f t="shared" si="208"/>
        <v>7411.2000000000007</v>
      </c>
      <c r="J640" s="343">
        <f t="shared" si="208"/>
        <v>7334.5499999999993</v>
      </c>
      <c r="K640" s="343">
        <f t="shared" si="208"/>
        <v>7337.2799999999988</v>
      </c>
      <c r="L640" s="343">
        <f t="shared" si="208"/>
        <v>7462.23</v>
      </c>
      <c r="M640" s="343"/>
      <c r="N640" s="343"/>
      <c r="O640" s="343"/>
      <c r="P640" s="343" t="str">
        <f>IF(((P638="")*AND(P639="")),"",(P638-P639)*2)</f>
        <v/>
      </c>
      <c r="Q640" s="298"/>
      <c r="R640" s="298"/>
      <c r="S640" s="298"/>
      <c r="T640" s="298"/>
      <c r="U640" s="298"/>
      <c r="V640" s="302"/>
      <c r="W640" s="298"/>
      <c r="X640" s="380"/>
      <c r="Y640" s="268"/>
      <c r="Z640" s="267"/>
      <c r="AA640" s="267"/>
      <c r="AB640" s="267"/>
      <c r="AC640" s="267"/>
      <c r="AD640" s="268"/>
      <c r="AE640" s="269"/>
    </row>
    <row r="641" spans="1:31" ht="12.75" customHeight="1">
      <c r="A641" s="373">
        <v>43445</v>
      </c>
      <c r="B641" s="315" t="s">
        <v>200</v>
      </c>
      <c r="C641" s="315" t="s">
        <v>199</v>
      </c>
      <c r="D641" s="278">
        <v>3919.91</v>
      </c>
      <c r="E641" s="278">
        <v>4007.03</v>
      </c>
      <c r="F641" s="278">
        <v>3887.89</v>
      </c>
      <c r="G641" s="278">
        <v>3908.64</v>
      </c>
      <c r="H641" s="278">
        <v>3823.47</v>
      </c>
      <c r="I641" s="278">
        <v>3841.49</v>
      </c>
      <c r="J641" s="278">
        <v>3928.1</v>
      </c>
      <c r="K641" s="278">
        <v>3873.03</v>
      </c>
      <c r="L641" s="278">
        <v>3891.47</v>
      </c>
      <c r="M641" s="278">
        <v>3898.68</v>
      </c>
      <c r="N641" s="278">
        <v>4054.28</v>
      </c>
      <c r="O641" s="278">
        <v>3853.25</v>
      </c>
      <c r="P641" s="278">
        <v>3784.84</v>
      </c>
      <c r="Q641" s="326">
        <f>IF((L642=""),"",MAX(D643:P643))</f>
        <v>5625.92</v>
      </c>
      <c r="R641" s="326">
        <f>IF(L642="","",MIN(D643:L643))</f>
        <v>5516.36</v>
      </c>
      <c r="S641" s="318">
        <f>IF((P643=""),"",AVERAGE(D643:P643))</f>
        <v>5571.5615384615385</v>
      </c>
      <c r="T641" s="319">
        <f>IF((L642=""),"",(Q641-R641)/(Q641+R641)*100)</f>
        <v>0.98328169818026834</v>
      </c>
      <c r="U641" s="326">
        <f>STDEV(D643:P643)</f>
        <v>35.706468565687182</v>
      </c>
      <c r="V641" s="328" t="str">
        <f>IF(P642="","",IF(T641&lt;2.7,IF(S641&gt;5150,IF(S641&lt;5600,"Pass","Fail"),"Fail"),"Fail"))</f>
        <v>Pass</v>
      </c>
      <c r="W641" s="326">
        <v>1340</v>
      </c>
      <c r="X641" s="379"/>
      <c r="Y641" s="268"/>
      <c r="Z641" s="321">
        <v>4470</v>
      </c>
      <c r="AA641" s="321">
        <v>6020</v>
      </c>
      <c r="AB641" s="321">
        <v>5150</v>
      </c>
      <c r="AC641" s="321">
        <v>5600</v>
      </c>
      <c r="AD641" s="305">
        <v>10</v>
      </c>
      <c r="AE641" s="322">
        <v>2.7</v>
      </c>
    </row>
    <row r="642" spans="1:31" ht="15">
      <c r="A642" s="306"/>
      <c r="B642" s="298"/>
      <c r="C642" s="298" t="s">
        <v>198</v>
      </c>
      <c r="D642" s="278">
        <v>1140.44</v>
      </c>
      <c r="E642" s="278">
        <v>1200.8</v>
      </c>
      <c r="F642" s="278">
        <v>1129.71</v>
      </c>
      <c r="G642" s="278">
        <v>1137.69</v>
      </c>
      <c r="H642" s="278">
        <v>1010.51</v>
      </c>
      <c r="I642" s="278">
        <v>1031.06</v>
      </c>
      <c r="J642" s="278">
        <v>1149.28</v>
      </c>
      <c r="K642" s="278">
        <v>1089.24</v>
      </c>
      <c r="L642" s="278">
        <v>1133</v>
      </c>
      <c r="M642" s="278">
        <v>1114.29</v>
      </c>
      <c r="N642" s="278">
        <v>1264.3499999999999</v>
      </c>
      <c r="O642" s="278">
        <v>1071.75</v>
      </c>
      <c r="P642" s="278">
        <v>984.81</v>
      </c>
      <c r="Q642" s="298"/>
      <c r="R642" s="298"/>
      <c r="S642" s="298"/>
      <c r="T642" s="298"/>
      <c r="U642" s="298"/>
      <c r="V642" s="302"/>
      <c r="W642" s="298"/>
      <c r="X642" s="366"/>
      <c r="Y642" s="268"/>
      <c r="Z642" s="267"/>
      <c r="AA642" s="267"/>
      <c r="AB642" s="267"/>
      <c r="AC642" s="267"/>
      <c r="AD642" s="268"/>
      <c r="AE642" s="269"/>
    </row>
    <row r="643" spans="1:31" ht="57">
      <c r="A643" s="306"/>
      <c r="B643" s="299"/>
      <c r="C643" s="299" t="s">
        <v>197</v>
      </c>
      <c r="D643" s="372">
        <f t="shared" ref="D643:P643" si="209">IF(((D641="")*AND(D642="")),"",(D641-D642)*2)</f>
        <v>5558.94</v>
      </c>
      <c r="E643" s="372">
        <f t="shared" si="209"/>
        <v>5612.4600000000009</v>
      </c>
      <c r="F643" s="372">
        <f t="shared" si="209"/>
        <v>5516.36</v>
      </c>
      <c r="G643" s="372">
        <f t="shared" si="209"/>
        <v>5541.9</v>
      </c>
      <c r="H643" s="372">
        <f t="shared" si="209"/>
        <v>5625.92</v>
      </c>
      <c r="I643" s="372">
        <f t="shared" si="209"/>
        <v>5620.86</v>
      </c>
      <c r="J643" s="372">
        <f t="shared" si="209"/>
        <v>5557.6399999999994</v>
      </c>
      <c r="K643" s="372">
        <f t="shared" si="209"/>
        <v>5567.58</v>
      </c>
      <c r="L643" s="372">
        <f t="shared" si="209"/>
        <v>5516.94</v>
      </c>
      <c r="M643" s="372">
        <f t="shared" si="209"/>
        <v>5568.78</v>
      </c>
      <c r="N643" s="372">
        <f t="shared" si="209"/>
        <v>5579.8600000000006</v>
      </c>
      <c r="O643" s="372">
        <f t="shared" si="209"/>
        <v>5563</v>
      </c>
      <c r="P643" s="372">
        <f t="shared" si="209"/>
        <v>5600.06</v>
      </c>
      <c r="Q643" s="298"/>
      <c r="R643" s="298"/>
      <c r="S643" s="298"/>
      <c r="T643" s="298"/>
      <c r="U643" s="298"/>
      <c r="V643" s="302"/>
      <c r="W643" s="298"/>
      <c r="X643" s="366"/>
      <c r="Y643" s="268"/>
      <c r="Z643" s="267"/>
      <c r="AA643" s="267"/>
      <c r="AB643" s="267"/>
      <c r="AC643" s="267"/>
      <c r="AD643" s="268"/>
      <c r="AE643" s="269"/>
    </row>
    <row r="644" spans="1:31" ht="12.75" customHeight="1">
      <c r="A644" s="376">
        <v>43445</v>
      </c>
      <c r="B644" s="307" t="s">
        <v>202</v>
      </c>
      <c r="C644" s="307" t="s">
        <v>199</v>
      </c>
      <c r="D644" s="278">
        <v>3637</v>
      </c>
      <c r="E644" s="278">
        <v>3656.05</v>
      </c>
      <c r="F644" s="278">
        <v>3678.06</v>
      </c>
      <c r="G644" s="278">
        <v>3589</v>
      </c>
      <c r="H644" s="278">
        <v>3663.28</v>
      </c>
      <c r="I644" s="278">
        <v>3657.2</v>
      </c>
      <c r="J644" s="278">
        <v>3544.4</v>
      </c>
      <c r="K644" s="278">
        <v>3631.32</v>
      </c>
      <c r="L644" s="278">
        <v>3683.64</v>
      </c>
      <c r="M644" s="290"/>
      <c r="N644" s="290"/>
      <c r="O644" s="290"/>
      <c r="P644" s="290"/>
      <c r="Q644" s="326">
        <f>IF((L645=""),"",MAX(D646:L646))</f>
        <v>7804.23</v>
      </c>
      <c r="R644" s="326">
        <f>IF(L645="","",MIN(D646:L646))</f>
        <v>7179.87</v>
      </c>
      <c r="S644" s="327">
        <f>IF((L646=""),"",AVERAGE(D646:L646))</f>
        <v>7299.87</v>
      </c>
      <c r="T644" s="319">
        <f>IF((L645=""),"",(Q644-R644)/(Q644+R644)*100)</f>
        <v>4.1668168258353839</v>
      </c>
      <c r="U644" s="326">
        <f>STDEV(D646:P646)</f>
        <v>192.01872389170643</v>
      </c>
      <c r="V644" s="328" t="str">
        <f>IF(L645="","",IF(T644&lt;9.8,IF(S644&gt;5100,IF(S644&lt;8300,"Pass","Fail"),"Fail"),"Fail"))</f>
        <v>Pass</v>
      </c>
      <c r="W644" s="298">
        <v>1340</v>
      </c>
      <c r="X644" s="366"/>
      <c r="Y644" s="268"/>
      <c r="Z644" s="267">
        <v>4955</v>
      </c>
      <c r="AA644" s="267">
        <v>9645</v>
      </c>
      <c r="AB644" s="267">
        <v>5100</v>
      </c>
      <c r="AC644" s="267">
        <v>8300</v>
      </c>
      <c r="AD644" s="305">
        <v>10</v>
      </c>
      <c r="AE644" s="305">
        <v>9.8000000000000007</v>
      </c>
    </row>
    <row r="645" spans="1:31" ht="15">
      <c r="A645" s="306"/>
      <c r="B645" s="298"/>
      <c r="C645" s="307" t="s">
        <v>198</v>
      </c>
      <c r="D645" s="278">
        <v>1204</v>
      </c>
      <c r="E645" s="278">
        <v>1236.74</v>
      </c>
      <c r="F645" s="278">
        <v>1264.8800000000001</v>
      </c>
      <c r="G645" s="278">
        <v>987.59</v>
      </c>
      <c r="H645" s="278">
        <v>1258.67</v>
      </c>
      <c r="I645" s="278">
        <v>1247.31</v>
      </c>
      <c r="J645" s="278">
        <v>1151.1099999999999</v>
      </c>
      <c r="K645" s="278">
        <v>1224.8699999999999</v>
      </c>
      <c r="L645" s="278">
        <v>1265.17</v>
      </c>
      <c r="M645" s="290"/>
      <c r="N645" s="290"/>
      <c r="O645" s="290"/>
      <c r="P645" s="290"/>
      <c r="Q645" s="298"/>
      <c r="R645" s="298"/>
      <c r="S645" s="298"/>
      <c r="T645" s="298"/>
      <c r="U645" s="298"/>
      <c r="V645" s="302"/>
      <c r="W645" s="298"/>
      <c r="X645" s="366"/>
      <c r="Y645" s="268"/>
      <c r="Z645" s="267"/>
      <c r="AA645" s="267"/>
      <c r="AB645" s="267"/>
      <c r="AC645" s="267"/>
      <c r="AD645" s="268"/>
      <c r="AE645" s="269"/>
    </row>
    <row r="646" spans="1:31" ht="57.75" thickBot="1">
      <c r="A646" s="306"/>
      <c r="B646" s="309"/>
      <c r="C646" s="310" t="s">
        <v>197</v>
      </c>
      <c r="D646" s="343">
        <f t="shared" ref="D646:L646" si="210">IF(((D644="")*AND(D645="")),"",(D644-D645)*3)</f>
        <v>7299</v>
      </c>
      <c r="E646" s="343">
        <f t="shared" si="210"/>
        <v>7257.9300000000012</v>
      </c>
      <c r="F646" s="343">
        <f t="shared" si="210"/>
        <v>7239.5399999999991</v>
      </c>
      <c r="G646" s="343">
        <f t="shared" si="210"/>
        <v>7804.23</v>
      </c>
      <c r="H646" s="343">
        <f t="shared" si="210"/>
        <v>7213.83</v>
      </c>
      <c r="I646" s="343">
        <f t="shared" si="210"/>
        <v>7229.67</v>
      </c>
      <c r="J646" s="343">
        <f t="shared" si="210"/>
        <v>7179.87</v>
      </c>
      <c r="K646" s="343">
        <f t="shared" si="210"/>
        <v>7219.35</v>
      </c>
      <c r="L646" s="343">
        <f t="shared" si="210"/>
        <v>7255.41</v>
      </c>
      <c r="M646" s="343"/>
      <c r="N646" s="343"/>
      <c r="O646" s="343"/>
      <c r="P646" s="343" t="str">
        <f>IF(((P644="")*AND(P645="")),"",(P644-P645)*2)</f>
        <v/>
      </c>
      <c r="Q646" s="298"/>
      <c r="R646" s="298"/>
      <c r="S646" s="298"/>
      <c r="T646" s="298"/>
      <c r="U646" s="298"/>
      <c r="V646" s="302"/>
      <c r="W646" s="298"/>
      <c r="X646" s="380"/>
      <c r="Y646" s="268"/>
      <c r="Z646" s="267"/>
      <c r="AA646" s="267"/>
      <c r="AB646" s="267"/>
      <c r="AC646" s="267"/>
      <c r="AD646" s="268"/>
      <c r="AE646" s="269"/>
    </row>
    <row r="647" spans="1:31" ht="12.75" customHeight="1">
      <c r="A647" s="373">
        <v>43476</v>
      </c>
      <c r="B647" s="315" t="s">
        <v>200</v>
      </c>
      <c r="C647" s="315" t="s">
        <v>199</v>
      </c>
      <c r="D647" s="278">
        <v>6788.05</v>
      </c>
      <c r="E647" s="278">
        <v>6905.6</v>
      </c>
      <c r="F647" s="278">
        <v>6747.63</v>
      </c>
      <c r="G647" s="278">
        <v>6792.88</v>
      </c>
      <c r="H647" s="278">
        <v>6707.68</v>
      </c>
      <c r="I647" s="278">
        <v>6749.97</v>
      </c>
      <c r="J647" s="278">
        <v>6825.46</v>
      </c>
      <c r="K647" s="278">
        <v>6777.02</v>
      </c>
      <c r="L647" s="278">
        <v>6764.95</v>
      </c>
      <c r="M647" s="278">
        <v>6806.32</v>
      </c>
      <c r="N647" s="278">
        <v>6964.68</v>
      </c>
      <c r="O647" s="278">
        <v>6750.73</v>
      </c>
      <c r="P647" s="278">
        <v>6682.73</v>
      </c>
      <c r="Q647" s="326">
        <f>IF((L648=""),"",MAX(D649:P649))</f>
        <v>5423.26</v>
      </c>
      <c r="R647" s="326">
        <f>IF(L648="","",MIN(D649:L649))</f>
        <v>5374.1799999999994</v>
      </c>
      <c r="S647" s="318">
        <f>IF((P649=""),"",AVERAGE(D649:P649))</f>
        <v>5400.5861538461531</v>
      </c>
      <c r="T647" s="319">
        <f>IF((L648=""),"",(Q647-R647)/(Q647+R647)*100)</f>
        <v>0.45455219014878379</v>
      </c>
      <c r="U647" s="326">
        <f>STDEV(D649:P649)</f>
        <v>19.892252067149705</v>
      </c>
      <c r="V647" s="328" t="str">
        <f>IF(P648="","",IF(T647&lt;2.7,IF(S647&gt;5150,IF(S647&lt;5600,"Pass","Fail"),"Fail"),"Fail"))</f>
        <v>Pass</v>
      </c>
      <c r="W647" s="326">
        <v>1335</v>
      </c>
      <c r="X647" s="374" t="s">
        <v>222</v>
      </c>
      <c r="Y647" s="268"/>
      <c r="Z647" s="321">
        <v>4470</v>
      </c>
      <c r="AA647" s="321">
        <v>6020</v>
      </c>
      <c r="AB647" s="321">
        <v>5150</v>
      </c>
      <c r="AC647" s="321">
        <v>5600</v>
      </c>
      <c r="AD647" s="305">
        <v>10</v>
      </c>
      <c r="AE647" s="322">
        <v>2.7</v>
      </c>
    </row>
    <row r="648" spans="1:31" ht="15">
      <c r="A648" s="306"/>
      <c r="B648" s="298"/>
      <c r="C648" s="298" t="s">
        <v>198</v>
      </c>
      <c r="D648" s="278">
        <v>4086.05</v>
      </c>
      <c r="E648" s="278">
        <v>4197.6400000000003</v>
      </c>
      <c r="F648" s="278">
        <v>4053.04</v>
      </c>
      <c r="G648" s="278">
        <v>4091.21</v>
      </c>
      <c r="H648" s="278">
        <v>4001.63</v>
      </c>
      <c r="I648" s="278">
        <v>4038.34</v>
      </c>
      <c r="J648" s="278">
        <v>4121.88</v>
      </c>
      <c r="K648" s="278">
        <v>4065.43</v>
      </c>
      <c r="L648" s="278">
        <v>4077.86</v>
      </c>
      <c r="M648" s="278">
        <v>4095.55</v>
      </c>
      <c r="N648" s="278">
        <v>4267.13</v>
      </c>
      <c r="O648" s="278">
        <v>4063.74</v>
      </c>
      <c r="P648" s="278">
        <v>4000.39</v>
      </c>
      <c r="Q648" s="298"/>
      <c r="R648" s="298"/>
      <c r="S648" s="298"/>
      <c r="T648" s="298"/>
      <c r="U648" s="298"/>
      <c r="V648" s="302"/>
      <c r="W648" s="298"/>
      <c r="X648" s="375"/>
      <c r="Y648" s="268"/>
      <c r="Z648" s="267"/>
      <c r="AA648" s="267"/>
      <c r="AB648" s="267"/>
      <c r="AC648" s="267"/>
      <c r="AD648" s="305"/>
      <c r="AE648" s="305"/>
    </row>
    <row r="649" spans="1:31" ht="57.75" thickBot="1">
      <c r="A649" s="306"/>
      <c r="B649" s="299"/>
      <c r="C649" s="299" t="s">
        <v>197</v>
      </c>
      <c r="D649" s="372">
        <f t="shared" ref="D649:P649" si="211">IF(((D647="")*AND(D648="")),"",(D647-D648)*2)</f>
        <v>5404</v>
      </c>
      <c r="E649" s="372">
        <f t="shared" si="211"/>
        <v>5415.92</v>
      </c>
      <c r="F649" s="372">
        <f t="shared" si="211"/>
        <v>5389.18</v>
      </c>
      <c r="G649" s="372">
        <f t="shared" si="211"/>
        <v>5403.34</v>
      </c>
      <c r="H649" s="372">
        <f t="shared" si="211"/>
        <v>5412.1</v>
      </c>
      <c r="I649" s="372">
        <f t="shared" si="211"/>
        <v>5423.26</v>
      </c>
      <c r="J649" s="372">
        <f t="shared" si="211"/>
        <v>5407.16</v>
      </c>
      <c r="K649" s="372">
        <f t="shared" si="211"/>
        <v>5423.1800000000012</v>
      </c>
      <c r="L649" s="372">
        <f t="shared" si="211"/>
        <v>5374.1799999999994</v>
      </c>
      <c r="M649" s="372">
        <f t="shared" si="211"/>
        <v>5421.5399999999991</v>
      </c>
      <c r="N649" s="372">
        <f t="shared" si="211"/>
        <v>5395.1</v>
      </c>
      <c r="O649" s="372">
        <f t="shared" si="211"/>
        <v>5373.98</v>
      </c>
      <c r="P649" s="372">
        <f t="shared" si="211"/>
        <v>5364.6799999999994</v>
      </c>
      <c r="Q649" s="298"/>
      <c r="R649" s="298"/>
      <c r="S649" s="298"/>
      <c r="T649" s="298"/>
      <c r="U649" s="298"/>
      <c r="V649" s="302"/>
      <c r="W649" s="298"/>
      <c r="X649" s="375"/>
      <c r="Y649" s="268"/>
      <c r="Z649" s="267"/>
      <c r="AA649" s="267"/>
      <c r="AB649" s="267"/>
      <c r="AC649" s="267"/>
      <c r="AD649" s="268"/>
      <c r="AE649" s="269"/>
    </row>
    <row r="650" spans="1:31" ht="12.75" customHeight="1">
      <c r="A650" s="373">
        <v>43476</v>
      </c>
      <c r="B650" s="307" t="s">
        <v>202</v>
      </c>
      <c r="C650" s="307" t="s">
        <v>199</v>
      </c>
      <c r="D650" s="278">
        <v>5974.19</v>
      </c>
      <c r="E650" s="278">
        <v>6115.66</v>
      </c>
      <c r="F650" s="278">
        <v>6182.48</v>
      </c>
      <c r="G650" s="278">
        <v>6462.28</v>
      </c>
      <c r="H650" s="278">
        <v>6142.12</v>
      </c>
      <c r="I650" s="278">
        <v>6141.87</v>
      </c>
      <c r="J650" s="278">
        <v>6048.02</v>
      </c>
      <c r="K650" s="278">
        <v>6087.22</v>
      </c>
      <c r="L650" s="278">
        <v>6167.62</v>
      </c>
      <c r="M650" s="290"/>
      <c r="N650" s="290"/>
      <c r="O650" s="290"/>
      <c r="P650" s="290"/>
      <c r="Q650" s="326">
        <f>IF((L651=""),"",MAX(D652:L652))</f>
        <v>8098.1699999999983</v>
      </c>
      <c r="R650" s="326">
        <f>IF(L651="","",MIN(D652:L652))</f>
        <v>7208.2200000000012</v>
      </c>
      <c r="S650" s="327">
        <f>IF((L652=""),"",AVERAGE(D652:L652))</f>
        <v>7483.2899999999981</v>
      </c>
      <c r="T650" s="319">
        <f>IF((L651=""),"",(Q650-R650)/(Q650+R650)*100)</f>
        <v>5.8142383671133242</v>
      </c>
      <c r="U650" s="326">
        <f>STDEV(D652:P652)</f>
        <v>295.89171397663762</v>
      </c>
      <c r="V650" s="328" t="str">
        <f>IF(L651="","",IF(T650&lt;9.8,IF(S650&gt;5100,IF(S650&lt;8300,"Pass","Fail"),"Fail"),"Fail"))</f>
        <v>Pass</v>
      </c>
      <c r="W650" s="298">
        <v>1335</v>
      </c>
      <c r="X650" s="375" t="s">
        <v>222</v>
      </c>
      <c r="Y650" s="268"/>
      <c r="Z650" s="267">
        <v>4955</v>
      </c>
      <c r="AA650" s="267">
        <v>9645</v>
      </c>
      <c r="AB650" s="267">
        <v>5100</v>
      </c>
      <c r="AC650" s="267">
        <v>8300</v>
      </c>
      <c r="AD650" s="305">
        <v>10</v>
      </c>
      <c r="AE650" s="305">
        <v>9.8000000000000007</v>
      </c>
    </row>
    <row r="651" spans="1:31" ht="15">
      <c r="A651" s="306"/>
      <c r="B651" s="298"/>
      <c r="C651" s="307" t="s">
        <v>198</v>
      </c>
      <c r="D651" s="278">
        <v>3274.8</v>
      </c>
      <c r="E651" s="278">
        <v>3686.06</v>
      </c>
      <c r="F651" s="278">
        <v>3702.99</v>
      </c>
      <c r="G651" s="278">
        <v>3843</v>
      </c>
      <c r="H651" s="278">
        <v>3680.81</v>
      </c>
      <c r="I651" s="278">
        <v>3688.54</v>
      </c>
      <c r="J651" s="278">
        <v>3645.28</v>
      </c>
      <c r="K651" s="278">
        <v>3657.98</v>
      </c>
      <c r="L651" s="278">
        <v>3692.13</v>
      </c>
      <c r="M651" s="290"/>
      <c r="N651" s="290"/>
      <c r="O651" s="290"/>
      <c r="P651" s="290"/>
      <c r="Q651" s="298"/>
      <c r="R651" s="298"/>
      <c r="S651" s="298"/>
      <c r="T651" s="298"/>
      <c r="U651" s="298"/>
      <c r="V651" s="302"/>
      <c r="W651" s="298"/>
      <c r="X651" s="375"/>
      <c r="Y651" s="268"/>
      <c r="Z651" s="267"/>
      <c r="AA651" s="267"/>
      <c r="AB651" s="267"/>
      <c r="AC651" s="267"/>
      <c r="AD651" s="268"/>
      <c r="AE651" s="269"/>
    </row>
    <row r="652" spans="1:31" ht="57.75" thickBot="1">
      <c r="A652" s="306"/>
      <c r="B652" s="309"/>
      <c r="C652" s="310" t="s">
        <v>197</v>
      </c>
      <c r="D652" s="343">
        <f t="shared" ref="D652:L652" si="212">IF(((D650="")*AND(D651="")),"",(D650-D651)*3)</f>
        <v>8098.1699999999983</v>
      </c>
      <c r="E652" s="343">
        <f t="shared" si="212"/>
        <v>7288.7999999999993</v>
      </c>
      <c r="F652" s="343">
        <f t="shared" si="212"/>
        <v>7438.4699999999993</v>
      </c>
      <c r="G652" s="343">
        <f t="shared" si="212"/>
        <v>7857.8399999999992</v>
      </c>
      <c r="H652" s="343">
        <f t="shared" si="212"/>
        <v>7383.93</v>
      </c>
      <c r="I652" s="343">
        <f t="shared" si="212"/>
        <v>7359.99</v>
      </c>
      <c r="J652" s="343">
        <f t="shared" si="212"/>
        <v>7208.2200000000012</v>
      </c>
      <c r="K652" s="343">
        <f t="shared" si="212"/>
        <v>7287.7200000000012</v>
      </c>
      <c r="L652" s="343">
        <f t="shared" si="212"/>
        <v>7426.4699999999993</v>
      </c>
      <c r="M652" s="343"/>
      <c r="N652" s="343"/>
      <c r="O652" s="343"/>
      <c r="P652" s="343" t="str">
        <f>IF(((P650="")*AND(P651="")),"",(P650-P651)*2)</f>
        <v/>
      </c>
      <c r="Q652" s="298"/>
      <c r="R652" s="298"/>
      <c r="S652" s="298"/>
      <c r="T652" s="298"/>
      <c r="U652" s="298"/>
      <c r="V652" s="302"/>
      <c r="W652" s="298"/>
      <c r="X652" s="375"/>
      <c r="Y652" s="268"/>
      <c r="Z652" s="267"/>
      <c r="AA652" s="267"/>
      <c r="AB652" s="267"/>
      <c r="AC652" s="267"/>
      <c r="AD652" s="268"/>
      <c r="AE652" s="269"/>
    </row>
    <row r="653" spans="1:31" ht="12.75" customHeight="1">
      <c r="A653" s="373">
        <v>43480</v>
      </c>
      <c r="B653" s="315" t="s">
        <v>200</v>
      </c>
      <c r="C653" s="315" t="s">
        <v>199</v>
      </c>
      <c r="D653" s="278">
        <v>6871.28</v>
      </c>
      <c r="E653" s="278">
        <v>6988.76</v>
      </c>
      <c r="F653" s="278">
        <v>6822.61</v>
      </c>
      <c r="G653" s="278">
        <v>6858.04</v>
      </c>
      <c r="H653" s="278">
        <v>6802.18</v>
      </c>
      <c r="I653" s="278">
        <v>6827.31</v>
      </c>
      <c r="J653" s="278">
        <v>6888.26</v>
      </c>
      <c r="K653" s="278">
        <v>6836.13</v>
      </c>
      <c r="L653" s="278">
        <v>6838.27</v>
      </c>
      <c r="M653" s="278">
        <v>6872.4</v>
      </c>
      <c r="N653" s="278">
        <v>7041.55</v>
      </c>
      <c r="O653" s="278">
        <v>6827.21</v>
      </c>
      <c r="P653" s="278">
        <v>6769.78</v>
      </c>
      <c r="Q653" s="326">
        <f>IF((L654=""),"",MAX(D655:P655))</f>
        <v>5572.36</v>
      </c>
      <c r="R653" s="326">
        <f>IF(L654="","",MIN(D655:L655))</f>
        <v>5422.76</v>
      </c>
      <c r="S653" s="318">
        <f>IF((P655=""),"",AVERAGE(D655:P655))</f>
        <v>5487.6569230769228</v>
      </c>
      <c r="T653" s="319">
        <f>IF((L654=""),"",(Q653-R653)/(Q653+R653)*100)</f>
        <v>1.3606036132393231</v>
      </c>
      <c r="U653" s="326">
        <f>STDEV(D655:P655)</f>
        <v>46.366077288111057</v>
      </c>
      <c r="V653" s="328" t="str">
        <f>IF(P654="","",IF(T653&lt;2.7,IF(S653&gt;5150,IF(S653&lt;5600,"Pass","Fail"),"Fail"),"Fail"))</f>
        <v>Pass</v>
      </c>
      <c r="W653" s="326">
        <v>74</v>
      </c>
      <c r="X653" s="381" t="s">
        <v>221</v>
      </c>
      <c r="Y653" s="268"/>
      <c r="Z653" s="321">
        <v>4470</v>
      </c>
      <c r="AA653" s="321">
        <v>6020</v>
      </c>
      <c r="AB653" s="321">
        <v>5150</v>
      </c>
      <c r="AC653" s="321">
        <v>5600</v>
      </c>
      <c r="AD653" s="305">
        <v>10</v>
      </c>
      <c r="AE653" s="322">
        <v>2.7</v>
      </c>
    </row>
    <row r="654" spans="1:31" ht="15">
      <c r="A654" s="306"/>
      <c r="B654" s="298"/>
      <c r="C654" s="298" t="s">
        <v>198</v>
      </c>
      <c r="D654" s="278">
        <v>4159.8999999999996</v>
      </c>
      <c r="E654" s="278">
        <v>4267.29</v>
      </c>
      <c r="F654" s="278">
        <v>4102.76</v>
      </c>
      <c r="G654" s="278">
        <v>4106.1499999999996</v>
      </c>
      <c r="H654" s="278">
        <v>4074.48</v>
      </c>
      <c r="I654" s="278">
        <v>4068.03</v>
      </c>
      <c r="J654" s="278">
        <v>4120.51</v>
      </c>
      <c r="K654" s="278">
        <v>4062.69</v>
      </c>
      <c r="L654" s="278">
        <v>4112.3599999999997</v>
      </c>
      <c r="M654" s="278">
        <v>4086.22</v>
      </c>
      <c r="N654" s="278">
        <v>4308.7</v>
      </c>
      <c r="O654" s="278">
        <v>4075.53</v>
      </c>
      <c r="P654" s="278">
        <v>4029.39</v>
      </c>
      <c r="Q654" s="298"/>
      <c r="R654" s="298"/>
      <c r="S654" s="298"/>
      <c r="T654" s="298"/>
      <c r="U654" s="298"/>
      <c r="V654" s="302"/>
      <c r="W654" s="298"/>
      <c r="X654" s="381"/>
      <c r="Y654" s="268"/>
      <c r="Z654" s="267"/>
      <c r="AA654" s="267"/>
      <c r="AB654" s="267"/>
      <c r="AC654" s="267"/>
      <c r="AD654" s="268"/>
      <c r="AE654" s="269"/>
    </row>
    <row r="655" spans="1:31" ht="57.75" thickBot="1">
      <c r="A655" s="306"/>
      <c r="B655" s="299"/>
      <c r="C655" s="299" t="s">
        <v>197</v>
      </c>
      <c r="D655" s="372">
        <f t="shared" ref="D655:P655" si="213">IF(((D653="")*AND(D654="")),"",(D653-D654)*2)</f>
        <v>5422.76</v>
      </c>
      <c r="E655" s="372">
        <f t="shared" si="213"/>
        <v>5442.9400000000005</v>
      </c>
      <c r="F655" s="372">
        <f t="shared" si="213"/>
        <v>5439.6999999999989</v>
      </c>
      <c r="G655" s="372">
        <f t="shared" si="213"/>
        <v>5503.7800000000007</v>
      </c>
      <c r="H655" s="372">
        <f t="shared" si="213"/>
        <v>5455.4000000000005</v>
      </c>
      <c r="I655" s="372">
        <f t="shared" si="213"/>
        <v>5518.56</v>
      </c>
      <c r="J655" s="372">
        <f t="shared" si="213"/>
        <v>5535.5</v>
      </c>
      <c r="K655" s="372">
        <f t="shared" si="213"/>
        <v>5546.88</v>
      </c>
      <c r="L655" s="372">
        <f t="shared" si="213"/>
        <v>5451.8200000000015</v>
      </c>
      <c r="M655" s="372">
        <f t="shared" si="213"/>
        <v>5572.36</v>
      </c>
      <c r="N655" s="372">
        <f t="shared" si="213"/>
        <v>5465.7000000000007</v>
      </c>
      <c r="O655" s="372">
        <f t="shared" si="213"/>
        <v>5503.36</v>
      </c>
      <c r="P655" s="372">
        <f t="shared" si="213"/>
        <v>5480.78</v>
      </c>
      <c r="Q655" s="298"/>
      <c r="R655" s="298"/>
      <c r="S655" s="298"/>
      <c r="T655" s="298"/>
      <c r="U655" s="298"/>
      <c r="V655" s="302"/>
      <c r="W655" s="298"/>
      <c r="X655" s="381"/>
      <c r="Y655" s="268"/>
      <c r="Z655" s="267"/>
      <c r="AA655" s="267"/>
      <c r="AB655" s="382"/>
      <c r="AC655" s="267"/>
      <c r="AD655" s="268"/>
      <c r="AE655" s="269"/>
    </row>
    <row r="656" spans="1:31" ht="12.75" customHeight="1">
      <c r="A656" s="373">
        <v>43480</v>
      </c>
      <c r="B656" s="307" t="s">
        <v>202</v>
      </c>
      <c r="C656" s="307" t="s">
        <v>199</v>
      </c>
      <c r="D656" s="278">
        <v>6032.68</v>
      </c>
      <c r="E656" s="278">
        <v>6090.98</v>
      </c>
      <c r="F656" s="278">
        <v>6105</v>
      </c>
      <c r="G656" s="278">
        <v>6010.8</v>
      </c>
      <c r="H656" s="278">
        <v>6068.47</v>
      </c>
      <c r="I656" s="278">
        <v>6121.41</v>
      </c>
      <c r="J656" s="278">
        <v>6014.48</v>
      </c>
      <c r="K656" s="278">
        <v>6047.08</v>
      </c>
      <c r="L656" s="278">
        <v>6110.48</v>
      </c>
      <c r="M656" s="290"/>
      <c r="N656" s="290"/>
      <c r="O656" s="290"/>
      <c r="P656" s="290"/>
      <c r="Q656" s="326">
        <f>IF((L657=""),"",MAX(D658:L658))</f>
        <v>8265.5400000000009</v>
      </c>
      <c r="R656" s="326">
        <f>IF(L657="","",MIN(D658:L658))</f>
        <v>7228.7099999999991</v>
      </c>
      <c r="S656" s="327">
        <f>IF((L658=""),"",AVERAGE(D658:L658))</f>
        <v>7486.0466666666662</v>
      </c>
      <c r="T656" s="319">
        <f>IF((L657=""),"",(Q656-R656)/(Q656+R656)*100)</f>
        <v>6.6917082143375879</v>
      </c>
      <c r="U656" s="326">
        <f>STDEV(D658:P658)</f>
        <v>300.78585850234396</v>
      </c>
      <c r="V656" s="328" t="str">
        <f>IF(L657="","",IF(T656&lt;9.8,IF(S656&gt;5100,IF(S656&lt;8300,"Pass","Fail"),"Fail"),"Fail"))</f>
        <v>Pass</v>
      </c>
      <c r="W656" s="298">
        <v>74</v>
      </c>
      <c r="X656" s="381" t="s">
        <v>221</v>
      </c>
      <c r="Y656" s="268"/>
      <c r="Z656" s="267">
        <v>4955</v>
      </c>
      <c r="AA656" s="267">
        <v>9645</v>
      </c>
      <c r="AB656" s="267">
        <v>5100</v>
      </c>
      <c r="AC656" s="267">
        <v>8300</v>
      </c>
      <c r="AD656" s="305">
        <v>10</v>
      </c>
      <c r="AE656" s="305">
        <v>9.8000000000000007</v>
      </c>
    </row>
    <row r="657" spans="1:31" ht="15">
      <c r="A657" s="306"/>
      <c r="B657" s="298"/>
      <c r="C657" s="307" t="s">
        <v>198</v>
      </c>
      <c r="D657" s="278">
        <v>3277.5</v>
      </c>
      <c r="E657" s="278">
        <v>3629.41</v>
      </c>
      <c r="F657" s="278">
        <v>3631.4</v>
      </c>
      <c r="G657" s="278">
        <v>3551.01</v>
      </c>
      <c r="H657" s="278">
        <v>3571.62</v>
      </c>
      <c r="I657" s="278">
        <v>3668.13</v>
      </c>
      <c r="J657" s="278">
        <v>3604.91</v>
      </c>
      <c r="K657" s="278">
        <v>3573.21</v>
      </c>
      <c r="L657" s="278">
        <v>3636.05</v>
      </c>
      <c r="M657" s="290"/>
      <c r="N657" s="290"/>
      <c r="O657" s="290"/>
      <c r="P657" s="290"/>
      <c r="Q657" s="298"/>
      <c r="R657" s="298"/>
      <c r="S657" s="298"/>
      <c r="T657" s="298"/>
      <c r="U657" s="298"/>
      <c r="V657" s="302"/>
      <c r="W657" s="298"/>
      <c r="X657" s="381"/>
      <c r="Y657" s="268"/>
      <c r="Z657" s="267"/>
      <c r="AA657" s="267"/>
      <c r="AB657" s="267"/>
      <c r="AC657" s="267"/>
      <c r="AD657" s="268"/>
      <c r="AE657" s="269"/>
    </row>
    <row r="658" spans="1:31" ht="57.75" thickBot="1">
      <c r="A658" s="306"/>
      <c r="B658" s="309"/>
      <c r="C658" s="310" t="s">
        <v>197</v>
      </c>
      <c r="D658" s="343">
        <f t="shared" ref="D658:L658" si="214">IF(((D656="")*AND(D657="")),"",(D656-D657)*3)</f>
        <v>8265.5400000000009</v>
      </c>
      <c r="E658" s="343">
        <f t="shared" si="214"/>
        <v>7384.7099999999991</v>
      </c>
      <c r="F658" s="343">
        <f t="shared" si="214"/>
        <v>7420.7999999999993</v>
      </c>
      <c r="G658" s="343">
        <f t="shared" si="214"/>
        <v>7379.37</v>
      </c>
      <c r="H658" s="343">
        <f t="shared" si="214"/>
        <v>7490.5500000000011</v>
      </c>
      <c r="I658" s="343">
        <f t="shared" si="214"/>
        <v>7359.8399999999992</v>
      </c>
      <c r="J658" s="343">
        <f t="shared" si="214"/>
        <v>7228.7099999999991</v>
      </c>
      <c r="K658" s="343">
        <f t="shared" si="214"/>
        <v>7421.61</v>
      </c>
      <c r="L658" s="343">
        <f t="shared" si="214"/>
        <v>7423.2899999999981</v>
      </c>
      <c r="M658" s="343"/>
      <c r="N658" s="343"/>
      <c r="O658" s="343"/>
      <c r="P658" s="343" t="str">
        <f>IF(((P656="")*AND(P657="")),"",(P656-P657)*2)</f>
        <v/>
      </c>
      <c r="Q658" s="298"/>
      <c r="R658" s="298"/>
      <c r="S658" s="298"/>
      <c r="T658" s="298"/>
      <c r="U658" s="298"/>
      <c r="V658" s="302"/>
      <c r="W658" s="298"/>
      <c r="X658" s="381"/>
      <c r="Y658" s="268"/>
      <c r="Z658" s="267"/>
      <c r="AA658" s="267"/>
      <c r="AB658" s="267"/>
      <c r="AC658" s="267"/>
      <c r="AD658" s="268"/>
      <c r="AE658" s="269"/>
    </row>
    <row r="659" spans="1:31" ht="12.75" customHeight="1">
      <c r="A659" s="373">
        <v>43488</v>
      </c>
      <c r="B659" s="315" t="s">
        <v>202</v>
      </c>
      <c r="C659" s="316" t="s">
        <v>199</v>
      </c>
      <c r="D659" s="278">
        <v>6010.67</v>
      </c>
      <c r="E659" s="278">
        <v>6092.19</v>
      </c>
      <c r="F659" s="278">
        <v>6100.35</v>
      </c>
      <c r="G659" s="278">
        <v>6005.58</v>
      </c>
      <c r="H659" s="278">
        <v>6060.46</v>
      </c>
      <c r="I659" s="278">
        <v>6110.54</v>
      </c>
      <c r="J659" s="278">
        <v>6019.71</v>
      </c>
      <c r="K659" s="278">
        <v>6037.76</v>
      </c>
      <c r="L659" s="278">
        <v>6108.11</v>
      </c>
      <c r="M659" s="346"/>
      <c r="N659" s="346"/>
      <c r="O659" s="346"/>
      <c r="P659" s="346"/>
      <c r="Q659" s="315">
        <f>IF((L660=""),"",MAX(D661:L661))</f>
        <v>7844.37</v>
      </c>
      <c r="R659" s="315">
        <f>IF(L660="","",MIN(D661:L661))</f>
        <v>6835.2000000000007</v>
      </c>
      <c r="S659" s="347">
        <f>IF((L661=""),"",AVERAGE(D661:L661))</f>
        <v>7186.373333333333</v>
      </c>
      <c r="T659" s="318">
        <f>IF((L660=""),"",(Q659-R659)/(Q659+R659)*100)</f>
        <v>6.8746564102354437</v>
      </c>
      <c r="U659" s="315">
        <f>STDEV(D661:P661)</f>
        <v>290.85302929486727</v>
      </c>
      <c r="V659" s="320" t="str">
        <f>IF(L660="","",IF(T659&lt;9.8,IF(S659&gt;5100,IF(S659&lt;8300,"Pass","Fail"),"Fail"),"Fail"))</f>
        <v>Pass</v>
      </c>
      <c r="W659" s="315">
        <v>1159</v>
      </c>
      <c r="X659" s="374" t="s">
        <v>220</v>
      </c>
      <c r="Y659" s="268"/>
      <c r="Z659" s="267">
        <v>4955</v>
      </c>
      <c r="AA659" s="267">
        <v>9645</v>
      </c>
      <c r="AB659" s="267">
        <v>5100</v>
      </c>
      <c r="AC659" s="267">
        <v>8300</v>
      </c>
      <c r="AD659" s="305">
        <v>10</v>
      </c>
      <c r="AE659" s="305">
        <v>9.8000000000000007</v>
      </c>
    </row>
    <row r="660" spans="1:31" ht="15">
      <c r="A660" s="306"/>
      <c r="B660" s="298"/>
      <c r="C660" s="307" t="s">
        <v>198</v>
      </c>
      <c r="D660" s="278">
        <v>3532.63</v>
      </c>
      <c r="E660" s="278">
        <v>3735.96</v>
      </c>
      <c r="F660" s="278">
        <v>3723.62</v>
      </c>
      <c r="G660" s="278">
        <v>3390.79</v>
      </c>
      <c r="H660" s="278">
        <v>3687.66</v>
      </c>
      <c r="I660" s="278">
        <v>3747.9</v>
      </c>
      <c r="J660" s="278">
        <v>3741.31</v>
      </c>
      <c r="K660" s="278">
        <v>3694.39</v>
      </c>
      <c r="L660" s="278">
        <v>3731.99</v>
      </c>
      <c r="M660" s="290"/>
      <c r="N660" s="290"/>
      <c r="O660" s="290"/>
      <c r="P660" s="290"/>
      <c r="Q660" s="298"/>
      <c r="R660" s="298"/>
      <c r="S660" s="298"/>
      <c r="T660" s="298"/>
      <c r="U660" s="298"/>
      <c r="V660" s="302"/>
      <c r="W660" s="298"/>
      <c r="X660" s="375"/>
      <c r="Y660" s="268"/>
      <c r="Z660" s="267"/>
      <c r="AA660" s="267"/>
      <c r="AB660" s="267"/>
      <c r="AC660" s="267"/>
      <c r="AD660" s="268"/>
      <c r="AE660" s="269"/>
    </row>
    <row r="661" spans="1:31" ht="57.75" thickBot="1">
      <c r="A661" s="306"/>
      <c r="B661" s="298"/>
      <c r="C661" s="326" t="s">
        <v>197</v>
      </c>
      <c r="D661" s="343">
        <f t="shared" ref="D661:L661" si="215">IF(((D659="")*AND(D660="")),"",(D659-D660)*3)</f>
        <v>7434.12</v>
      </c>
      <c r="E661" s="343">
        <f t="shared" si="215"/>
        <v>7068.6899999999987</v>
      </c>
      <c r="F661" s="343">
        <f t="shared" si="215"/>
        <v>7130.1900000000014</v>
      </c>
      <c r="G661" s="343">
        <f t="shared" si="215"/>
        <v>7844.37</v>
      </c>
      <c r="H661" s="343">
        <f t="shared" si="215"/>
        <v>7118.4000000000005</v>
      </c>
      <c r="I661" s="343">
        <f t="shared" si="215"/>
        <v>7087.92</v>
      </c>
      <c r="J661" s="343">
        <f t="shared" si="215"/>
        <v>6835.2000000000007</v>
      </c>
      <c r="K661" s="343">
        <f t="shared" si="215"/>
        <v>7030.1100000000006</v>
      </c>
      <c r="L661" s="343">
        <f t="shared" si="215"/>
        <v>7128.36</v>
      </c>
      <c r="M661" s="343"/>
      <c r="N661" s="343"/>
      <c r="O661" s="343"/>
      <c r="P661" s="343" t="str">
        <f>IF(((P659="")*AND(P660="")),"",(P659-P660)*2)</f>
        <v/>
      </c>
      <c r="Q661" s="298"/>
      <c r="R661" s="298"/>
      <c r="S661" s="298"/>
      <c r="T661" s="298"/>
      <c r="U661" s="298"/>
      <c r="V661" s="302"/>
      <c r="W661" s="298"/>
      <c r="X661" s="375"/>
      <c r="Y661" s="268"/>
      <c r="Z661" s="267"/>
      <c r="AA661" s="267"/>
      <c r="AB661" s="267"/>
      <c r="AC661" s="267"/>
      <c r="AD661" s="268"/>
      <c r="AE661" s="269"/>
    </row>
    <row r="662" spans="1:31" ht="12.75" customHeight="1">
      <c r="A662" s="373">
        <v>43488</v>
      </c>
      <c r="B662" s="326" t="s">
        <v>200</v>
      </c>
      <c r="C662" s="326" t="s">
        <v>199</v>
      </c>
      <c r="D662" s="278">
        <v>6780.39</v>
      </c>
      <c r="E662" s="278">
        <v>6900.02</v>
      </c>
      <c r="F662" s="278">
        <v>6722.88</v>
      </c>
      <c r="G662" s="278">
        <v>6764.51</v>
      </c>
      <c r="H662" s="278">
        <v>6723.64</v>
      </c>
      <c r="I662" s="278">
        <v>6736.23</v>
      </c>
      <c r="J662" s="278">
        <v>6796.5</v>
      </c>
      <c r="K662" s="278">
        <v>6740.1</v>
      </c>
      <c r="L662" s="278">
        <v>6743.68</v>
      </c>
      <c r="M662" s="278">
        <v>6780.22</v>
      </c>
      <c r="N662" s="278">
        <v>6954.51</v>
      </c>
      <c r="O662" s="278">
        <v>6731.03</v>
      </c>
      <c r="P662" s="278">
        <v>6687.18</v>
      </c>
      <c r="Q662" s="326">
        <f>IF((L663=""),"",MAX(D664:P664))</f>
        <v>5455.7399999999989</v>
      </c>
      <c r="R662" s="326">
        <f>IF(L663="","",MIN(D664:L664))</f>
        <v>5391.9600000000009</v>
      </c>
      <c r="S662" s="318">
        <f>IF((P664=""),"",AVERAGE(D664:P664))</f>
        <v>5425.2000000000007</v>
      </c>
      <c r="T662" s="319">
        <f>IF((L663=""),"",(Q662-R662)/(Q662+R662)*100)</f>
        <v>0.5879587377969332</v>
      </c>
      <c r="U662" s="326">
        <f>STDEV(D664:P664)</f>
        <v>23.652062630236209</v>
      </c>
      <c r="V662" s="328" t="str">
        <f>IF(P663="","",IF(T662&lt;2.7,IF(S662&gt;5150,IF(S662&lt;5600,"Pass","Fail"),"Fail"),"Fail"))</f>
        <v>Pass</v>
      </c>
      <c r="W662" s="326">
        <v>1159</v>
      </c>
      <c r="X662" s="375" t="s">
        <v>220</v>
      </c>
      <c r="Y662" s="268"/>
      <c r="Z662" s="321">
        <v>4470</v>
      </c>
      <c r="AA662" s="321">
        <v>6020</v>
      </c>
      <c r="AB662" s="321">
        <v>5150</v>
      </c>
      <c r="AC662" s="321">
        <v>5600</v>
      </c>
      <c r="AD662" s="305">
        <v>10</v>
      </c>
      <c r="AE662" s="322">
        <v>2.7</v>
      </c>
    </row>
    <row r="663" spans="1:31" ht="15">
      <c r="A663" s="306"/>
      <c r="B663" s="298"/>
      <c r="C663" s="298" t="s">
        <v>198</v>
      </c>
      <c r="D663" s="278">
        <v>4069.41</v>
      </c>
      <c r="E663" s="278">
        <v>4178.03</v>
      </c>
      <c r="F663" s="278">
        <v>4022.79</v>
      </c>
      <c r="G663" s="278">
        <v>4051.61</v>
      </c>
      <c r="H663" s="278">
        <v>3997.94</v>
      </c>
      <c r="I663" s="278">
        <v>4008.36</v>
      </c>
      <c r="J663" s="278">
        <v>4081.95</v>
      </c>
      <c r="K663" s="278">
        <v>4017.95</v>
      </c>
      <c r="L663" s="278">
        <v>4047.7</v>
      </c>
      <c r="M663" s="278">
        <v>4062.92</v>
      </c>
      <c r="N663" s="278">
        <v>4232.47</v>
      </c>
      <c r="O663" s="278">
        <v>4034.27</v>
      </c>
      <c r="P663" s="278">
        <v>3991.69</v>
      </c>
      <c r="Q663" s="298"/>
      <c r="R663" s="298"/>
      <c r="S663" s="298"/>
      <c r="T663" s="298"/>
      <c r="U663" s="298"/>
      <c r="V663" s="302"/>
      <c r="W663" s="298"/>
      <c r="X663" s="375"/>
      <c r="Y663" s="268"/>
      <c r="Z663" s="267"/>
      <c r="AA663" s="267"/>
      <c r="AB663" s="267"/>
      <c r="AC663" s="267"/>
      <c r="AD663" s="268"/>
      <c r="AE663" s="269"/>
    </row>
    <row r="664" spans="1:31" ht="57.75" thickBot="1">
      <c r="A664" s="306"/>
      <c r="B664" s="309"/>
      <c r="C664" s="309" t="s">
        <v>197</v>
      </c>
      <c r="D664" s="377">
        <f t="shared" ref="D664:P664" si="216">IF(((D662="")*AND(D663="")),"",(D662-D663)*2)</f>
        <v>5421.9600000000009</v>
      </c>
      <c r="E664" s="377">
        <f t="shared" si="216"/>
        <v>5443.9800000000014</v>
      </c>
      <c r="F664" s="377">
        <f t="shared" si="216"/>
        <v>5400.18</v>
      </c>
      <c r="G664" s="377">
        <f t="shared" si="216"/>
        <v>5425.8</v>
      </c>
      <c r="H664" s="377">
        <f t="shared" si="216"/>
        <v>5451.4000000000005</v>
      </c>
      <c r="I664" s="377">
        <f t="shared" si="216"/>
        <v>5455.7399999999989</v>
      </c>
      <c r="J664" s="377">
        <f t="shared" si="216"/>
        <v>5429.1</v>
      </c>
      <c r="K664" s="377">
        <f t="shared" si="216"/>
        <v>5444.3000000000011</v>
      </c>
      <c r="L664" s="377">
        <f t="shared" si="216"/>
        <v>5391.9600000000009</v>
      </c>
      <c r="M664" s="377">
        <f t="shared" si="216"/>
        <v>5434.6</v>
      </c>
      <c r="N664" s="377">
        <f t="shared" si="216"/>
        <v>5444.08</v>
      </c>
      <c r="O664" s="377">
        <f t="shared" si="216"/>
        <v>5393.5199999999995</v>
      </c>
      <c r="P664" s="377">
        <f t="shared" si="216"/>
        <v>5390.9800000000005</v>
      </c>
      <c r="Q664" s="309"/>
      <c r="R664" s="309"/>
      <c r="S664" s="309"/>
      <c r="T664" s="309"/>
      <c r="U664" s="309"/>
      <c r="V664" s="312"/>
      <c r="W664" s="309"/>
      <c r="X664" s="378"/>
      <c r="Y664" s="268"/>
      <c r="Z664" s="267"/>
      <c r="AA664" s="267"/>
      <c r="AB664" s="267"/>
      <c r="AC664" s="267"/>
      <c r="AD664" s="268"/>
      <c r="AE664" s="269"/>
    </row>
    <row r="665" spans="1:31" ht="12.75" customHeight="1">
      <c r="A665" s="373">
        <v>43493</v>
      </c>
      <c r="B665" s="315" t="s">
        <v>202</v>
      </c>
      <c r="C665" s="316" t="s">
        <v>199</v>
      </c>
      <c r="D665" s="278">
        <v>3532.63</v>
      </c>
      <c r="E665" s="278">
        <v>3735.96</v>
      </c>
      <c r="F665" s="278">
        <v>3723.62</v>
      </c>
      <c r="G665" s="278">
        <v>3390.79</v>
      </c>
      <c r="H665" s="278">
        <v>3687.66</v>
      </c>
      <c r="I665" s="278">
        <v>3747.9</v>
      </c>
      <c r="J665" s="278">
        <v>3741.31</v>
      </c>
      <c r="K665" s="278">
        <v>3694.39</v>
      </c>
      <c r="L665" s="278">
        <v>3731.99</v>
      </c>
      <c r="M665" s="346"/>
      <c r="N665" s="346"/>
      <c r="O665" s="346"/>
      <c r="P665" s="346"/>
      <c r="Q665" s="315">
        <f>IF((L666=""),"",MAX(D667:L667))</f>
        <v>7183.2899999999991</v>
      </c>
      <c r="R665" s="315">
        <f>IF(L666="","",MIN(D667:L667))</f>
        <v>6612.99</v>
      </c>
      <c r="S665" s="347">
        <f>IF((L667=""),"",AVERAGE(D667:L667))</f>
        <v>6858.9433333333327</v>
      </c>
      <c r="T665" s="318">
        <f>IF((L666=""),"",(Q665-R665)/(Q665+R665)*100)</f>
        <v>4.1337230035922676</v>
      </c>
      <c r="U665" s="315">
        <f>STDEV(D667:P667)</f>
        <v>156.78837887423768</v>
      </c>
      <c r="V665" s="320" t="str">
        <f>IF(L666="","",IF(T665&lt;9.8,IF(S665&gt;5100,IF(S665&lt;8300,"Pass","Fail"),"Fail"),"Fail"))</f>
        <v>Pass</v>
      </c>
      <c r="W665" s="315">
        <v>121</v>
      </c>
      <c r="X665" s="374" t="s">
        <v>179</v>
      </c>
      <c r="Y665" s="268"/>
      <c r="Z665" s="267">
        <v>4955</v>
      </c>
      <c r="AA665" s="267">
        <v>9645</v>
      </c>
      <c r="AB665" s="267">
        <v>5100</v>
      </c>
      <c r="AC665" s="267">
        <v>8300</v>
      </c>
      <c r="AD665" s="305">
        <v>10</v>
      </c>
      <c r="AE665" s="305">
        <v>9.8000000000000007</v>
      </c>
    </row>
    <row r="666" spans="1:31" ht="15">
      <c r="A666" s="306"/>
      <c r="B666" s="298"/>
      <c r="C666" s="307" t="s">
        <v>198</v>
      </c>
      <c r="D666" s="278">
        <v>1225.75</v>
      </c>
      <c r="E666" s="278">
        <v>1477.29</v>
      </c>
      <c r="F666" s="278">
        <v>1441.64</v>
      </c>
      <c r="G666" s="278">
        <v>996.36</v>
      </c>
      <c r="H666" s="278">
        <v>1369.51</v>
      </c>
      <c r="I666" s="278">
        <v>1495.33</v>
      </c>
      <c r="J666" s="278">
        <v>1536.98</v>
      </c>
      <c r="K666" s="278">
        <v>1415.03</v>
      </c>
      <c r="L666" s="278">
        <v>1451.53</v>
      </c>
      <c r="M666" s="290"/>
      <c r="N666" s="290"/>
      <c r="O666" s="290"/>
      <c r="P666" s="290"/>
      <c r="Q666" s="298"/>
      <c r="R666" s="298"/>
      <c r="S666" s="298"/>
      <c r="T666" s="298"/>
      <c r="U666" s="298"/>
      <c r="V666" s="302"/>
      <c r="W666" s="298"/>
      <c r="X666" s="375"/>
      <c r="Y666" s="268"/>
      <c r="Z666" s="267"/>
      <c r="AA666" s="267"/>
      <c r="AB666" s="267"/>
      <c r="AC666" s="267"/>
      <c r="AD666" s="268"/>
      <c r="AE666" s="269"/>
    </row>
    <row r="667" spans="1:31" ht="57.75" thickBot="1">
      <c r="A667" s="306"/>
      <c r="B667" s="298"/>
      <c r="C667" s="326" t="s">
        <v>197</v>
      </c>
      <c r="D667" s="343">
        <f t="shared" ref="D667:L667" si="217">IF(((D665="")*AND(D666="")),"",(D665-D666)*3)</f>
        <v>6920.64</v>
      </c>
      <c r="E667" s="343">
        <f t="shared" si="217"/>
        <v>6776.01</v>
      </c>
      <c r="F667" s="343">
        <f t="shared" si="217"/>
        <v>6845.9399999999987</v>
      </c>
      <c r="G667" s="343">
        <f t="shared" si="217"/>
        <v>7183.2899999999991</v>
      </c>
      <c r="H667" s="343">
        <f t="shared" si="217"/>
        <v>6954.4499999999989</v>
      </c>
      <c r="I667" s="343">
        <f t="shared" si="217"/>
        <v>6757.7100000000009</v>
      </c>
      <c r="J667" s="343">
        <f t="shared" si="217"/>
        <v>6612.99</v>
      </c>
      <c r="K667" s="343">
        <f t="shared" si="217"/>
        <v>6838.079999999999</v>
      </c>
      <c r="L667" s="343">
        <f t="shared" si="217"/>
        <v>6841.38</v>
      </c>
      <c r="M667" s="343"/>
      <c r="N667" s="343"/>
      <c r="O667" s="343"/>
      <c r="P667" s="343" t="str">
        <f>IF(((P665="")*AND(P666="")),"",(P665-P666)*2)</f>
        <v/>
      </c>
      <c r="Q667" s="298"/>
      <c r="R667" s="298"/>
      <c r="S667" s="298"/>
      <c r="T667" s="298"/>
      <c r="U667" s="298"/>
      <c r="V667" s="302"/>
      <c r="W667" s="298"/>
      <c r="X667" s="375"/>
      <c r="Y667" s="268"/>
      <c r="Z667" s="267"/>
      <c r="AA667" s="267"/>
      <c r="AB667" s="267"/>
      <c r="AC667" s="267"/>
      <c r="AD667" s="268"/>
      <c r="AE667" s="269"/>
    </row>
    <row r="668" spans="1:31" ht="12.75" customHeight="1">
      <c r="A668" s="373">
        <v>43493</v>
      </c>
      <c r="B668" s="326" t="s">
        <v>200</v>
      </c>
      <c r="C668" s="326" t="s">
        <v>199</v>
      </c>
      <c r="D668" s="278">
        <v>4069.41</v>
      </c>
      <c r="E668" s="278">
        <v>4178.03</v>
      </c>
      <c r="F668" s="278">
        <v>4022.79</v>
      </c>
      <c r="G668" s="278">
        <v>4051.61</v>
      </c>
      <c r="H668" s="278">
        <v>3997.94</v>
      </c>
      <c r="I668" s="278">
        <v>4008.36</v>
      </c>
      <c r="J668" s="278">
        <v>4081.95</v>
      </c>
      <c r="K668" s="278">
        <v>4017.95</v>
      </c>
      <c r="L668" s="278">
        <v>4047.7</v>
      </c>
      <c r="M668" s="278">
        <v>4062.92</v>
      </c>
      <c r="N668" s="278">
        <v>4232.47</v>
      </c>
      <c r="O668" s="278">
        <v>4034.27</v>
      </c>
      <c r="P668" s="278">
        <v>3991.69</v>
      </c>
      <c r="Q668" s="326">
        <f>IF((L669=""),"",MAX(D670:P670))</f>
        <v>5505.22</v>
      </c>
      <c r="R668" s="326">
        <f>IF(L669="","",MIN(D670:L670))</f>
        <v>5421.66</v>
      </c>
      <c r="S668" s="318">
        <f>IF((P670=""),"",AVERAGE(D670:P670))</f>
        <v>5462.8461538461552</v>
      </c>
      <c r="T668" s="319">
        <f>IF((L669=""),"",(Q668-R668)/(Q668+R668)*100)</f>
        <v>0.76471966380156453</v>
      </c>
      <c r="U668" s="326">
        <f>STDEV(D670:P670)</f>
        <v>26.336006258102731</v>
      </c>
      <c r="V668" s="328" t="str">
        <f>IF(P669="","",IF(T668&lt;2.7,IF(S668&gt;5150,IF(S668&lt;5600,"Pass","Fail"),"Fail"),"Fail"))</f>
        <v>Pass</v>
      </c>
      <c r="W668" s="326">
        <v>121</v>
      </c>
      <c r="X668" s="375" t="s">
        <v>179</v>
      </c>
      <c r="Y668" s="268"/>
      <c r="Z668" s="321">
        <v>4470</v>
      </c>
      <c r="AA668" s="321">
        <v>6020</v>
      </c>
      <c r="AB668" s="321">
        <v>5150</v>
      </c>
      <c r="AC668" s="321">
        <v>5600</v>
      </c>
      <c r="AD668" s="305">
        <v>10</v>
      </c>
      <c r="AE668" s="322">
        <v>2.7</v>
      </c>
    </row>
    <row r="669" spans="1:31" ht="15">
      <c r="A669" s="306"/>
      <c r="B669" s="298"/>
      <c r="C669" s="298" t="s">
        <v>198</v>
      </c>
      <c r="D669" s="278">
        <v>1336.78</v>
      </c>
      <c r="E669" s="278">
        <v>1437.56</v>
      </c>
      <c r="F669" s="278">
        <v>1307.43</v>
      </c>
      <c r="G669" s="278">
        <v>1321.83</v>
      </c>
      <c r="H669" s="278">
        <v>1245.33</v>
      </c>
      <c r="I669" s="278">
        <v>1257.67</v>
      </c>
      <c r="J669" s="278">
        <v>1352.43</v>
      </c>
      <c r="K669" s="278">
        <v>1279.19</v>
      </c>
      <c r="L669" s="278">
        <v>1336.87</v>
      </c>
      <c r="M669" s="278">
        <v>1334.83</v>
      </c>
      <c r="N669" s="278">
        <v>1491.41</v>
      </c>
      <c r="O669" s="278">
        <v>1319.37</v>
      </c>
      <c r="P669" s="278">
        <v>1267.8900000000001</v>
      </c>
      <c r="Q669" s="298"/>
      <c r="R669" s="298"/>
      <c r="S669" s="298"/>
      <c r="T669" s="298"/>
      <c r="U669" s="298"/>
      <c r="V669" s="302"/>
      <c r="W669" s="298"/>
      <c r="X669" s="375"/>
      <c r="Y669" s="268"/>
      <c r="Z669" s="267"/>
      <c r="AA669" s="267"/>
      <c r="AB669" s="267"/>
      <c r="AC669" s="267"/>
      <c r="AD669" s="268"/>
      <c r="AE669" s="269"/>
    </row>
    <row r="670" spans="1:31" ht="57.75" thickBot="1">
      <c r="A670" s="306"/>
      <c r="B670" s="309"/>
      <c r="C670" s="309" t="s">
        <v>197</v>
      </c>
      <c r="D670" s="377">
        <f t="shared" ref="D670:P670" si="218">IF(((D668="")*AND(D669="")),"",(D668-D669)*2)</f>
        <v>5465.26</v>
      </c>
      <c r="E670" s="377">
        <f t="shared" si="218"/>
        <v>5480.94</v>
      </c>
      <c r="F670" s="377">
        <f t="shared" si="218"/>
        <v>5430.7199999999993</v>
      </c>
      <c r="G670" s="377">
        <f t="shared" si="218"/>
        <v>5459.56</v>
      </c>
      <c r="H670" s="377">
        <f t="shared" si="218"/>
        <v>5505.22</v>
      </c>
      <c r="I670" s="377">
        <f t="shared" si="218"/>
        <v>5501.38</v>
      </c>
      <c r="J670" s="377">
        <f t="shared" si="218"/>
        <v>5459.0399999999991</v>
      </c>
      <c r="K670" s="377">
        <f t="shared" si="218"/>
        <v>5477.5199999999995</v>
      </c>
      <c r="L670" s="377">
        <f t="shared" si="218"/>
        <v>5421.66</v>
      </c>
      <c r="M670" s="377">
        <f t="shared" si="218"/>
        <v>5456.18</v>
      </c>
      <c r="N670" s="377">
        <f t="shared" si="218"/>
        <v>5482.1200000000008</v>
      </c>
      <c r="O670" s="377">
        <f t="shared" si="218"/>
        <v>5429.8</v>
      </c>
      <c r="P670" s="377">
        <f t="shared" si="218"/>
        <v>5447.6</v>
      </c>
      <c r="Q670" s="309"/>
      <c r="R670" s="309"/>
      <c r="S670" s="309"/>
      <c r="T670" s="309"/>
      <c r="U670" s="309"/>
      <c r="V670" s="312"/>
      <c r="W670" s="309"/>
      <c r="X670" s="378"/>
      <c r="Y670" s="268"/>
      <c r="Z670" s="267"/>
      <c r="AA670" s="267"/>
      <c r="AB670" s="267"/>
      <c r="AC670" s="267"/>
      <c r="AD670" s="268"/>
      <c r="AE670" s="269"/>
    </row>
    <row r="671" spans="1:31" ht="12.75" customHeight="1">
      <c r="A671" s="373">
        <v>43501</v>
      </c>
      <c r="B671" s="315" t="s">
        <v>202</v>
      </c>
      <c r="C671" s="316" t="s">
        <v>199</v>
      </c>
      <c r="D671" s="278">
        <v>6050</v>
      </c>
      <c r="E671" s="278">
        <v>6058.28</v>
      </c>
      <c r="F671" s="278">
        <v>6099.21</v>
      </c>
      <c r="G671" s="278">
        <v>5994.01</v>
      </c>
      <c r="H671" s="278">
        <v>6052.49</v>
      </c>
      <c r="I671" s="278">
        <v>6117.17</v>
      </c>
      <c r="J671" s="278">
        <v>6039.26</v>
      </c>
      <c r="K671" s="278">
        <v>6055.42</v>
      </c>
      <c r="L671" s="278">
        <v>6092.86</v>
      </c>
      <c r="M671" s="346"/>
      <c r="N671" s="346"/>
      <c r="O671" s="346"/>
      <c r="P671" s="346"/>
      <c r="Q671" s="315">
        <f>IF((L672=""),"",MAX(D673:L673))</f>
        <v>7553.16</v>
      </c>
      <c r="R671" s="315">
        <f>IF(L672="","",MIN(D673:L673))</f>
        <v>6949.6800000000012</v>
      </c>
      <c r="S671" s="347">
        <f>IF((L673=""),"",AVERAGE(D673:L673))</f>
        <v>7138.1466666666656</v>
      </c>
      <c r="T671" s="318">
        <f>IF((L672=""),"",(Q671-R671)/(Q671+R671)*100)</f>
        <v>4.1611160296879692</v>
      </c>
      <c r="U671" s="315">
        <f>STDEV(D673:P673)</f>
        <v>220.83945492148234</v>
      </c>
      <c r="V671" s="320" t="str">
        <f>IF(L672="","",IF(T671&lt;9.8,IF(S671&gt;5100,IF(S671&lt;8300,"Pass","Fail"),"Fail"),"Fail"))</f>
        <v>Pass</v>
      </c>
      <c r="W671" s="315">
        <v>1159</v>
      </c>
      <c r="X671" s="374" t="s">
        <v>219</v>
      </c>
      <c r="Y671" s="268"/>
      <c r="Z671" s="267">
        <v>4955</v>
      </c>
      <c r="AA671" s="267">
        <v>9645</v>
      </c>
      <c r="AB671" s="267">
        <v>5100</v>
      </c>
      <c r="AC671" s="267">
        <v>8300</v>
      </c>
      <c r="AD671" s="305">
        <v>10</v>
      </c>
      <c r="AE671" s="305">
        <v>9.8000000000000007</v>
      </c>
    </row>
    <row r="672" spans="1:31" ht="15">
      <c r="A672" s="306"/>
      <c r="B672" s="298"/>
      <c r="C672" s="307" t="s">
        <v>198</v>
      </c>
      <c r="D672" s="278">
        <v>3532.28</v>
      </c>
      <c r="E672" s="278">
        <v>3720.27</v>
      </c>
      <c r="F672" s="278">
        <v>3739.08</v>
      </c>
      <c r="G672" s="278">
        <v>3500.7</v>
      </c>
      <c r="H672" s="278">
        <v>3698.86</v>
      </c>
      <c r="I672" s="278">
        <v>3756.03</v>
      </c>
      <c r="J672" s="278">
        <v>3722.7</v>
      </c>
      <c r="K672" s="278">
        <v>3735.94</v>
      </c>
      <c r="L672" s="278">
        <v>3738.4</v>
      </c>
      <c r="M672" s="290"/>
      <c r="N672" s="290"/>
      <c r="O672" s="290"/>
      <c r="P672" s="290"/>
      <c r="Q672" s="298"/>
      <c r="R672" s="298"/>
      <c r="S672" s="298"/>
      <c r="T672" s="298"/>
      <c r="U672" s="298"/>
      <c r="V672" s="302"/>
      <c r="W672" s="298"/>
      <c r="X672" s="375"/>
      <c r="Y672" s="268"/>
      <c r="Z672" s="267"/>
      <c r="AA672" s="267"/>
      <c r="AB672" s="267"/>
      <c r="AC672" s="267"/>
      <c r="AD672" s="268"/>
      <c r="AE672" s="269"/>
    </row>
    <row r="673" spans="1:31" ht="57.75" thickBot="1">
      <c r="A673" s="306"/>
      <c r="B673" s="298"/>
      <c r="C673" s="326" t="s">
        <v>197</v>
      </c>
      <c r="D673" s="343">
        <f t="shared" ref="D673:L673" si="219">IF(((D671="")*AND(D672="")),"",(D671-D672)*3)</f>
        <v>7553.16</v>
      </c>
      <c r="E673" s="343">
        <f t="shared" si="219"/>
        <v>7014.0299999999988</v>
      </c>
      <c r="F673" s="343">
        <f t="shared" si="219"/>
        <v>7080.39</v>
      </c>
      <c r="G673" s="343">
        <f t="shared" si="219"/>
        <v>7479.9300000000012</v>
      </c>
      <c r="H673" s="343">
        <f t="shared" si="219"/>
        <v>7060.8899999999994</v>
      </c>
      <c r="I673" s="343">
        <f t="shared" si="219"/>
        <v>7083.42</v>
      </c>
      <c r="J673" s="343">
        <f t="shared" si="219"/>
        <v>6949.6800000000012</v>
      </c>
      <c r="K673" s="343">
        <f t="shared" si="219"/>
        <v>6958.4400000000005</v>
      </c>
      <c r="L673" s="343">
        <f t="shared" si="219"/>
        <v>7063.3799999999992</v>
      </c>
      <c r="M673" s="343"/>
      <c r="N673" s="343"/>
      <c r="O673" s="343"/>
      <c r="P673" s="343" t="str">
        <f>IF(((P671="")*AND(P672="")),"",(P671-P672)*2)</f>
        <v/>
      </c>
      <c r="Q673" s="298"/>
      <c r="R673" s="298"/>
      <c r="S673" s="298"/>
      <c r="T673" s="298"/>
      <c r="U673" s="298"/>
      <c r="V673" s="302"/>
      <c r="W673" s="298"/>
      <c r="X673" s="375"/>
      <c r="Y673" s="268"/>
      <c r="Z673" s="267"/>
      <c r="AA673" s="267"/>
      <c r="AB673" s="267"/>
      <c r="AC673" s="267"/>
      <c r="AD673" s="268"/>
      <c r="AE673" s="269"/>
    </row>
    <row r="674" spans="1:31" ht="12.75" customHeight="1">
      <c r="A674" s="373">
        <v>43501</v>
      </c>
      <c r="B674" s="326" t="s">
        <v>200</v>
      </c>
      <c r="C674" s="326" t="s">
        <v>199</v>
      </c>
      <c r="D674" s="278">
        <v>6703.27</v>
      </c>
      <c r="E674" s="278">
        <v>6817.98</v>
      </c>
      <c r="F674" s="278">
        <v>6654.07</v>
      </c>
      <c r="G674" s="278">
        <v>6704.22</v>
      </c>
      <c r="H674" s="278">
        <v>6626.11</v>
      </c>
      <c r="I674" s="278">
        <v>6660.32</v>
      </c>
      <c r="J674" s="278">
        <v>6734.18</v>
      </c>
      <c r="K674" s="278">
        <v>6683.93</v>
      </c>
      <c r="L674" s="278">
        <v>6666.38</v>
      </c>
      <c r="M674" s="278">
        <v>6711.02</v>
      </c>
      <c r="N674" s="278">
        <v>6866.51</v>
      </c>
      <c r="O674" s="278">
        <v>6652.1</v>
      </c>
      <c r="P674" s="278">
        <v>6589.94</v>
      </c>
      <c r="Q674" s="326">
        <f>IF((L675=""),"",MAX(D676:P676))</f>
        <v>5332.0199999999995</v>
      </c>
      <c r="R674" s="326">
        <f>IF(L675="","",MIN(D676:L676))</f>
        <v>5262.6</v>
      </c>
      <c r="S674" s="318">
        <f>IF((P676=""),"",AVERAGE(D676:P676))</f>
        <v>5296.8661538461547</v>
      </c>
      <c r="T674" s="319">
        <f>IF((L675=""),"",(Q674-R674)/(Q674+R674)*100)</f>
        <v>0.65523822468384119</v>
      </c>
      <c r="U674" s="326">
        <f>STDEV(D676:P676)</f>
        <v>23.822520695742504</v>
      </c>
      <c r="V674" s="328" t="str">
        <f>IF(P675="","",IF(T674&lt;2.7,IF(S674&gt;5150,IF(S674&lt;5600,"Pass","Fail"),"Fail"),"Fail"))</f>
        <v>Pass</v>
      </c>
      <c r="W674" s="326">
        <v>1159</v>
      </c>
      <c r="X674" s="375" t="s">
        <v>219</v>
      </c>
      <c r="Y674" s="268"/>
      <c r="Z674" s="321">
        <v>4470</v>
      </c>
      <c r="AA674" s="321">
        <v>6020</v>
      </c>
      <c r="AB674" s="321">
        <v>5150</v>
      </c>
      <c r="AC674" s="321">
        <v>5600</v>
      </c>
      <c r="AD674" s="305">
        <v>10</v>
      </c>
      <c r="AE674" s="322">
        <v>2.7</v>
      </c>
    </row>
    <row r="675" spans="1:31" ht="15">
      <c r="A675" s="306"/>
      <c r="B675" s="298"/>
      <c r="C675" s="298" t="s">
        <v>198</v>
      </c>
      <c r="D675" s="278">
        <v>4050.48</v>
      </c>
      <c r="E675" s="278">
        <v>4155.92</v>
      </c>
      <c r="F675" s="278">
        <v>4016.47</v>
      </c>
      <c r="G675" s="278">
        <v>4058.84</v>
      </c>
      <c r="H675" s="278">
        <v>3960.1</v>
      </c>
      <c r="I675" s="278">
        <v>3998.66</v>
      </c>
      <c r="J675" s="278">
        <v>4089.81</v>
      </c>
      <c r="K675" s="278">
        <v>4031.05</v>
      </c>
      <c r="L675" s="278">
        <v>4035.08</v>
      </c>
      <c r="M675" s="278">
        <v>4063.34</v>
      </c>
      <c r="N675" s="278">
        <v>4206.71</v>
      </c>
      <c r="O675" s="278">
        <v>4020.69</v>
      </c>
      <c r="P675" s="278">
        <v>3953.25</v>
      </c>
      <c r="Q675" s="298"/>
      <c r="R675" s="298"/>
      <c r="S675" s="298"/>
      <c r="T675" s="298"/>
      <c r="U675" s="298"/>
      <c r="V675" s="302"/>
      <c r="W675" s="298"/>
      <c r="X675" s="375"/>
      <c r="Y675" s="268"/>
      <c r="Z675" s="267"/>
      <c r="AA675" s="267"/>
      <c r="AB675" s="267"/>
      <c r="AC675" s="267"/>
      <c r="AD675" s="268"/>
      <c r="AE675" s="269"/>
    </row>
    <row r="676" spans="1:31" ht="57.75" thickBot="1">
      <c r="A676" s="306"/>
      <c r="B676" s="309"/>
      <c r="C676" s="309" t="s">
        <v>197</v>
      </c>
      <c r="D676" s="377">
        <f t="shared" ref="D676:P676" si="220">IF(((D674="")*AND(D675="")),"",(D674-D675)*2)</f>
        <v>5305.5800000000008</v>
      </c>
      <c r="E676" s="377">
        <f t="shared" si="220"/>
        <v>5324.119999999999</v>
      </c>
      <c r="F676" s="377">
        <f t="shared" si="220"/>
        <v>5275.2</v>
      </c>
      <c r="G676" s="377">
        <f t="shared" si="220"/>
        <v>5290.76</v>
      </c>
      <c r="H676" s="377">
        <f t="shared" si="220"/>
        <v>5332.0199999999995</v>
      </c>
      <c r="I676" s="377">
        <f t="shared" si="220"/>
        <v>5323.32</v>
      </c>
      <c r="J676" s="377">
        <f t="shared" si="220"/>
        <v>5288.7400000000007</v>
      </c>
      <c r="K676" s="377">
        <f t="shared" si="220"/>
        <v>5305.76</v>
      </c>
      <c r="L676" s="377">
        <f t="shared" si="220"/>
        <v>5262.6</v>
      </c>
      <c r="M676" s="377">
        <f t="shared" si="220"/>
        <v>5295.3600000000006</v>
      </c>
      <c r="N676" s="377">
        <f t="shared" si="220"/>
        <v>5319.6</v>
      </c>
      <c r="O676" s="377">
        <f t="shared" si="220"/>
        <v>5262.8200000000006</v>
      </c>
      <c r="P676" s="377">
        <f t="shared" si="220"/>
        <v>5273.3799999999992</v>
      </c>
      <c r="Q676" s="309"/>
      <c r="R676" s="309"/>
      <c r="S676" s="309"/>
      <c r="T676" s="309"/>
      <c r="U676" s="309"/>
      <c r="V676" s="312"/>
      <c r="W676" s="309"/>
      <c r="X676" s="378"/>
      <c r="Y676" s="268"/>
      <c r="Z676" s="267"/>
      <c r="AA676" s="267"/>
      <c r="AB676" s="267"/>
      <c r="AC676" s="267"/>
      <c r="AD676" s="268"/>
      <c r="AE676" s="269"/>
    </row>
    <row r="677" spans="1:31" ht="12.75" customHeight="1">
      <c r="A677" s="373">
        <v>43507</v>
      </c>
      <c r="B677" s="315" t="s">
        <v>202</v>
      </c>
      <c r="C677" s="316" t="s">
        <v>199</v>
      </c>
      <c r="D677" s="278">
        <v>6046.38</v>
      </c>
      <c r="E677" s="278">
        <v>6061.96</v>
      </c>
      <c r="F677" s="278">
        <v>6108.93</v>
      </c>
      <c r="G677" s="278">
        <v>5917.23</v>
      </c>
      <c r="H677" s="278">
        <v>6049.61</v>
      </c>
      <c r="I677" s="278">
        <v>6132.63</v>
      </c>
      <c r="J677" s="278">
        <v>6056.57</v>
      </c>
      <c r="K677" s="278">
        <v>6106.83</v>
      </c>
      <c r="L677" s="278">
        <v>6041.91</v>
      </c>
      <c r="M677" s="346"/>
      <c r="N677" s="346"/>
      <c r="O677" s="346"/>
      <c r="P677" s="346"/>
      <c r="Q677" s="315">
        <f>IF((L678=""),"",MAX(D679:L679))</f>
        <v>8243.34</v>
      </c>
      <c r="R677" s="315">
        <f>IF(L678="","",MIN(D679:L679))</f>
        <v>6957.5399999999991</v>
      </c>
      <c r="S677" s="347">
        <f>IF((L679=""),"",AVERAGE(D679:L679))</f>
        <v>7252.4033333333327</v>
      </c>
      <c r="T677" s="318">
        <f>IF((L678=""),"",(Q677-R677)/(Q677+R677)*100)</f>
        <v>8.458720810900429</v>
      </c>
      <c r="U677" s="315">
        <f>STDEV(D679:P679)</f>
        <v>405.83258940725244</v>
      </c>
      <c r="V677" s="320" t="str">
        <f>IF(L678="","",IF(T677&lt;9.8,IF(S677&gt;5100,IF(S677&lt;8300,"Pass","Fail"),"Fail"),"Fail"))</f>
        <v>Pass</v>
      </c>
      <c r="W677" s="315">
        <v>1335</v>
      </c>
      <c r="X677" s="374" t="s">
        <v>218</v>
      </c>
      <c r="Y677" s="268"/>
      <c r="Z677" s="267">
        <v>4955</v>
      </c>
      <c r="AA677" s="267">
        <v>9645</v>
      </c>
      <c r="AB677" s="267">
        <v>5100</v>
      </c>
      <c r="AC677" s="267">
        <v>8300</v>
      </c>
      <c r="AD677" s="305">
        <v>10</v>
      </c>
      <c r="AE677" s="305">
        <v>9.8000000000000007</v>
      </c>
    </row>
    <row r="678" spans="1:31" ht="15">
      <c r="A678" s="306"/>
      <c r="B678" s="298"/>
      <c r="C678" s="307" t="s">
        <v>198</v>
      </c>
      <c r="D678" s="278">
        <v>3537.93</v>
      </c>
      <c r="E678" s="278">
        <v>3720.36</v>
      </c>
      <c r="F678" s="278">
        <v>3731.88</v>
      </c>
      <c r="G678" s="278">
        <v>3169.45</v>
      </c>
      <c r="H678" s="278">
        <v>3687.57</v>
      </c>
      <c r="I678" s="278">
        <v>3749.91</v>
      </c>
      <c r="J678" s="278">
        <v>3718.53</v>
      </c>
      <c r="K678" s="278">
        <v>3726.48</v>
      </c>
      <c r="L678" s="278">
        <v>3722.73</v>
      </c>
      <c r="M678" s="290"/>
      <c r="N678" s="290"/>
      <c r="O678" s="290"/>
      <c r="P678" s="290"/>
      <c r="Q678" s="298"/>
      <c r="R678" s="298"/>
      <c r="S678" s="298"/>
      <c r="T678" s="298"/>
      <c r="U678" s="298"/>
      <c r="V678" s="302"/>
      <c r="W678" s="298"/>
      <c r="X678" s="375"/>
      <c r="Y678" s="268"/>
      <c r="Z678" s="267"/>
      <c r="AA678" s="267"/>
      <c r="AB678" s="267"/>
      <c r="AC678" s="267"/>
      <c r="AD678" s="268"/>
      <c r="AE678" s="269"/>
    </row>
    <row r="679" spans="1:31" ht="57.75" thickBot="1">
      <c r="A679" s="306"/>
      <c r="B679" s="298"/>
      <c r="C679" s="326" t="s">
        <v>197</v>
      </c>
      <c r="D679" s="343">
        <f t="shared" ref="D679:L679" si="221">IF(((D677="")*AND(D678="")),"",(D677-D678)*3)</f>
        <v>7525.35</v>
      </c>
      <c r="E679" s="343">
        <f t="shared" si="221"/>
        <v>7024.7999999999993</v>
      </c>
      <c r="F679" s="343">
        <f t="shared" si="221"/>
        <v>7131.1500000000005</v>
      </c>
      <c r="G679" s="343">
        <f t="shared" si="221"/>
        <v>8243.34</v>
      </c>
      <c r="H679" s="343">
        <f t="shared" si="221"/>
        <v>7086.119999999999</v>
      </c>
      <c r="I679" s="343">
        <f t="shared" si="221"/>
        <v>7148.1600000000008</v>
      </c>
      <c r="J679" s="343">
        <f t="shared" si="221"/>
        <v>7014.119999999999</v>
      </c>
      <c r="K679" s="343">
        <f t="shared" si="221"/>
        <v>7141.0499999999993</v>
      </c>
      <c r="L679" s="343">
        <f t="shared" si="221"/>
        <v>6957.5399999999991</v>
      </c>
      <c r="M679" s="343"/>
      <c r="N679" s="343"/>
      <c r="O679" s="343"/>
      <c r="P679" s="343" t="str">
        <f>IF(((P677="")*AND(P678="")),"",(P677-P678)*2)</f>
        <v/>
      </c>
      <c r="Q679" s="298"/>
      <c r="R679" s="298"/>
      <c r="S679" s="298"/>
      <c r="T679" s="298"/>
      <c r="U679" s="298"/>
      <c r="V679" s="302"/>
      <c r="W679" s="298"/>
      <c r="X679" s="375"/>
      <c r="Y679" s="268"/>
      <c r="Z679" s="267"/>
      <c r="AA679" s="267"/>
      <c r="AB679" s="267"/>
      <c r="AC679" s="267"/>
      <c r="AD679" s="268"/>
      <c r="AE679" s="269"/>
    </row>
    <row r="680" spans="1:31" ht="12.75" customHeight="1">
      <c r="A680" s="373">
        <v>43507</v>
      </c>
      <c r="B680" s="326" t="s">
        <v>200</v>
      </c>
      <c r="C680" s="326" t="s">
        <v>199</v>
      </c>
      <c r="D680" s="278">
        <v>6702.16</v>
      </c>
      <c r="E680" s="278">
        <v>6823.01</v>
      </c>
      <c r="F680" s="278">
        <v>6647.89</v>
      </c>
      <c r="G680" s="278">
        <v>6683.58</v>
      </c>
      <c r="H680" s="278">
        <v>6640.98</v>
      </c>
      <c r="I680" s="278">
        <v>6658.2</v>
      </c>
      <c r="J680" s="278">
        <v>6711.37</v>
      </c>
      <c r="K680" s="278">
        <v>6660.52</v>
      </c>
      <c r="L680" s="278">
        <v>6661.4</v>
      </c>
      <c r="M680" s="278">
        <v>6693.11</v>
      </c>
      <c r="N680" s="278">
        <v>6876.11</v>
      </c>
      <c r="O680" s="278">
        <v>6649.25</v>
      </c>
      <c r="P680" s="278">
        <v>6599.71</v>
      </c>
      <c r="Q680" s="326">
        <f>IF((L681=""),"",MAX(D682:P682))</f>
        <v>5359.1399999999994</v>
      </c>
      <c r="R680" s="326">
        <f>IF(L681="","",MIN(D682:L682))</f>
        <v>5304.1799999999994</v>
      </c>
      <c r="S680" s="318">
        <f>IF((P682=""),"",AVERAGE(D682:P682))</f>
        <v>5331.7707692307686</v>
      </c>
      <c r="T680" s="319">
        <f>IF((L681=""),"",(Q680-R680)/(Q680+R680)*100)</f>
        <v>0.51541171042414591</v>
      </c>
      <c r="U680" s="326">
        <f>STDEV(D682:P682)</f>
        <v>19.553288922860638</v>
      </c>
      <c r="V680" s="328" t="str">
        <f>IF(P681="","",IF(T680&lt;2.7,IF(S680&gt;5150,IF(S680&lt;5600,"Pass","Fail"),"Fail"),"Fail"))</f>
        <v>Pass</v>
      </c>
      <c r="W680" s="326">
        <v>1335</v>
      </c>
      <c r="X680" s="375" t="s">
        <v>218</v>
      </c>
      <c r="Y680" s="268"/>
      <c r="Z680" s="321">
        <v>4470</v>
      </c>
      <c r="AA680" s="321">
        <v>6020</v>
      </c>
      <c r="AB680" s="321">
        <v>5150</v>
      </c>
      <c r="AC680" s="321">
        <v>5600</v>
      </c>
      <c r="AD680" s="305">
        <v>10</v>
      </c>
      <c r="AE680" s="322">
        <v>2.7</v>
      </c>
    </row>
    <row r="681" spans="1:31" ht="15">
      <c r="A681" s="306"/>
      <c r="B681" s="298"/>
      <c r="C681" s="298" t="s">
        <v>198</v>
      </c>
      <c r="D681" s="278">
        <v>4031.65</v>
      </c>
      <c r="E681" s="278">
        <v>4147.3</v>
      </c>
      <c r="F681" s="278">
        <v>3990.56</v>
      </c>
      <c r="G681" s="278">
        <v>4018.97</v>
      </c>
      <c r="H681" s="278">
        <v>3961.41</v>
      </c>
      <c r="I681" s="278">
        <v>3981.46</v>
      </c>
      <c r="J681" s="278">
        <v>4049.35</v>
      </c>
      <c r="K681" s="278">
        <v>3989.36</v>
      </c>
      <c r="L681" s="278">
        <v>4009.31</v>
      </c>
      <c r="M681" s="278">
        <v>4027.79</v>
      </c>
      <c r="N681" s="278">
        <v>4200.9399999999996</v>
      </c>
      <c r="O681" s="278">
        <v>3997.64</v>
      </c>
      <c r="P681" s="278">
        <v>3945.04</v>
      </c>
      <c r="Q681" s="298"/>
      <c r="R681" s="298"/>
      <c r="S681" s="298"/>
      <c r="T681" s="298"/>
      <c r="U681" s="298"/>
      <c r="V681" s="302"/>
      <c r="W681" s="298"/>
      <c r="X681" s="375"/>
      <c r="Y681" s="268"/>
      <c r="Z681" s="267"/>
      <c r="AA681" s="267"/>
      <c r="AB681" s="267"/>
      <c r="AC681" s="267"/>
      <c r="AD681" s="268"/>
      <c r="AE681" s="269"/>
    </row>
    <row r="682" spans="1:31" ht="57.75" thickBot="1">
      <c r="A682" s="306"/>
      <c r="B682" s="309"/>
      <c r="C682" s="309" t="s">
        <v>197</v>
      </c>
      <c r="D682" s="377">
        <f t="shared" ref="D682:P682" si="222">IF(((D680="")*AND(D681="")),"",(D680-D681)*2)</f>
        <v>5341.0199999999995</v>
      </c>
      <c r="E682" s="377">
        <f t="shared" si="222"/>
        <v>5351.42</v>
      </c>
      <c r="F682" s="377">
        <f t="shared" si="222"/>
        <v>5314.6600000000008</v>
      </c>
      <c r="G682" s="377">
        <f t="shared" si="222"/>
        <v>5329.22</v>
      </c>
      <c r="H682" s="377">
        <f t="shared" si="222"/>
        <v>5359.1399999999994</v>
      </c>
      <c r="I682" s="377">
        <f t="shared" si="222"/>
        <v>5353.48</v>
      </c>
      <c r="J682" s="377">
        <f t="shared" si="222"/>
        <v>5324.04</v>
      </c>
      <c r="K682" s="377">
        <f t="shared" si="222"/>
        <v>5342.3200000000006</v>
      </c>
      <c r="L682" s="377">
        <f t="shared" si="222"/>
        <v>5304.1799999999994</v>
      </c>
      <c r="M682" s="377">
        <f t="shared" si="222"/>
        <v>5330.6399999999994</v>
      </c>
      <c r="N682" s="377">
        <f t="shared" si="222"/>
        <v>5350.34</v>
      </c>
      <c r="O682" s="377">
        <f t="shared" si="222"/>
        <v>5303.22</v>
      </c>
      <c r="P682" s="377">
        <f t="shared" si="222"/>
        <v>5309.34</v>
      </c>
      <c r="Q682" s="309"/>
      <c r="R682" s="309"/>
      <c r="S682" s="309"/>
      <c r="T682" s="309"/>
      <c r="U682" s="309"/>
      <c r="V682" s="312"/>
      <c r="W682" s="309"/>
      <c r="X682" s="378"/>
      <c r="Y682" s="268"/>
      <c r="Z682" s="267"/>
      <c r="AA682" s="267"/>
      <c r="AB682" s="267"/>
      <c r="AC682" s="267"/>
      <c r="AD682" s="268"/>
      <c r="AE682" s="269"/>
    </row>
    <row r="683" spans="1:31" ht="12.75" customHeight="1">
      <c r="A683" s="373">
        <v>43514</v>
      </c>
      <c r="B683" s="315" t="s">
        <v>202</v>
      </c>
      <c r="C683" s="316" t="s">
        <v>199</v>
      </c>
      <c r="D683" s="278">
        <v>3567.87</v>
      </c>
      <c r="E683" s="278">
        <v>3716.97</v>
      </c>
      <c r="F683" s="278">
        <v>3728.75</v>
      </c>
      <c r="G683" s="278">
        <v>3182.2</v>
      </c>
      <c r="H683" s="278">
        <v>3687.02</v>
      </c>
      <c r="I683" s="278">
        <v>3749.17</v>
      </c>
      <c r="J683" s="278">
        <v>3713.62</v>
      </c>
      <c r="K683" s="278">
        <v>3724.04</v>
      </c>
      <c r="L683" s="278">
        <v>3733.55</v>
      </c>
      <c r="M683" s="346"/>
      <c r="N683" s="346"/>
      <c r="O683" s="346"/>
      <c r="P683" s="346"/>
      <c r="Q683" s="315">
        <f>IF((L684=""),"",MAX(D685:L685))</f>
        <v>7234.98</v>
      </c>
      <c r="R683" s="315">
        <f>IF(L684="","",MIN(D685:L685))</f>
        <v>6672.7800000000007</v>
      </c>
      <c r="S683" s="347">
        <f>IF((L685=""),"",AVERAGE(D685:L685))</f>
        <v>6848.4</v>
      </c>
      <c r="T683" s="318">
        <f>IF((L684=""),"",(Q683-R683)/(Q683+R683)*100)</f>
        <v>4.0423475814940639</v>
      </c>
      <c r="U683" s="315">
        <f>STDEV(D685:P685)</f>
        <v>163.76216321237962</v>
      </c>
      <c r="V683" s="320" t="str">
        <f>IF(L684="","",IF(T683&lt;9.8,IF(S683&gt;5100,IF(S683&lt;8300,"Pass","Fail"),"Fail"),"Fail"))</f>
        <v>Pass</v>
      </c>
      <c r="W683" s="315" t="s">
        <v>215</v>
      </c>
      <c r="X683" s="374" t="s">
        <v>217</v>
      </c>
      <c r="Y683" s="268"/>
      <c r="Z683" s="267">
        <v>4955</v>
      </c>
      <c r="AA683" s="267">
        <v>9645</v>
      </c>
      <c r="AB683" s="267">
        <v>5100</v>
      </c>
      <c r="AC683" s="267">
        <v>8300</v>
      </c>
      <c r="AD683" s="305">
        <v>10</v>
      </c>
      <c r="AE683" s="305">
        <v>9.8000000000000007</v>
      </c>
    </row>
    <row r="684" spans="1:31" ht="15">
      <c r="A684" s="306"/>
      <c r="B684" s="298"/>
      <c r="C684" s="307" t="s">
        <v>198</v>
      </c>
      <c r="D684" s="278">
        <v>1156.21</v>
      </c>
      <c r="E684" s="278">
        <v>1414.73</v>
      </c>
      <c r="F684" s="278">
        <v>1453.13</v>
      </c>
      <c r="G684" s="278">
        <v>939.63</v>
      </c>
      <c r="H684" s="278">
        <v>1385.71</v>
      </c>
      <c r="I684" s="278">
        <v>1490.37</v>
      </c>
      <c r="J684" s="278">
        <v>1489.36</v>
      </c>
      <c r="K684" s="278">
        <v>1468.63</v>
      </c>
      <c r="L684" s="278">
        <v>1460.22</v>
      </c>
      <c r="M684" s="290"/>
      <c r="N684" s="290"/>
      <c r="O684" s="290"/>
      <c r="P684" s="290"/>
      <c r="Q684" s="298"/>
      <c r="R684" s="298"/>
      <c r="S684" s="298"/>
      <c r="T684" s="298"/>
      <c r="U684" s="298"/>
      <c r="V684" s="302"/>
      <c r="W684" s="298"/>
      <c r="X684" s="375"/>
      <c r="Y684" s="268"/>
      <c r="Z684" s="267"/>
      <c r="AA684" s="267"/>
      <c r="AB684" s="267"/>
      <c r="AC684" s="267"/>
      <c r="AD684" s="268"/>
      <c r="AE684" s="269"/>
    </row>
    <row r="685" spans="1:31" ht="57.75" thickBot="1">
      <c r="A685" s="306"/>
      <c r="B685" s="298"/>
      <c r="C685" s="326" t="s">
        <v>197</v>
      </c>
      <c r="D685" s="343">
        <f t="shared" ref="D685:L685" si="223">IF(((D683="")*AND(D684="")),"",(D683-D684)*3)</f>
        <v>7234.98</v>
      </c>
      <c r="E685" s="343">
        <f t="shared" si="223"/>
        <v>6906.7199999999993</v>
      </c>
      <c r="F685" s="343">
        <f t="shared" si="223"/>
        <v>6826.86</v>
      </c>
      <c r="G685" s="343">
        <f t="shared" si="223"/>
        <v>6727.7099999999991</v>
      </c>
      <c r="H685" s="343">
        <f t="shared" si="223"/>
        <v>6903.93</v>
      </c>
      <c r="I685" s="343">
        <f t="shared" si="223"/>
        <v>6776.4000000000005</v>
      </c>
      <c r="J685" s="343">
        <f t="shared" si="223"/>
        <v>6672.7800000000007</v>
      </c>
      <c r="K685" s="343">
        <f t="shared" si="223"/>
        <v>6766.23</v>
      </c>
      <c r="L685" s="343">
        <f t="shared" si="223"/>
        <v>6819.99</v>
      </c>
      <c r="M685" s="343"/>
      <c r="N685" s="343"/>
      <c r="O685" s="343"/>
      <c r="P685" s="343" t="str">
        <f>IF(((P683="")*AND(P684="")),"",(P683-P684)*2)</f>
        <v/>
      </c>
      <c r="Q685" s="298"/>
      <c r="R685" s="298"/>
      <c r="S685" s="298"/>
      <c r="T685" s="298"/>
      <c r="U685" s="298"/>
      <c r="V685" s="302"/>
      <c r="W685" s="298"/>
      <c r="X685" s="375"/>
      <c r="Y685" s="268"/>
      <c r="Z685" s="267"/>
      <c r="AA685" s="267"/>
      <c r="AB685" s="267"/>
      <c r="AC685" s="267"/>
      <c r="AD685" s="268"/>
      <c r="AE685" s="269"/>
    </row>
    <row r="686" spans="1:31" ht="12.75" customHeight="1">
      <c r="A686" s="373">
        <v>43514</v>
      </c>
      <c r="B686" s="326" t="s">
        <v>200</v>
      </c>
      <c r="C686" s="326" t="s">
        <v>199</v>
      </c>
      <c r="D686" s="278">
        <v>4040.83</v>
      </c>
      <c r="E686" s="278">
        <v>4157.1099999999997</v>
      </c>
      <c r="F686" s="278">
        <v>3999.74</v>
      </c>
      <c r="G686" s="278">
        <v>4027.66</v>
      </c>
      <c r="H686" s="278">
        <v>3970.72</v>
      </c>
      <c r="I686" s="278">
        <v>3990.34</v>
      </c>
      <c r="J686" s="278">
        <v>4058.49</v>
      </c>
      <c r="K686" s="278">
        <v>3998.02</v>
      </c>
      <c r="L686" s="278">
        <v>4018.53</v>
      </c>
      <c r="M686" s="278">
        <v>4037.25</v>
      </c>
      <c r="N686" s="278">
        <v>4211.51</v>
      </c>
      <c r="O686" s="278">
        <v>4007.04</v>
      </c>
      <c r="P686" s="278">
        <v>3954.67</v>
      </c>
      <c r="Q686" s="326">
        <f>IF((L687=""),"",MAX(D688:P688))</f>
        <v>5403.76</v>
      </c>
      <c r="R686" s="326">
        <f>IF(L687="","",MIN(D688:L688))</f>
        <v>5324.9800000000005</v>
      </c>
      <c r="S686" s="318">
        <f>IF((P688=""),"",AVERAGE(D688:P688))</f>
        <v>5359.7246153846154</v>
      </c>
      <c r="T686" s="319">
        <f>IF((L687=""),"",(Q686-R686)/(Q686+R686)*100)</f>
        <v>0.73428939465398302</v>
      </c>
      <c r="U686" s="326">
        <f>STDEV(D688:P688)</f>
        <v>24.912044147130416</v>
      </c>
      <c r="V686" s="328" t="str">
        <f>IF(P687="","",IF(T686&lt;2.7,IF(S686&gt;5150,IF(S686&lt;5600,"Pass","Fail"),"Fail"),"Fail"))</f>
        <v>Pass</v>
      </c>
      <c r="W686" s="326" t="s">
        <v>215</v>
      </c>
      <c r="X686" s="375" t="s">
        <v>217</v>
      </c>
      <c r="Y686" s="268"/>
      <c r="Z686" s="321">
        <v>4470</v>
      </c>
      <c r="AA686" s="321">
        <v>6020</v>
      </c>
      <c r="AB686" s="321">
        <v>5150</v>
      </c>
      <c r="AC686" s="321">
        <v>5600</v>
      </c>
      <c r="AD686" s="305">
        <v>10</v>
      </c>
      <c r="AE686" s="322">
        <v>2.7</v>
      </c>
    </row>
    <row r="687" spans="1:31" ht="15">
      <c r="A687" s="306"/>
      <c r="B687" s="298"/>
      <c r="C687" s="298" t="s">
        <v>198</v>
      </c>
      <c r="D687" s="278">
        <v>1354.89</v>
      </c>
      <c r="E687" s="278">
        <v>1464.97</v>
      </c>
      <c r="F687" s="278">
        <v>1329.66</v>
      </c>
      <c r="G687" s="278">
        <v>1349.56</v>
      </c>
      <c r="H687" s="278">
        <v>1268.8399999999999</v>
      </c>
      <c r="I687" s="278">
        <v>1293.03</v>
      </c>
      <c r="J687" s="278">
        <v>1383.2</v>
      </c>
      <c r="K687" s="278">
        <v>1311.82</v>
      </c>
      <c r="L687" s="278">
        <v>1356.04</v>
      </c>
      <c r="M687" s="278">
        <v>1364.3</v>
      </c>
      <c r="N687" s="278">
        <v>1529.16</v>
      </c>
      <c r="O687" s="278">
        <v>1343.83</v>
      </c>
      <c r="P687" s="278">
        <v>1284.4000000000001</v>
      </c>
      <c r="Q687" s="298"/>
      <c r="R687" s="298"/>
      <c r="S687" s="298"/>
      <c r="T687" s="298"/>
      <c r="U687" s="298"/>
      <c r="V687" s="302"/>
      <c r="W687" s="298"/>
      <c r="X687" s="375"/>
      <c r="Y687" s="268"/>
      <c r="Z687" s="267"/>
      <c r="AA687" s="267"/>
      <c r="AB687" s="267"/>
      <c r="AC687" s="267"/>
      <c r="AD687" s="268"/>
      <c r="AE687" s="269"/>
    </row>
    <row r="688" spans="1:31" ht="57.75" thickBot="1">
      <c r="A688" s="306"/>
      <c r="B688" s="309"/>
      <c r="C688" s="309" t="s">
        <v>197</v>
      </c>
      <c r="D688" s="377">
        <f t="shared" ref="D688:P688" si="224">IF(((D686="")*AND(D687="")),"",(D686-D687)*2)</f>
        <v>5371.8799999999992</v>
      </c>
      <c r="E688" s="377">
        <f t="shared" si="224"/>
        <v>5384.2799999999988</v>
      </c>
      <c r="F688" s="377">
        <f t="shared" si="224"/>
        <v>5340.16</v>
      </c>
      <c r="G688" s="377">
        <f t="shared" si="224"/>
        <v>5356.2</v>
      </c>
      <c r="H688" s="377">
        <f t="shared" si="224"/>
        <v>5403.76</v>
      </c>
      <c r="I688" s="377">
        <f t="shared" si="224"/>
        <v>5394.6200000000008</v>
      </c>
      <c r="J688" s="377">
        <f t="shared" si="224"/>
        <v>5350.58</v>
      </c>
      <c r="K688" s="377">
        <f t="shared" si="224"/>
        <v>5372.4</v>
      </c>
      <c r="L688" s="377">
        <f t="shared" si="224"/>
        <v>5324.9800000000005</v>
      </c>
      <c r="M688" s="377">
        <f t="shared" si="224"/>
        <v>5345.9</v>
      </c>
      <c r="N688" s="377">
        <f t="shared" si="224"/>
        <v>5364.7000000000007</v>
      </c>
      <c r="O688" s="377">
        <f t="shared" si="224"/>
        <v>5326.42</v>
      </c>
      <c r="P688" s="377">
        <f t="shared" si="224"/>
        <v>5340.54</v>
      </c>
      <c r="Q688" s="309"/>
      <c r="R688" s="309"/>
      <c r="S688" s="309"/>
      <c r="T688" s="309"/>
      <c r="U688" s="309"/>
      <c r="V688" s="312"/>
      <c r="W688" s="309"/>
      <c r="X688" s="378"/>
      <c r="Y688" s="268"/>
      <c r="Z688" s="267"/>
      <c r="AA688" s="267"/>
      <c r="AB688" s="267"/>
      <c r="AC688" s="267"/>
      <c r="AD688" s="268"/>
      <c r="AE688" s="269"/>
    </row>
    <row r="689" spans="1:31" ht="12.75" customHeight="1">
      <c r="A689" s="373">
        <v>43517</v>
      </c>
      <c r="B689" s="315" t="s">
        <v>202</v>
      </c>
      <c r="C689" s="316" t="s">
        <v>199</v>
      </c>
      <c r="D689" s="278">
        <v>5987.96</v>
      </c>
      <c r="E689" s="278">
        <v>6059.42</v>
      </c>
      <c r="F689" s="278">
        <v>6097.06</v>
      </c>
      <c r="G689" s="278">
        <v>6080.26</v>
      </c>
      <c r="H689" s="278">
        <v>6066.06</v>
      </c>
      <c r="I689" s="278">
        <v>6079.01</v>
      </c>
      <c r="J689" s="278">
        <v>6050.11</v>
      </c>
      <c r="K689" s="278">
        <v>6127.27</v>
      </c>
      <c r="L689" s="278">
        <v>6043.56</v>
      </c>
      <c r="M689" s="346"/>
      <c r="N689" s="346"/>
      <c r="O689" s="346"/>
      <c r="P689" s="346"/>
      <c r="Q689" s="315">
        <f>IF((L690=""),"",MAX(D691:L691))</f>
        <v>7385.3099999999995</v>
      </c>
      <c r="R689" s="315">
        <f>IF(L690="","",MIN(D691:L691))</f>
        <v>6862.6500000000005</v>
      </c>
      <c r="S689" s="347">
        <f>IF((L691=""),"",AVERAGE(D691:L691))</f>
        <v>7048.6333333333341</v>
      </c>
      <c r="T689" s="318">
        <f>IF((L690=""),"",(Q689-R689)/(Q689+R689)*100)</f>
        <v>3.6683146218827045</v>
      </c>
      <c r="U689" s="315">
        <f>STDEV(D691:P691)</f>
        <v>177.51168208036566</v>
      </c>
      <c r="V689" s="320" t="str">
        <f>IF(L690="","",IF(T689&lt;9.8,IF(S689&gt;5100,IF(S689&lt;8300,"Pass","Fail"),"Fail"),"Fail"))</f>
        <v>Pass</v>
      </c>
      <c r="W689" s="315" t="s">
        <v>215</v>
      </c>
      <c r="X689" s="374" t="s">
        <v>216</v>
      </c>
      <c r="Y689" s="268"/>
      <c r="Z689" s="267">
        <v>4955</v>
      </c>
      <c r="AA689" s="267">
        <v>9645</v>
      </c>
      <c r="AB689" s="267">
        <v>5100</v>
      </c>
      <c r="AC689" s="267">
        <v>8300</v>
      </c>
      <c r="AD689" s="305">
        <v>10</v>
      </c>
      <c r="AE689" s="305">
        <v>9.8000000000000007</v>
      </c>
    </row>
    <row r="690" spans="1:31" ht="15">
      <c r="A690" s="306"/>
      <c r="B690" s="298"/>
      <c r="C690" s="307" t="s">
        <v>198</v>
      </c>
      <c r="D690" s="278">
        <v>3526.19</v>
      </c>
      <c r="E690" s="278">
        <v>3751.26</v>
      </c>
      <c r="F690" s="278">
        <v>3764.92</v>
      </c>
      <c r="G690" s="278">
        <v>3646.19</v>
      </c>
      <c r="H690" s="278">
        <v>3746.47</v>
      </c>
      <c r="I690" s="278">
        <v>3759.96</v>
      </c>
      <c r="J690" s="278">
        <v>3723.55</v>
      </c>
      <c r="K690" s="278">
        <v>3770.26</v>
      </c>
      <c r="L690" s="278">
        <v>3756.01</v>
      </c>
      <c r="M690" s="290"/>
      <c r="N690" s="290"/>
      <c r="O690" s="290"/>
      <c r="P690" s="290"/>
      <c r="Q690" s="298"/>
      <c r="R690" s="298"/>
      <c r="S690" s="298"/>
      <c r="T690" s="298"/>
      <c r="U690" s="298"/>
      <c r="V690" s="302"/>
      <c r="W690" s="298"/>
      <c r="X690" s="375"/>
      <c r="Y690" s="268"/>
      <c r="Z690" s="267"/>
      <c r="AA690" s="267"/>
      <c r="AB690" s="267"/>
      <c r="AC690" s="267"/>
      <c r="AD690" s="268"/>
      <c r="AE690" s="269"/>
    </row>
    <row r="691" spans="1:31" ht="57.75" thickBot="1">
      <c r="A691" s="306"/>
      <c r="B691" s="298"/>
      <c r="C691" s="326" t="s">
        <v>197</v>
      </c>
      <c r="D691" s="343">
        <f t="shared" ref="D691:L691" si="225">IF(((D689="")*AND(D690="")),"",(D689-D690)*3)</f>
        <v>7385.3099999999995</v>
      </c>
      <c r="E691" s="343">
        <f t="shared" si="225"/>
        <v>6924.48</v>
      </c>
      <c r="F691" s="343">
        <f t="shared" si="225"/>
        <v>6996.420000000001</v>
      </c>
      <c r="G691" s="343">
        <f t="shared" si="225"/>
        <v>7302.2100000000009</v>
      </c>
      <c r="H691" s="343">
        <f t="shared" si="225"/>
        <v>6958.7700000000023</v>
      </c>
      <c r="I691" s="343">
        <f t="shared" si="225"/>
        <v>6957.1500000000005</v>
      </c>
      <c r="J691" s="343">
        <f t="shared" si="225"/>
        <v>6979.6799999999985</v>
      </c>
      <c r="K691" s="343">
        <f t="shared" si="225"/>
        <v>7071.0300000000007</v>
      </c>
      <c r="L691" s="343">
        <f t="shared" si="225"/>
        <v>6862.6500000000005</v>
      </c>
      <c r="M691" s="343"/>
      <c r="N691" s="343"/>
      <c r="O691" s="343"/>
      <c r="P691" s="343" t="str">
        <f>IF(((P689="")*AND(P690="")),"",(P689-P690)*2)</f>
        <v/>
      </c>
      <c r="Q691" s="298"/>
      <c r="R691" s="298"/>
      <c r="S691" s="298"/>
      <c r="T691" s="298"/>
      <c r="U691" s="298"/>
      <c r="V691" s="302"/>
      <c r="W691" s="298"/>
      <c r="X691" s="375"/>
      <c r="Y691" s="268"/>
      <c r="Z691" s="267"/>
      <c r="AA691" s="267"/>
      <c r="AB691" s="267"/>
      <c r="AC691" s="267"/>
      <c r="AD691" s="268"/>
      <c r="AE691" s="269"/>
    </row>
    <row r="692" spans="1:31" ht="12.75" customHeight="1">
      <c r="A692" s="373">
        <v>43517</v>
      </c>
      <c r="B692" s="326" t="s">
        <v>200</v>
      </c>
      <c r="C692" s="326" t="s">
        <v>199</v>
      </c>
      <c r="D692" s="278">
        <v>6853.76</v>
      </c>
      <c r="E692" s="278">
        <v>6976.99</v>
      </c>
      <c r="F692" s="278">
        <v>6798.58</v>
      </c>
      <c r="G692" s="278">
        <v>6837.66</v>
      </c>
      <c r="H692" s="278">
        <v>6790.81</v>
      </c>
      <c r="I692" s="278">
        <v>6810.29</v>
      </c>
      <c r="J692" s="278">
        <v>6868.99</v>
      </c>
      <c r="K692" s="278">
        <v>6816.47</v>
      </c>
      <c r="L692" s="278">
        <v>6819.97</v>
      </c>
      <c r="M692" s="278">
        <v>6852.08</v>
      </c>
      <c r="N692" s="278">
        <v>7033.77</v>
      </c>
      <c r="O692" s="278">
        <v>6804.47</v>
      </c>
      <c r="P692" s="278">
        <v>6754.78</v>
      </c>
      <c r="Q692" s="326">
        <f>IF((L693=""),"",MAX(D694:P694))</f>
        <v>5434.98</v>
      </c>
      <c r="R692" s="326">
        <f>IF(L693="","",MIN(D694:L694))</f>
        <v>5336.1400000000012</v>
      </c>
      <c r="S692" s="318">
        <f>IF((P694=""),"",AVERAGE(D694:P694))</f>
        <v>5381.5753846153839</v>
      </c>
      <c r="T692" s="319">
        <f>IF((L693=""),"",(Q692-R692)/(Q692+R692)*100)</f>
        <v>0.91763901989763663</v>
      </c>
      <c r="U692" s="326">
        <f>STDEV(D694:P694)</f>
        <v>34.761376223091325</v>
      </c>
      <c r="V692" s="328" t="str">
        <f>IF(P693="","",IF(T692&lt;2.7,IF(S692&gt;5150,IF(S692&lt;5600,"Pass","Fail"),"Fail"),"Fail"))</f>
        <v>Pass</v>
      </c>
      <c r="W692" s="326" t="s">
        <v>215</v>
      </c>
      <c r="X692" s="375" t="s">
        <v>216</v>
      </c>
      <c r="Y692" s="268"/>
      <c r="Z692" s="321">
        <v>4470</v>
      </c>
      <c r="AA692" s="321">
        <v>6020</v>
      </c>
      <c r="AB692" s="321">
        <v>5150</v>
      </c>
      <c r="AC692" s="321">
        <v>5600</v>
      </c>
      <c r="AD692" s="305">
        <v>10</v>
      </c>
      <c r="AE692" s="322">
        <v>2.7</v>
      </c>
    </row>
    <row r="693" spans="1:31" ht="15">
      <c r="A693" s="306"/>
      <c r="B693" s="298"/>
      <c r="C693" s="298" t="s">
        <v>198</v>
      </c>
      <c r="D693" s="278">
        <v>4185.6899999999996</v>
      </c>
      <c r="E693" s="278">
        <v>4299.97</v>
      </c>
      <c r="F693" s="278">
        <v>4130.3999999999996</v>
      </c>
      <c r="G693" s="278">
        <v>4138.91</v>
      </c>
      <c r="H693" s="278">
        <v>4104.33</v>
      </c>
      <c r="I693" s="278">
        <v>4101.34</v>
      </c>
      <c r="J693" s="278">
        <v>4160.7700000000004</v>
      </c>
      <c r="K693" s="278">
        <v>4102.8500000000004</v>
      </c>
      <c r="L693" s="278">
        <v>4149.57</v>
      </c>
      <c r="M693" s="278">
        <v>4134.59</v>
      </c>
      <c r="N693" s="278">
        <v>4344.68</v>
      </c>
      <c r="O693" s="278">
        <v>4119.8100000000004</v>
      </c>
      <c r="P693" s="278">
        <v>4065.47</v>
      </c>
      <c r="Q693" s="298"/>
      <c r="R693" s="298"/>
      <c r="S693" s="298"/>
      <c r="T693" s="298"/>
      <c r="U693" s="298"/>
      <c r="V693" s="302"/>
      <c r="W693" s="298"/>
      <c r="X693" s="375"/>
      <c r="Y693" s="268"/>
      <c r="Z693" s="267"/>
      <c r="AA693" s="267"/>
      <c r="AB693" s="267"/>
      <c r="AC693" s="267"/>
      <c r="AD693" s="268"/>
      <c r="AE693" s="269"/>
    </row>
    <row r="694" spans="1:31" ht="57.75" thickBot="1">
      <c r="A694" s="306"/>
      <c r="B694" s="309"/>
      <c r="C694" s="309" t="s">
        <v>197</v>
      </c>
      <c r="D694" s="377">
        <f t="shared" ref="D694:P694" si="226">IF(((D692="")*AND(D693="")),"",(D692-D693)*2)</f>
        <v>5336.1400000000012</v>
      </c>
      <c r="E694" s="377">
        <f t="shared" si="226"/>
        <v>5354.0399999999991</v>
      </c>
      <c r="F694" s="377">
        <f t="shared" si="226"/>
        <v>5336.3600000000006</v>
      </c>
      <c r="G694" s="377">
        <f t="shared" si="226"/>
        <v>5397.5</v>
      </c>
      <c r="H694" s="377">
        <f t="shared" si="226"/>
        <v>5372.9600000000009</v>
      </c>
      <c r="I694" s="377">
        <f t="shared" si="226"/>
        <v>5417.9</v>
      </c>
      <c r="J694" s="377">
        <f t="shared" si="226"/>
        <v>5416.4399999999987</v>
      </c>
      <c r="K694" s="377">
        <f t="shared" si="226"/>
        <v>5427.24</v>
      </c>
      <c r="L694" s="377">
        <f t="shared" si="226"/>
        <v>5340.8000000000011</v>
      </c>
      <c r="M694" s="377">
        <f t="shared" si="226"/>
        <v>5434.98</v>
      </c>
      <c r="N694" s="377">
        <f t="shared" si="226"/>
        <v>5378.18</v>
      </c>
      <c r="O694" s="377">
        <f t="shared" si="226"/>
        <v>5369.32</v>
      </c>
      <c r="P694" s="377">
        <f t="shared" si="226"/>
        <v>5378.62</v>
      </c>
      <c r="Q694" s="309"/>
      <c r="R694" s="309"/>
      <c r="S694" s="309"/>
      <c r="T694" s="309"/>
      <c r="U694" s="309"/>
      <c r="V694" s="312"/>
      <c r="W694" s="309"/>
      <c r="X694" s="378"/>
      <c r="Y694" s="268"/>
      <c r="Z694" s="267"/>
      <c r="AA694" s="267"/>
      <c r="AB694" s="267"/>
      <c r="AC694" s="267"/>
      <c r="AD694" s="268"/>
      <c r="AE694" s="269"/>
    </row>
    <row r="695" spans="1:31" ht="12.75" customHeight="1">
      <c r="A695" s="373">
        <v>43521</v>
      </c>
      <c r="B695" s="315" t="s">
        <v>202</v>
      </c>
      <c r="C695" s="316" t="s">
        <v>199</v>
      </c>
      <c r="D695" s="278">
        <v>6031.18</v>
      </c>
      <c r="E695" s="278">
        <v>6120.12</v>
      </c>
      <c r="F695" s="278">
        <v>6194.52</v>
      </c>
      <c r="G695" s="278">
        <v>6056.16</v>
      </c>
      <c r="H695" s="278">
        <v>6118.83</v>
      </c>
      <c r="I695" s="278">
        <v>6139.6</v>
      </c>
      <c r="J695" s="278">
        <v>6086.05</v>
      </c>
      <c r="K695" s="278">
        <v>6143.93</v>
      </c>
      <c r="L695" s="278">
        <v>6011.65</v>
      </c>
      <c r="M695" s="346"/>
      <c r="N695" s="346"/>
      <c r="O695" s="346"/>
      <c r="P695" s="346"/>
      <c r="Q695" s="315">
        <f>IF((L696=""),"",MAX(D697:L697))</f>
        <v>8533.35</v>
      </c>
      <c r="R695" s="315">
        <f>IF(L696="","",MIN(D697:L697))</f>
        <v>7038.5699999999988</v>
      </c>
      <c r="S695" s="347">
        <f>IF((L697=""),"",AVERAGE(D697:L697))</f>
        <v>7480.13</v>
      </c>
      <c r="T695" s="318">
        <f>IF((L696=""),"",(Q695-R695)/(Q695+R695)*100)</f>
        <v>9.5992016398748632</v>
      </c>
      <c r="U695" s="315">
        <f>STDEV(D697:P697)</f>
        <v>571.49282908887619</v>
      </c>
      <c r="V695" s="320" t="str">
        <f>IF(L696="","",IF(T695&lt;9.8,IF(S695&gt;5100,IF(S695&lt;8300,"Pass","Fail"),"Fail"),"Fail"))</f>
        <v>Pass</v>
      </c>
      <c r="W695" s="315">
        <v>1335</v>
      </c>
      <c r="X695" s="374" t="s">
        <v>214</v>
      </c>
      <c r="Y695" s="268"/>
      <c r="Z695" s="267">
        <v>4955</v>
      </c>
      <c r="AA695" s="267">
        <v>9645</v>
      </c>
      <c r="AB695" s="267">
        <v>5100</v>
      </c>
      <c r="AC695" s="267">
        <v>8300</v>
      </c>
      <c r="AD695" s="305">
        <v>10</v>
      </c>
      <c r="AE695" s="305">
        <v>9.8000000000000007</v>
      </c>
    </row>
    <row r="696" spans="1:31" ht="15">
      <c r="A696" s="306"/>
      <c r="B696" s="298"/>
      <c r="C696" s="307" t="s">
        <v>198</v>
      </c>
      <c r="D696" s="278">
        <v>3186.73</v>
      </c>
      <c r="E696" s="278">
        <v>3723.91</v>
      </c>
      <c r="F696" s="278">
        <v>3770.31</v>
      </c>
      <c r="G696" s="278">
        <v>3248.27</v>
      </c>
      <c r="H696" s="278">
        <v>3693.08</v>
      </c>
      <c r="I696" s="278">
        <v>3740.83</v>
      </c>
      <c r="J696" s="278">
        <v>3706.46</v>
      </c>
      <c r="K696" s="278">
        <v>3726.6</v>
      </c>
      <c r="L696" s="278">
        <v>3665.46</v>
      </c>
      <c r="M696" s="290"/>
      <c r="N696" s="290"/>
      <c r="O696" s="290"/>
      <c r="P696" s="290"/>
      <c r="Q696" s="298"/>
      <c r="R696" s="298"/>
      <c r="S696" s="298"/>
      <c r="T696" s="298"/>
      <c r="U696" s="298"/>
      <c r="V696" s="302"/>
      <c r="W696" s="298"/>
      <c r="X696" s="375"/>
      <c r="Y696" s="268"/>
      <c r="Z696" s="267"/>
      <c r="AA696" s="267"/>
      <c r="AB696" s="267"/>
      <c r="AC696" s="267"/>
      <c r="AD696" s="268"/>
      <c r="AE696" s="269"/>
    </row>
    <row r="697" spans="1:31" ht="57.75" thickBot="1">
      <c r="A697" s="306"/>
      <c r="B697" s="298"/>
      <c r="C697" s="326" t="s">
        <v>197</v>
      </c>
      <c r="D697" s="343">
        <f t="shared" ref="D697:L697" si="227">IF(((D695="")*AND(D696="")),"",(D695-D696)*3)</f>
        <v>8533.35</v>
      </c>
      <c r="E697" s="343">
        <f t="shared" si="227"/>
        <v>7188.63</v>
      </c>
      <c r="F697" s="343">
        <f t="shared" si="227"/>
        <v>7272.630000000001</v>
      </c>
      <c r="G697" s="343">
        <f t="shared" si="227"/>
        <v>8423.67</v>
      </c>
      <c r="H697" s="343">
        <f t="shared" si="227"/>
        <v>7277.25</v>
      </c>
      <c r="I697" s="343">
        <f t="shared" si="227"/>
        <v>7196.3100000000013</v>
      </c>
      <c r="J697" s="343">
        <f t="shared" si="227"/>
        <v>7138.77</v>
      </c>
      <c r="K697" s="343">
        <f t="shared" si="227"/>
        <v>7251.9900000000016</v>
      </c>
      <c r="L697" s="343">
        <f t="shared" si="227"/>
        <v>7038.5699999999988</v>
      </c>
      <c r="M697" s="343"/>
      <c r="N697" s="343"/>
      <c r="O697" s="343"/>
      <c r="P697" s="343" t="str">
        <f>IF(((P695="")*AND(P696="")),"",(P695-P696)*2)</f>
        <v/>
      </c>
      <c r="Q697" s="298"/>
      <c r="R697" s="298"/>
      <c r="S697" s="298"/>
      <c r="T697" s="298"/>
      <c r="U697" s="298"/>
      <c r="V697" s="302"/>
      <c r="W697" s="298"/>
      <c r="X697" s="375"/>
      <c r="Y697" s="268"/>
      <c r="Z697" s="267"/>
      <c r="AA697" s="267"/>
      <c r="AB697" s="267"/>
      <c r="AC697" s="267"/>
      <c r="AD697" s="268"/>
      <c r="AE697" s="269"/>
    </row>
    <row r="698" spans="1:31" ht="12.75" customHeight="1">
      <c r="A698" s="373">
        <v>43521</v>
      </c>
      <c r="B698" s="326" t="s">
        <v>200</v>
      </c>
      <c r="C698" s="326" t="s">
        <v>199</v>
      </c>
      <c r="D698" s="278">
        <v>4193.82</v>
      </c>
      <c r="E698" s="278">
        <v>4309.13</v>
      </c>
      <c r="F698" s="278">
        <v>4138.46</v>
      </c>
      <c r="G698" s="278">
        <v>4146.45</v>
      </c>
      <c r="H698" s="278">
        <v>4112.82</v>
      </c>
      <c r="I698" s="278">
        <v>4108.92</v>
      </c>
      <c r="J698" s="278">
        <v>4168.5600000000004</v>
      </c>
      <c r="K698" s="278">
        <v>4110.42</v>
      </c>
      <c r="L698" s="278">
        <v>4157.8</v>
      </c>
      <c r="M698" s="278">
        <v>4142.63</v>
      </c>
      <c r="N698" s="278">
        <v>4354.74</v>
      </c>
      <c r="O698" s="278">
        <v>4127.91</v>
      </c>
      <c r="P698" s="278">
        <v>4073.45</v>
      </c>
      <c r="Q698" s="326">
        <f>IF((L699=""),"",MAX(D700:P700))</f>
        <v>5516.32</v>
      </c>
      <c r="R698" s="326">
        <f>IF(L699="","",MIN(D700:L700))</f>
        <v>5426.6</v>
      </c>
      <c r="S698" s="318">
        <f>IF((P700=""),"",AVERAGE(D700:P700))</f>
        <v>5471.835384615385</v>
      </c>
      <c r="T698" s="319">
        <f>IF((L699=""),"",(Q698-R698)/(Q698+R698)*100)</f>
        <v>0.8198908518018897</v>
      </c>
      <c r="U698" s="326">
        <f>STDEV(D700:P700)</f>
        <v>31.834360004885358</v>
      </c>
      <c r="V698" s="328" t="str">
        <f>IF(P699="","",IF(T698&lt;2.7,IF(S698&gt;5150,IF(S698&lt;5600,"Pass","Fail"),"Fail"),"Fail"))</f>
        <v>Pass</v>
      </c>
      <c r="W698" s="326">
        <v>1335</v>
      </c>
      <c r="X698" s="375" t="s">
        <v>214</v>
      </c>
      <c r="Y698" s="268"/>
      <c r="Z698" s="321">
        <v>4470</v>
      </c>
      <c r="AA698" s="321">
        <v>6020</v>
      </c>
      <c r="AB698" s="321">
        <v>5150</v>
      </c>
      <c r="AC698" s="321">
        <v>5600</v>
      </c>
      <c r="AD698" s="305">
        <v>10</v>
      </c>
      <c r="AE698" s="322">
        <v>2.7</v>
      </c>
    </row>
    <row r="699" spans="1:31" ht="15">
      <c r="A699" s="306"/>
      <c r="B699" s="298"/>
      <c r="C699" s="298" t="s">
        <v>198</v>
      </c>
      <c r="D699" s="278">
        <v>1480.05</v>
      </c>
      <c r="E699" s="278">
        <v>1583.8</v>
      </c>
      <c r="F699" s="278">
        <v>1425.16</v>
      </c>
      <c r="G699" s="278">
        <v>1406.77</v>
      </c>
      <c r="H699" s="278">
        <v>1377.01</v>
      </c>
      <c r="I699" s="278">
        <v>1350.78</v>
      </c>
      <c r="J699" s="278">
        <v>1420.34</v>
      </c>
      <c r="K699" s="278">
        <v>1352.26</v>
      </c>
      <c r="L699" s="278">
        <v>1441.56</v>
      </c>
      <c r="M699" s="278">
        <v>1388.34</v>
      </c>
      <c r="N699" s="278">
        <v>1619.07</v>
      </c>
      <c r="O699" s="278">
        <v>1398.28</v>
      </c>
      <c r="P699" s="278">
        <v>1334.76</v>
      </c>
      <c r="Q699" s="298"/>
      <c r="R699" s="298"/>
      <c r="S699" s="298"/>
      <c r="T699" s="298"/>
      <c r="U699" s="298"/>
      <c r="V699" s="302"/>
      <c r="W699" s="298"/>
      <c r="X699" s="375"/>
      <c r="Y699" s="268"/>
      <c r="Z699" s="267"/>
      <c r="AA699" s="267"/>
      <c r="AB699" s="267"/>
      <c r="AC699" s="267"/>
      <c r="AD699" s="268"/>
      <c r="AE699" s="269"/>
    </row>
    <row r="700" spans="1:31" ht="57.75" thickBot="1">
      <c r="A700" s="306"/>
      <c r="B700" s="309"/>
      <c r="C700" s="309" t="s">
        <v>197</v>
      </c>
      <c r="D700" s="377">
        <f t="shared" ref="D700:P700" si="228">IF(((D698="")*AND(D699="")),"",(D698-D699)*2)</f>
        <v>5427.5399999999991</v>
      </c>
      <c r="E700" s="377">
        <f t="shared" si="228"/>
        <v>5450.66</v>
      </c>
      <c r="F700" s="377">
        <f t="shared" si="228"/>
        <v>5426.6</v>
      </c>
      <c r="G700" s="377">
        <f t="shared" si="228"/>
        <v>5479.36</v>
      </c>
      <c r="H700" s="377">
        <f t="shared" si="228"/>
        <v>5471.619999999999</v>
      </c>
      <c r="I700" s="377">
        <f t="shared" si="228"/>
        <v>5516.2800000000007</v>
      </c>
      <c r="J700" s="377">
        <f t="shared" si="228"/>
        <v>5496.4400000000005</v>
      </c>
      <c r="K700" s="377">
        <f t="shared" si="228"/>
        <v>5516.32</v>
      </c>
      <c r="L700" s="377">
        <f t="shared" si="228"/>
        <v>5432.4800000000005</v>
      </c>
      <c r="M700" s="377">
        <f t="shared" si="228"/>
        <v>5508.58</v>
      </c>
      <c r="N700" s="377">
        <f t="shared" si="228"/>
        <v>5471.34</v>
      </c>
      <c r="O700" s="377">
        <f t="shared" si="228"/>
        <v>5459.26</v>
      </c>
      <c r="P700" s="377">
        <f t="shared" si="228"/>
        <v>5477.3799999999992</v>
      </c>
      <c r="Q700" s="309"/>
      <c r="R700" s="309"/>
      <c r="S700" s="309"/>
      <c r="T700" s="309"/>
      <c r="U700" s="309"/>
      <c r="V700" s="312"/>
      <c r="W700" s="309"/>
      <c r="X700" s="378"/>
      <c r="Y700" s="268"/>
      <c r="Z700" s="267"/>
      <c r="AA700" s="267"/>
      <c r="AB700" s="267"/>
      <c r="AC700" s="267"/>
      <c r="AD700" s="268"/>
      <c r="AE700" s="269"/>
    </row>
    <row r="701" spans="1:31" ht="12.75" customHeight="1">
      <c r="A701" s="373">
        <v>43524</v>
      </c>
      <c r="B701" s="315" t="s">
        <v>202</v>
      </c>
      <c r="C701" s="316" t="s">
        <v>199</v>
      </c>
      <c r="D701" s="278">
        <v>3179.91</v>
      </c>
      <c r="E701" s="278">
        <v>3729.75</v>
      </c>
      <c r="F701" s="278">
        <v>3768.8</v>
      </c>
      <c r="G701" s="278">
        <v>3228.45</v>
      </c>
      <c r="H701" s="278">
        <v>3709.19</v>
      </c>
      <c r="I701" s="278">
        <v>3738.11</v>
      </c>
      <c r="J701" s="278">
        <v>3713.43</v>
      </c>
      <c r="K701" s="278">
        <v>3734.7</v>
      </c>
      <c r="L701" s="278">
        <v>3690.66</v>
      </c>
      <c r="M701" s="346"/>
      <c r="N701" s="346"/>
      <c r="O701" s="346"/>
      <c r="P701" s="346"/>
      <c r="Q701" s="315">
        <f>IF((L702=""),"",MAX(D703:L703))</f>
        <v>8269.0499999999993</v>
      </c>
      <c r="R701" s="315">
        <f>IF(L702="","",MIN(D703:L703))</f>
        <v>7581.0899999999992</v>
      </c>
      <c r="S701" s="347">
        <f>IF((L703=""),"",AVERAGE(D703:L703))</f>
        <v>8020.2800000000007</v>
      </c>
      <c r="T701" s="318">
        <f>IF((L702=""),"",(Q701-R701)/(Q701+R701)*100)</f>
        <v>4.3404033024313984</v>
      </c>
      <c r="U701" s="315">
        <f>STDEV(D703:P703)</f>
        <v>259.96830143306892</v>
      </c>
      <c r="V701" s="320" t="str">
        <f>IF(L702="","",IF(T701&lt;9.8,IF(S701&gt;5100,IF(S701&lt;8300,"Pass","Fail"),"Fail"),"Fail"))</f>
        <v>Pass</v>
      </c>
      <c r="W701" s="315">
        <v>1335</v>
      </c>
      <c r="X701" s="374" t="s">
        <v>213</v>
      </c>
      <c r="Y701" s="268"/>
      <c r="Z701" s="267">
        <v>4955</v>
      </c>
      <c r="AA701" s="267">
        <v>9645</v>
      </c>
      <c r="AB701" s="267">
        <v>5100</v>
      </c>
      <c r="AC701" s="267">
        <v>8300</v>
      </c>
      <c r="AD701" s="305">
        <v>10</v>
      </c>
      <c r="AE701" s="305">
        <v>9.8000000000000007</v>
      </c>
    </row>
    <row r="702" spans="1:31" ht="15">
      <c r="A702" s="306"/>
      <c r="B702" s="298"/>
      <c r="C702" s="307" t="s">
        <v>198</v>
      </c>
      <c r="D702" s="278">
        <v>652.88</v>
      </c>
      <c r="E702" s="278">
        <v>1036.0899999999999</v>
      </c>
      <c r="F702" s="278">
        <v>1233.3499999999999</v>
      </c>
      <c r="G702" s="278">
        <v>472.18</v>
      </c>
      <c r="H702" s="278">
        <v>983.46</v>
      </c>
      <c r="I702" s="278">
        <v>1073</v>
      </c>
      <c r="J702" s="278">
        <v>988.6</v>
      </c>
      <c r="K702" s="278">
        <v>1058.29</v>
      </c>
      <c r="L702" s="278">
        <v>934.31</v>
      </c>
      <c r="M702" s="290"/>
      <c r="N702" s="290"/>
      <c r="O702" s="290"/>
      <c r="P702" s="290"/>
      <c r="Q702" s="298"/>
      <c r="R702" s="298"/>
      <c r="S702" s="298"/>
      <c r="T702" s="298"/>
      <c r="U702" s="298"/>
      <c r="V702" s="302"/>
      <c r="W702" s="298"/>
      <c r="X702" s="375"/>
      <c r="Y702" s="268"/>
      <c r="Z702" s="267"/>
      <c r="AA702" s="267"/>
      <c r="AB702" s="267"/>
      <c r="AC702" s="267"/>
      <c r="AD702" s="268"/>
      <c r="AE702" s="269"/>
    </row>
    <row r="703" spans="1:31" ht="57.75" thickBot="1">
      <c r="A703" s="306"/>
      <c r="B703" s="298"/>
      <c r="C703" s="326" t="s">
        <v>197</v>
      </c>
      <c r="D703" s="343">
        <f t="shared" ref="D703:L703" si="229">IF(((D701="")*AND(D702="")),"",(D701-D702)*3)</f>
        <v>7581.0899999999992</v>
      </c>
      <c r="E703" s="343">
        <f t="shared" si="229"/>
        <v>8080.98</v>
      </c>
      <c r="F703" s="343">
        <f t="shared" si="229"/>
        <v>7606.35</v>
      </c>
      <c r="G703" s="343">
        <f t="shared" si="229"/>
        <v>8268.81</v>
      </c>
      <c r="H703" s="343">
        <f t="shared" si="229"/>
        <v>8177.1900000000005</v>
      </c>
      <c r="I703" s="343">
        <f t="shared" si="229"/>
        <v>7995.33</v>
      </c>
      <c r="J703" s="343">
        <f t="shared" si="229"/>
        <v>8174.49</v>
      </c>
      <c r="K703" s="343">
        <f t="shared" si="229"/>
        <v>8029.23</v>
      </c>
      <c r="L703" s="343">
        <f t="shared" si="229"/>
        <v>8269.0499999999993</v>
      </c>
      <c r="M703" s="343"/>
      <c r="N703" s="343"/>
      <c r="O703" s="343"/>
      <c r="P703" s="343" t="str">
        <f>IF(((P701="")*AND(P702="")),"",(P701-P702)*2)</f>
        <v/>
      </c>
      <c r="Q703" s="298"/>
      <c r="R703" s="298"/>
      <c r="S703" s="298"/>
      <c r="T703" s="298"/>
      <c r="U703" s="298"/>
      <c r="V703" s="302"/>
      <c r="W703" s="298"/>
      <c r="X703" s="375"/>
      <c r="Y703" s="268"/>
      <c r="Z703" s="267"/>
      <c r="AA703" s="267"/>
      <c r="AB703" s="267"/>
      <c r="AC703" s="267"/>
      <c r="AD703" s="268"/>
      <c r="AE703" s="269"/>
    </row>
    <row r="704" spans="1:31" ht="12.75" customHeight="1">
      <c r="A704" s="373">
        <v>43524</v>
      </c>
      <c r="B704" s="326" t="s">
        <v>200</v>
      </c>
      <c r="C704" s="326" t="s">
        <v>199</v>
      </c>
      <c r="D704" s="278">
        <v>6756.6</v>
      </c>
      <c r="E704" s="278">
        <v>6876.1</v>
      </c>
      <c r="F704" s="278">
        <v>6708.05</v>
      </c>
      <c r="G704" s="278">
        <v>6760.22</v>
      </c>
      <c r="H704" s="278">
        <v>6675.91</v>
      </c>
      <c r="I704" s="278">
        <v>6713.74</v>
      </c>
      <c r="J704" s="278">
        <v>6789.87</v>
      </c>
      <c r="K704" s="278">
        <v>6738.54</v>
      </c>
      <c r="L704" s="278">
        <v>6724.03</v>
      </c>
      <c r="M704" s="278">
        <v>6765.07</v>
      </c>
      <c r="N704" s="278">
        <v>6926.48</v>
      </c>
      <c r="O704" s="278">
        <v>6706.21</v>
      </c>
      <c r="P704" s="278">
        <v>6641.8</v>
      </c>
      <c r="Q704" s="326">
        <f>IF((L705=""),"",MAX(D706:P706))</f>
        <v>5622.82</v>
      </c>
      <c r="R704" s="326">
        <f>IF(L705="","",MIN(D706:L706))</f>
        <v>5425.16</v>
      </c>
      <c r="S704" s="318">
        <f>IF((P706=""),"",AVERAGE(D706:P706))</f>
        <v>5534.8553846153845</v>
      </c>
      <c r="T704" s="319">
        <f>IF((L705=""),"",(Q704-R704)/(Q704+R704)*100)</f>
        <v>1.7891053387135012</v>
      </c>
      <c r="U704" s="326">
        <f>STDEV(D706:P706)</f>
        <v>71.769602271857224</v>
      </c>
      <c r="V704" s="328" t="str">
        <f>IF(P705="","",IF(T704&lt;2.7,IF(S704&gt;5150,IF(S704&lt;5600,"Pass","Fail"),"Fail"),"Fail"))</f>
        <v>Pass</v>
      </c>
      <c r="W704" s="326">
        <v>1335</v>
      </c>
      <c r="X704" s="375" t="s">
        <v>213</v>
      </c>
      <c r="Y704" s="268"/>
      <c r="Z704" s="321">
        <v>4470</v>
      </c>
      <c r="AA704" s="321">
        <v>6020</v>
      </c>
      <c r="AB704" s="321">
        <v>5150</v>
      </c>
      <c r="AC704" s="321">
        <v>5600</v>
      </c>
      <c r="AD704" s="305">
        <v>10</v>
      </c>
      <c r="AE704" s="322">
        <v>2.7</v>
      </c>
    </row>
    <row r="705" spans="1:31" ht="15">
      <c r="A705" s="306"/>
      <c r="B705" s="298"/>
      <c r="C705" s="298" t="s">
        <v>198</v>
      </c>
      <c r="D705" s="278">
        <v>4043.13</v>
      </c>
      <c r="E705" s="278">
        <v>4157.2700000000004</v>
      </c>
      <c r="F705" s="278">
        <v>3957.23</v>
      </c>
      <c r="G705" s="278">
        <v>3969.48</v>
      </c>
      <c r="H705" s="278">
        <v>3963.33</v>
      </c>
      <c r="I705" s="278">
        <v>3917.72</v>
      </c>
      <c r="J705" s="278">
        <v>3989.31</v>
      </c>
      <c r="K705" s="278">
        <v>3933.57</v>
      </c>
      <c r="L705" s="278">
        <v>3963.66</v>
      </c>
      <c r="M705" s="278">
        <v>3953.66</v>
      </c>
      <c r="N705" s="278">
        <v>4179.54</v>
      </c>
      <c r="O705" s="278">
        <v>3918.95</v>
      </c>
      <c r="P705" s="278">
        <v>3859.21</v>
      </c>
      <c r="Q705" s="298"/>
      <c r="R705" s="298"/>
      <c r="S705" s="298"/>
      <c r="T705" s="298"/>
      <c r="U705" s="298"/>
      <c r="V705" s="302"/>
      <c r="W705" s="298"/>
      <c r="X705" s="375"/>
      <c r="Y705" s="268"/>
      <c r="Z705" s="267"/>
      <c r="AA705" s="267"/>
      <c r="AB705" s="267"/>
      <c r="AC705" s="267"/>
      <c r="AD705" s="268"/>
      <c r="AE705" s="269"/>
    </row>
    <row r="706" spans="1:31" ht="57.75" thickBot="1">
      <c r="A706" s="306"/>
      <c r="B706" s="309"/>
      <c r="C706" s="309" t="s">
        <v>197</v>
      </c>
      <c r="D706" s="377">
        <f t="shared" ref="D706:P706" si="230">IF(((D704="")*AND(D705="")),"",(D704-D705)*2)</f>
        <v>5426.9400000000005</v>
      </c>
      <c r="E706" s="377">
        <f t="shared" si="230"/>
        <v>5437.66</v>
      </c>
      <c r="F706" s="377">
        <f t="shared" si="230"/>
        <v>5501.64</v>
      </c>
      <c r="G706" s="377">
        <f t="shared" si="230"/>
        <v>5581.4800000000005</v>
      </c>
      <c r="H706" s="377">
        <f t="shared" si="230"/>
        <v>5425.16</v>
      </c>
      <c r="I706" s="377">
        <f t="shared" si="230"/>
        <v>5592.04</v>
      </c>
      <c r="J706" s="377">
        <f t="shared" si="230"/>
        <v>5601.12</v>
      </c>
      <c r="K706" s="377">
        <f t="shared" si="230"/>
        <v>5609.94</v>
      </c>
      <c r="L706" s="377">
        <f t="shared" si="230"/>
        <v>5520.74</v>
      </c>
      <c r="M706" s="377">
        <f t="shared" si="230"/>
        <v>5622.82</v>
      </c>
      <c r="N706" s="377">
        <f t="shared" si="230"/>
        <v>5493.8799999999992</v>
      </c>
      <c r="O706" s="377">
        <f t="shared" si="230"/>
        <v>5574.52</v>
      </c>
      <c r="P706" s="377">
        <f t="shared" si="230"/>
        <v>5565.18</v>
      </c>
      <c r="Q706" s="309"/>
      <c r="R706" s="309"/>
      <c r="S706" s="309"/>
      <c r="T706" s="309"/>
      <c r="U706" s="309"/>
      <c r="V706" s="312"/>
      <c r="W706" s="309"/>
      <c r="X706" s="378"/>
      <c r="Y706" s="268"/>
      <c r="Z706" s="267"/>
      <c r="AA706" s="267"/>
      <c r="AB706" s="267"/>
      <c r="AC706" s="267"/>
      <c r="AD706" s="268"/>
      <c r="AE706" s="269"/>
    </row>
    <row r="707" spans="1:31" ht="12.75" customHeight="1">
      <c r="A707" s="373">
        <v>43528</v>
      </c>
      <c r="B707" s="315" t="s">
        <v>202</v>
      </c>
      <c r="C707" s="316" t="s">
        <v>199</v>
      </c>
      <c r="D707" s="278">
        <v>6037.07</v>
      </c>
      <c r="E707" s="278">
        <v>6092.62</v>
      </c>
      <c r="F707" s="278">
        <v>6184.58</v>
      </c>
      <c r="G707" s="278">
        <v>6018.33</v>
      </c>
      <c r="H707" s="278">
        <v>6083.49</v>
      </c>
      <c r="I707" s="278">
        <v>6224.97</v>
      </c>
      <c r="J707" s="278">
        <v>6103.47</v>
      </c>
      <c r="K707" s="278">
        <v>6184.94</v>
      </c>
      <c r="L707" s="278">
        <v>6058.19</v>
      </c>
      <c r="M707" s="346"/>
      <c r="N707" s="346"/>
      <c r="O707" s="346"/>
      <c r="P707" s="346"/>
      <c r="Q707" s="315">
        <f>IF((L708=""),"",MAX(D709:L709))</f>
        <v>8447.2799999999988</v>
      </c>
      <c r="R707" s="315">
        <f>IF(L708="","",MIN(D709:L709))</f>
        <v>7235.01</v>
      </c>
      <c r="S707" s="347">
        <f>IF((L709=""),"",AVERAGE(D709:L709))</f>
        <v>7531</v>
      </c>
      <c r="T707" s="318">
        <f>IF((L708=""),"",(Q707-R707)/(Q707+R707)*100)</f>
        <v>7.7301848135699487</v>
      </c>
      <c r="U707" s="315">
        <f>STDEV(D709:P709)</f>
        <v>379.38383627270082</v>
      </c>
      <c r="V707" s="320" t="str">
        <f>IF(L708="","",IF(T707&lt;9.8,IF(S707&gt;5100,IF(S707&lt;8300,"Pass","Fail"),"Fail"),"Fail"))</f>
        <v>Pass</v>
      </c>
      <c r="W707" s="315">
        <v>74</v>
      </c>
      <c r="X707" s="374" t="s">
        <v>212</v>
      </c>
      <c r="Y707" s="268"/>
      <c r="Z707" s="267">
        <v>4955</v>
      </c>
      <c r="AA707" s="267">
        <v>9645</v>
      </c>
      <c r="AB707" s="267">
        <v>5100</v>
      </c>
      <c r="AC707" s="267">
        <v>8300</v>
      </c>
      <c r="AD707" s="305">
        <v>10</v>
      </c>
      <c r="AE707" s="305">
        <v>9.8000000000000007</v>
      </c>
    </row>
    <row r="708" spans="1:31" ht="15">
      <c r="A708" s="306"/>
      <c r="B708" s="298"/>
      <c r="C708" s="307" t="s">
        <v>198</v>
      </c>
      <c r="D708" s="278">
        <v>3221.31</v>
      </c>
      <c r="E708" s="278">
        <v>3680.95</v>
      </c>
      <c r="F708" s="278">
        <v>3721.33</v>
      </c>
      <c r="G708" s="278">
        <v>3422.62</v>
      </c>
      <c r="H708" s="278">
        <v>3619.61</v>
      </c>
      <c r="I708" s="278">
        <v>3727.67</v>
      </c>
      <c r="J708" s="278">
        <v>3669.94</v>
      </c>
      <c r="K708" s="278">
        <v>3703.77</v>
      </c>
      <c r="L708" s="278">
        <v>3627.46</v>
      </c>
      <c r="M708" s="290"/>
      <c r="N708" s="290"/>
      <c r="O708" s="290"/>
      <c r="P708" s="290"/>
      <c r="Q708" s="298"/>
      <c r="R708" s="298"/>
      <c r="S708" s="298"/>
      <c r="T708" s="298"/>
      <c r="U708" s="298"/>
      <c r="V708" s="302"/>
      <c r="W708" s="298"/>
      <c r="X708" s="375"/>
      <c r="Y708" s="268"/>
      <c r="Z708" s="267"/>
      <c r="AA708" s="267"/>
      <c r="AB708" s="267"/>
      <c r="AC708" s="267"/>
      <c r="AD708" s="268"/>
      <c r="AE708" s="269"/>
    </row>
    <row r="709" spans="1:31" ht="57.75" thickBot="1">
      <c r="A709" s="306"/>
      <c r="B709" s="298"/>
      <c r="C709" s="326" t="s">
        <v>197</v>
      </c>
      <c r="D709" s="343">
        <f t="shared" ref="D709:L709" si="231">IF(((D707="")*AND(D708="")),"",(D707-D708)*3)</f>
        <v>8447.2799999999988</v>
      </c>
      <c r="E709" s="343">
        <f t="shared" si="231"/>
        <v>7235.01</v>
      </c>
      <c r="F709" s="343">
        <f t="shared" si="231"/>
        <v>7389.75</v>
      </c>
      <c r="G709" s="343">
        <f t="shared" si="231"/>
        <v>7787.13</v>
      </c>
      <c r="H709" s="343">
        <f t="shared" si="231"/>
        <v>7391.6399999999994</v>
      </c>
      <c r="I709" s="343">
        <f t="shared" si="231"/>
        <v>7491.9000000000005</v>
      </c>
      <c r="J709" s="343">
        <f t="shared" si="231"/>
        <v>7300.59</v>
      </c>
      <c r="K709" s="343">
        <f t="shared" si="231"/>
        <v>7443.5099999999984</v>
      </c>
      <c r="L709" s="343">
        <f t="shared" si="231"/>
        <v>7292.1899999999987</v>
      </c>
      <c r="M709" s="343"/>
      <c r="N709" s="343"/>
      <c r="O709" s="343"/>
      <c r="P709" s="343" t="str">
        <f>IF(((P707="")*AND(P708="")),"",(P707-P708)*2)</f>
        <v/>
      </c>
      <c r="Q709" s="298"/>
      <c r="R709" s="298"/>
      <c r="S709" s="298"/>
      <c r="T709" s="298"/>
      <c r="U709" s="298"/>
      <c r="V709" s="302"/>
      <c r="W709" s="298"/>
      <c r="X709" s="375"/>
      <c r="Y709" s="268"/>
      <c r="Z709" s="267"/>
      <c r="AA709" s="267"/>
      <c r="AB709" s="267"/>
      <c r="AC709" s="267"/>
      <c r="AD709" s="268"/>
      <c r="AE709" s="269"/>
    </row>
    <row r="710" spans="1:31" ht="12.75" customHeight="1">
      <c r="A710" s="373">
        <v>43528</v>
      </c>
      <c r="B710" s="326" t="s">
        <v>200</v>
      </c>
      <c r="C710" s="326" t="s">
        <v>199</v>
      </c>
      <c r="D710" s="278">
        <v>6877.11</v>
      </c>
      <c r="E710" s="278">
        <v>6996.7</v>
      </c>
      <c r="F710" s="278">
        <v>6829.09</v>
      </c>
      <c r="G710" s="278">
        <v>6862.92</v>
      </c>
      <c r="H710" s="278">
        <v>6811.1</v>
      </c>
      <c r="I710" s="278">
        <v>6833.92</v>
      </c>
      <c r="J710" s="278">
        <v>6895</v>
      </c>
      <c r="K710" s="278">
        <v>6845.77</v>
      </c>
      <c r="L710" s="278">
        <v>6846.02</v>
      </c>
      <c r="M710" s="278">
        <v>6879.76</v>
      </c>
      <c r="N710" s="278">
        <v>7051.51</v>
      </c>
      <c r="O710" s="278">
        <v>6833.19</v>
      </c>
      <c r="P710" s="278">
        <v>6775.4</v>
      </c>
      <c r="Q710" s="326">
        <f>IF((L711=""),"",MAX(D712:P712))</f>
        <v>5490.34</v>
      </c>
      <c r="R710" s="326">
        <f>IF(L711="","",MIN(D712:L712))</f>
        <v>5385.58</v>
      </c>
      <c r="S710" s="318">
        <f>IF((P712=""),"",AVERAGE(D712:P712))</f>
        <v>5433.9323076923083</v>
      </c>
      <c r="T710" s="319">
        <f>IF((L711=""),"",(Q710-R710)/(Q710+R710)*100)</f>
        <v>0.9632288578805307</v>
      </c>
      <c r="U710" s="326">
        <f>STDEV(D712:P712)</f>
        <v>32.524700908983291</v>
      </c>
      <c r="V710" s="328" t="str">
        <f>IF(P711="","",IF(T710&lt;2.7,IF(S710&gt;5150,IF(S710&lt;5600,"Pass","Fail"),"Fail"),"Fail"))</f>
        <v>Pass</v>
      </c>
      <c r="W710" s="326">
        <v>74</v>
      </c>
      <c r="X710" s="375" t="s">
        <v>212</v>
      </c>
      <c r="Y710" s="268"/>
      <c r="Z710" s="321">
        <v>4470</v>
      </c>
      <c r="AA710" s="321">
        <v>6020</v>
      </c>
      <c r="AB710" s="321">
        <v>5150</v>
      </c>
      <c r="AC710" s="321">
        <v>5600</v>
      </c>
      <c r="AD710" s="305">
        <v>10</v>
      </c>
      <c r="AE710" s="322">
        <v>2.7</v>
      </c>
    </row>
    <row r="711" spans="1:31" ht="15">
      <c r="A711" s="306"/>
      <c r="B711" s="298"/>
      <c r="C711" s="298" t="s">
        <v>198</v>
      </c>
      <c r="D711" s="278">
        <v>4184.32</v>
      </c>
      <c r="E711" s="278">
        <v>4287.5200000000004</v>
      </c>
      <c r="F711" s="278">
        <v>4135.93</v>
      </c>
      <c r="G711" s="278">
        <v>4144.2</v>
      </c>
      <c r="H711" s="278">
        <v>4093.28</v>
      </c>
      <c r="I711" s="278">
        <v>4098.05</v>
      </c>
      <c r="J711" s="278">
        <v>4165.71</v>
      </c>
      <c r="K711" s="278">
        <v>4112.68</v>
      </c>
      <c r="L711" s="278">
        <v>4148.72</v>
      </c>
      <c r="M711" s="278">
        <v>4134.59</v>
      </c>
      <c r="N711" s="278">
        <v>4336.57</v>
      </c>
      <c r="O711" s="278">
        <v>4115.54</v>
      </c>
      <c r="P711" s="278">
        <v>4059.82</v>
      </c>
      <c r="Q711" s="298"/>
      <c r="R711" s="298"/>
      <c r="S711" s="298"/>
      <c r="T711" s="298"/>
      <c r="U711" s="298"/>
      <c r="V711" s="302"/>
      <c r="W711" s="298"/>
      <c r="X711" s="375"/>
      <c r="Y711" s="268"/>
      <c r="Z711" s="267"/>
      <c r="AA711" s="267"/>
      <c r="AB711" s="267"/>
      <c r="AC711" s="267"/>
      <c r="AD711" s="268"/>
      <c r="AE711" s="269"/>
    </row>
    <row r="712" spans="1:31" ht="57.75" thickBot="1">
      <c r="A712" s="306"/>
      <c r="B712" s="309"/>
      <c r="C712" s="309" t="s">
        <v>197</v>
      </c>
      <c r="D712" s="377">
        <f t="shared" ref="D712:P712" si="232">IF(((D710="")*AND(D711="")),"",(D710-D711)*2)</f>
        <v>5385.58</v>
      </c>
      <c r="E712" s="377">
        <f t="shared" si="232"/>
        <v>5418.3599999999988</v>
      </c>
      <c r="F712" s="377">
        <f t="shared" si="232"/>
        <v>5386.32</v>
      </c>
      <c r="G712" s="377">
        <f t="shared" si="232"/>
        <v>5437.4400000000005</v>
      </c>
      <c r="H712" s="377">
        <f t="shared" si="232"/>
        <v>5435.64</v>
      </c>
      <c r="I712" s="377">
        <f t="shared" si="232"/>
        <v>5471.74</v>
      </c>
      <c r="J712" s="377">
        <f t="shared" si="232"/>
        <v>5458.58</v>
      </c>
      <c r="K712" s="377">
        <f t="shared" si="232"/>
        <v>5466.18</v>
      </c>
      <c r="L712" s="377">
        <f t="shared" si="232"/>
        <v>5394.6</v>
      </c>
      <c r="M712" s="377">
        <f t="shared" si="232"/>
        <v>5490.34</v>
      </c>
      <c r="N712" s="377">
        <f t="shared" si="232"/>
        <v>5429.880000000001</v>
      </c>
      <c r="O712" s="377">
        <f t="shared" si="232"/>
        <v>5435.2999999999993</v>
      </c>
      <c r="P712" s="377">
        <f t="shared" si="232"/>
        <v>5431.1599999999989</v>
      </c>
      <c r="Q712" s="309"/>
      <c r="R712" s="309"/>
      <c r="S712" s="309"/>
      <c r="T712" s="309"/>
      <c r="U712" s="309"/>
      <c r="V712" s="312"/>
      <c r="W712" s="309"/>
      <c r="X712" s="378"/>
      <c r="Y712" s="268"/>
      <c r="Z712" s="267"/>
      <c r="AA712" s="267"/>
      <c r="AB712" s="267"/>
      <c r="AC712" s="267"/>
      <c r="AD712" s="268"/>
      <c r="AE712" s="269"/>
    </row>
    <row r="713" spans="1:31" ht="12.75" customHeight="1">
      <c r="A713" s="373">
        <v>43535</v>
      </c>
      <c r="B713" s="315" t="s">
        <v>202</v>
      </c>
      <c r="C713" s="316" t="s">
        <v>199</v>
      </c>
      <c r="D713" s="278">
        <v>6042.58</v>
      </c>
      <c r="E713" s="278">
        <v>6051.46</v>
      </c>
      <c r="F713" s="278">
        <v>6030.65</v>
      </c>
      <c r="G713" s="278">
        <v>6063.4</v>
      </c>
      <c r="H713" s="278">
        <v>6051.74</v>
      </c>
      <c r="I713" s="278">
        <v>6056.83</v>
      </c>
      <c r="J713" s="278">
        <v>6049.95</v>
      </c>
      <c r="K713" s="278">
        <v>6045.11</v>
      </c>
      <c r="L713" s="278">
        <v>6047.09</v>
      </c>
      <c r="M713" s="346"/>
      <c r="N713" s="346"/>
      <c r="O713" s="346"/>
      <c r="P713" s="346"/>
      <c r="Q713" s="315">
        <f>IF((L714=""),"",MAX(D715:L715))</f>
        <v>8723.9699999999993</v>
      </c>
      <c r="R713" s="315">
        <f>IF(L714="","",MIN(D715:L715))</f>
        <v>6876.1799999999985</v>
      </c>
      <c r="S713" s="347">
        <f>IF((L715=""),"",AVERAGE(D715:L715))</f>
        <v>7371.1466666666674</v>
      </c>
      <c r="T713" s="318">
        <f>IF((L714=""),"",(Q713-R713)/(Q713+R713)*100)</f>
        <v>11.844693801021151</v>
      </c>
      <c r="U713" s="315">
        <f>STDEV(D715:P715)</f>
        <v>719.7754194191242</v>
      </c>
      <c r="V713" s="320" t="str">
        <f>IF(L714="","",IF(T713&lt;9.8,IF(S713&gt;5100,IF(S713&lt;8300,"Pass","Fail"),"Fail"),"Fail"))</f>
        <v>Fail</v>
      </c>
      <c r="W713" s="315">
        <v>1534</v>
      </c>
      <c r="X713" s="282"/>
      <c r="Y713" s="374"/>
      <c r="Z713" s="267">
        <v>4955</v>
      </c>
      <c r="AA713" s="267">
        <v>9645</v>
      </c>
      <c r="AB713" s="267">
        <v>5100</v>
      </c>
      <c r="AC713" s="267">
        <v>8300</v>
      </c>
      <c r="AD713" s="305">
        <v>10</v>
      </c>
      <c r="AE713" s="305">
        <v>9.8000000000000007</v>
      </c>
    </row>
    <row r="714" spans="1:31" ht="15">
      <c r="A714" s="306"/>
      <c r="B714" s="298"/>
      <c r="C714" s="307" t="s">
        <v>198</v>
      </c>
      <c r="D714" s="278">
        <v>3134.59</v>
      </c>
      <c r="E714" s="278">
        <v>3693.06</v>
      </c>
      <c r="F714" s="278">
        <v>3738.59</v>
      </c>
      <c r="G714" s="278">
        <v>3218.11</v>
      </c>
      <c r="H714" s="278">
        <v>3667.72</v>
      </c>
      <c r="I714" s="278">
        <v>3751.61</v>
      </c>
      <c r="J714" s="278">
        <v>3701.76</v>
      </c>
      <c r="K714" s="278">
        <v>3710.52</v>
      </c>
      <c r="L714" s="278">
        <v>3709.41</v>
      </c>
      <c r="M714" s="290"/>
      <c r="N714" s="290"/>
      <c r="O714" s="290"/>
      <c r="P714" s="290"/>
      <c r="Q714" s="298"/>
      <c r="R714" s="298"/>
      <c r="S714" s="298"/>
      <c r="T714" s="298"/>
      <c r="U714" s="298"/>
      <c r="V714" s="302"/>
      <c r="W714" s="298"/>
      <c r="X714" s="282"/>
      <c r="Y714" s="375"/>
      <c r="Z714" s="267"/>
      <c r="AA714" s="267"/>
      <c r="AB714" s="267"/>
      <c r="AC714" s="267"/>
      <c r="AD714" s="268"/>
      <c r="AE714" s="269"/>
    </row>
    <row r="715" spans="1:31" ht="57.75" thickBot="1">
      <c r="A715" s="306"/>
      <c r="B715" s="298"/>
      <c r="C715" s="326" t="s">
        <v>197</v>
      </c>
      <c r="D715" s="343">
        <f t="shared" ref="D715:L715" si="233">IF(((D713="")*AND(D714="")),"",(D713-D714)*3)</f>
        <v>8723.9699999999993</v>
      </c>
      <c r="E715" s="343">
        <f t="shared" si="233"/>
        <v>7075.2000000000007</v>
      </c>
      <c r="F715" s="343">
        <f t="shared" si="233"/>
        <v>6876.1799999999985</v>
      </c>
      <c r="G715" s="343">
        <f t="shared" si="233"/>
        <v>8535.869999999999</v>
      </c>
      <c r="H715" s="343">
        <f t="shared" si="233"/>
        <v>7152.0599999999995</v>
      </c>
      <c r="I715" s="343">
        <f t="shared" si="233"/>
        <v>6915.66</v>
      </c>
      <c r="J715" s="343">
        <f t="shared" si="233"/>
        <v>7044.5699999999988</v>
      </c>
      <c r="K715" s="343">
        <f t="shared" si="233"/>
        <v>7003.7699999999986</v>
      </c>
      <c r="L715" s="343">
        <f t="shared" si="233"/>
        <v>7013.0400000000009</v>
      </c>
      <c r="M715" s="343"/>
      <c r="N715" s="343"/>
      <c r="O715" s="343"/>
      <c r="P715" s="343" t="str">
        <f>IF(((P713="")*AND(P714="")),"",(P713-P714)*2)</f>
        <v/>
      </c>
      <c r="Q715" s="298"/>
      <c r="R715" s="298"/>
      <c r="S715" s="298"/>
      <c r="T715" s="298"/>
      <c r="U715" s="298"/>
      <c r="V715" s="302"/>
      <c r="W715" s="298"/>
      <c r="X715" s="282"/>
      <c r="Y715" s="375"/>
      <c r="Z715" s="267"/>
      <c r="AA715" s="267"/>
      <c r="AB715" s="267"/>
      <c r="AC715" s="267"/>
      <c r="AD715" s="268"/>
      <c r="AE715" s="269"/>
    </row>
    <row r="716" spans="1:31" ht="12.75" customHeight="1">
      <c r="A716" s="373">
        <v>43535</v>
      </c>
      <c r="B716" s="326" t="s">
        <v>200</v>
      </c>
      <c r="C716" s="326" t="s">
        <v>199</v>
      </c>
      <c r="D716" s="278">
        <v>6705.7</v>
      </c>
      <c r="E716" s="278">
        <v>6821.45</v>
      </c>
      <c r="F716" s="278">
        <v>6656.01</v>
      </c>
      <c r="G716" s="278">
        <v>6706.18</v>
      </c>
      <c r="H716" s="278">
        <v>6630.15</v>
      </c>
      <c r="I716" s="278">
        <v>6660.85</v>
      </c>
      <c r="J716" s="278">
        <v>6737.05</v>
      </c>
      <c r="K716" s="278">
        <v>6687.56</v>
      </c>
      <c r="L716" s="278">
        <v>6670.26</v>
      </c>
      <c r="M716" s="278">
        <v>6715.36</v>
      </c>
      <c r="N716" s="278">
        <v>6869.63</v>
      </c>
      <c r="O716" s="278">
        <v>6656.86</v>
      </c>
      <c r="P716" s="278">
        <v>6593.29</v>
      </c>
      <c r="Q716" s="326">
        <f>IF((L717=""),"",MAX(D718:P718))</f>
        <v>5414.9999999999991</v>
      </c>
      <c r="R716" s="326">
        <f>IF(L717="","",MIN(D718:L718))</f>
        <v>5337.22</v>
      </c>
      <c r="S716" s="318">
        <f>IF((P718=""),"",AVERAGE(D718:P718))</f>
        <v>5375.4030769230776</v>
      </c>
      <c r="T716" s="319">
        <f>IF((L717=""),"",(Q716-R716)/(Q716+R716)*100)</f>
        <v>0.72338549620449399</v>
      </c>
      <c r="U716" s="326">
        <f>STDEV(D718:P718)</f>
        <v>24.549274050531906</v>
      </c>
      <c r="V716" s="328" t="str">
        <f>IF(P717="","",IF(T716&lt;2.7,IF(S716&gt;5150,IF(S716&lt;5600,"Pass","Fail"),"Fail"),"Fail"))</f>
        <v>Pass</v>
      </c>
      <c r="W716" s="326">
        <v>1534</v>
      </c>
      <c r="X716" s="375" t="s">
        <v>211</v>
      </c>
      <c r="Y716" s="268"/>
      <c r="Z716" s="321">
        <v>4470</v>
      </c>
      <c r="AA716" s="321">
        <v>6020</v>
      </c>
      <c r="AB716" s="321">
        <v>5150</v>
      </c>
      <c r="AC716" s="321">
        <v>5600</v>
      </c>
      <c r="AD716" s="305">
        <v>10</v>
      </c>
      <c r="AE716" s="322">
        <v>2.7</v>
      </c>
    </row>
    <row r="717" spans="1:31" ht="15">
      <c r="A717" s="306"/>
      <c r="B717" s="298"/>
      <c r="C717" s="298" t="s">
        <v>198</v>
      </c>
      <c r="D717" s="278">
        <v>4017.78</v>
      </c>
      <c r="E717" s="278">
        <v>4119.99</v>
      </c>
      <c r="F717" s="278">
        <v>3985.78</v>
      </c>
      <c r="G717" s="278">
        <v>4026.17</v>
      </c>
      <c r="H717" s="278">
        <v>3922.65</v>
      </c>
      <c r="I717" s="278">
        <v>3963.12</v>
      </c>
      <c r="J717" s="278">
        <v>4056.44</v>
      </c>
      <c r="K717" s="278">
        <v>3998.27</v>
      </c>
      <c r="L717" s="278">
        <v>4001.65</v>
      </c>
      <c r="M717" s="278">
        <v>4028.25</v>
      </c>
      <c r="N717" s="278">
        <v>4166.9799999999996</v>
      </c>
      <c r="O717" s="278">
        <v>3979.89</v>
      </c>
      <c r="P717" s="278">
        <v>3903.26</v>
      </c>
      <c r="Q717" s="298"/>
      <c r="R717" s="298"/>
      <c r="S717" s="298"/>
      <c r="T717" s="298"/>
      <c r="U717" s="298"/>
      <c r="V717" s="302"/>
      <c r="W717" s="298"/>
      <c r="X717" s="375"/>
      <c r="Y717" s="268"/>
      <c r="Z717" s="267"/>
      <c r="AA717" s="267"/>
      <c r="AB717" s="267"/>
      <c r="AC717" s="267"/>
      <c r="AD717" s="268"/>
      <c r="AE717" s="269"/>
    </row>
    <row r="718" spans="1:31" ht="57.75" thickBot="1">
      <c r="A718" s="306"/>
      <c r="B718" s="309"/>
      <c r="C718" s="309" t="s">
        <v>197</v>
      </c>
      <c r="D718" s="377">
        <f t="shared" ref="D718:P718" si="234">IF(((D716="")*AND(D717="")),"",(D716-D717)*2)</f>
        <v>5375.8399999999992</v>
      </c>
      <c r="E718" s="377">
        <f t="shared" si="234"/>
        <v>5402.92</v>
      </c>
      <c r="F718" s="377">
        <f t="shared" si="234"/>
        <v>5340.46</v>
      </c>
      <c r="G718" s="377">
        <f t="shared" si="234"/>
        <v>5360.02</v>
      </c>
      <c r="H718" s="377">
        <f t="shared" si="234"/>
        <v>5414.9999999999991</v>
      </c>
      <c r="I718" s="377">
        <f t="shared" si="234"/>
        <v>5395.4600000000009</v>
      </c>
      <c r="J718" s="377">
        <f t="shared" si="234"/>
        <v>5361.22</v>
      </c>
      <c r="K718" s="377">
        <f t="shared" si="234"/>
        <v>5378.5800000000008</v>
      </c>
      <c r="L718" s="377">
        <f t="shared" si="234"/>
        <v>5337.22</v>
      </c>
      <c r="M718" s="377">
        <f t="shared" si="234"/>
        <v>5374.2199999999993</v>
      </c>
      <c r="N718" s="377">
        <f t="shared" si="234"/>
        <v>5405.3000000000011</v>
      </c>
      <c r="O718" s="377">
        <f t="shared" si="234"/>
        <v>5353.94</v>
      </c>
      <c r="P718" s="377">
        <f t="shared" si="234"/>
        <v>5380.0599999999995</v>
      </c>
      <c r="Q718" s="309"/>
      <c r="R718" s="309"/>
      <c r="S718" s="309"/>
      <c r="T718" s="309"/>
      <c r="U718" s="309"/>
      <c r="V718" s="312"/>
      <c r="W718" s="309"/>
      <c r="X718" s="378"/>
      <c r="Y718" s="268"/>
      <c r="Z718" s="267"/>
      <c r="AA718" s="267"/>
      <c r="AB718" s="267"/>
      <c r="AC718" s="267"/>
      <c r="AD718" s="268"/>
      <c r="AE718" s="269"/>
    </row>
    <row r="719" spans="1:31" ht="12.75" customHeight="1">
      <c r="A719" s="373">
        <v>43535</v>
      </c>
      <c r="B719" s="315" t="s">
        <v>202</v>
      </c>
      <c r="C719" s="316" t="s">
        <v>199</v>
      </c>
      <c r="D719" s="278">
        <v>6016</v>
      </c>
      <c r="E719" s="278">
        <v>6039.34</v>
      </c>
      <c r="F719" s="278">
        <v>6099.39</v>
      </c>
      <c r="G719" s="278">
        <v>6060.51</v>
      </c>
      <c r="H719" s="278">
        <v>6071.05</v>
      </c>
      <c r="I719" s="278">
        <v>6063.89</v>
      </c>
      <c r="J719" s="278">
        <v>6050.5</v>
      </c>
      <c r="K719" s="278">
        <v>6076.39</v>
      </c>
      <c r="L719" s="278">
        <v>6025.18</v>
      </c>
      <c r="M719" s="346"/>
      <c r="N719" s="346"/>
      <c r="O719" s="346"/>
      <c r="P719" s="346"/>
      <c r="Q719" s="315">
        <f>IF((L720=""),"",MAX(D721:L721))</f>
        <v>8459.07</v>
      </c>
      <c r="R719" s="315">
        <f>IF(L720="","",MIN(D721:L721))</f>
        <v>7095.6900000000005</v>
      </c>
      <c r="S719" s="347">
        <f>IF((L721=""),"",AVERAGE(D721:L721))</f>
        <v>7465.796666666668</v>
      </c>
      <c r="T719" s="318">
        <f>IF((L720=""),"",(Q719-R719)/(Q719+R719)*100)</f>
        <v>8.7650339831665622</v>
      </c>
      <c r="U719" s="315">
        <f>STDEV(D721:P721)</f>
        <v>480.38554003527969</v>
      </c>
      <c r="V719" s="320" t="str">
        <f>IF(L720="","",IF(T719&lt;9.8,IF(S719&gt;5100,IF(S719&lt;8300,"Pass","Fail"),"Fail"),"Fail"))</f>
        <v>Pass</v>
      </c>
      <c r="W719" s="315">
        <v>1428</v>
      </c>
      <c r="X719" s="268" t="s">
        <v>211</v>
      </c>
      <c r="Y719" s="268"/>
      <c r="Z719" s="267">
        <v>4955</v>
      </c>
      <c r="AA719" s="267">
        <v>9645</v>
      </c>
      <c r="AB719" s="267">
        <v>5100</v>
      </c>
      <c r="AC719" s="267">
        <v>8300</v>
      </c>
      <c r="AD719" s="305">
        <v>10</v>
      </c>
      <c r="AE719" s="305">
        <v>9.8000000000000007</v>
      </c>
    </row>
    <row r="720" spans="1:31" ht="15">
      <c r="A720" s="306"/>
      <c r="B720" s="298"/>
      <c r="C720" s="307" t="s">
        <v>198</v>
      </c>
      <c r="D720" s="278">
        <v>3310.65</v>
      </c>
      <c r="E720" s="278">
        <v>3674.11</v>
      </c>
      <c r="F720" s="278">
        <v>3675.68</v>
      </c>
      <c r="G720" s="278">
        <v>3240.82</v>
      </c>
      <c r="H720" s="278">
        <v>3628.19</v>
      </c>
      <c r="I720" s="278">
        <v>3675.1</v>
      </c>
      <c r="J720" s="278">
        <v>3604.28</v>
      </c>
      <c r="K720" s="278">
        <v>3657.6</v>
      </c>
      <c r="L720" s="278">
        <v>3638.43</v>
      </c>
      <c r="M720" s="290"/>
      <c r="N720" s="290"/>
      <c r="O720" s="290"/>
      <c r="P720" s="290"/>
      <c r="Q720" s="298"/>
      <c r="R720" s="298"/>
      <c r="S720" s="298"/>
      <c r="T720" s="298"/>
      <c r="U720" s="298"/>
      <c r="V720" s="302"/>
      <c r="W720" s="298"/>
      <c r="X720" s="268"/>
      <c r="Y720" s="268"/>
      <c r="Z720" s="267"/>
      <c r="AA720" s="267"/>
      <c r="AB720" s="267"/>
      <c r="AC720" s="267"/>
      <c r="AD720" s="268"/>
      <c r="AE720" s="269"/>
    </row>
    <row r="721" spans="1:31" ht="57.75" thickBot="1">
      <c r="A721" s="306"/>
      <c r="B721" s="298"/>
      <c r="C721" s="326" t="s">
        <v>197</v>
      </c>
      <c r="D721" s="343">
        <f t="shared" ref="D721:L721" si="235">IF(((D719="")*AND(D720="")),"",(D719-D720)*3)</f>
        <v>8116.0499999999993</v>
      </c>
      <c r="E721" s="343">
        <f t="shared" si="235"/>
        <v>7095.6900000000005</v>
      </c>
      <c r="F721" s="343">
        <f t="shared" si="235"/>
        <v>7271.130000000001</v>
      </c>
      <c r="G721" s="343">
        <f t="shared" si="235"/>
        <v>8459.07</v>
      </c>
      <c r="H721" s="343">
        <f t="shared" si="235"/>
        <v>7328.58</v>
      </c>
      <c r="I721" s="343">
        <f t="shared" si="235"/>
        <v>7166.3700000000008</v>
      </c>
      <c r="J721" s="343">
        <f t="shared" si="235"/>
        <v>7338.66</v>
      </c>
      <c r="K721" s="343">
        <f t="shared" si="235"/>
        <v>7256.3700000000008</v>
      </c>
      <c r="L721" s="343">
        <f t="shared" si="235"/>
        <v>7160.2500000000018</v>
      </c>
      <c r="M721" s="343"/>
      <c r="N721" s="343"/>
      <c r="O721" s="343"/>
      <c r="P721" s="343" t="str">
        <f>IF(((P719="")*AND(P720="")),"",(P719-P720)*2)</f>
        <v/>
      </c>
      <c r="Q721" s="298"/>
      <c r="R721" s="298"/>
      <c r="S721" s="298"/>
      <c r="T721" s="298"/>
      <c r="U721" s="298"/>
      <c r="V721" s="302"/>
      <c r="W721" s="298"/>
      <c r="X721" s="268"/>
      <c r="Y721" s="268"/>
      <c r="Z721" s="267"/>
      <c r="AA721" s="267"/>
      <c r="AB721" s="267"/>
      <c r="AC721" s="267"/>
      <c r="AD721" s="268"/>
      <c r="AE721" s="269"/>
    </row>
    <row r="722" spans="1:31" ht="12.75" customHeight="1">
      <c r="A722" s="342">
        <v>43538</v>
      </c>
      <c r="B722" s="315" t="s">
        <v>202</v>
      </c>
      <c r="C722" s="316" t="s">
        <v>199</v>
      </c>
      <c r="D722" s="278">
        <v>3325.29</v>
      </c>
      <c r="E722" s="278">
        <v>3704.2</v>
      </c>
      <c r="F722" s="278">
        <v>3713.86</v>
      </c>
      <c r="G722" s="278">
        <v>3132.61</v>
      </c>
      <c r="H722" s="278">
        <v>3640.91</v>
      </c>
      <c r="I722" s="278">
        <v>3697.1</v>
      </c>
      <c r="J722" s="278">
        <v>3629.37</v>
      </c>
      <c r="K722" s="278">
        <v>3670.67</v>
      </c>
      <c r="L722" s="278">
        <v>3639.14</v>
      </c>
      <c r="M722" s="346"/>
      <c r="N722" s="346"/>
      <c r="O722" s="346"/>
      <c r="P722" s="346"/>
      <c r="Q722" s="315">
        <f>IF((L723=""),"",MAX(D724:L724))</f>
        <v>6914.0999999999995</v>
      </c>
      <c r="R722" s="315">
        <f>IF(L723="","",MIN(D724:L724))</f>
        <v>6491.82</v>
      </c>
      <c r="S722" s="347">
        <f>IF((L724=""),"",AVERAGE(D724:L724))</f>
        <v>6806.2799999999988</v>
      </c>
      <c r="T722" s="318">
        <f>IF((L723=""),"",(Q722-R722)/(Q722+R722)*100)</f>
        <v>3.1499516631458326</v>
      </c>
      <c r="U722" s="315">
        <f>STDEV(D724:P724)</f>
        <v>131.99583317293283</v>
      </c>
      <c r="V722" s="320" t="str">
        <f>IF(L723="","",IF(T722&lt;9.8,IF(S722&gt;5100,IF(S722&lt;8300,"Pass","Fail"),"Fail"),"Fail"))</f>
        <v>Pass</v>
      </c>
      <c r="W722" s="315">
        <v>121</v>
      </c>
      <c r="X722" s="374" t="s">
        <v>210</v>
      </c>
      <c r="Y722" s="268"/>
      <c r="Z722" s="267">
        <v>4955</v>
      </c>
      <c r="AA722" s="267">
        <v>9645</v>
      </c>
      <c r="AB722" s="267">
        <v>5100</v>
      </c>
      <c r="AC722" s="267">
        <v>8300</v>
      </c>
      <c r="AD722" s="305">
        <v>10</v>
      </c>
      <c r="AE722" s="305">
        <v>9.8000000000000007</v>
      </c>
    </row>
    <row r="723" spans="1:31" ht="15">
      <c r="A723" s="306"/>
      <c r="B723" s="298"/>
      <c r="C723" s="307" t="s">
        <v>198</v>
      </c>
      <c r="D723" s="278">
        <v>1082.3900000000001</v>
      </c>
      <c r="E723" s="278">
        <v>1418.53</v>
      </c>
      <c r="F723" s="278">
        <v>1424.92</v>
      </c>
      <c r="G723" s="278">
        <v>968.67</v>
      </c>
      <c r="H723" s="278">
        <v>1384.51</v>
      </c>
      <c r="I723" s="278">
        <v>1398.72</v>
      </c>
      <c r="J723" s="278">
        <v>1324.67</v>
      </c>
      <c r="K723" s="278">
        <v>1381.27</v>
      </c>
      <c r="L723" s="278">
        <v>1350.63</v>
      </c>
      <c r="M723" s="290"/>
      <c r="N723" s="290"/>
      <c r="O723" s="290"/>
      <c r="P723" s="290"/>
      <c r="Q723" s="298"/>
      <c r="R723" s="298"/>
      <c r="S723" s="298"/>
      <c r="T723" s="298"/>
      <c r="U723" s="298"/>
      <c r="V723" s="302"/>
      <c r="W723" s="298"/>
      <c r="X723" s="375"/>
      <c r="Y723" s="268"/>
      <c r="Z723" s="267"/>
      <c r="AA723" s="267"/>
      <c r="AB723" s="267"/>
      <c r="AC723" s="267"/>
      <c r="AD723" s="268"/>
      <c r="AE723" s="269"/>
    </row>
    <row r="724" spans="1:31" ht="57.75" thickBot="1">
      <c r="A724" s="306"/>
      <c r="B724" s="298"/>
      <c r="C724" s="326" t="s">
        <v>197</v>
      </c>
      <c r="D724" s="343">
        <f t="shared" ref="D724:L724" si="236">IF(((D722="")*AND(D723="")),"",(D722-D723)*3)</f>
        <v>6728.6999999999989</v>
      </c>
      <c r="E724" s="343">
        <f t="shared" si="236"/>
        <v>6857.01</v>
      </c>
      <c r="F724" s="343">
        <f t="shared" si="236"/>
        <v>6866.82</v>
      </c>
      <c r="G724" s="343">
        <f t="shared" si="236"/>
        <v>6491.82</v>
      </c>
      <c r="H724" s="343">
        <f t="shared" si="236"/>
        <v>6769.1999999999989</v>
      </c>
      <c r="I724" s="343">
        <f t="shared" si="236"/>
        <v>6895.14</v>
      </c>
      <c r="J724" s="343">
        <f t="shared" si="236"/>
        <v>6914.0999999999995</v>
      </c>
      <c r="K724" s="343">
        <f t="shared" si="236"/>
        <v>6868.2000000000007</v>
      </c>
      <c r="L724" s="343">
        <f t="shared" si="236"/>
        <v>6865.5299999999988</v>
      </c>
      <c r="M724" s="343"/>
      <c r="N724" s="343"/>
      <c r="O724" s="343"/>
      <c r="P724" s="343" t="str">
        <f>IF(((P722="")*AND(P723="")),"",(P722-P723)*2)</f>
        <v/>
      </c>
      <c r="Q724" s="298"/>
      <c r="R724" s="298"/>
      <c r="S724" s="298"/>
      <c r="T724" s="298"/>
      <c r="U724" s="298"/>
      <c r="V724" s="302"/>
      <c r="W724" s="298"/>
      <c r="X724" s="375"/>
      <c r="Y724" s="268"/>
      <c r="Z724" s="267"/>
      <c r="AA724" s="267"/>
      <c r="AB724" s="267"/>
      <c r="AC724" s="267"/>
      <c r="AD724" s="268"/>
      <c r="AE724" s="269"/>
    </row>
    <row r="725" spans="1:31" ht="12.75" customHeight="1">
      <c r="A725" s="342">
        <v>43538</v>
      </c>
      <c r="B725" s="326" t="s">
        <v>200</v>
      </c>
      <c r="C725" s="326" t="s">
        <v>199</v>
      </c>
      <c r="D725" s="278">
        <v>4044.22</v>
      </c>
      <c r="E725" s="278">
        <v>4163.7</v>
      </c>
      <c r="F725" s="278">
        <v>3963.75</v>
      </c>
      <c r="G725" s="278">
        <v>3977.22</v>
      </c>
      <c r="H725" s="278">
        <v>3970.74</v>
      </c>
      <c r="I725" s="278">
        <v>3925.75</v>
      </c>
      <c r="J725" s="278">
        <v>3997.12</v>
      </c>
      <c r="K725" s="278">
        <v>3941.36</v>
      </c>
      <c r="L725" s="278">
        <v>3971.36</v>
      </c>
      <c r="M725" s="278">
        <v>3961.98</v>
      </c>
      <c r="N725" s="278">
        <v>4185.17</v>
      </c>
      <c r="O725" s="278">
        <v>3927.1</v>
      </c>
      <c r="P725" s="278">
        <v>3864.75</v>
      </c>
      <c r="Q725" s="326">
        <f>IF((L726=""),"",MAX(D727:P727))</f>
        <v>5522.08</v>
      </c>
      <c r="R725" s="326">
        <f>IF(L726="","",MIN(D727:L727))</f>
        <v>5422.58</v>
      </c>
      <c r="S725" s="318">
        <f>IF((P727=""),"",AVERAGE(D727:P727))</f>
        <v>5475.5138461538463</v>
      </c>
      <c r="T725" s="319">
        <f>IF((L726=""),"",(Q725-R725)/(Q725+R725)*100)</f>
        <v>0.90911915034363799</v>
      </c>
      <c r="U725" s="326">
        <f>STDEV(D727:P727)</f>
        <v>35.357194821360025</v>
      </c>
      <c r="V725" s="328" t="str">
        <f>IF(P726="","",IF(T725&lt;2.7,IF(S725&gt;5150,IF(S725&lt;5600,"Pass","Fail"),"Fail"),"Fail"))</f>
        <v>Pass</v>
      </c>
      <c r="W725" s="326">
        <v>121</v>
      </c>
      <c r="X725" s="375" t="s">
        <v>210</v>
      </c>
      <c r="Y725" s="268"/>
      <c r="Z725" s="321">
        <v>4470</v>
      </c>
      <c r="AA725" s="321">
        <v>6020</v>
      </c>
      <c r="AB725" s="321">
        <v>5150</v>
      </c>
      <c r="AC725" s="321">
        <v>5600</v>
      </c>
      <c r="AD725" s="305">
        <v>10</v>
      </c>
      <c r="AE725" s="322">
        <v>2.7</v>
      </c>
    </row>
    <row r="726" spans="1:31" ht="15">
      <c r="A726" s="306"/>
      <c r="B726" s="298"/>
      <c r="C726" s="298" t="s">
        <v>198</v>
      </c>
      <c r="D726" s="278">
        <v>1332.93</v>
      </c>
      <c r="E726" s="278">
        <v>1449.96</v>
      </c>
      <c r="F726" s="278">
        <v>1242.94</v>
      </c>
      <c r="G726" s="278">
        <v>1229.3599999999999</v>
      </c>
      <c r="H726" s="278">
        <v>1251.67</v>
      </c>
      <c r="I726" s="278">
        <v>1164.71</v>
      </c>
      <c r="J726" s="278">
        <v>1239.8</v>
      </c>
      <c r="K726" s="278">
        <v>1190.3599999999999</v>
      </c>
      <c r="L726" s="278">
        <v>1245.26</v>
      </c>
      <c r="M726" s="278">
        <v>1203.69</v>
      </c>
      <c r="N726" s="278">
        <v>1447.72</v>
      </c>
      <c r="O726" s="278">
        <v>1186.1500000000001</v>
      </c>
      <c r="P726" s="278">
        <v>1118.83</v>
      </c>
      <c r="Q726" s="298"/>
      <c r="R726" s="298"/>
      <c r="S726" s="298"/>
      <c r="T726" s="298"/>
      <c r="U726" s="298"/>
      <c r="V726" s="302"/>
      <c r="W726" s="298"/>
      <c r="X726" s="375"/>
      <c r="Y726" s="268"/>
      <c r="Z726" s="267"/>
      <c r="AA726" s="267"/>
      <c r="AB726" s="267"/>
      <c r="AC726" s="267"/>
      <c r="AD726" s="268"/>
      <c r="AE726" s="269"/>
    </row>
    <row r="727" spans="1:31" ht="57.75" thickBot="1">
      <c r="A727" s="306"/>
      <c r="B727" s="309"/>
      <c r="C727" s="309" t="s">
        <v>197</v>
      </c>
      <c r="D727" s="377">
        <f t="shared" ref="D727:P727" si="237">IF(((D725="")*AND(D726="")),"",(D725-D726)*2)</f>
        <v>5422.58</v>
      </c>
      <c r="E727" s="377">
        <f t="shared" si="237"/>
        <v>5427.48</v>
      </c>
      <c r="F727" s="377">
        <f t="shared" si="237"/>
        <v>5441.62</v>
      </c>
      <c r="G727" s="377">
        <f t="shared" si="237"/>
        <v>5495.7199999999993</v>
      </c>
      <c r="H727" s="377">
        <f t="shared" si="237"/>
        <v>5438.1399999999994</v>
      </c>
      <c r="I727" s="377">
        <f t="shared" si="237"/>
        <v>5522.08</v>
      </c>
      <c r="J727" s="377">
        <f t="shared" si="237"/>
        <v>5514.6399999999994</v>
      </c>
      <c r="K727" s="377">
        <f t="shared" si="237"/>
        <v>5502</v>
      </c>
      <c r="L727" s="377">
        <f t="shared" si="237"/>
        <v>5452.2000000000007</v>
      </c>
      <c r="M727" s="377">
        <f t="shared" si="237"/>
        <v>5516.58</v>
      </c>
      <c r="N727" s="377">
        <f t="shared" si="237"/>
        <v>5474.9</v>
      </c>
      <c r="O727" s="377">
        <f t="shared" si="237"/>
        <v>5481.9</v>
      </c>
      <c r="P727" s="377">
        <f t="shared" si="237"/>
        <v>5491.84</v>
      </c>
      <c r="Q727" s="309"/>
      <c r="R727" s="309"/>
      <c r="S727" s="309"/>
      <c r="T727" s="309"/>
      <c r="U727" s="309"/>
      <c r="V727" s="312"/>
      <c r="W727" s="309"/>
      <c r="X727" s="378"/>
      <c r="Y727" s="268"/>
      <c r="Z727" s="267"/>
      <c r="AA727" s="267"/>
      <c r="AB727" s="267"/>
      <c r="AC727" s="267"/>
      <c r="AD727" s="268"/>
      <c r="AE727" s="269"/>
    </row>
    <row r="728" spans="1:31" ht="12.75" customHeight="1">
      <c r="A728" s="342">
        <v>43542</v>
      </c>
      <c r="B728" s="315" t="s">
        <v>202</v>
      </c>
      <c r="C728" s="316" t="s">
        <v>199</v>
      </c>
      <c r="D728" s="278">
        <v>5998.61</v>
      </c>
      <c r="E728" s="278">
        <v>6030.73</v>
      </c>
      <c r="F728" s="278">
        <v>6066.75</v>
      </c>
      <c r="G728" s="278">
        <v>6071.65</v>
      </c>
      <c r="H728" s="278">
        <v>6042.19</v>
      </c>
      <c r="I728" s="278">
        <v>6064.37</v>
      </c>
      <c r="J728" s="278">
        <v>6050.82</v>
      </c>
      <c r="K728" s="278">
        <v>6092.94</v>
      </c>
      <c r="L728" s="278">
        <v>6045.5</v>
      </c>
      <c r="M728" s="346"/>
      <c r="N728" s="346"/>
      <c r="O728" s="346"/>
      <c r="P728" s="346"/>
      <c r="Q728" s="315">
        <f>IF((L729=""),"",MAX(D730:L730))</f>
        <v>7390.829999999999</v>
      </c>
      <c r="R728" s="315">
        <f>IF(L729="","",MIN(D730:L730))</f>
        <v>6807.2999999999993</v>
      </c>
      <c r="S728" s="347">
        <f>IF((L730=""),"",AVERAGE(D730:L730))</f>
        <v>7002.0133333333315</v>
      </c>
      <c r="T728" s="318">
        <f>IF((L729=""),"",(Q728-R728)/(Q728+R728)*100)</f>
        <v>4.1099074314716084</v>
      </c>
      <c r="U728" s="315">
        <f>STDEV(D730:P730)</f>
        <v>206.7872298402942</v>
      </c>
      <c r="V728" s="320" t="str">
        <f>IF(L729="","",IF(T728&lt;9.8,IF(S728&gt;5100,IF(S728&lt;8300,"Pass","Fail"),"Fail"),"Fail"))</f>
        <v>Pass</v>
      </c>
      <c r="W728" s="315">
        <v>1428</v>
      </c>
      <c r="X728" s="374" t="s">
        <v>209</v>
      </c>
      <c r="Y728" s="268"/>
      <c r="Z728" s="267">
        <v>4955</v>
      </c>
      <c r="AA728" s="267">
        <v>9645</v>
      </c>
      <c r="AB728" s="267">
        <v>5100</v>
      </c>
      <c r="AC728" s="267">
        <v>8300</v>
      </c>
      <c r="AD728" s="305">
        <v>10</v>
      </c>
      <c r="AE728" s="305">
        <v>9.8000000000000007</v>
      </c>
    </row>
    <row r="729" spans="1:31" ht="15">
      <c r="A729" s="306"/>
      <c r="B729" s="298"/>
      <c r="C729" s="307" t="s">
        <v>198</v>
      </c>
      <c r="D729" s="278">
        <v>3535</v>
      </c>
      <c r="E729" s="278">
        <v>3758.94</v>
      </c>
      <c r="F729" s="278">
        <v>3761.4</v>
      </c>
      <c r="G729" s="278">
        <v>3635.1</v>
      </c>
      <c r="H729" s="278">
        <v>3739.77</v>
      </c>
      <c r="I729" s="278">
        <v>3754.24</v>
      </c>
      <c r="J729" s="278">
        <v>3728.99</v>
      </c>
      <c r="K729" s="278">
        <v>3767.68</v>
      </c>
      <c r="L729" s="278">
        <v>3776.4</v>
      </c>
      <c r="M729" s="290"/>
      <c r="N729" s="290"/>
      <c r="O729" s="290"/>
      <c r="P729" s="290"/>
      <c r="Q729" s="298"/>
      <c r="R729" s="298"/>
      <c r="S729" s="298"/>
      <c r="T729" s="298"/>
      <c r="U729" s="298"/>
      <c r="V729" s="302"/>
      <c r="W729" s="298"/>
      <c r="X729" s="375"/>
      <c r="Y729" s="268"/>
      <c r="Z729" s="267"/>
      <c r="AA729" s="267"/>
      <c r="AB729" s="267"/>
      <c r="AC729" s="267"/>
      <c r="AD729" s="268"/>
      <c r="AE729" s="269"/>
    </row>
    <row r="730" spans="1:31" ht="57.75" thickBot="1">
      <c r="A730" s="306"/>
      <c r="B730" s="298"/>
      <c r="C730" s="326" t="s">
        <v>197</v>
      </c>
      <c r="D730" s="343">
        <f t="shared" ref="D730:L730" si="238">IF(((D728="")*AND(D729="")),"",(D728-D729)*3)</f>
        <v>7390.829999999999</v>
      </c>
      <c r="E730" s="343">
        <f t="shared" si="238"/>
        <v>6815.369999999999</v>
      </c>
      <c r="F730" s="343">
        <f t="shared" si="238"/>
        <v>6916.0499999999993</v>
      </c>
      <c r="G730" s="343">
        <f t="shared" si="238"/>
        <v>7309.65</v>
      </c>
      <c r="H730" s="343">
        <f t="shared" si="238"/>
        <v>6907.2599999999984</v>
      </c>
      <c r="I730" s="343">
        <f t="shared" si="238"/>
        <v>6930.39</v>
      </c>
      <c r="J730" s="343">
        <f t="shared" si="238"/>
        <v>6965.49</v>
      </c>
      <c r="K730" s="343">
        <f t="shared" si="238"/>
        <v>6975.7799999999988</v>
      </c>
      <c r="L730" s="343">
        <f t="shared" si="238"/>
        <v>6807.2999999999993</v>
      </c>
      <c r="M730" s="343"/>
      <c r="N730" s="343"/>
      <c r="O730" s="343"/>
      <c r="P730" s="343" t="str">
        <f>IF(((P728="")*AND(P729="")),"",(P728-P729)*2)</f>
        <v/>
      </c>
      <c r="Q730" s="298"/>
      <c r="R730" s="298"/>
      <c r="S730" s="298"/>
      <c r="T730" s="298"/>
      <c r="U730" s="298"/>
      <c r="V730" s="302"/>
      <c r="W730" s="298"/>
      <c r="X730" s="375"/>
      <c r="Y730" s="268"/>
      <c r="Z730" s="267"/>
      <c r="AA730" s="267"/>
      <c r="AB730" s="267"/>
      <c r="AC730" s="267"/>
      <c r="AD730" s="268"/>
      <c r="AE730" s="269"/>
    </row>
    <row r="731" spans="1:31" ht="12.75" customHeight="1">
      <c r="A731" s="342">
        <v>43542</v>
      </c>
      <c r="B731" s="326" t="s">
        <v>200</v>
      </c>
      <c r="C731" s="326" t="s">
        <v>199</v>
      </c>
      <c r="D731" s="278">
        <v>6725.38</v>
      </c>
      <c r="E731" s="278">
        <v>6847.86</v>
      </c>
      <c r="F731" s="278">
        <v>6668.32</v>
      </c>
      <c r="G731" s="278">
        <v>6705</v>
      </c>
      <c r="H731" s="278">
        <v>6665.31</v>
      </c>
      <c r="I731" s="278">
        <v>6679.91</v>
      </c>
      <c r="J731" s="278">
        <v>6733.66</v>
      </c>
      <c r="K731" s="278">
        <v>6682.25</v>
      </c>
      <c r="L731" s="278">
        <v>6685.05</v>
      </c>
      <c r="M731" s="278">
        <v>6715.83</v>
      </c>
      <c r="N731" s="278">
        <v>6903.85</v>
      </c>
      <c r="O731" s="278">
        <v>6670.93</v>
      </c>
      <c r="P731" s="278">
        <v>6626.63</v>
      </c>
      <c r="Q731" s="326">
        <f>IF((L732=""),"",MAX(D733:P733))</f>
        <v>5459.84</v>
      </c>
      <c r="R731" s="326">
        <f>IF(L732="","",MIN(D733:L733))</f>
        <v>5339.76</v>
      </c>
      <c r="S731" s="318">
        <f>IF((P733=""),"",AVERAGE(D733:P733))</f>
        <v>5398.7384615384617</v>
      </c>
      <c r="T731" s="319">
        <f>IF((L732=""),"",(Q731-R731)/(Q731+R731)*100)</f>
        <v>1.1118930330752983</v>
      </c>
      <c r="U731" s="326">
        <f>STDEV(D733:P733)</f>
        <v>40.562147758286279</v>
      </c>
      <c r="V731" s="328" t="str">
        <f>IF(P732="","",IF(T731&lt;2.7,IF(S731&gt;5150,IF(S731&lt;5600,"Pass","Fail"),"Fail"),"Fail"))</f>
        <v>Pass</v>
      </c>
      <c r="W731" s="326">
        <v>1428</v>
      </c>
      <c r="X731" s="375" t="s">
        <v>209</v>
      </c>
      <c r="Y731" s="268"/>
      <c r="Z731" s="321">
        <v>4470</v>
      </c>
      <c r="AA731" s="321">
        <v>6020</v>
      </c>
      <c r="AB731" s="321">
        <v>5150</v>
      </c>
      <c r="AC731" s="321">
        <v>5600</v>
      </c>
      <c r="AD731" s="305">
        <v>10</v>
      </c>
      <c r="AE731" s="322">
        <v>2.7</v>
      </c>
    </row>
    <row r="732" spans="1:31" ht="15">
      <c r="A732" s="306"/>
      <c r="B732" s="298"/>
      <c r="C732" s="298" t="s">
        <v>198</v>
      </c>
      <c r="D732" s="278">
        <v>4055.5</v>
      </c>
      <c r="E732" s="278">
        <v>4162.6400000000003</v>
      </c>
      <c r="F732" s="278">
        <v>3996.68</v>
      </c>
      <c r="G732" s="278">
        <v>3996.65</v>
      </c>
      <c r="H732" s="278">
        <v>3975</v>
      </c>
      <c r="I732" s="278">
        <v>3958.23</v>
      </c>
      <c r="J732" s="278">
        <v>4013.92</v>
      </c>
      <c r="K732" s="278">
        <v>3959.21</v>
      </c>
      <c r="L732" s="278">
        <v>4008.57</v>
      </c>
      <c r="M732" s="278">
        <v>3985.91</v>
      </c>
      <c r="N732" s="278">
        <v>4205.87</v>
      </c>
      <c r="O732" s="278">
        <v>3971.29</v>
      </c>
      <c r="P732" s="278">
        <v>3928.71</v>
      </c>
      <c r="Q732" s="298"/>
      <c r="R732" s="298"/>
      <c r="S732" s="298"/>
      <c r="T732" s="298"/>
      <c r="U732" s="298"/>
      <c r="V732" s="302"/>
      <c r="W732" s="298"/>
      <c r="X732" s="375"/>
      <c r="Y732" s="268"/>
      <c r="Z732" s="267"/>
      <c r="AA732" s="267"/>
      <c r="AB732" s="267"/>
      <c r="AC732" s="267"/>
      <c r="AD732" s="268"/>
      <c r="AE732" s="269"/>
    </row>
    <row r="733" spans="1:31" ht="57.75" thickBot="1">
      <c r="A733" s="306"/>
      <c r="B733" s="309"/>
      <c r="C733" s="309" t="s">
        <v>197</v>
      </c>
      <c r="D733" s="377">
        <f t="shared" ref="D733:P733" si="239">IF(((D731="")*AND(D732="")),"",(D731-D732)*2)</f>
        <v>5339.76</v>
      </c>
      <c r="E733" s="377">
        <f t="shared" si="239"/>
        <v>5370.4399999999987</v>
      </c>
      <c r="F733" s="377">
        <f t="shared" si="239"/>
        <v>5343.28</v>
      </c>
      <c r="G733" s="377">
        <f t="shared" si="239"/>
        <v>5416.7</v>
      </c>
      <c r="H733" s="377">
        <f t="shared" si="239"/>
        <v>5380.6200000000008</v>
      </c>
      <c r="I733" s="377">
        <f t="shared" si="239"/>
        <v>5443.36</v>
      </c>
      <c r="J733" s="377">
        <f t="shared" si="239"/>
        <v>5439.48</v>
      </c>
      <c r="K733" s="377">
        <f t="shared" si="239"/>
        <v>5446.08</v>
      </c>
      <c r="L733" s="377">
        <f t="shared" si="239"/>
        <v>5352.96</v>
      </c>
      <c r="M733" s="377">
        <f t="shared" si="239"/>
        <v>5459.84</v>
      </c>
      <c r="N733" s="377">
        <f t="shared" si="239"/>
        <v>5395.9600000000009</v>
      </c>
      <c r="O733" s="377">
        <f t="shared" si="239"/>
        <v>5399.2800000000007</v>
      </c>
      <c r="P733" s="377">
        <f t="shared" si="239"/>
        <v>5395.84</v>
      </c>
      <c r="Q733" s="309"/>
      <c r="R733" s="309"/>
      <c r="S733" s="309"/>
      <c r="T733" s="309"/>
      <c r="U733" s="309"/>
      <c r="V733" s="312"/>
      <c r="W733" s="309"/>
      <c r="X733" s="378"/>
      <c r="Y733" s="268"/>
      <c r="Z733" s="267"/>
      <c r="AA733" s="267"/>
      <c r="AB733" s="267"/>
      <c r="AC733" s="267"/>
      <c r="AD733" s="268"/>
      <c r="AE733" s="269"/>
    </row>
    <row r="734" spans="1:31" ht="12.75" customHeight="1">
      <c r="A734" s="342">
        <v>43546</v>
      </c>
      <c r="B734" s="315" t="s">
        <v>202</v>
      </c>
      <c r="C734" s="316" t="s">
        <v>199</v>
      </c>
      <c r="D734" s="278">
        <v>3535</v>
      </c>
      <c r="E734" s="278">
        <v>3758.94</v>
      </c>
      <c r="F734" s="278">
        <v>3761.4</v>
      </c>
      <c r="G734" s="278">
        <v>3635.1</v>
      </c>
      <c r="H734" s="278">
        <v>3739.77</v>
      </c>
      <c r="I734" s="278">
        <v>3754.24</v>
      </c>
      <c r="J734" s="278">
        <v>3728.99</v>
      </c>
      <c r="K734" s="278">
        <v>3767.68</v>
      </c>
      <c r="L734" s="278">
        <v>3776.4</v>
      </c>
      <c r="M734" s="346"/>
      <c r="N734" s="346"/>
      <c r="O734" s="346"/>
      <c r="P734" s="346"/>
      <c r="Q734" s="315">
        <f>IF((L735=""),"",MAX(D736:L736))</f>
        <v>7359.9000000000005</v>
      </c>
      <c r="R734" s="315">
        <f>IF(L735="","",MIN(D736:L736))</f>
        <v>6648.42</v>
      </c>
      <c r="S734" s="347">
        <f>IF((L736=""),"",AVERAGE(D736:L736))</f>
        <v>6912.6799999999994</v>
      </c>
      <c r="T734" s="318">
        <f>IF((L735=""),"",(Q734-R734)/(Q734+R734)*100)</f>
        <v>5.0789816337719333</v>
      </c>
      <c r="U734" s="315">
        <f>STDEV(D736:P736)</f>
        <v>259.6114997453094</v>
      </c>
      <c r="V734" s="320" t="str">
        <f>IF(L735="","",IF(T734&lt;9.8,IF(S734&gt;5100,IF(S734&lt;8300,"Pass","Fail"),"Fail"),"Fail"))</f>
        <v>Pass</v>
      </c>
      <c r="W734" s="315">
        <v>1428</v>
      </c>
      <c r="X734" s="374"/>
      <c r="Y734" s="268"/>
      <c r="Z734" s="267">
        <v>4955</v>
      </c>
      <c r="AA734" s="267">
        <v>9645</v>
      </c>
      <c r="AB734" s="267">
        <v>5100</v>
      </c>
      <c r="AC734" s="267">
        <v>8300</v>
      </c>
      <c r="AD734" s="305">
        <v>10</v>
      </c>
      <c r="AE734" s="305">
        <v>9.8000000000000007</v>
      </c>
    </row>
    <row r="735" spans="1:31" ht="15">
      <c r="A735" s="306"/>
      <c r="B735" s="298"/>
      <c r="C735" s="307" t="s">
        <v>198</v>
      </c>
      <c r="D735" s="278">
        <v>1081.7</v>
      </c>
      <c r="E735" s="278">
        <v>1462.46</v>
      </c>
      <c r="F735" s="278">
        <v>1528.17</v>
      </c>
      <c r="G735" s="278">
        <v>1202.8</v>
      </c>
      <c r="H735" s="278">
        <v>1523.63</v>
      </c>
      <c r="I735" s="278">
        <v>1511.97</v>
      </c>
      <c r="J735" s="278">
        <v>1452.36</v>
      </c>
      <c r="K735" s="278">
        <v>1516.31</v>
      </c>
      <c r="L735" s="278">
        <v>1440.08</v>
      </c>
      <c r="M735" s="290"/>
      <c r="N735" s="290"/>
      <c r="O735" s="290"/>
      <c r="P735" s="290"/>
      <c r="Q735" s="298"/>
      <c r="R735" s="298"/>
      <c r="S735" s="298"/>
      <c r="T735" s="298"/>
      <c r="U735" s="298"/>
      <c r="V735" s="302"/>
      <c r="W735" s="298"/>
      <c r="X735" s="375"/>
      <c r="Y735" s="268"/>
      <c r="Z735" s="267"/>
      <c r="AA735" s="267"/>
      <c r="AB735" s="267"/>
      <c r="AC735" s="267"/>
      <c r="AD735" s="268"/>
      <c r="AE735" s="269"/>
    </row>
    <row r="736" spans="1:31" ht="57.75" thickBot="1">
      <c r="A736" s="306"/>
      <c r="B736" s="298"/>
      <c r="C736" s="326" t="s">
        <v>197</v>
      </c>
      <c r="D736" s="343">
        <f t="shared" ref="D736:L736" si="240">IF(((D734="")*AND(D735="")),"",(D734-D735)*3)</f>
        <v>7359.9000000000005</v>
      </c>
      <c r="E736" s="343">
        <f t="shared" si="240"/>
        <v>6889.4400000000005</v>
      </c>
      <c r="F736" s="343">
        <f t="shared" si="240"/>
        <v>6699.6900000000005</v>
      </c>
      <c r="G736" s="343">
        <f t="shared" si="240"/>
        <v>7296.9000000000005</v>
      </c>
      <c r="H736" s="343">
        <f t="shared" si="240"/>
        <v>6648.42</v>
      </c>
      <c r="I736" s="343">
        <f t="shared" si="240"/>
        <v>6726.8099999999986</v>
      </c>
      <c r="J736" s="343">
        <f t="shared" si="240"/>
        <v>6829.89</v>
      </c>
      <c r="K736" s="343">
        <f t="shared" si="240"/>
        <v>6754.11</v>
      </c>
      <c r="L736" s="343">
        <f t="shared" si="240"/>
        <v>7008.9600000000009</v>
      </c>
      <c r="M736" s="343"/>
      <c r="N736" s="343"/>
      <c r="O736" s="343"/>
      <c r="P736" s="343" t="str">
        <f>IF(((P734="")*AND(P735="")),"",(P734-P735)*2)</f>
        <v/>
      </c>
      <c r="Q736" s="298"/>
      <c r="R736" s="298"/>
      <c r="S736" s="298"/>
      <c r="T736" s="298"/>
      <c r="U736" s="298"/>
      <c r="V736" s="302"/>
      <c r="W736" s="298"/>
      <c r="X736" s="375"/>
      <c r="Y736" s="268"/>
      <c r="Z736" s="267"/>
      <c r="AA736" s="267"/>
      <c r="AB736" s="267"/>
      <c r="AC736" s="267"/>
      <c r="AD736" s="268"/>
      <c r="AE736" s="269"/>
    </row>
    <row r="737" spans="1:31" ht="12.75" customHeight="1">
      <c r="A737" s="342">
        <v>43546</v>
      </c>
      <c r="B737" s="326" t="s">
        <v>200</v>
      </c>
      <c r="C737" s="326" t="s">
        <v>199</v>
      </c>
      <c r="D737" s="278">
        <v>4055.5</v>
      </c>
      <c r="E737" s="278">
        <v>4162.6400000000003</v>
      </c>
      <c r="F737" s="278">
        <v>3996.68</v>
      </c>
      <c r="G737" s="278">
        <v>3996.65</v>
      </c>
      <c r="H737" s="278">
        <v>3975</v>
      </c>
      <c r="I737" s="278">
        <v>3958.23</v>
      </c>
      <c r="J737" s="278">
        <v>4013.92</v>
      </c>
      <c r="K737" s="278">
        <v>3959.21</v>
      </c>
      <c r="L737" s="278">
        <v>4008.57</v>
      </c>
      <c r="M737" s="278">
        <v>3985.91</v>
      </c>
      <c r="N737" s="278">
        <v>4205.87</v>
      </c>
      <c r="O737" s="278">
        <v>3971.29</v>
      </c>
      <c r="P737" s="278">
        <v>3928.71</v>
      </c>
      <c r="Q737" s="326">
        <f>IF((L738=""),"",MAX(D739:P739))</f>
        <v>5468.42</v>
      </c>
      <c r="R737" s="326">
        <f>IF(L738="","",MIN(D739:L739))</f>
        <v>5373.0599999999995</v>
      </c>
      <c r="S737" s="318">
        <f>IF((P739=""),"",AVERAGE(D739:P739))</f>
        <v>5419.8907692307685</v>
      </c>
      <c r="T737" s="319">
        <f>IF((L738=""),"",(Q737-R737)/(Q737+R737)*100)</f>
        <v>0.87958470614713669</v>
      </c>
      <c r="U737" s="326">
        <f>STDEV(D739:P739)</f>
        <v>36.17510895220552</v>
      </c>
      <c r="V737" s="328" t="str">
        <f>IF(P738="","",IF(T737&lt;2.7,IF(S737&gt;5150,IF(S737&lt;5600,"Pass","Fail"),"Fail"),"Fail"))</f>
        <v>Pass</v>
      </c>
      <c r="W737" s="326">
        <v>1428</v>
      </c>
      <c r="X737" s="375"/>
      <c r="Y737" s="268"/>
      <c r="Z737" s="321">
        <v>4470</v>
      </c>
      <c r="AA737" s="321">
        <v>6020</v>
      </c>
      <c r="AB737" s="321">
        <v>5150</v>
      </c>
      <c r="AC737" s="321">
        <v>5600</v>
      </c>
      <c r="AD737" s="305">
        <v>10</v>
      </c>
      <c r="AE737" s="322">
        <v>2.7</v>
      </c>
    </row>
    <row r="738" spans="1:31" ht="15">
      <c r="A738" s="306"/>
      <c r="B738" s="298"/>
      <c r="C738" s="298" t="s">
        <v>198</v>
      </c>
      <c r="D738" s="278">
        <v>1367.49</v>
      </c>
      <c r="E738" s="278">
        <v>1464.06</v>
      </c>
      <c r="F738" s="278">
        <v>1310.1500000000001</v>
      </c>
      <c r="G738" s="278">
        <v>1274.28</v>
      </c>
      <c r="H738" s="278">
        <v>1268.3599999999999</v>
      </c>
      <c r="I738" s="278">
        <v>1229.1099999999999</v>
      </c>
      <c r="J738" s="278">
        <v>1279.71</v>
      </c>
      <c r="K738" s="278">
        <v>1229.28</v>
      </c>
      <c r="L738" s="278">
        <v>1321.29</v>
      </c>
      <c r="M738" s="278">
        <v>1252.2</v>
      </c>
      <c r="N738" s="278">
        <v>1506.83</v>
      </c>
      <c r="O738" s="278">
        <v>1260.44</v>
      </c>
      <c r="P738" s="278">
        <v>1225.69</v>
      </c>
      <c r="Q738" s="298"/>
      <c r="R738" s="298"/>
      <c r="S738" s="298"/>
      <c r="T738" s="298"/>
      <c r="U738" s="298"/>
      <c r="V738" s="302"/>
      <c r="W738" s="298"/>
      <c r="X738" s="375"/>
      <c r="Y738" s="268"/>
      <c r="Z738" s="267"/>
      <c r="AA738" s="267"/>
      <c r="AB738" s="267"/>
      <c r="AC738" s="267"/>
      <c r="AD738" s="268"/>
      <c r="AE738" s="269"/>
    </row>
    <row r="739" spans="1:31" ht="57.75" thickBot="1">
      <c r="A739" s="306"/>
      <c r="B739" s="309"/>
      <c r="C739" s="309" t="s">
        <v>197</v>
      </c>
      <c r="D739" s="377">
        <f t="shared" ref="D739:P739" si="241">IF(((D737="")*AND(D738="")),"",(D737-D738)*2)</f>
        <v>5376.02</v>
      </c>
      <c r="E739" s="377">
        <f t="shared" si="241"/>
        <v>5397.1600000000008</v>
      </c>
      <c r="F739" s="377">
        <f t="shared" si="241"/>
        <v>5373.0599999999995</v>
      </c>
      <c r="G739" s="377">
        <f t="shared" si="241"/>
        <v>5444.74</v>
      </c>
      <c r="H739" s="377">
        <f t="shared" si="241"/>
        <v>5413.2800000000007</v>
      </c>
      <c r="I739" s="377">
        <f t="shared" si="241"/>
        <v>5458.24</v>
      </c>
      <c r="J739" s="377">
        <f t="shared" si="241"/>
        <v>5468.42</v>
      </c>
      <c r="K739" s="377">
        <f t="shared" si="241"/>
        <v>5459.8600000000006</v>
      </c>
      <c r="L739" s="377">
        <f t="shared" si="241"/>
        <v>5374.56</v>
      </c>
      <c r="M739" s="377">
        <f t="shared" si="241"/>
        <v>5467.42</v>
      </c>
      <c r="N739" s="377">
        <f t="shared" si="241"/>
        <v>5398.08</v>
      </c>
      <c r="O739" s="377">
        <f t="shared" si="241"/>
        <v>5421.7</v>
      </c>
      <c r="P739" s="377">
        <f t="shared" si="241"/>
        <v>5406.04</v>
      </c>
      <c r="Q739" s="309"/>
      <c r="R739" s="309"/>
      <c r="S739" s="309"/>
      <c r="T739" s="309"/>
      <c r="U739" s="309"/>
      <c r="V739" s="312"/>
      <c r="W739" s="309"/>
      <c r="X739" s="378"/>
      <c r="Y739" s="268"/>
      <c r="Z739" s="267"/>
      <c r="AA739" s="267"/>
      <c r="AB739" s="267"/>
      <c r="AC739" s="267"/>
      <c r="AD739" s="268"/>
      <c r="AE739" s="269"/>
    </row>
    <row r="740" spans="1:31" ht="12.75" customHeight="1">
      <c r="A740" s="342">
        <v>43549</v>
      </c>
      <c r="B740" s="315" t="s">
        <v>202</v>
      </c>
      <c r="C740" s="316" t="s">
        <v>199</v>
      </c>
      <c r="D740" s="278">
        <v>6054.07</v>
      </c>
      <c r="E740" s="278">
        <v>6051.94</v>
      </c>
      <c r="F740" s="278">
        <v>6073.9</v>
      </c>
      <c r="G740" s="278">
        <v>6068.24</v>
      </c>
      <c r="H740" s="278">
        <v>6069.32</v>
      </c>
      <c r="I740" s="278">
        <v>6100.22</v>
      </c>
      <c r="J740" s="278">
        <v>6043.83</v>
      </c>
      <c r="K740" s="278">
        <v>6069.66</v>
      </c>
      <c r="L740" s="278">
        <v>6046.14</v>
      </c>
      <c r="M740" s="346"/>
      <c r="N740" s="346"/>
      <c r="O740" s="346"/>
      <c r="P740" s="346"/>
      <c r="Q740" s="315">
        <f>IF((L741=""),"",MAX(D742:L742))</f>
        <v>8198.0099999999984</v>
      </c>
      <c r="R740" s="315">
        <f>IF(L741="","",MIN(D742:L742))</f>
        <v>6866.0700000000015</v>
      </c>
      <c r="S740" s="347">
        <f>IF((L742=""),"",AVERAGE(D742:L742))</f>
        <v>7115.0933333333332</v>
      </c>
      <c r="T740" s="318">
        <f>IF((L741=""),"",(Q740-R740)/(Q740+R740)*100)</f>
        <v>8.8418277120142541</v>
      </c>
      <c r="U740" s="315">
        <f>STDEV(D742:P742)</f>
        <v>443.12583458313077</v>
      </c>
      <c r="V740" s="320" t="str">
        <f>IF(L741="","",IF(T740&lt;9.8,IF(S740&gt;5100,IF(S740&lt;8300,"Pass","Fail"),"Fail"),"Fail"))</f>
        <v>Pass</v>
      </c>
      <c r="W740" s="315">
        <v>1159</v>
      </c>
      <c r="X740" s="374" t="s">
        <v>208</v>
      </c>
      <c r="Y740" s="268"/>
      <c r="Z740" s="267">
        <v>4955</v>
      </c>
      <c r="AA740" s="267">
        <v>9645</v>
      </c>
      <c r="AB740" s="267">
        <v>5100</v>
      </c>
      <c r="AC740" s="267">
        <v>8300</v>
      </c>
      <c r="AD740" s="305">
        <v>10</v>
      </c>
      <c r="AE740" s="305">
        <v>9.8000000000000007</v>
      </c>
    </row>
    <row r="741" spans="1:31" ht="15">
      <c r="A741" s="306"/>
      <c r="B741" s="298"/>
      <c r="C741" s="307" t="s">
        <v>198</v>
      </c>
      <c r="D741" s="278">
        <v>3575.16</v>
      </c>
      <c r="E741" s="278">
        <v>3754.81</v>
      </c>
      <c r="F741" s="278">
        <v>3774.85</v>
      </c>
      <c r="G741" s="278">
        <v>3335.57</v>
      </c>
      <c r="H741" s="278">
        <v>3734.37</v>
      </c>
      <c r="I741" s="278">
        <v>3784.92</v>
      </c>
      <c r="J741" s="278">
        <v>3743.53</v>
      </c>
      <c r="K741" s="278">
        <v>3771.38</v>
      </c>
      <c r="L741" s="278">
        <v>3757.45</v>
      </c>
      <c r="M741" s="290"/>
      <c r="N741" s="290"/>
      <c r="O741" s="290"/>
      <c r="P741" s="290"/>
      <c r="Q741" s="298"/>
      <c r="R741" s="298"/>
      <c r="S741" s="298"/>
      <c r="T741" s="298"/>
      <c r="U741" s="298"/>
      <c r="V741" s="302"/>
      <c r="W741" s="298"/>
      <c r="X741" s="375"/>
      <c r="Y741" s="268"/>
      <c r="Z741" s="267"/>
      <c r="AA741" s="267"/>
      <c r="AB741" s="267"/>
      <c r="AC741" s="267"/>
      <c r="AD741" s="268"/>
      <c r="AE741" s="269"/>
    </row>
    <row r="742" spans="1:31" ht="57.75" thickBot="1">
      <c r="A742" s="306"/>
      <c r="B742" s="298"/>
      <c r="C742" s="326" t="s">
        <v>197</v>
      </c>
      <c r="D742" s="343">
        <f t="shared" ref="D742:L742" si="242">IF(((D740="")*AND(D741="")),"",(D740-D741)*3)</f>
        <v>7436.73</v>
      </c>
      <c r="E742" s="343">
        <f t="shared" si="242"/>
        <v>6891.3899999999994</v>
      </c>
      <c r="F742" s="343">
        <f t="shared" si="242"/>
        <v>6897.15</v>
      </c>
      <c r="G742" s="343">
        <f t="shared" si="242"/>
        <v>8198.0099999999984</v>
      </c>
      <c r="H742" s="343">
        <f t="shared" si="242"/>
        <v>7004.8499999999995</v>
      </c>
      <c r="I742" s="343">
        <f t="shared" si="242"/>
        <v>6945.9000000000005</v>
      </c>
      <c r="J742" s="343">
        <f t="shared" si="242"/>
        <v>6900.9</v>
      </c>
      <c r="K742" s="343">
        <f t="shared" si="242"/>
        <v>6894.8399999999992</v>
      </c>
      <c r="L742" s="343">
        <f t="shared" si="242"/>
        <v>6866.0700000000015</v>
      </c>
      <c r="M742" s="343"/>
      <c r="N742" s="343"/>
      <c r="O742" s="343"/>
      <c r="P742" s="343" t="str">
        <f>IF(((P740="")*AND(P741="")),"",(P740-P741)*2)</f>
        <v/>
      </c>
      <c r="Q742" s="298"/>
      <c r="R742" s="298"/>
      <c r="S742" s="298"/>
      <c r="T742" s="298"/>
      <c r="U742" s="298"/>
      <c r="V742" s="302"/>
      <c r="W742" s="298"/>
      <c r="X742" s="375"/>
      <c r="Y742" s="268"/>
      <c r="Z742" s="267"/>
      <c r="AA742" s="267"/>
      <c r="AB742" s="267"/>
      <c r="AC742" s="267"/>
      <c r="AD742" s="268"/>
      <c r="AE742" s="269"/>
    </row>
    <row r="743" spans="1:31" ht="12.75" customHeight="1">
      <c r="A743" s="342">
        <v>43549</v>
      </c>
      <c r="B743" s="326" t="s">
        <v>200</v>
      </c>
      <c r="C743" s="326" t="s">
        <v>199</v>
      </c>
      <c r="D743" s="278">
        <v>6755.56</v>
      </c>
      <c r="E743" s="278">
        <v>6872.02</v>
      </c>
      <c r="F743" s="278">
        <v>6711.71</v>
      </c>
      <c r="G743" s="278">
        <v>6758.98</v>
      </c>
      <c r="H743" s="278">
        <v>6676.24</v>
      </c>
      <c r="I743" s="278">
        <v>6712.59</v>
      </c>
      <c r="J743" s="278">
        <v>6792.8</v>
      </c>
      <c r="K743" s="278">
        <v>6744.39</v>
      </c>
      <c r="L743" s="278">
        <v>6727.26</v>
      </c>
      <c r="M743" s="278">
        <v>6773.29</v>
      </c>
      <c r="N743" s="278">
        <v>6926.32</v>
      </c>
      <c r="O743" s="278">
        <v>6714.31</v>
      </c>
      <c r="P743" s="278">
        <v>6646.79</v>
      </c>
      <c r="Q743" s="326">
        <f>IF((L744=""),"",MAX(D745:P745))</f>
        <v>5461.0599999999995</v>
      </c>
      <c r="R743" s="326">
        <f>IF(L744="","",MIN(D745:L745))</f>
        <v>5348.76</v>
      </c>
      <c r="S743" s="318">
        <f>IF((P745=""),"",AVERAGE(D745:P745))</f>
        <v>5404.9523076923078</v>
      </c>
      <c r="T743" s="319">
        <f>IF((L744=""),"",(Q743-R743)/(Q743+R743)*100)</f>
        <v>1.0388702124549649</v>
      </c>
      <c r="U743" s="326">
        <f>STDEV(D745:P745)</f>
        <v>34.345762997725927</v>
      </c>
      <c r="V743" s="328" t="str">
        <f>IF(P744="","",IF(T743&lt;2.7,IF(S743&gt;5150,IF(S743&lt;5600,"Pass","Fail"),"Fail"),"Fail"))</f>
        <v>Pass</v>
      </c>
      <c r="W743" s="326">
        <v>1159</v>
      </c>
      <c r="X743" s="375" t="s">
        <v>208</v>
      </c>
      <c r="Y743" s="268"/>
      <c r="Z743" s="321">
        <v>4470</v>
      </c>
      <c r="AA743" s="321">
        <v>6020</v>
      </c>
      <c r="AB743" s="321">
        <v>5150</v>
      </c>
      <c r="AC743" s="321">
        <v>5600</v>
      </c>
      <c r="AD743" s="305">
        <v>10</v>
      </c>
      <c r="AE743" s="322">
        <v>2.7</v>
      </c>
    </row>
    <row r="744" spans="1:31" ht="15">
      <c r="A744" s="306"/>
      <c r="B744" s="298"/>
      <c r="C744" s="298" t="s">
        <v>198</v>
      </c>
      <c r="D744" s="278">
        <v>4075.19</v>
      </c>
      <c r="E744" s="278">
        <v>4170.66</v>
      </c>
      <c r="F744" s="278">
        <v>4036.52</v>
      </c>
      <c r="G744" s="278">
        <v>4052.4</v>
      </c>
      <c r="H744" s="278">
        <v>3972.45</v>
      </c>
      <c r="I744" s="278">
        <v>3996.01</v>
      </c>
      <c r="J744" s="278">
        <v>4079.74</v>
      </c>
      <c r="K744" s="278">
        <v>4023.61</v>
      </c>
      <c r="L744" s="278">
        <v>4052.88</v>
      </c>
      <c r="M744" s="278">
        <v>4042.76</v>
      </c>
      <c r="N744" s="278">
        <v>4216.87</v>
      </c>
      <c r="O744" s="278">
        <v>4012.99</v>
      </c>
      <c r="P744" s="278">
        <v>3947.99</v>
      </c>
      <c r="Q744" s="298"/>
      <c r="R744" s="298"/>
      <c r="S744" s="298"/>
      <c r="T744" s="298"/>
      <c r="U744" s="298"/>
      <c r="V744" s="302"/>
      <c r="W744" s="298"/>
      <c r="X744" s="375"/>
      <c r="Y744" s="268"/>
      <c r="Z744" s="267"/>
      <c r="AA744" s="267"/>
      <c r="AB744" s="267"/>
      <c r="AC744" s="267"/>
      <c r="AD744" s="268"/>
      <c r="AE744" s="269"/>
    </row>
    <row r="745" spans="1:31" ht="57.75" thickBot="1">
      <c r="A745" s="306"/>
      <c r="B745" s="309"/>
      <c r="C745" s="309" t="s">
        <v>197</v>
      </c>
      <c r="D745" s="377">
        <f t="shared" ref="D745:P745" si="243">IF(((D743="")*AND(D744="")),"",(D743-D744)*2)</f>
        <v>5360.7400000000007</v>
      </c>
      <c r="E745" s="377">
        <f t="shared" si="243"/>
        <v>5402.7200000000012</v>
      </c>
      <c r="F745" s="377">
        <f t="shared" si="243"/>
        <v>5350.38</v>
      </c>
      <c r="G745" s="377">
        <f t="shared" si="243"/>
        <v>5413.1599999999989</v>
      </c>
      <c r="H745" s="377">
        <f t="shared" si="243"/>
        <v>5407.58</v>
      </c>
      <c r="I745" s="377">
        <f t="shared" si="243"/>
        <v>5433.16</v>
      </c>
      <c r="J745" s="377">
        <f t="shared" si="243"/>
        <v>5426.1200000000008</v>
      </c>
      <c r="K745" s="377">
        <f t="shared" si="243"/>
        <v>5441.56</v>
      </c>
      <c r="L745" s="377">
        <f t="shared" si="243"/>
        <v>5348.76</v>
      </c>
      <c r="M745" s="377">
        <f t="shared" si="243"/>
        <v>5461.0599999999995</v>
      </c>
      <c r="N745" s="377">
        <f t="shared" si="243"/>
        <v>5418.9</v>
      </c>
      <c r="O745" s="377">
        <f t="shared" si="243"/>
        <v>5402.6400000000012</v>
      </c>
      <c r="P745" s="377">
        <f t="shared" si="243"/>
        <v>5397.6</v>
      </c>
      <c r="Q745" s="309"/>
      <c r="R745" s="309"/>
      <c r="S745" s="309"/>
      <c r="T745" s="309"/>
      <c r="U745" s="309"/>
      <c r="V745" s="312"/>
      <c r="W745" s="309"/>
      <c r="X745" s="378"/>
      <c r="Y745" s="268"/>
      <c r="Z745" s="267"/>
      <c r="AA745" s="267"/>
      <c r="AB745" s="267"/>
      <c r="AC745" s="267"/>
      <c r="AD745" s="268"/>
      <c r="AE745" s="269"/>
    </row>
    <row r="746" spans="1:31" ht="12.75" customHeight="1">
      <c r="A746" s="342">
        <v>43556</v>
      </c>
      <c r="B746" s="315" t="s">
        <v>202</v>
      </c>
      <c r="C746" s="316" t="s">
        <v>199</v>
      </c>
      <c r="D746" s="278">
        <v>6009.25</v>
      </c>
      <c r="E746" s="278">
        <v>6052.75</v>
      </c>
      <c r="F746" s="278">
        <v>6057.58</v>
      </c>
      <c r="G746" s="278">
        <v>6048.21</v>
      </c>
      <c r="H746" s="278">
        <v>6071.2</v>
      </c>
      <c r="I746" s="278">
        <v>6060.05</v>
      </c>
      <c r="J746" s="278">
        <v>6045.01</v>
      </c>
      <c r="K746" s="278">
        <v>6071.31</v>
      </c>
      <c r="L746" s="278">
        <v>6018.12</v>
      </c>
      <c r="M746" s="346"/>
      <c r="N746" s="346"/>
      <c r="O746" s="346"/>
      <c r="P746" s="346"/>
      <c r="Q746" s="315">
        <f>IF((L747=""),"",MAX(D748:L748))</f>
        <v>7466.4000000000005</v>
      </c>
      <c r="R746" s="315">
        <f>IF(L747="","",MIN(D748:L748))</f>
        <v>6592.23</v>
      </c>
      <c r="S746" s="347">
        <f>IF((L748=""),"",AVERAGE(D748:L748))</f>
        <v>6796.1833333333325</v>
      </c>
      <c r="T746" s="318">
        <f>IF((L747=""),"",(Q746-R746)/(Q746+R746)*100)</f>
        <v>6.2180312021868485</v>
      </c>
      <c r="U746" s="315">
        <f>STDEV(D748:P748)</f>
        <v>267.64012414063995</v>
      </c>
      <c r="V746" s="320" t="str">
        <f>IF(L747="","",IF(T746&lt;9.8,IF(S746&gt;5100,IF(S746&lt;8300,"Pass","Fail"),"Fail"),"Fail"))</f>
        <v>Pass</v>
      </c>
      <c r="W746" s="315">
        <v>1159</v>
      </c>
      <c r="X746" s="282"/>
      <c r="Y746" s="374"/>
      <c r="Z746" s="267">
        <v>4955</v>
      </c>
      <c r="AA746" s="267">
        <v>9645</v>
      </c>
      <c r="AB746" s="267">
        <v>5100</v>
      </c>
      <c r="AC746" s="267">
        <v>8300</v>
      </c>
      <c r="AD746" s="305">
        <v>10</v>
      </c>
      <c r="AE746" s="305">
        <v>9.8000000000000007</v>
      </c>
    </row>
    <row r="747" spans="1:31" ht="15">
      <c r="A747" s="306"/>
      <c r="B747" s="298"/>
      <c r="C747" s="307" t="s">
        <v>198</v>
      </c>
      <c r="D747" s="278">
        <v>3739.97</v>
      </c>
      <c r="E747" s="278">
        <v>3832.13</v>
      </c>
      <c r="F747" s="278">
        <v>3828.47</v>
      </c>
      <c r="G747" s="278">
        <v>3559.41</v>
      </c>
      <c r="H747" s="278">
        <v>3788.15</v>
      </c>
      <c r="I747" s="278">
        <v>3854.74</v>
      </c>
      <c r="J747" s="278">
        <v>3772.62</v>
      </c>
      <c r="K747" s="278">
        <v>3848.73</v>
      </c>
      <c r="L747" s="278">
        <v>3820.71</v>
      </c>
      <c r="M747" s="290"/>
      <c r="N747" s="290"/>
      <c r="O747" s="290"/>
      <c r="P747" s="290"/>
      <c r="Q747" s="298"/>
      <c r="R747" s="298"/>
      <c r="S747" s="298"/>
      <c r="T747" s="298"/>
      <c r="U747" s="298"/>
      <c r="V747" s="302"/>
      <c r="W747" s="298"/>
      <c r="X747" s="282"/>
      <c r="Y747" s="375"/>
      <c r="Z747" s="267"/>
      <c r="AA747" s="267"/>
      <c r="AB747" s="267"/>
      <c r="AC747" s="267"/>
      <c r="AD747" s="268"/>
      <c r="AE747" s="269"/>
    </row>
    <row r="748" spans="1:31" ht="57.75" thickBot="1">
      <c r="A748" s="306"/>
      <c r="B748" s="298"/>
      <c r="C748" s="326" t="s">
        <v>197</v>
      </c>
      <c r="D748" s="343">
        <f t="shared" ref="D748:L748" si="244">IF(((D746="")*AND(D747="")),"",(D746-D747)*3)</f>
        <v>6807.84</v>
      </c>
      <c r="E748" s="343">
        <f t="shared" si="244"/>
        <v>6661.86</v>
      </c>
      <c r="F748" s="343">
        <f t="shared" si="244"/>
        <v>6687.33</v>
      </c>
      <c r="G748" s="343">
        <f t="shared" si="244"/>
        <v>7466.4000000000005</v>
      </c>
      <c r="H748" s="343">
        <f t="shared" si="244"/>
        <v>6849.15</v>
      </c>
      <c r="I748" s="343">
        <f t="shared" si="244"/>
        <v>6615.9300000000012</v>
      </c>
      <c r="J748" s="343">
        <f t="shared" si="244"/>
        <v>6817.170000000001</v>
      </c>
      <c r="K748" s="343">
        <f t="shared" si="244"/>
        <v>6667.7400000000016</v>
      </c>
      <c r="L748" s="343">
        <f t="shared" si="244"/>
        <v>6592.23</v>
      </c>
      <c r="M748" s="343"/>
      <c r="N748" s="343"/>
      <c r="O748" s="343"/>
      <c r="P748" s="343" t="str">
        <f>IF(((P746="")*AND(P747="")),"",(P746-P747)*2)</f>
        <v/>
      </c>
      <c r="Q748" s="298"/>
      <c r="R748" s="298"/>
      <c r="S748" s="298"/>
      <c r="T748" s="298"/>
      <c r="U748" s="298"/>
      <c r="V748" s="302"/>
      <c r="W748" s="298"/>
      <c r="X748" s="282"/>
      <c r="Y748" s="375"/>
      <c r="Z748" s="267"/>
      <c r="AA748" s="267"/>
      <c r="AB748" s="267"/>
      <c r="AC748" s="267"/>
      <c r="AD748" s="268"/>
      <c r="AE748" s="269"/>
    </row>
    <row r="749" spans="1:31" ht="12.75" customHeight="1">
      <c r="A749" s="342">
        <v>43556</v>
      </c>
      <c r="B749" s="326" t="s">
        <v>200</v>
      </c>
      <c r="C749" s="326" t="s">
        <v>199</v>
      </c>
      <c r="D749" s="278">
        <v>6893.95</v>
      </c>
      <c r="E749" s="278">
        <v>7013.52</v>
      </c>
      <c r="F749" s="278">
        <v>6841.96</v>
      </c>
      <c r="G749" s="278">
        <v>6879.36</v>
      </c>
      <c r="H749" s="278">
        <v>6822.35</v>
      </c>
      <c r="I749" s="278">
        <v>6845.87</v>
      </c>
      <c r="J749" s="278">
        <v>6906.25</v>
      </c>
      <c r="K749" s="278">
        <v>6854.73</v>
      </c>
      <c r="L749" s="278">
        <v>6850.82</v>
      </c>
      <c r="M749" s="278">
        <v>6885.43</v>
      </c>
      <c r="N749" s="278">
        <v>7058.09</v>
      </c>
      <c r="O749" s="278">
        <v>6836.12</v>
      </c>
      <c r="P749" s="278">
        <v>6777.36</v>
      </c>
      <c r="Q749" s="326">
        <f>IF((L750=""),"",MAX(D751:P751))</f>
        <v>5423.74</v>
      </c>
      <c r="R749" s="326">
        <f>IF(L750="","",MIN(D751:L751))</f>
        <v>5369.2799999999988</v>
      </c>
      <c r="S749" s="318">
        <f>IF((P751=""),"",AVERAGE(D751:P751))</f>
        <v>5395.8553846153845</v>
      </c>
      <c r="T749" s="319">
        <f>IF((L750=""),"",(Q749-R749)/(Q749+R749)*100)</f>
        <v>0.50458537091565614</v>
      </c>
      <c r="U749" s="326">
        <f>STDEV(D751:P751)</f>
        <v>17.763704857245987</v>
      </c>
      <c r="V749" s="328" t="str">
        <f>IF(P750="","",IF(T749&lt;2.7,IF(S749&gt;5150,IF(S749&lt;5600,"Pass","Fail"),"Fail"),"Fail"))</f>
        <v>Pass</v>
      </c>
      <c r="W749" s="326">
        <v>1159</v>
      </c>
      <c r="X749" s="282"/>
      <c r="Y749" s="375"/>
      <c r="Z749" s="321">
        <v>4470</v>
      </c>
      <c r="AA749" s="321">
        <v>6020</v>
      </c>
      <c r="AB749" s="321">
        <v>5150</v>
      </c>
      <c r="AC749" s="321">
        <v>5600</v>
      </c>
      <c r="AD749" s="305">
        <v>10</v>
      </c>
      <c r="AE749" s="322">
        <v>2.7</v>
      </c>
    </row>
    <row r="750" spans="1:31" ht="15">
      <c r="A750" s="306"/>
      <c r="B750" s="298"/>
      <c r="C750" s="298" t="s">
        <v>198</v>
      </c>
      <c r="D750" s="278">
        <v>4195.3900000000003</v>
      </c>
      <c r="E750" s="278">
        <v>4311.3999999999996</v>
      </c>
      <c r="F750" s="278">
        <v>4154.5600000000004</v>
      </c>
      <c r="G750" s="278">
        <v>4193.0600000000004</v>
      </c>
      <c r="H750" s="278">
        <v>4123.1899999999996</v>
      </c>
      <c r="I750" s="278">
        <v>4139.91</v>
      </c>
      <c r="J750" s="278">
        <v>4217.01</v>
      </c>
      <c r="K750" s="278">
        <v>4156.03</v>
      </c>
      <c r="L750" s="278">
        <v>4166.18</v>
      </c>
      <c r="M750" s="278">
        <v>4179.7</v>
      </c>
      <c r="N750" s="278">
        <v>4346.22</v>
      </c>
      <c r="O750" s="278">
        <v>4140.7700000000004</v>
      </c>
      <c r="P750" s="278">
        <v>4069.33</v>
      </c>
      <c r="Q750" s="298"/>
      <c r="R750" s="298"/>
      <c r="S750" s="298"/>
      <c r="T750" s="298"/>
      <c r="U750" s="298"/>
      <c r="V750" s="302"/>
      <c r="W750" s="298"/>
      <c r="X750" s="282"/>
      <c r="Y750" s="375"/>
      <c r="Z750" s="267"/>
      <c r="AA750" s="267"/>
      <c r="AB750" s="267"/>
      <c r="AC750" s="267"/>
      <c r="AD750" s="268"/>
      <c r="AE750" s="269"/>
    </row>
    <row r="751" spans="1:31" ht="57.75" thickBot="1">
      <c r="A751" s="306"/>
      <c r="B751" s="309"/>
      <c r="C751" s="309" t="s">
        <v>197</v>
      </c>
      <c r="D751" s="377">
        <f t="shared" ref="D751:P751" si="245">IF(((D749="")*AND(D750="")),"",(D749-D750)*2)</f>
        <v>5397.119999999999</v>
      </c>
      <c r="E751" s="377">
        <f t="shared" si="245"/>
        <v>5404.2400000000016</v>
      </c>
      <c r="F751" s="377">
        <f t="shared" si="245"/>
        <v>5374.7999999999993</v>
      </c>
      <c r="G751" s="377">
        <f t="shared" si="245"/>
        <v>5372.5999999999985</v>
      </c>
      <c r="H751" s="377">
        <f t="shared" si="245"/>
        <v>5398.3200000000015</v>
      </c>
      <c r="I751" s="377">
        <f t="shared" si="245"/>
        <v>5411.92</v>
      </c>
      <c r="J751" s="377">
        <f t="shared" si="245"/>
        <v>5378.48</v>
      </c>
      <c r="K751" s="377">
        <f t="shared" si="245"/>
        <v>5397.4</v>
      </c>
      <c r="L751" s="377">
        <f t="shared" si="245"/>
        <v>5369.2799999999988</v>
      </c>
      <c r="M751" s="377">
        <f t="shared" si="245"/>
        <v>5411.4600000000009</v>
      </c>
      <c r="N751" s="377">
        <f t="shared" si="245"/>
        <v>5423.74</v>
      </c>
      <c r="O751" s="377">
        <f t="shared" si="245"/>
        <v>5390.6999999999989</v>
      </c>
      <c r="P751" s="377">
        <f t="shared" si="245"/>
        <v>5416.0599999999995</v>
      </c>
      <c r="Q751" s="309"/>
      <c r="R751" s="309"/>
      <c r="S751" s="309"/>
      <c r="T751" s="309"/>
      <c r="U751" s="309"/>
      <c r="V751" s="312"/>
      <c r="W751" s="309"/>
      <c r="X751" s="282"/>
      <c r="Y751" s="378"/>
      <c r="Z751" s="267"/>
      <c r="AA751" s="267"/>
      <c r="AB751" s="267"/>
      <c r="AC751" s="267"/>
      <c r="AD751" s="268"/>
      <c r="AE751" s="269"/>
    </row>
    <row r="752" spans="1:31" ht="12.75" customHeight="1">
      <c r="A752" s="342">
        <v>43559</v>
      </c>
      <c r="B752" s="315" t="s">
        <v>202</v>
      </c>
      <c r="C752" s="316" t="s">
        <v>199</v>
      </c>
      <c r="D752" s="356">
        <v>6189</v>
      </c>
      <c r="E752" s="356">
        <v>6329</v>
      </c>
      <c r="F752" s="278">
        <v>6343</v>
      </c>
      <c r="G752" s="356">
        <v>6306</v>
      </c>
      <c r="H752" s="356">
        <v>6101</v>
      </c>
      <c r="I752" s="356">
        <v>5873</v>
      </c>
      <c r="J752" s="356">
        <v>6280</v>
      </c>
      <c r="K752" s="356">
        <v>6313</v>
      </c>
      <c r="L752" s="356">
        <v>6162</v>
      </c>
      <c r="M752" s="346"/>
      <c r="N752" s="346"/>
      <c r="O752" s="346"/>
      <c r="P752" s="346"/>
      <c r="Q752" s="315">
        <f>IF((L753=""),"",MAX(D754:L754))</f>
        <v>7605</v>
      </c>
      <c r="R752" s="315">
        <f>IF(L753="","",MIN(D754:L754))</f>
        <v>7200</v>
      </c>
      <c r="S752" s="347">
        <f>IF((L754=""),"",AVERAGE(D754:L754))</f>
        <v>7347</v>
      </c>
      <c r="T752" s="318">
        <f>IF((L753=""),"",(Q752-R752)/(Q752+R752)*100)</f>
        <v>2.735562310030395</v>
      </c>
      <c r="U752" s="315">
        <f>STDEV(D754:P754)</f>
        <v>137.4609035326045</v>
      </c>
      <c r="V752" s="320" t="str">
        <f>IF(L753="","",IF(T752&lt;9.8,IF(S752&gt;5100,IF(S752&lt;8300,"Pass","Fail"),"Fail"),"Fail"))</f>
        <v>Pass</v>
      </c>
      <c r="W752" s="315">
        <v>1340</v>
      </c>
      <c r="X752" s="374" t="s">
        <v>195</v>
      </c>
      <c r="Y752" s="268"/>
      <c r="Z752" s="267">
        <v>4955</v>
      </c>
      <c r="AA752" s="267">
        <v>9645</v>
      </c>
      <c r="AB752" s="267">
        <v>5100</v>
      </c>
      <c r="AC752" s="267">
        <v>8300</v>
      </c>
      <c r="AD752" s="305">
        <v>10</v>
      </c>
      <c r="AE752" s="305">
        <v>9.8000000000000007</v>
      </c>
    </row>
    <row r="753" spans="1:31" ht="15">
      <c r="A753" s="306"/>
      <c r="B753" s="298"/>
      <c r="C753" s="307" t="s">
        <v>198</v>
      </c>
      <c r="D753" s="356">
        <v>3740</v>
      </c>
      <c r="E753" s="356">
        <v>3929</v>
      </c>
      <c r="F753" s="278">
        <v>3912</v>
      </c>
      <c r="G753" s="278">
        <v>3872</v>
      </c>
      <c r="H753" s="278">
        <v>3566</v>
      </c>
      <c r="I753" s="356">
        <v>3356</v>
      </c>
      <c r="J753" s="356">
        <v>3852</v>
      </c>
      <c r="K753" s="356">
        <v>3883</v>
      </c>
      <c r="L753" s="356">
        <v>3745</v>
      </c>
      <c r="M753" s="290"/>
      <c r="N753" s="290"/>
      <c r="O753" s="290"/>
      <c r="P753" s="290"/>
      <c r="Q753" s="298"/>
      <c r="R753" s="298"/>
      <c r="S753" s="298"/>
      <c r="T753" s="298"/>
      <c r="U753" s="298"/>
      <c r="V753" s="302"/>
      <c r="W753" s="298"/>
      <c r="X753" s="375"/>
      <c r="Y753" s="268"/>
      <c r="Z753" s="267"/>
      <c r="AA753" s="267"/>
      <c r="AB753" s="267"/>
      <c r="AC753" s="267"/>
      <c r="AD753" s="268"/>
      <c r="AE753" s="269"/>
    </row>
    <row r="754" spans="1:31" ht="57.75" thickBot="1">
      <c r="A754" s="306"/>
      <c r="B754" s="298"/>
      <c r="C754" s="326" t="s">
        <v>197</v>
      </c>
      <c r="D754" s="343">
        <f t="shared" ref="D754:L754" si="246">IF(((D752="")*AND(D753="")),"",(D752-D753)*3)</f>
        <v>7347</v>
      </c>
      <c r="E754" s="343">
        <f t="shared" si="246"/>
        <v>7200</v>
      </c>
      <c r="F754" s="343">
        <f t="shared" si="246"/>
        <v>7293</v>
      </c>
      <c r="G754" s="343">
        <f t="shared" si="246"/>
        <v>7302</v>
      </c>
      <c r="H754" s="343">
        <f t="shared" si="246"/>
        <v>7605</v>
      </c>
      <c r="I754" s="343">
        <f t="shared" si="246"/>
        <v>7551</v>
      </c>
      <c r="J754" s="343">
        <f t="shared" si="246"/>
        <v>7284</v>
      </c>
      <c r="K754" s="343">
        <f t="shared" si="246"/>
        <v>7290</v>
      </c>
      <c r="L754" s="343">
        <f t="shared" si="246"/>
        <v>7251</v>
      </c>
      <c r="M754" s="343"/>
      <c r="N754" s="343"/>
      <c r="O754" s="343"/>
      <c r="P754" s="343" t="str">
        <f>IF(((P752="")*AND(P753="")),"",(P752-P753)*2)</f>
        <v/>
      </c>
      <c r="Q754" s="298"/>
      <c r="R754" s="298"/>
      <c r="S754" s="298"/>
      <c r="T754" s="298"/>
      <c r="U754" s="298"/>
      <c r="V754" s="302"/>
      <c r="W754" s="298"/>
      <c r="X754" s="375"/>
      <c r="Y754" s="268"/>
      <c r="Z754" s="267"/>
      <c r="AA754" s="267"/>
      <c r="AB754" s="267"/>
      <c r="AC754" s="267"/>
      <c r="AD754" s="268"/>
      <c r="AE754" s="269"/>
    </row>
    <row r="755" spans="1:31" ht="12.75" customHeight="1">
      <c r="A755" s="342">
        <v>43559</v>
      </c>
      <c r="B755" s="326" t="s">
        <v>200</v>
      </c>
      <c r="C755" s="326" t="s">
        <v>199</v>
      </c>
      <c r="D755" s="278">
        <v>4199.91</v>
      </c>
      <c r="E755" s="278">
        <v>4177</v>
      </c>
      <c r="F755" s="278">
        <v>4177</v>
      </c>
      <c r="G755" s="278">
        <v>4197.41</v>
      </c>
      <c r="H755" s="278">
        <v>4076.91</v>
      </c>
      <c r="I755" s="278">
        <v>4144.18</v>
      </c>
      <c r="J755" s="278">
        <v>4222.72</v>
      </c>
      <c r="K755" s="278">
        <v>4177</v>
      </c>
      <c r="L755" s="278">
        <v>4177</v>
      </c>
      <c r="M755" s="278">
        <v>4183.3</v>
      </c>
      <c r="N755" s="278">
        <v>4352.8</v>
      </c>
      <c r="O755" s="278">
        <v>4146.9399999999996</v>
      </c>
      <c r="P755" s="278">
        <v>4072.95</v>
      </c>
      <c r="Q755" s="326">
        <f>IF((L756=""),"",MAX(D757:P757))</f>
        <v>5470.34</v>
      </c>
      <c r="R755" s="326">
        <f>IF(L756="","",MIN(D757:L757))</f>
        <v>5184</v>
      </c>
      <c r="S755" s="318">
        <f>IF((P757=""),"",AVERAGE(D757:P757))</f>
        <v>5401.1692307692301</v>
      </c>
      <c r="T755" s="319">
        <f>IF((L756=""),"",(Q755-R755)/(Q755+R755)*100)</f>
        <v>2.6875432922170694</v>
      </c>
      <c r="U755" s="326">
        <f>STDEV(D757:P757)</f>
        <v>75.101820046915037</v>
      </c>
      <c r="V755" s="328" t="str">
        <f>IF(P756="","",IF(T755&lt;2.7,IF(S755&gt;5150,IF(S755&lt;5600,"Pass","Fail"),"Fail"),"Fail"))</f>
        <v>Pass</v>
      </c>
      <c r="W755" s="326">
        <v>1340</v>
      </c>
      <c r="X755" s="375" t="s">
        <v>195</v>
      </c>
      <c r="Y755" s="268"/>
      <c r="Z755" s="321">
        <v>4470</v>
      </c>
      <c r="AA755" s="321">
        <v>6020</v>
      </c>
      <c r="AB755" s="321">
        <v>5150</v>
      </c>
      <c r="AC755" s="321">
        <v>5600</v>
      </c>
      <c r="AD755" s="305">
        <v>10</v>
      </c>
      <c r="AE755" s="322">
        <v>2.7</v>
      </c>
    </row>
    <row r="756" spans="1:31" ht="15">
      <c r="A756" s="306"/>
      <c r="B756" s="298"/>
      <c r="C756" s="298" t="s">
        <v>198</v>
      </c>
      <c r="D756" s="278">
        <v>1487.07</v>
      </c>
      <c r="E756" s="278">
        <v>1585</v>
      </c>
      <c r="F756" s="278">
        <v>1458.33</v>
      </c>
      <c r="G756" s="278">
        <v>1495.43</v>
      </c>
      <c r="H756" s="278">
        <v>1421.49</v>
      </c>
      <c r="I756" s="278">
        <v>1425.74</v>
      </c>
      <c r="J756" s="278">
        <v>1516.4</v>
      </c>
      <c r="K756" s="278">
        <v>1450.73</v>
      </c>
      <c r="L756" s="278">
        <v>1471.6</v>
      </c>
      <c r="M756" s="278">
        <v>1469.29</v>
      </c>
      <c r="N756" s="278">
        <v>1617.63</v>
      </c>
      <c r="O756" s="278">
        <v>1437.38</v>
      </c>
      <c r="P756" s="278">
        <v>1361.43</v>
      </c>
      <c r="Q756" s="298"/>
      <c r="R756" s="298"/>
      <c r="S756" s="298"/>
      <c r="T756" s="298"/>
      <c r="U756" s="298"/>
      <c r="V756" s="302"/>
      <c r="W756" s="298"/>
      <c r="X756" s="375"/>
      <c r="Y756" s="268"/>
      <c r="Z756" s="267"/>
      <c r="AA756" s="267"/>
      <c r="AB756" s="267"/>
      <c r="AC756" s="267"/>
      <c r="AD756" s="268"/>
      <c r="AE756" s="269"/>
    </row>
    <row r="757" spans="1:31" ht="57.75" thickBot="1">
      <c r="A757" s="306"/>
      <c r="B757" s="309"/>
      <c r="C757" s="309" t="s">
        <v>197</v>
      </c>
      <c r="D757" s="377">
        <f t="shared" ref="D757:P757" si="247">IF(((D755="")*AND(D756="")),"",(D755-D756)*2)</f>
        <v>5425.68</v>
      </c>
      <c r="E757" s="377">
        <f t="shared" si="247"/>
        <v>5184</v>
      </c>
      <c r="F757" s="377">
        <f t="shared" si="247"/>
        <v>5437.34</v>
      </c>
      <c r="G757" s="377">
        <f t="shared" si="247"/>
        <v>5403.9599999999991</v>
      </c>
      <c r="H757" s="377">
        <f t="shared" si="247"/>
        <v>5310.84</v>
      </c>
      <c r="I757" s="377">
        <f t="shared" si="247"/>
        <v>5436.880000000001</v>
      </c>
      <c r="J757" s="377">
        <f t="shared" si="247"/>
        <v>5412.64</v>
      </c>
      <c r="K757" s="377">
        <f t="shared" si="247"/>
        <v>5452.54</v>
      </c>
      <c r="L757" s="377">
        <f t="shared" si="247"/>
        <v>5410.8</v>
      </c>
      <c r="M757" s="377">
        <f t="shared" si="247"/>
        <v>5428.02</v>
      </c>
      <c r="N757" s="377">
        <f t="shared" si="247"/>
        <v>5470.34</v>
      </c>
      <c r="O757" s="377">
        <f t="shared" si="247"/>
        <v>5419.119999999999</v>
      </c>
      <c r="P757" s="377">
        <f t="shared" si="247"/>
        <v>5423.0399999999991</v>
      </c>
      <c r="Q757" s="309"/>
      <c r="R757" s="309"/>
      <c r="S757" s="309"/>
      <c r="T757" s="309"/>
      <c r="U757" s="309"/>
      <c r="V757" s="312"/>
      <c r="W757" s="309"/>
      <c r="X757" s="378"/>
      <c r="Y757" s="268"/>
      <c r="Z757" s="267"/>
      <c r="AA757" s="267"/>
      <c r="AB757" s="267"/>
      <c r="AC757" s="267"/>
      <c r="AD757" s="268"/>
      <c r="AE757" s="269"/>
    </row>
    <row r="758" spans="1:31" ht="12.75" customHeight="1">
      <c r="A758" s="342">
        <v>43564</v>
      </c>
      <c r="B758" s="315" t="s">
        <v>202</v>
      </c>
      <c r="C758" s="316" t="s">
        <v>199</v>
      </c>
      <c r="D758" s="383">
        <v>6015</v>
      </c>
      <c r="E758" s="383">
        <v>6295</v>
      </c>
      <c r="F758" s="384">
        <v>6353</v>
      </c>
      <c r="G758" s="383">
        <v>6326</v>
      </c>
      <c r="H758" s="383">
        <v>6089</v>
      </c>
      <c r="I758" s="383">
        <v>6089</v>
      </c>
      <c r="J758" s="383">
        <v>6278</v>
      </c>
      <c r="K758" s="383">
        <v>6369</v>
      </c>
      <c r="L758" s="383">
        <v>6193</v>
      </c>
      <c r="M758" s="346"/>
      <c r="N758" s="346"/>
      <c r="O758" s="346"/>
      <c r="P758" s="346"/>
      <c r="Q758" s="315">
        <f>IF((L759=""),"",MAX(D760:L760))</f>
        <v>8541</v>
      </c>
      <c r="R758" s="315">
        <f>IF(L759="","",MIN(D760:L760))</f>
        <v>7419</v>
      </c>
      <c r="S758" s="347">
        <f>IF((L760=""),"",AVERAGE(D760:L760))</f>
        <v>7791.666666666667</v>
      </c>
      <c r="T758" s="318">
        <f>IF((L759=""),"",(Q758-R758)/(Q758+R758)*100)</f>
        <v>7.030075187969925</v>
      </c>
      <c r="U758" s="315">
        <f>STDEV(D760:P760)</f>
        <v>510.86788898892439</v>
      </c>
      <c r="V758" s="320" t="str">
        <f>IF(L759="","",IF(T758&lt;9.8,IF(S758&gt;5100,IF(S758&lt;8300,"Pass","Fail"),"Fail"),"Fail"))</f>
        <v>Pass</v>
      </c>
      <c r="W758" s="315">
        <v>1428</v>
      </c>
      <c r="X758" s="268" t="s">
        <v>207</v>
      </c>
      <c r="Y758" s="268"/>
      <c r="Z758" s="267">
        <v>4955</v>
      </c>
      <c r="AA758" s="267">
        <v>9645</v>
      </c>
      <c r="AB758" s="267">
        <v>5100</v>
      </c>
      <c r="AC758" s="267">
        <v>8300</v>
      </c>
      <c r="AD758" s="305">
        <v>10</v>
      </c>
      <c r="AE758" s="305">
        <v>9.8000000000000007</v>
      </c>
    </row>
    <row r="759" spans="1:31" ht="15">
      <c r="A759" s="306"/>
      <c r="B759" s="298"/>
      <c r="C759" s="307" t="s">
        <v>198</v>
      </c>
      <c r="D759" s="383">
        <v>3242</v>
      </c>
      <c r="E759" s="383">
        <v>3822</v>
      </c>
      <c r="F759" s="384">
        <v>3868</v>
      </c>
      <c r="G759" s="384">
        <v>3834</v>
      </c>
      <c r="H759" s="384">
        <v>3242</v>
      </c>
      <c r="I759" s="383">
        <v>3242</v>
      </c>
      <c r="J759" s="383">
        <v>3786</v>
      </c>
      <c r="K759" s="383">
        <v>3891</v>
      </c>
      <c r="L759" s="383">
        <v>3705</v>
      </c>
      <c r="M759" s="290"/>
      <c r="N759" s="290"/>
      <c r="O759" s="290"/>
      <c r="P759" s="290"/>
      <c r="Q759" s="298"/>
      <c r="R759" s="298"/>
      <c r="S759" s="298"/>
      <c r="T759" s="298"/>
      <c r="U759" s="298"/>
      <c r="V759" s="302"/>
      <c r="W759" s="298"/>
      <c r="X759" s="268"/>
      <c r="Y759" s="268"/>
      <c r="Z759" s="267"/>
      <c r="AA759" s="267"/>
      <c r="AB759" s="267"/>
      <c r="AC759" s="267"/>
      <c r="AD759" s="268"/>
      <c r="AE759" s="269"/>
    </row>
    <row r="760" spans="1:31" ht="57.75" thickBot="1">
      <c r="A760" s="306"/>
      <c r="B760" s="298"/>
      <c r="C760" s="326" t="s">
        <v>197</v>
      </c>
      <c r="D760" s="343">
        <f t="shared" ref="D760:L760" si="248">IF(((D758="")*AND(D759="")),"",(D758-D759)*3)</f>
        <v>8319</v>
      </c>
      <c r="E760" s="343">
        <f t="shared" si="248"/>
        <v>7419</v>
      </c>
      <c r="F760" s="343">
        <f t="shared" si="248"/>
        <v>7455</v>
      </c>
      <c r="G760" s="343">
        <f t="shared" si="248"/>
        <v>7476</v>
      </c>
      <c r="H760" s="343">
        <f t="shared" si="248"/>
        <v>8541</v>
      </c>
      <c r="I760" s="343">
        <f t="shared" si="248"/>
        <v>8541</v>
      </c>
      <c r="J760" s="343">
        <f t="shared" si="248"/>
        <v>7476</v>
      </c>
      <c r="K760" s="343">
        <f t="shared" si="248"/>
        <v>7434</v>
      </c>
      <c r="L760" s="343">
        <f t="shared" si="248"/>
        <v>7464</v>
      </c>
      <c r="M760" s="343"/>
      <c r="N760" s="343"/>
      <c r="O760" s="343"/>
      <c r="P760" s="343" t="str">
        <f>IF(((P758="")*AND(P759="")),"",(P758-P759)*2)</f>
        <v/>
      </c>
      <c r="Q760" s="298"/>
      <c r="R760" s="298"/>
      <c r="S760" s="298"/>
      <c r="T760" s="298"/>
      <c r="U760" s="298"/>
      <c r="V760" s="302"/>
      <c r="W760" s="298"/>
      <c r="X760" s="268"/>
      <c r="Y760" s="268"/>
      <c r="Z760" s="267"/>
      <c r="AA760" s="267"/>
      <c r="AB760" s="267"/>
      <c r="AC760" s="267"/>
      <c r="AD760" s="268"/>
      <c r="AE760" s="269"/>
    </row>
    <row r="761" spans="1:31" ht="12.75" customHeight="1">
      <c r="A761" s="342">
        <v>43564</v>
      </c>
      <c r="B761" s="326" t="s">
        <v>200</v>
      </c>
      <c r="C761" s="326" t="s">
        <v>199</v>
      </c>
      <c r="D761" s="384">
        <v>6740</v>
      </c>
      <c r="E761" s="384">
        <v>6864</v>
      </c>
      <c r="F761" s="384">
        <v>6688</v>
      </c>
      <c r="G761" s="384">
        <v>6721</v>
      </c>
      <c r="H761" s="384">
        <v>6677</v>
      </c>
      <c r="I761" s="384">
        <v>6698</v>
      </c>
      <c r="J761" s="384">
        <v>6749</v>
      </c>
      <c r="K761" s="384">
        <v>6698</v>
      </c>
      <c r="L761" s="384">
        <v>6698</v>
      </c>
      <c r="M761" s="384">
        <v>6721</v>
      </c>
      <c r="N761" s="384">
        <v>6688</v>
      </c>
      <c r="O761" s="384">
        <v>6864</v>
      </c>
      <c r="P761" s="384">
        <v>6740</v>
      </c>
      <c r="Q761" s="326">
        <f>IF((L762=""),"",MAX(D763:P763))</f>
        <v>5438</v>
      </c>
      <c r="R761" s="326">
        <f>IF(L762="","",MIN(D763:L763))</f>
        <v>5346</v>
      </c>
      <c r="S761" s="318">
        <f>IF((P763=""),"",AVERAGE(D763:P763))</f>
        <v>5360.7692307692305</v>
      </c>
      <c r="T761" s="319">
        <f>IF((L762=""),"",(Q761-R761)/(Q761+R761)*100)</f>
        <v>0.85311572700296734</v>
      </c>
      <c r="U761" s="326">
        <f>STDEV(D763:P763)</f>
        <v>92.985799853297209</v>
      </c>
      <c r="V761" s="328" t="str">
        <f>IF(P762="","",IF(T761&lt;2.7,IF(S761&gt;5150,IF(S761&lt;5600,"Pass","Fail"),"Fail"),"Fail"))</f>
        <v>Pass</v>
      </c>
      <c r="W761" s="326">
        <v>1428</v>
      </c>
      <c r="X761" s="268" t="s">
        <v>207</v>
      </c>
      <c r="Y761" s="268"/>
      <c r="Z761" s="321">
        <v>4470</v>
      </c>
      <c r="AA761" s="321">
        <v>6020</v>
      </c>
      <c r="AB761" s="321">
        <v>5150</v>
      </c>
      <c r="AC761" s="321">
        <v>5600</v>
      </c>
      <c r="AD761" s="305">
        <v>10</v>
      </c>
      <c r="AE761" s="322">
        <v>2.7</v>
      </c>
    </row>
    <row r="762" spans="1:31" ht="15">
      <c r="A762" s="306"/>
      <c r="B762" s="298"/>
      <c r="C762" s="298" t="s">
        <v>198</v>
      </c>
      <c r="D762" s="384">
        <v>4062</v>
      </c>
      <c r="E762" s="384">
        <v>4173</v>
      </c>
      <c r="F762" s="384">
        <v>4015</v>
      </c>
      <c r="G762" s="384">
        <v>4018</v>
      </c>
      <c r="H762" s="384">
        <v>3989</v>
      </c>
      <c r="I762" s="384">
        <v>3980</v>
      </c>
      <c r="J762" s="384">
        <v>4033</v>
      </c>
      <c r="K762" s="384">
        <v>3979</v>
      </c>
      <c r="L762" s="384">
        <v>4022</v>
      </c>
      <c r="M762" s="384">
        <v>4173</v>
      </c>
      <c r="N762" s="384">
        <v>4053</v>
      </c>
      <c r="O762" s="384">
        <v>4182</v>
      </c>
      <c r="P762" s="384">
        <v>4022</v>
      </c>
      <c r="Q762" s="298"/>
      <c r="R762" s="298"/>
      <c r="S762" s="298"/>
      <c r="T762" s="298"/>
      <c r="U762" s="298"/>
      <c r="V762" s="302"/>
      <c r="W762" s="298"/>
      <c r="X762" s="268"/>
      <c r="Y762" s="268"/>
      <c r="Z762" s="267"/>
      <c r="AA762" s="267"/>
      <c r="AB762" s="267"/>
      <c r="AC762" s="267"/>
      <c r="AD762" s="268"/>
      <c r="AE762" s="269"/>
    </row>
    <row r="763" spans="1:31" ht="57.75" thickBot="1">
      <c r="A763" s="306"/>
      <c r="B763" s="309"/>
      <c r="C763" s="309" t="s">
        <v>197</v>
      </c>
      <c r="D763" s="377">
        <f t="shared" ref="D763:P763" si="249">IF(((D761="")*AND(D762="")),"",(D761-D762)*2)</f>
        <v>5356</v>
      </c>
      <c r="E763" s="377">
        <f t="shared" si="249"/>
        <v>5382</v>
      </c>
      <c r="F763" s="377">
        <f t="shared" si="249"/>
        <v>5346</v>
      </c>
      <c r="G763" s="377">
        <f t="shared" si="249"/>
        <v>5406</v>
      </c>
      <c r="H763" s="377">
        <f t="shared" si="249"/>
        <v>5376</v>
      </c>
      <c r="I763" s="377">
        <f t="shared" si="249"/>
        <v>5436</v>
      </c>
      <c r="J763" s="377">
        <f t="shared" si="249"/>
        <v>5432</v>
      </c>
      <c r="K763" s="377">
        <f t="shared" si="249"/>
        <v>5438</v>
      </c>
      <c r="L763" s="377">
        <f t="shared" si="249"/>
        <v>5352</v>
      </c>
      <c r="M763" s="377">
        <f t="shared" si="249"/>
        <v>5096</v>
      </c>
      <c r="N763" s="377">
        <f t="shared" si="249"/>
        <v>5270</v>
      </c>
      <c r="O763" s="377">
        <f t="shared" si="249"/>
        <v>5364</v>
      </c>
      <c r="P763" s="377">
        <f t="shared" si="249"/>
        <v>5436</v>
      </c>
      <c r="Q763" s="309"/>
      <c r="R763" s="309"/>
      <c r="S763" s="309"/>
      <c r="T763" s="309"/>
      <c r="U763" s="309"/>
      <c r="V763" s="312"/>
      <c r="W763" s="309"/>
      <c r="X763" s="268"/>
      <c r="Y763" s="268"/>
      <c r="Z763" s="267"/>
      <c r="AA763" s="267"/>
      <c r="AB763" s="267"/>
      <c r="AC763" s="267"/>
      <c r="AD763" s="268"/>
      <c r="AE763" s="269"/>
    </row>
    <row r="764" spans="1:31" ht="12.75" customHeight="1">
      <c r="A764" s="342">
        <v>43564</v>
      </c>
      <c r="B764" s="326" t="s">
        <v>200</v>
      </c>
      <c r="C764" s="326" t="s">
        <v>199</v>
      </c>
      <c r="D764" s="384">
        <v>6725.38</v>
      </c>
      <c r="E764" s="384">
        <v>6847.86</v>
      </c>
      <c r="F764" s="384">
        <v>6668.32</v>
      </c>
      <c r="G764" s="384">
        <v>6705</v>
      </c>
      <c r="H764" s="384">
        <v>6665.31</v>
      </c>
      <c r="I764" s="384">
        <v>6679.91</v>
      </c>
      <c r="J764" s="384">
        <v>6733.66</v>
      </c>
      <c r="K764" s="384">
        <v>6682.25</v>
      </c>
      <c r="L764" s="384">
        <v>6685.05</v>
      </c>
      <c r="M764" s="384">
        <v>6715.83</v>
      </c>
      <c r="N764" s="384">
        <v>6903.85</v>
      </c>
      <c r="O764" s="384">
        <v>6670.93</v>
      </c>
      <c r="P764" s="384">
        <v>6626.63</v>
      </c>
      <c r="Q764" s="326">
        <f>IF((L765=""),"",MAX(D766:P766))</f>
        <v>5459.84</v>
      </c>
      <c r="R764" s="326">
        <f>IF(L765="","",MIN(D766:L766))</f>
        <v>5339.76</v>
      </c>
      <c r="S764" s="318">
        <f>IF((P766=""),"",AVERAGE(D766:P766))</f>
        <v>5398.7384615384617</v>
      </c>
      <c r="T764" s="319">
        <f>IF((L765=""),"",(Q764-R764)/(Q764+R764)*100)</f>
        <v>1.1118930330752983</v>
      </c>
      <c r="U764" s="326">
        <f>STDEV(D766:P766)</f>
        <v>40.562147758286279</v>
      </c>
      <c r="V764" s="328" t="str">
        <f>IF(P765="","",IF(T764&lt;2.7,IF(S764&gt;5150,IF(S764&lt;5600,"Pass","Fail"),"Fail"),"Fail"))</f>
        <v>Pass</v>
      </c>
      <c r="W764" s="326">
        <v>1428</v>
      </c>
      <c r="X764" s="268" t="s">
        <v>206</v>
      </c>
      <c r="Y764" s="268"/>
      <c r="Z764" s="321">
        <v>4470</v>
      </c>
      <c r="AA764" s="321">
        <v>6020</v>
      </c>
      <c r="AB764" s="321">
        <v>5150</v>
      </c>
      <c r="AC764" s="321">
        <v>5600</v>
      </c>
      <c r="AD764" s="305">
        <v>10</v>
      </c>
      <c r="AE764" s="322">
        <v>2.7</v>
      </c>
    </row>
    <row r="765" spans="1:31" ht="15">
      <c r="A765" s="306"/>
      <c r="B765" s="298"/>
      <c r="C765" s="298" t="s">
        <v>198</v>
      </c>
      <c r="D765" s="384">
        <v>4055.5</v>
      </c>
      <c r="E765" s="384">
        <v>4162.6400000000003</v>
      </c>
      <c r="F765" s="384">
        <v>3996.68</v>
      </c>
      <c r="G765" s="384">
        <v>3996.65</v>
      </c>
      <c r="H765" s="384">
        <v>3975</v>
      </c>
      <c r="I765" s="384">
        <v>3958.23</v>
      </c>
      <c r="J765" s="384">
        <v>4013.92</v>
      </c>
      <c r="K765" s="384">
        <v>3959.21</v>
      </c>
      <c r="L765" s="384">
        <v>4008.57</v>
      </c>
      <c r="M765" s="384">
        <v>3985.91</v>
      </c>
      <c r="N765" s="384">
        <v>4205.87</v>
      </c>
      <c r="O765" s="384">
        <v>3971.29</v>
      </c>
      <c r="P765" s="384">
        <v>3928.71</v>
      </c>
      <c r="Q765" s="298"/>
      <c r="R765" s="298"/>
      <c r="S765" s="298"/>
      <c r="T765" s="298"/>
      <c r="U765" s="298"/>
      <c r="V765" s="302"/>
      <c r="W765" s="298"/>
      <c r="X765" s="268"/>
      <c r="Y765" s="268"/>
      <c r="Z765" s="267"/>
      <c r="AA765" s="267"/>
      <c r="AB765" s="267"/>
      <c r="AC765" s="267"/>
      <c r="AD765" s="268"/>
      <c r="AE765" s="269"/>
    </row>
    <row r="766" spans="1:31" ht="57.75" thickBot="1">
      <c r="A766" s="306"/>
      <c r="B766" s="309"/>
      <c r="C766" s="309" t="s">
        <v>197</v>
      </c>
      <c r="D766" s="377">
        <f t="shared" ref="D766:P766" si="250">IF(((D764="")*AND(D765="")),"",(D764-D765)*2)</f>
        <v>5339.76</v>
      </c>
      <c r="E766" s="377">
        <f t="shared" si="250"/>
        <v>5370.4399999999987</v>
      </c>
      <c r="F766" s="377">
        <f t="shared" si="250"/>
        <v>5343.28</v>
      </c>
      <c r="G766" s="377">
        <f t="shared" si="250"/>
        <v>5416.7</v>
      </c>
      <c r="H766" s="377">
        <f t="shared" si="250"/>
        <v>5380.6200000000008</v>
      </c>
      <c r="I766" s="377">
        <f t="shared" si="250"/>
        <v>5443.36</v>
      </c>
      <c r="J766" s="377">
        <f t="shared" si="250"/>
        <v>5439.48</v>
      </c>
      <c r="K766" s="377">
        <f t="shared" si="250"/>
        <v>5446.08</v>
      </c>
      <c r="L766" s="377">
        <f t="shared" si="250"/>
        <v>5352.96</v>
      </c>
      <c r="M766" s="377">
        <f t="shared" si="250"/>
        <v>5459.84</v>
      </c>
      <c r="N766" s="377">
        <f t="shared" si="250"/>
        <v>5395.9600000000009</v>
      </c>
      <c r="O766" s="377">
        <f t="shared" si="250"/>
        <v>5399.2800000000007</v>
      </c>
      <c r="P766" s="377">
        <f t="shared" si="250"/>
        <v>5395.84</v>
      </c>
      <c r="Q766" s="309"/>
      <c r="R766" s="309"/>
      <c r="S766" s="309"/>
      <c r="T766" s="309"/>
      <c r="U766" s="309"/>
      <c r="V766" s="312"/>
      <c r="W766" s="309"/>
      <c r="X766" s="268"/>
      <c r="Y766" s="268"/>
      <c r="Z766" s="267"/>
      <c r="AA766" s="267"/>
      <c r="AB766" s="267"/>
      <c r="AC766" s="267"/>
      <c r="AD766" s="268"/>
      <c r="AE766" s="269"/>
    </row>
    <row r="767" spans="1:31" ht="12.75" customHeight="1">
      <c r="A767" s="385">
        <v>43568</v>
      </c>
      <c r="B767" s="315" t="s">
        <v>202</v>
      </c>
      <c r="C767" s="316" t="s">
        <v>199</v>
      </c>
      <c r="D767" s="383">
        <v>6006.3</v>
      </c>
      <c r="E767" s="383">
        <v>6280.09</v>
      </c>
      <c r="F767" s="384">
        <v>6338.5</v>
      </c>
      <c r="G767" s="383">
        <v>6311.35</v>
      </c>
      <c r="H767" s="383">
        <v>6036.44</v>
      </c>
      <c r="I767" s="383">
        <v>5864.99</v>
      </c>
      <c r="J767" s="383">
        <v>6264.81</v>
      </c>
      <c r="K767" s="383">
        <v>6355.59</v>
      </c>
      <c r="L767" s="383">
        <v>6177.03</v>
      </c>
      <c r="M767" s="346"/>
      <c r="N767" s="346"/>
      <c r="O767" s="346"/>
      <c r="P767" s="346"/>
      <c r="Q767" s="315">
        <f>IF((L768=""),"",MAX(D769:L769))</f>
        <v>8466.09</v>
      </c>
      <c r="R767" s="315">
        <f>IF(L768="","",MIN(D769:L769))</f>
        <v>7923.3600000000006</v>
      </c>
      <c r="S767" s="347">
        <f>IF((L769=""),"",AVERAGE(D769:L769))</f>
        <v>8092.8266666666668</v>
      </c>
      <c r="T767" s="318">
        <f>IF((L768=""),"",(Q767-R767)/(Q767+R767)*100)</f>
        <v>3.3114595059626746</v>
      </c>
      <c r="U767" s="315">
        <f>STDEV(D769:P769)</f>
        <v>217.16610100336919</v>
      </c>
      <c r="V767" s="320" t="str">
        <f>IF(L768="","",IF(T767&lt;9.8,IF(S767&gt;5100,IF(S767&lt;8300,"Pass","Fail"),"Fail"),"Fail"))</f>
        <v>Pass</v>
      </c>
      <c r="W767" s="315">
        <v>1428</v>
      </c>
      <c r="X767" s="386" t="s">
        <v>205</v>
      </c>
      <c r="Y767" s="268"/>
      <c r="Z767" s="267">
        <v>4955</v>
      </c>
      <c r="AA767" s="267">
        <v>9645</v>
      </c>
      <c r="AB767" s="267">
        <v>5100</v>
      </c>
      <c r="AC767" s="267">
        <v>8300</v>
      </c>
      <c r="AD767" s="305">
        <v>10</v>
      </c>
      <c r="AE767" s="305">
        <v>9.8000000000000007</v>
      </c>
    </row>
    <row r="768" spans="1:31" ht="15">
      <c r="A768" s="306"/>
      <c r="B768" s="298"/>
      <c r="C768" s="307" t="s">
        <v>198</v>
      </c>
      <c r="D768" s="383">
        <v>3354.65</v>
      </c>
      <c r="E768" s="383">
        <v>3638.97</v>
      </c>
      <c r="F768" s="384">
        <v>3681</v>
      </c>
      <c r="G768" s="384">
        <v>3639</v>
      </c>
      <c r="H768" s="384">
        <v>3329</v>
      </c>
      <c r="I768" s="383">
        <v>3046</v>
      </c>
      <c r="J768" s="383">
        <v>3601</v>
      </c>
      <c r="K768" s="383">
        <v>3712</v>
      </c>
      <c r="L768" s="383">
        <v>3355</v>
      </c>
      <c r="M768" s="290"/>
      <c r="N768" s="290"/>
      <c r="O768" s="290"/>
      <c r="P768" s="290"/>
      <c r="Q768" s="298"/>
      <c r="R768" s="298"/>
      <c r="S768" s="298"/>
      <c r="T768" s="298"/>
      <c r="U768" s="298"/>
      <c r="V768" s="302"/>
      <c r="W768" s="298"/>
      <c r="X768" s="386"/>
      <c r="Y768" s="268"/>
      <c r="Z768" s="267"/>
      <c r="AA768" s="267"/>
      <c r="AB768" s="267"/>
      <c r="AC768" s="267"/>
      <c r="AD768" s="268"/>
      <c r="AE768" s="269"/>
    </row>
    <row r="769" spans="1:31" ht="57.75" thickBot="1">
      <c r="A769" s="306"/>
      <c r="B769" s="298"/>
      <c r="C769" s="326" t="s">
        <v>197</v>
      </c>
      <c r="D769" s="343">
        <f t="shared" ref="D769:L769" si="251">IF(((D767="")*AND(D768="")),"",(D767-D768)*3)</f>
        <v>7954.9500000000007</v>
      </c>
      <c r="E769" s="343">
        <f t="shared" si="251"/>
        <v>7923.3600000000006</v>
      </c>
      <c r="F769" s="343">
        <f t="shared" si="251"/>
        <v>7972.5</v>
      </c>
      <c r="G769" s="343">
        <f t="shared" si="251"/>
        <v>8017.0500000000011</v>
      </c>
      <c r="H769" s="343">
        <f t="shared" si="251"/>
        <v>8122.3199999999988</v>
      </c>
      <c r="I769" s="343">
        <f t="shared" si="251"/>
        <v>8456.9699999999993</v>
      </c>
      <c r="J769" s="343">
        <f t="shared" si="251"/>
        <v>7991.4300000000012</v>
      </c>
      <c r="K769" s="343">
        <f t="shared" si="251"/>
        <v>7930.77</v>
      </c>
      <c r="L769" s="343">
        <f t="shared" si="251"/>
        <v>8466.09</v>
      </c>
      <c r="M769" s="343"/>
      <c r="N769" s="343"/>
      <c r="O769" s="343"/>
      <c r="P769" s="343" t="str">
        <f>IF(((P767="")*AND(P768="")),"",(P767-P768)*2)</f>
        <v/>
      </c>
      <c r="Q769" s="298"/>
      <c r="R769" s="298"/>
      <c r="S769" s="298"/>
      <c r="T769" s="298"/>
      <c r="U769" s="298"/>
      <c r="V769" s="302"/>
      <c r="W769" s="298"/>
      <c r="X769" s="386"/>
      <c r="Y769" s="268"/>
      <c r="Z769" s="267"/>
      <c r="AA769" s="267"/>
      <c r="AB769" s="267"/>
      <c r="AC769" s="267"/>
      <c r="AD769" s="268"/>
      <c r="AE769" s="269"/>
    </row>
    <row r="770" spans="1:31" ht="12.75" customHeight="1">
      <c r="A770" s="387">
        <v>43568</v>
      </c>
      <c r="B770" s="326" t="s">
        <v>200</v>
      </c>
      <c r="C770" s="326" t="s">
        <v>199</v>
      </c>
      <c r="D770" s="384">
        <v>4074</v>
      </c>
      <c r="E770" s="384">
        <v>4187</v>
      </c>
      <c r="F770" s="384">
        <v>4027</v>
      </c>
      <c r="G770" s="384">
        <v>4030</v>
      </c>
      <c r="H770" s="384">
        <v>4001</v>
      </c>
      <c r="I770" s="384">
        <v>3992</v>
      </c>
      <c r="J770" s="384">
        <v>4045</v>
      </c>
      <c r="K770" s="384">
        <v>3991</v>
      </c>
      <c r="L770" s="384">
        <v>4032</v>
      </c>
      <c r="M770" s="384">
        <v>4074</v>
      </c>
      <c r="N770" s="384">
        <v>4187</v>
      </c>
      <c r="O770" s="384">
        <v>4027</v>
      </c>
      <c r="P770" s="384">
        <v>4030</v>
      </c>
      <c r="Q770" s="326">
        <f>IF((L771=""),"",MAX(D772:P772))</f>
        <v>5518</v>
      </c>
      <c r="R770" s="326">
        <f>IF(L771="","",MIN(D772:L772))</f>
        <v>5376</v>
      </c>
      <c r="S770" s="318">
        <f>IF((P772=""),"",AVERAGE(D772:P772))</f>
        <v>5429.2307692307695</v>
      </c>
      <c r="T770" s="319">
        <f>IF((L771=""),"",(Q770-R770)/(Q770+R770)*100)</f>
        <v>1.3034697998898475</v>
      </c>
      <c r="U770" s="326">
        <f>STDEV(D772:P772)</f>
        <v>45.508522729529602</v>
      </c>
      <c r="V770" s="328" t="str">
        <f>IF(P771="","",IF(T770&lt;2.7,IF(S770&gt;5150,IF(S770&lt;5600,"Pass","Fail"),"Fail"),"Fail"))</f>
        <v>Pass</v>
      </c>
      <c r="W770" s="326">
        <v>1428</v>
      </c>
      <c r="X770" s="386" t="s">
        <v>205</v>
      </c>
      <c r="Y770" s="268"/>
      <c r="Z770" s="321">
        <v>4470</v>
      </c>
      <c r="AA770" s="321">
        <v>6020</v>
      </c>
      <c r="AB770" s="321">
        <v>5150</v>
      </c>
      <c r="AC770" s="321">
        <v>5600</v>
      </c>
      <c r="AD770" s="305">
        <v>10</v>
      </c>
      <c r="AE770" s="322">
        <v>2.7</v>
      </c>
    </row>
    <row r="771" spans="1:31" ht="15">
      <c r="A771" s="306"/>
      <c r="B771" s="298"/>
      <c r="C771" s="298" t="s">
        <v>198</v>
      </c>
      <c r="D771" s="384">
        <v>1374</v>
      </c>
      <c r="E771" s="384">
        <v>1465</v>
      </c>
      <c r="F771" s="384">
        <v>1339</v>
      </c>
      <c r="G771" s="384">
        <v>1317</v>
      </c>
      <c r="H771" s="384">
        <v>1285</v>
      </c>
      <c r="I771" s="384">
        <v>1233</v>
      </c>
      <c r="J771" s="384">
        <v>1318</v>
      </c>
      <c r="K771" s="384">
        <v>1238</v>
      </c>
      <c r="L771" s="384">
        <v>1343</v>
      </c>
      <c r="M771" s="384">
        <v>1374</v>
      </c>
      <c r="N771" s="384">
        <v>1465</v>
      </c>
      <c r="O771" s="384">
        <v>1339</v>
      </c>
      <c r="P771" s="384">
        <v>1317</v>
      </c>
      <c r="Q771" s="298"/>
      <c r="R771" s="298"/>
      <c r="S771" s="298"/>
      <c r="T771" s="298"/>
      <c r="U771" s="298"/>
      <c r="V771" s="302"/>
      <c r="W771" s="298"/>
      <c r="X771" s="282"/>
      <c r="Y771" s="386"/>
      <c r="Z771" s="267"/>
      <c r="AA771" s="267"/>
      <c r="AB771" s="267"/>
      <c r="AC771" s="267"/>
      <c r="AD771" s="268"/>
      <c r="AE771" s="269"/>
    </row>
    <row r="772" spans="1:31" ht="57.75" thickBot="1">
      <c r="A772" s="306"/>
      <c r="B772" s="309"/>
      <c r="C772" s="309" t="s">
        <v>197</v>
      </c>
      <c r="D772" s="377">
        <f t="shared" ref="D772:P772" si="252">IF(((D770="")*AND(D771="")),"",(D770-D771)*2)</f>
        <v>5400</v>
      </c>
      <c r="E772" s="377">
        <f t="shared" si="252"/>
        <v>5444</v>
      </c>
      <c r="F772" s="377">
        <f t="shared" si="252"/>
        <v>5376</v>
      </c>
      <c r="G772" s="377">
        <f t="shared" si="252"/>
        <v>5426</v>
      </c>
      <c r="H772" s="377">
        <f t="shared" si="252"/>
        <v>5432</v>
      </c>
      <c r="I772" s="377">
        <f t="shared" si="252"/>
        <v>5518</v>
      </c>
      <c r="J772" s="377">
        <f t="shared" si="252"/>
        <v>5454</v>
      </c>
      <c r="K772" s="377">
        <f t="shared" si="252"/>
        <v>5506</v>
      </c>
      <c r="L772" s="377">
        <f t="shared" si="252"/>
        <v>5378</v>
      </c>
      <c r="M772" s="377">
        <f t="shared" si="252"/>
        <v>5400</v>
      </c>
      <c r="N772" s="377">
        <f t="shared" si="252"/>
        <v>5444</v>
      </c>
      <c r="O772" s="377">
        <f t="shared" si="252"/>
        <v>5376</v>
      </c>
      <c r="P772" s="377">
        <f t="shared" si="252"/>
        <v>5426</v>
      </c>
      <c r="Q772" s="309"/>
      <c r="R772" s="309"/>
      <c r="S772" s="309"/>
      <c r="T772" s="309"/>
      <c r="U772" s="309"/>
      <c r="V772" s="312"/>
      <c r="W772" s="309"/>
      <c r="X772" s="282"/>
      <c r="Y772" s="386"/>
      <c r="Z772" s="267"/>
      <c r="AA772" s="267"/>
      <c r="AB772" s="267"/>
      <c r="AC772" s="267"/>
      <c r="AD772" s="268"/>
      <c r="AE772" s="269"/>
    </row>
    <row r="773" spans="1:31" ht="12.75" customHeight="1">
      <c r="A773" s="385">
        <v>43578</v>
      </c>
      <c r="B773" s="315" t="s">
        <v>202</v>
      </c>
      <c r="C773" s="316" t="s">
        <v>199</v>
      </c>
      <c r="D773" s="383">
        <v>3744</v>
      </c>
      <c r="E773" s="383">
        <v>3930</v>
      </c>
      <c r="F773" s="384">
        <v>3915</v>
      </c>
      <c r="G773" s="383">
        <v>3875</v>
      </c>
      <c r="H773" s="383">
        <v>3572</v>
      </c>
      <c r="I773" s="383">
        <v>3369</v>
      </c>
      <c r="J773" s="383">
        <v>3855</v>
      </c>
      <c r="K773" s="383">
        <v>3884</v>
      </c>
      <c r="L773" s="383">
        <v>3745</v>
      </c>
      <c r="M773" s="346"/>
      <c r="N773" s="346"/>
      <c r="O773" s="346"/>
      <c r="P773" s="346"/>
      <c r="Q773" s="315">
        <f>IF((L774=""),"",MAX(D775:L775))</f>
        <v>7503</v>
      </c>
      <c r="R773" s="315">
        <f>IF(L774="","",MIN(D775:L775))</f>
        <v>5526</v>
      </c>
      <c r="S773" s="347">
        <f>IF((L775=""),"",AVERAGE(D775:L775))</f>
        <v>6943.666666666667</v>
      </c>
      <c r="T773" s="318">
        <f>IF((L774=""),"",(Q773-R773)/(Q773+R773)*100)</f>
        <v>15.17384296569192</v>
      </c>
      <c r="U773" s="315">
        <f>STDEV(D775:P775)</f>
        <v>587.55233809423305</v>
      </c>
      <c r="V773" s="320" t="str">
        <f>IF(L774="","",IF(T773&lt;9.8,IF(S773&gt;5100,IF(S773&lt;8300,"Pass","Fail"),"Fail"),"Fail"))</f>
        <v>Fail</v>
      </c>
      <c r="W773" s="315" t="s">
        <v>204</v>
      </c>
      <c r="X773" s="388"/>
      <c r="Y773" s="389"/>
      <c r="Z773" s="267">
        <v>4955</v>
      </c>
      <c r="AA773" s="267">
        <v>9645</v>
      </c>
      <c r="AB773" s="267">
        <v>5100</v>
      </c>
      <c r="AC773" s="267">
        <v>8300</v>
      </c>
      <c r="AD773" s="305">
        <v>10</v>
      </c>
      <c r="AE773" s="305">
        <v>9.8000000000000007</v>
      </c>
    </row>
    <row r="774" spans="1:31" ht="15">
      <c r="A774" s="306"/>
      <c r="B774" s="298"/>
      <c r="C774" s="307" t="s">
        <v>198</v>
      </c>
      <c r="D774" s="383">
        <v>1374</v>
      </c>
      <c r="E774" s="383">
        <v>1651</v>
      </c>
      <c r="F774" s="384">
        <v>1613</v>
      </c>
      <c r="G774" s="384">
        <v>1547</v>
      </c>
      <c r="H774" s="384">
        <v>1103</v>
      </c>
      <c r="I774" s="383">
        <v>1527</v>
      </c>
      <c r="J774" s="383">
        <v>1569</v>
      </c>
      <c r="K774" s="383">
        <v>1430</v>
      </c>
      <c r="L774" s="383">
        <v>1244</v>
      </c>
      <c r="M774" s="290"/>
      <c r="N774" s="290"/>
      <c r="O774" s="290"/>
      <c r="P774" s="290"/>
      <c r="Q774" s="298"/>
      <c r="R774" s="298"/>
      <c r="S774" s="298"/>
      <c r="T774" s="298"/>
      <c r="U774" s="298"/>
      <c r="V774" s="302"/>
      <c r="W774" s="298"/>
      <c r="X774" s="388"/>
      <c r="Y774" s="389"/>
      <c r="Z774" s="267"/>
      <c r="AA774" s="267"/>
      <c r="AB774" s="267"/>
      <c r="AC774" s="267"/>
      <c r="AD774" s="268"/>
      <c r="AE774" s="269"/>
    </row>
    <row r="775" spans="1:31" ht="57.75" thickBot="1">
      <c r="A775" s="306"/>
      <c r="B775" s="298"/>
      <c r="C775" s="326" t="s">
        <v>197</v>
      </c>
      <c r="D775" s="343">
        <f t="shared" ref="D775:L775" si="253">IF(((D773="")*AND(D774="")),"",(D773-D774)*3)</f>
        <v>7110</v>
      </c>
      <c r="E775" s="343">
        <f t="shared" si="253"/>
        <v>6837</v>
      </c>
      <c r="F775" s="343">
        <f t="shared" si="253"/>
        <v>6906</v>
      </c>
      <c r="G775" s="343">
        <f t="shared" si="253"/>
        <v>6984</v>
      </c>
      <c r="H775" s="343">
        <f t="shared" si="253"/>
        <v>7407</v>
      </c>
      <c r="I775" s="343">
        <f t="shared" si="253"/>
        <v>5526</v>
      </c>
      <c r="J775" s="343">
        <f t="shared" si="253"/>
        <v>6858</v>
      </c>
      <c r="K775" s="343">
        <f t="shared" si="253"/>
        <v>7362</v>
      </c>
      <c r="L775" s="343">
        <f t="shared" si="253"/>
        <v>7503</v>
      </c>
      <c r="M775" s="343"/>
      <c r="N775" s="343"/>
      <c r="O775" s="343"/>
      <c r="P775" s="343" t="str">
        <f>IF(((P773="")*AND(P774="")),"",(P773-P774)*2)</f>
        <v/>
      </c>
      <c r="Q775" s="298"/>
      <c r="R775" s="298"/>
      <c r="S775" s="298"/>
      <c r="T775" s="298"/>
      <c r="U775" s="298"/>
      <c r="V775" s="302"/>
      <c r="W775" s="298"/>
      <c r="X775" s="388"/>
      <c r="Y775" s="389"/>
      <c r="Z775" s="267"/>
      <c r="AA775" s="267"/>
      <c r="AB775" s="267"/>
      <c r="AC775" s="267"/>
      <c r="AD775" s="268"/>
      <c r="AE775" s="269"/>
    </row>
    <row r="776" spans="1:31" ht="12.75" customHeight="1">
      <c r="A776" s="387">
        <v>43578</v>
      </c>
      <c r="B776" s="326" t="s">
        <v>200</v>
      </c>
      <c r="C776" s="326" t="s">
        <v>199</v>
      </c>
      <c r="D776" s="384">
        <v>6868</v>
      </c>
      <c r="E776" s="384">
        <v>6982</v>
      </c>
      <c r="F776" s="384">
        <v>6818</v>
      </c>
      <c r="G776" s="384">
        <v>6857</v>
      </c>
      <c r="H776" s="384">
        <v>6795</v>
      </c>
      <c r="I776" s="384">
        <v>6819</v>
      </c>
      <c r="J776" s="384">
        <v>6886</v>
      </c>
      <c r="K776" s="384">
        <v>6831</v>
      </c>
      <c r="L776" s="384">
        <v>6827</v>
      </c>
      <c r="M776" s="384">
        <v>6862</v>
      </c>
      <c r="N776" s="384">
        <v>7029</v>
      </c>
      <c r="O776" s="384">
        <v>6810</v>
      </c>
      <c r="P776" s="384">
        <v>6750</v>
      </c>
      <c r="Q776" s="326">
        <f>IF((L777=""),"",MAX(D778:P778))</f>
        <v>5466</v>
      </c>
      <c r="R776" s="326">
        <f>IF(L777="","",MIN(D778:L778))</f>
        <v>5350</v>
      </c>
      <c r="S776" s="318">
        <f>IF((P778=""),"",AVERAGE(D778:P778))</f>
        <v>5399.3846153846152</v>
      </c>
      <c r="T776" s="319">
        <f>IF((L777=""),"",(Q776-R776)/(Q776+R776)*100)</f>
        <v>1.0724852071005917</v>
      </c>
      <c r="U776" s="326">
        <f>STDEV(D778:P778)</f>
        <v>38.47410051263094</v>
      </c>
      <c r="V776" s="328" t="str">
        <f>IF(P777="","",IF(T776&lt;2.7,IF(S776&gt;5150,IF(S776&lt;5600,"Pass","Fail"),"Fail"),"Fail"))</f>
        <v>Pass</v>
      </c>
      <c r="W776" s="326" t="s">
        <v>204</v>
      </c>
      <c r="X776" s="386" t="s">
        <v>203</v>
      </c>
      <c r="Y776" s="268"/>
      <c r="Z776" s="321">
        <v>4470</v>
      </c>
      <c r="AA776" s="321">
        <v>6020</v>
      </c>
      <c r="AB776" s="321">
        <v>5150</v>
      </c>
      <c r="AC776" s="321">
        <v>5600</v>
      </c>
      <c r="AD776" s="305">
        <v>10</v>
      </c>
      <c r="AE776" s="322">
        <v>2.7</v>
      </c>
    </row>
    <row r="777" spans="1:31" ht="15">
      <c r="A777" s="306"/>
      <c r="B777" s="298"/>
      <c r="C777" s="298" t="s">
        <v>198</v>
      </c>
      <c r="D777" s="384">
        <v>4179</v>
      </c>
      <c r="E777" s="384">
        <v>4274</v>
      </c>
      <c r="F777" s="384">
        <v>4143</v>
      </c>
      <c r="G777" s="384">
        <v>4180</v>
      </c>
      <c r="H777" s="384">
        <v>4075</v>
      </c>
      <c r="I777" s="384">
        <v>4095</v>
      </c>
      <c r="J777" s="384">
        <v>4204</v>
      </c>
      <c r="K777" s="384">
        <v>4142</v>
      </c>
      <c r="L777" s="384">
        <v>4148</v>
      </c>
      <c r="M777" s="384">
        <v>4158</v>
      </c>
      <c r="N777" s="384">
        <v>4319</v>
      </c>
      <c r="O777" s="384">
        <v>4104</v>
      </c>
      <c r="P777" s="384">
        <v>4017</v>
      </c>
      <c r="Q777" s="298"/>
      <c r="R777" s="298"/>
      <c r="S777" s="298"/>
      <c r="T777" s="298"/>
      <c r="U777" s="298"/>
      <c r="V777" s="302"/>
      <c r="W777" s="298"/>
      <c r="X777" s="386"/>
      <c r="Y777" s="268"/>
      <c r="Z777" s="267"/>
      <c r="AA777" s="267"/>
      <c r="AB777" s="267"/>
      <c r="AC777" s="267"/>
      <c r="AD777" s="268"/>
      <c r="AE777" s="269"/>
    </row>
    <row r="778" spans="1:31" ht="57.75" thickBot="1">
      <c r="A778" s="306"/>
      <c r="B778" s="309"/>
      <c r="C778" s="309" t="s">
        <v>197</v>
      </c>
      <c r="D778" s="377">
        <f t="shared" ref="D778:P778" si="254">IF(((D776="")*AND(D777="")),"",(D776-D777)*2)</f>
        <v>5378</v>
      </c>
      <c r="E778" s="377">
        <f t="shared" si="254"/>
        <v>5416</v>
      </c>
      <c r="F778" s="377">
        <f t="shared" si="254"/>
        <v>5350</v>
      </c>
      <c r="G778" s="377">
        <f t="shared" si="254"/>
        <v>5354</v>
      </c>
      <c r="H778" s="377">
        <f t="shared" si="254"/>
        <v>5440</v>
      </c>
      <c r="I778" s="377">
        <f t="shared" si="254"/>
        <v>5448</v>
      </c>
      <c r="J778" s="377">
        <f t="shared" si="254"/>
        <v>5364</v>
      </c>
      <c r="K778" s="377">
        <f t="shared" si="254"/>
        <v>5378</v>
      </c>
      <c r="L778" s="377">
        <f t="shared" si="254"/>
        <v>5358</v>
      </c>
      <c r="M778" s="377">
        <f t="shared" si="254"/>
        <v>5408</v>
      </c>
      <c r="N778" s="377">
        <f t="shared" si="254"/>
        <v>5420</v>
      </c>
      <c r="O778" s="377">
        <f t="shared" si="254"/>
        <v>5412</v>
      </c>
      <c r="P778" s="377">
        <f t="shared" si="254"/>
        <v>5466</v>
      </c>
      <c r="Q778" s="309"/>
      <c r="R778" s="309"/>
      <c r="S778" s="309"/>
      <c r="T778" s="309"/>
      <c r="U778" s="309"/>
      <c r="V778" s="312"/>
      <c r="W778" s="309"/>
      <c r="X778" s="386"/>
      <c r="Y778" s="268"/>
      <c r="Z778" s="267"/>
      <c r="AA778" s="267"/>
      <c r="AB778" s="267"/>
      <c r="AC778" s="267"/>
      <c r="AD778" s="268"/>
      <c r="AE778" s="269"/>
    </row>
    <row r="779" spans="1:31" ht="12.75" customHeight="1">
      <c r="A779" s="385">
        <v>43578</v>
      </c>
      <c r="B779" s="315" t="s">
        <v>202</v>
      </c>
      <c r="C779" s="316" t="s">
        <v>199</v>
      </c>
      <c r="D779" s="383">
        <v>6102</v>
      </c>
      <c r="E779" s="383">
        <v>6235</v>
      </c>
      <c r="F779" s="384">
        <v>6273</v>
      </c>
      <c r="G779" s="383">
        <v>6252</v>
      </c>
      <c r="H779" s="383">
        <v>6182</v>
      </c>
      <c r="I779" s="383">
        <v>6252</v>
      </c>
      <c r="J779" s="383">
        <v>6223</v>
      </c>
      <c r="K779" s="383">
        <v>6022</v>
      </c>
      <c r="L779" s="383">
        <v>6176</v>
      </c>
      <c r="M779" s="346"/>
      <c r="N779" s="346"/>
      <c r="O779" s="346"/>
      <c r="P779" s="346"/>
      <c r="Q779" s="315">
        <f>IF((L780=""),"",MAX(D781:L781))</f>
        <v>7341</v>
      </c>
      <c r="R779" s="315">
        <f>IF(L780="","",MIN(D781:L781))</f>
        <v>7278</v>
      </c>
      <c r="S779" s="347">
        <f>IF((L781=""),"",AVERAGE(D781:L781))</f>
        <v>7310.666666666667</v>
      </c>
      <c r="T779" s="318">
        <f>IF((L780=""),"",(Q779-R779)/(Q779+R779)*100)</f>
        <v>0.43094602914016011</v>
      </c>
      <c r="U779" s="315">
        <f>STDEV(D781:P781)</f>
        <v>23.595550427993835</v>
      </c>
      <c r="V779" s="320" t="str">
        <f>IF(L780="","",IF(T779&lt;9.8,IF(S779&gt;5100,IF(S779&lt;8300,"Pass","Fail"),"Fail"),"Fail"))</f>
        <v>Pass</v>
      </c>
      <c r="W779" s="315">
        <v>121</v>
      </c>
      <c r="X779" s="386" t="s">
        <v>203</v>
      </c>
      <c r="Y779" s="268"/>
      <c r="Z779" s="267">
        <v>4955</v>
      </c>
      <c r="AA779" s="267">
        <v>9645</v>
      </c>
      <c r="AB779" s="267">
        <v>5100</v>
      </c>
      <c r="AC779" s="267">
        <v>8300</v>
      </c>
      <c r="AD779" s="305">
        <v>10</v>
      </c>
      <c r="AE779" s="305">
        <v>9.8000000000000007</v>
      </c>
    </row>
    <row r="780" spans="1:31" ht="15">
      <c r="A780" s="306"/>
      <c r="B780" s="298"/>
      <c r="C780" s="307" t="s">
        <v>198</v>
      </c>
      <c r="D780" s="383">
        <v>3657</v>
      </c>
      <c r="E780" s="383">
        <v>3802</v>
      </c>
      <c r="F780" s="384">
        <v>3834</v>
      </c>
      <c r="G780" s="384">
        <v>3814</v>
      </c>
      <c r="H780" s="384">
        <v>3756</v>
      </c>
      <c r="I780" s="383">
        <v>3807</v>
      </c>
      <c r="J780" s="383">
        <v>3791</v>
      </c>
      <c r="K780" s="383">
        <v>3595</v>
      </c>
      <c r="L780" s="383">
        <v>3729</v>
      </c>
      <c r="M780" s="290"/>
      <c r="N780" s="290"/>
      <c r="O780" s="290"/>
      <c r="P780" s="290"/>
      <c r="Q780" s="298"/>
      <c r="R780" s="298"/>
      <c r="S780" s="298"/>
      <c r="T780" s="298"/>
      <c r="U780" s="298"/>
      <c r="V780" s="302"/>
      <c r="W780" s="298"/>
      <c r="X780" s="386"/>
      <c r="Y780" s="268"/>
      <c r="Z780" s="267"/>
      <c r="AA780" s="267"/>
      <c r="AB780" s="267"/>
      <c r="AC780" s="267"/>
      <c r="AD780" s="268"/>
      <c r="AE780" s="269"/>
    </row>
    <row r="781" spans="1:31" ht="57.75" thickBot="1">
      <c r="A781" s="306"/>
      <c r="B781" s="298"/>
      <c r="C781" s="326" t="s">
        <v>197</v>
      </c>
      <c r="D781" s="343">
        <f t="shared" ref="D781:L781" si="255">IF(((D779="")*AND(D780="")),"",(D779-D780)*3)</f>
        <v>7335</v>
      </c>
      <c r="E781" s="343">
        <f t="shared" si="255"/>
        <v>7299</v>
      </c>
      <c r="F781" s="343">
        <f t="shared" si="255"/>
        <v>7317</v>
      </c>
      <c r="G781" s="343">
        <f t="shared" si="255"/>
        <v>7314</v>
      </c>
      <c r="H781" s="343">
        <f t="shared" si="255"/>
        <v>7278</v>
      </c>
      <c r="I781" s="343">
        <f t="shared" si="255"/>
        <v>7335</v>
      </c>
      <c r="J781" s="343">
        <f t="shared" si="255"/>
        <v>7296</v>
      </c>
      <c r="K781" s="343">
        <f t="shared" si="255"/>
        <v>7281</v>
      </c>
      <c r="L781" s="343">
        <f t="shared" si="255"/>
        <v>7341</v>
      </c>
      <c r="M781" s="343"/>
      <c r="N781" s="343"/>
      <c r="O781" s="343"/>
      <c r="P781" s="343" t="str">
        <f>IF(((P779="")*AND(P780="")),"",(P779-P780)*2)</f>
        <v/>
      </c>
      <c r="Q781" s="298"/>
      <c r="R781" s="298"/>
      <c r="S781" s="298"/>
      <c r="T781" s="298"/>
      <c r="U781" s="298"/>
      <c r="V781" s="302"/>
      <c r="W781" s="298"/>
      <c r="X781" s="389"/>
      <c r="Y781" s="268"/>
      <c r="Z781" s="267"/>
      <c r="AA781" s="267"/>
      <c r="AB781" s="267"/>
      <c r="AC781" s="267"/>
      <c r="AD781" s="268"/>
      <c r="AE781" s="269"/>
    </row>
    <row r="782" spans="1:31" ht="12.75" customHeight="1">
      <c r="A782" s="387">
        <v>43578</v>
      </c>
      <c r="B782" s="326" t="s">
        <v>200</v>
      </c>
      <c r="C782" s="326" t="s">
        <v>199</v>
      </c>
      <c r="D782" s="384">
        <v>4179</v>
      </c>
      <c r="E782" s="384">
        <v>4274</v>
      </c>
      <c r="F782" s="384">
        <v>4143</v>
      </c>
      <c r="G782" s="384">
        <v>4180</v>
      </c>
      <c r="H782" s="384">
        <v>4075</v>
      </c>
      <c r="I782" s="384">
        <v>4095</v>
      </c>
      <c r="J782" s="384">
        <v>4204</v>
      </c>
      <c r="K782" s="384">
        <v>4142</v>
      </c>
      <c r="L782" s="384">
        <v>4148</v>
      </c>
      <c r="M782" s="384">
        <v>4158</v>
      </c>
      <c r="N782" s="384">
        <v>4319</v>
      </c>
      <c r="O782" s="384">
        <v>4104</v>
      </c>
      <c r="P782" s="384">
        <v>4017</v>
      </c>
      <c r="Q782" s="326">
        <f>IF((L783=""),"",MAX(D784:P784))</f>
        <v>5632</v>
      </c>
      <c r="R782" s="326">
        <f>IF(L783="","",MIN(D784:L784))</f>
        <v>5458</v>
      </c>
      <c r="S782" s="318">
        <f>IF((P784=""),"",AVERAGE(D784:P784))</f>
        <v>5508.1538461538457</v>
      </c>
      <c r="T782" s="319">
        <f>IF((L783=""),"",(Q782-R782)/(Q782+R782)*100)</f>
        <v>1.5689810640216411</v>
      </c>
      <c r="U782" s="326">
        <f>STDEV(D784:P784)</f>
        <v>44.245237321575686</v>
      </c>
      <c r="V782" s="328" t="str">
        <f>IF(P783="","",IF(T782&lt;2.7,IF(S782&gt;5150,IF(S782&lt;5600,"Pass","Fail"),"Fail"),"Fail"))</f>
        <v>Pass</v>
      </c>
      <c r="W782" s="326">
        <v>1340</v>
      </c>
      <c r="X782" s="268" t="s">
        <v>203</v>
      </c>
      <c r="Y782" s="268"/>
      <c r="Z782" s="321">
        <v>4470</v>
      </c>
      <c r="AA782" s="321">
        <v>6020</v>
      </c>
      <c r="AB782" s="321">
        <v>5150</v>
      </c>
      <c r="AC782" s="321">
        <v>5600</v>
      </c>
      <c r="AD782" s="305">
        <v>10</v>
      </c>
      <c r="AE782" s="322">
        <v>2.7</v>
      </c>
    </row>
    <row r="783" spans="1:31" ht="15">
      <c r="A783" s="306"/>
      <c r="B783" s="298"/>
      <c r="C783" s="298" t="s">
        <v>198</v>
      </c>
      <c r="D783" s="384">
        <v>1432</v>
      </c>
      <c r="E783" s="384">
        <v>1506</v>
      </c>
      <c r="F783" s="384">
        <v>1414</v>
      </c>
      <c r="G783" s="384">
        <v>1438</v>
      </c>
      <c r="H783" s="384">
        <v>1311</v>
      </c>
      <c r="I783" s="384">
        <v>1329</v>
      </c>
      <c r="J783" s="384">
        <v>1458</v>
      </c>
      <c r="K783" s="384">
        <v>1400</v>
      </c>
      <c r="L783" s="384">
        <v>1417</v>
      </c>
      <c r="M783" s="384">
        <v>1407</v>
      </c>
      <c r="N783" s="384">
        <v>1569</v>
      </c>
      <c r="O783" s="384">
        <v>1353</v>
      </c>
      <c r="P783" s="384">
        <v>1201</v>
      </c>
      <c r="Q783" s="298"/>
      <c r="R783" s="298"/>
      <c r="S783" s="298"/>
      <c r="T783" s="298"/>
      <c r="U783" s="298"/>
      <c r="V783" s="302"/>
      <c r="W783" s="298"/>
      <c r="X783" s="268"/>
      <c r="Y783" s="268"/>
      <c r="Z783" s="267"/>
      <c r="AA783" s="267"/>
      <c r="AB783" s="267"/>
      <c r="AC783" s="267"/>
      <c r="AD783" s="268"/>
      <c r="AE783" s="269"/>
    </row>
    <row r="784" spans="1:31" ht="57.75" thickBot="1">
      <c r="A784" s="306"/>
      <c r="B784" s="298"/>
      <c r="C784" s="298" t="s">
        <v>197</v>
      </c>
      <c r="D784" s="372">
        <f t="shared" ref="D784:P784" si="256">IF(((D782="")*AND(D783="")),"",(D782-D783)*2)</f>
        <v>5494</v>
      </c>
      <c r="E784" s="372">
        <f t="shared" si="256"/>
        <v>5536</v>
      </c>
      <c r="F784" s="372">
        <f t="shared" si="256"/>
        <v>5458</v>
      </c>
      <c r="G784" s="372">
        <f t="shared" si="256"/>
        <v>5484</v>
      </c>
      <c r="H784" s="372">
        <f t="shared" si="256"/>
        <v>5528</v>
      </c>
      <c r="I784" s="372">
        <f t="shared" si="256"/>
        <v>5532</v>
      </c>
      <c r="J784" s="372">
        <f t="shared" si="256"/>
        <v>5492</v>
      </c>
      <c r="K784" s="372">
        <f t="shared" si="256"/>
        <v>5484</v>
      </c>
      <c r="L784" s="372">
        <f t="shared" si="256"/>
        <v>5462</v>
      </c>
      <c r="M784" s="372">
        <f t="shared" si="256"/>
        <v>5502</v>
      </c>
      <c r="N784" s="372">
        <f t="shared" si="256"/>
        <v>5500</v>
      </c>
      <c r="O784" s="372">
        <f t="shared" si="256"/>
        <v>5502</v>
      </c>
      <c r="P784" s="372">
        <f t="shared" si="256"/>
        <v>5632</v>
      </c>
      <c r="Q784" s="298"/>
      <c r="R784" s="298"/>
      <c r="S784" s="298"/>
      <c r="T784" s="298"/>
      <c r="U784" s="298"/>
      <c r="V784" s="302"/>
      <c r="W784" s="298"/>
      <c r="X784" s="268"/>
      <c r="Y784" s="268"/>
      <c r="Z784" s="267"/>
      <c r="AA784" s="267"/>
      <c r="AB784" s="267"/>
      <c r="AC784" s="267"/>
      <c r="AD784" s="268"/>
      <c r="AE784" s="269"/>
    </row>
    <row r="785" spans="1:31" ht="12.75" customHeight="1">
      <c r="A785" s="344">
        <v>43588</v>
      </c>
      <c r="B785" s="315" t="s">
        <v>202</v>
      </c>
      <c r="C785" s="316" t="s">
        <v>199</v>
      </c>
      <c r="D785" s="345">
        <v>3722.94</v>
      </c>
      <c r="E785" s="345">
        <v>3855.84</v>
      </c>
      <c r="F785" s="345">
        <v>3845.44</v>
      </c>
      <c r="G785" s="345">
        <v>3836.08</v>
      </c>
      <c r="H785" s="345">
        <v>3733.89</v>
      </c>
      <c r="I785" s="345">
        <v>3634.53</v>
      </c>
      <c r="J785" s="345">
        <v>3808.1</v>
      </c>
      <c r="K785" s="345">
        <v>3857.41</v>
      </c>
      <c r="L785" s="345">
        <v>3836.28</v>
      </c>
      <c r="M785" s="346"/>
      <c r="N785" s="346"/>
      <c r="O785" s="346"/>
      <c r="P785" s="346"/>
      <c r="Q785" s="315">
        <f>IF((L786=""),"",MAX(D787:L787))</f>
        <v>7424.61</v>
      </c>
      <c r="R785" s="315">
        <f>IF(L786="","",MIN(D787:L787))</f>
        <v>6706.38</v>
      </c>
      <c r="S785" s="347">
        <f>IF((L787=""),"",AVERAGE(D787:L787))</f>
        <v>6855.2233333333334</v>
      </c>
      <c r="T785" s="318">
        <f>IF((L786=""),"",(Q785-R785)/(Q785+R785)*100)</f>
        <v>5.082658752146874</v>
      </c>
      <c r="U785" s="315">
        <f>STDEV(D787:P787)</f>
        <v>224.15144796542972</v>
      </c>
      <c r="V785" s="320" t="str">
        <f>IF(L786="","",IF(T785&lt;9.8,IF(S785&gt;5100,IF(S785&lt;8300,"Pass","Fail"),"Fail"),"Fail"))</f>
        <v>Pass</v>
      </c>
      <c r="W785" s="315">
        <v>1159</v>
      </c>
      <c r="X785" s="374" t="s">
        <v>201</v>
      </c>
      <c r="Y785" s="268"/>
      <c r="Z785" s="267">
        <v>4955</v>
      </c>
      <c r="AA785" s="267">
        <v>9645</v>
      </c>
      <c r="AB785" s="267">
        <v>5100</v>
      </c>
      <c r="AC785" s="267">
        <v>8300</v>
      </c>
      <c r="AD785" s="305">
        <v>10</v>
      </c>
      <c r="AE785" s="305">
        <v>9.8000000000000007</v>
      </c>
    </row>
    <row r="786" spans="1:31" ht="15">
      <c r="A786" s="390"/>
      <c r="B786" s="298"/>
      <c r="C786" s="307" t="s">
        <v>198</v>
      </c>
      <c r="D786" s="259">
        <v>1410.14</v>
      </c>
      <c r="E786" s="259">
        <v>1620.38</v>
      </c>
      <c r="F786" s="259">
        <v>1600.03</v>
      </c>
      <c r="G786" s="259">
        <v>1582.84</v>
      </c>
      <c r="H786" s="259">
        <v>1454.42</v>
      </c>
      <c r="I786" s="259">
        <v>1159.6600000000001</v>
      </c>
      <c r="J786" s="259">
        <v>1556.02</v>
      </c>
      <c r="K786" s="259">
        <v>1605.17</v>
      </c>
      <c r="L786" s="259">
        <v>1576.18</v>
      </c>
      <c r="M786" s="290"/>
      <c r="N786" s="290"/>
      <c r="O786" s="290"/>
      <c r="P786" s="290"/>
      <c r="Q786" s="298"/>
      <c r="R786" s="298"/>
      <c r="S786" s="298"/>
      <c r="T786" s="298"/>
      <c r="U786" s="298"/>
      <c r="V786" s="302"/>
      <c r="W786" s="298"/>
      <c r="X786" s="375"/>
      <c r="Y786" s="268"/>
      <c r="Z786" s="267"/>
      <c r="AA786" s="267"/>
      <c r="AB786" s="267"/>
      <c r="AC786" s="267"/>
      <c r="AD786" s="268"/>
      <c r="AE786" s="269"/>
    </row>
    <row r="787" spans="1:31" ht="57.75" thickBot="1">
      <c r="A787" s="390"/>
      <c r="B787" s="298"/>
      <c r="C787" s="326" t="s">
        <v>197</v>
      </c>
      <c r="D787" s="343">
        <f t="shared" ref="D787:L787" si="257">IF(((D785="")*AND(D786="")),"",(D785-D786)*3)</f>
        <v>6938.4000000000005</v>
      </c>
      <c r="E787" s="343">
        <f t="shared" si="257"/>
        <v>6706.38</v>
      </c>
      <c r="F787" s="343">
        <f t="shared" si="257"/>
        <v>6736.23</v>
      </c>
      <c r="G787" s="343">
        <f t="shared" si="257"/>
        <v>6759.7199999999993</v>
      </c>
      <c r="H787" s="343">
        <f t="shared" si="257"/>
        <v>6838.41</v>
      </c>
      <c r="I787" s="343">
        <f t="shared" si="257"/>
        <v>7424.61</v>
      </c>
      <c r="J787" s="343">
        <f t="shared" si="257"/>
        <v>6756.24</v>
      </c>
      <c r="K787" s="343">
        <f t="shared" si="257"/>
        <v>6756.7199999999993</v>
      </c>
      <c r="L787" s="343">
        <f t="shared" si="257"/>
        <v>6780.3000000000011</v>
      </c>
      <c r="M787" s="343"/>
      <c r="N787" s="343"/>
      <c r="O787" s="343"/>
      <c r="P787" s="343" t="str">
        <f>IF(((P785="")*AND(P786="")),"",(P785-P786)*2)</f>
        <v/>
      </c>
      <c r="Q787" s="298"/>
      <c r="R787" s="298"/>
      <c r="S787" s="298"/>
      <c r="T787" s="298"/>
      <c r="U787" s="298"/>
      <c r="V787" s="302"/>
      <c r="W787" s="298"/>
      <c r="X787" s="375"/>
      <c r="Y787" s="268"/>
      <c r="Z787" s="267"/>
      <c r="AA787" s="267"/>
      <c r="AB787" s="267"/>
      <c r="AC787" s="267"/>
      <c r="AD787" s="268"/>
      <c r="AE787" s="269"/>
    </row>
    <row r="788" spans="1:31" ht="12.75" customHeight="1">
      <c r="A788" s="391">
        <v>43588</v>
      </c>
      <c r="B788" s="326" t="s">
        <v>200</v>
      </c>
      <c r="C788" s="326" t="s">
        <v>199</v>
      </c>
      <c r="D788" s="259">
        <v>6819.21</v>
      </c>
      <c r="E788" s="259">
        <v>6946.83</v>
      </c>
      <c r="F788" s="259">
        <v>6815.59</v>
      </c>
      <c r="G788" s="259">
        <v>6826.37</v>
      </c>
      <c r="H788" s="259">
        <v>6779.35</v>
      </c>
      <c r="I788" s="259">
        <v>6830.12</v>
      </c>
      <c r="J788" s="259">
        <v>6845.32</v>
      </c>
      <c r="K788" s="259">
        <v>6820.08</v>
      </c>
      <c r="L788" s="259">
        <v>6802.02</v>
      </c>
      <c r="M788" s="259">
        <v>6843.12</v>
      </c>
      <c r="N788" s="259">
        <v>6974.17</v>
      </c>
      <c r="O788" s="259">
        <v>6814.48</v>
      </c>
      <c r="P788" s="259">
        <v>6740.27</v>
      </c>
      <c r="Q788" s="326">
        <f>IF((L789=""),"",MAX(D790:P790))</f>
        <v>5570.74</v>
      </c>
      <c r="R788" s="326">
        <f>IF(L789="","",MIN(D790:L790))</f>
        <v>5432.2800000000007</v>
      </c>
      <c r="S788" s="318">
        <f>IF((P790=""),"",AVERAGE(D790:P790))</f>
        <v>5501.992307692306</v>
      </c>
      <c r="T788" s="319">
        <f>IF((L789=""),"",(Q788-R788)/(Q788+R788)*100)</f>
        <v>1.2583817897268126</v>
      </c>
      <c r="U788" s="326">
        <f>STDEV(D790:P790)</f>
        <v>48.636200193355727</v>
      </c>
      <c r="V788" s="328" t="str">
        <f>IF(P789="","",IF(T788&lt;2.7,IF(S788&gt;5150,IF(S788&lt;5600,"Pass","Fail"),"Fail"),"Fail"))</f>
        <v>Pass</v>
      </c>
      <c r="W788" s="326">
        <v>1159</v>
      </c>
      <c r="X788" s="374" t="s">
        <v>201</v>
      </c>
      <c r="Y788" s="268"/>
      <c r="Z788" s="321">
        <v>4470</v>
      </c>
      <c r="AA788" s="321">
        <v>6020</v>
      </c>
      <c r="AB788" s="321">
        <v>5150</v>
      </c>
      <c r="AC788" s="321">
        <v>5600</v>
      </c>
      <c r="AD788" s="305">
        <v>10</v>
      </c>
      <c r="AE788" s="322">
        <v>2.7</v>
      </c>
    </row>
    <row r="789" spans="1:31" ht="15">
      <c r="A789" s="390"/>
      <c r="B789" s="298"/>
      <c r="C789" s="298" t="s">
        <v>198</v>
      </c>
      <c r="D789" s="259">
        <v>4099.62</v>
      </c>
      <c r="E789" s="259">
        <v>4230.0200000000004</v>
      </c>
      <c r="F789" s="259">
        <v>4099.45</v>
      </c>
      <c r="G789" s="259">
        <v>4063.1</v>
      </c>
      <c r="H789" s="259">
        <v>4025.7</v>
      </c>
      <c r="I789" s="259">
        <v>4062.83</v>
      </c>
      <c r="J789" s="259">
        <v>4066.02</v>
      </c>
      <c r="K789" s="259">
        <v>4047.44</v>
      </c>
      <c r="L789" s="259">
        <v>4076.83</v>
      </c>
      <c r="M789" s="259">
        <v>4057.75</v>
      </c>
      <c r="N789" s="259">
        <v>4227.37</v>
      </c>
      <c r="O789" s="259">
        <v>4061.39</v>
      </c>
      <c r="P789" s="259">
        <v>3976.46</v>
      </c>
      <c r="Q789" s="298"/>
      <c r="R789" s="298"/>
      <c r="S789" s="298"/>
      <c r="T789" s="298"/>
      <c r="U789" s="298"/>
      <c r="V789" s="302"/>
      <c r="W789" s="298"/>
      <c r="X789" s="392"/>
      <c r="Y789" s="392"/>
      <c r="Z789" s="267"/>
      <c r="AA789" s="267"/>
      <c r="AB789" s="267"/>
      <c r="AC789" s="267"/>
      <c r="AD789" s="268"/>
      <c r="AE789" s="269"/>
    </row>
    <row r="790" spans="1:31" ht="57.75" thickBot="1">
      <c r="A790" s="393"/>
      <c r="B790" s="309"/>
      <c r="C790" s="309" t="s">
        <v>197</v>
      </c>
      <c r="D790" s="377">
        <f t="shared" ref="D790:P790" si="258">IF(((D788="")*AND(D789="")),"",(D788-D789)*2)</f>
        <v>5439.18</v>
      </c>
      <c r="E790" s="377">
        <f t="shared" si="258"/>
        <v>5433.619999999999</v>
      </c>
      <c r="F790" s="377">
        <f t="shared" si="258"/>
        <v>5432.2800000000007</v>
      </c>
      <c r="G790" s="377">
        <f t="shared" si="258"/>
        <v>5526.54</v>
      </c>
      <c r="H790" s="377">
        <f t="shared" si="258"/>
        <v>5507.3000000000011</v>
      </c>
      <c r="I790" s="377">
        <f t="shared" si="258"/>
        <v>5534.58</v>
      </c>
      <c r="J790" s="377">
        <f t="shared" si="258"/>
        <v>5558.5999999999995</v>
      </c>
      <c r="K790" s="377">
        <f t="shared" si="258"/>
        <v>5545.28</v>
      </c>
      <c r="L790" s="377">
        <f t="shared" si="258"/>
        <v>5450.380000000001</v>
      </c>
      <c r="M790" s="377">
        <f t="shared" si="258"/>
        <v>5570.74</v>
      </c>
      <c r="N790" s="377">
        <f t="shared" si="258"/>
        <v>5493.6</v>
      </c>
      <c r="O790" s="377">
        <f t="shared" si="258"/>
        <v>5506.1799999999994</v>
      </c>
      <c r="P790" s="377">
        <f t="shared" si="258"/>
        <v>5527.6200000000008</v>
      </c>
      <c r="Q790" s="309"/>
      <c r="R790" s="309"/>
      <c r="S790" s="309"/>
      <c r="T790" s="309"/>
      <c r="U790" s="309"/>
      <c r="V790" s="312"/>
      <c r="W790" s="309"/>
      <c r="X790" s="394"/>
      <c r="Y790" s="394"/>
      <c r="Z790" s="267"/>
      <c r="AA790" s="267"/>
      <c r="AB790" s="267"/>
      <c r="AC790" s="267"/>
      <c r="AD790" s="268"/>
      <c r="AE790" s="269"/>
    </row>
    <row r="791" spans="1:31" customFormat="1" ht="15.75">
      <c r="A791" s="344">
        <v>43599</v>
      </c>
      <c r="B791" s="395" t="s">
        <v>202</v>
      </c>
      <c r="C791" s="396" t="s">
        <v>199</v>
      </c>
      <c r="D791" s="397">
        <v>3299.71</v>
      </c>
      <c r="E791" s="397">
        <v>3696.15</v>
      </c>
      <c r="F791" s="397">
        <v>3714.67</v>
      </c>
      <c r="G791" s="397">
        <v>3709.71</v>
      </c>
      <c r="H791" s="397">
        <v>3627.62</v>
      </c>
      <c r="I791" s="397">
        <v>3297.7</v>
      </c>
      <c r="J791" s="397">
        <v>3701.68</v>
      </c>
      <c r="K791" s="397">
        <v>3688.88</v>
      </c>
      <c r="L791" s="397">
        <v>3642.41</v>
      </c>
      <c r="M791" s="398"/>
      <c r="N791" s="398"/>
      <c r="O791" s="398"/>
      <c r="P791" s="398"/>
      <c r="Q791" s="395">
        <f>IF((L792=""),"",MAX(D793:L793))</f>
        <v>7245.18</v>
      </c>
      <c r="R791" s="395">
        <f>IF(L792="","",MIN(D793:L793))</f>
        <v>7073.0400000000009</v>
      </c>
      <c r="S791" s="399">
        <f>IF((L793=""),"",AVERAGE(D793:L793))</f>
        <v>7144.4466666666667</v>
      </c>
      <c r="T791" s="400">
        <f>IF((L792=""),"",(Q791-R791)/(Q791+R791)*100)</f>
        <v>1.2022444130625134</v>
      </c>
      <c r="U791" s="395">
        <f>STDEV(D793:P793)</f>
        <v>54.210628339936193</v>
      </c>
      <c r="V791" s="401" t="str">
        <f>IF(L792="","",IF(T791&lt;9.8,IF(S791&gt;5100,IF(S791&lt;8300,"Pass","Fail"),"Fail"),"Fail"))</f>
        <v>Pass</v>
      </c>
      <c r="W791" s="395">
        <v>102</v>
      </c>
      <c r="X791" s="402" t="s">
        <v>323</v>
      </c>
      <c r="Y791" s="403"/>
      <c r="Z791" s="267">
        <v>4955</v>
      </c>
      <c r="AA791" s="267">
        <v>9645</v>
      </c>
      <c r="AB791" s="267">
        <v>5100</v>
      </c>
      <c r="AC791" s="267">
        <v>8300</v>
      </c>
      <c r="AD791" s="305">
        <v>10</v>
      </c>
      <c r="AE791" s="305">
        <v>9.8000000000000007</v>
      </c>
    </row>
    <row r="792" spans="1:31" customFormat="1" ht="15.75">
      <c r="A792" s="390"/>
      <c r="B792" s="404"/>
      <c r="C792" s="405" t="s">
        <v>198</v>
      </c>
      <c r="D792" s="284">
        <v>940.35</v>
      </c>
      <c r="E792" s="284">
        <v>1338.47</v>
      </c>
      <c r="F792" s="284">
        <v>1345.38</v>
      </c>
      <c r="G792" s="284">
        <v>1321.31</v>
      </c>
      <c r="H792" s="284">
        <v>1212.56</v>
      </c>
      <c r="I792" s="284">
        <v>903.94</v>
      </c>
      <c r="J792" s="284">
        <v>1324.86</v>
      </c>
      <c r="K792" s="284">
        <v>1304.6099999999999</v>
      </c>
      <c r="L792" s="284">
        <v>1253.71</v>
      </c>
      <c r="M792" s="406"/>
      <c r="N792" s="406"/>
      <c r="O792" s="406"/>
      <c r="P792" s="406"/>
      <c r="Q792" s="404"/>
      <c r="R792" s="404"/>
      <c r="S792" s="404"/>
      <c r="T792" s="404"/>
      <c r="U792" s="404"/>
      <c r="V792" s="407"/>
      <c r="W792" s="404"/>
      <c r="X792" s="408"/>
      <c r="Y792" s="403"/>
      <c r="Z792" s="267"/>
      <c r="AA792" s="267"/>
      <c r="AB792" s="267"/>
      <c r="AC792" s="267"/>
      <c r="AD792" s="268"/>
      <c r="AE792" s="269"/>
    </row>
    <row r="793" spans="1:31" customFormat="1" ht="57.75" thickBot="1">
      <c r="A793" s="390"/>
      <c r="B793" s="404"/>
      <c r="C793" s="409" t="s">
        <v>197</v>
      </c>
      <c r="D793" s="410">
        <f t="shared" ref="D793:L793" si="259">IF(((D791="")*AND(D792="")),"",(D791-D792)*3)</f>
        <v>7078.08</v>
      </c>
      <c r="E793" s="410">
        <f t="shared" si="259"/>
        <v>7073.0400000000009</v>
      </c>
      <c r="F793" s="410">
        <f t="shared" si="259"/>
        <v>7107.87</v>
      </c>
      <c r="G793" s="410">
        <f t="shared" si="259"/>
        <v>7165.2000000000007</v>
      </c>
      <c r="H793" s="410">
        <f t="shared" si="259"/>
        <v>7245.18</v>
      </c>
      <c r="I793" s="410">
        <f t="shared" si="259"/>
        <v>7181.2799999999988</v>
      </c>
      <c r="J793" s="410">
        <f t="shared" si="259"/>
        <v>7130.4599999999991</v>
      </c>
      <c r="K793" s="410">
        <f t="shared" si="259"/>
        <v>7152.8100000000013</v>
      </c>
      <c r="L793" s="410">
        <f t="shared" si="259"/>
        <v>7166.0999999999995</v>
      </c>
      <c r="M793" s="410"/>
      <c r="N793" s="410"/>
      <c r="O793" s="410"/>
      <c r="P793" s="410" t="str">
        <f>IF(((P791="")*AND(P792="")),"",(P791-P792)*2)</f>
        <v/>
      </c>
      <c r="Q793" s="404"/>
      <c r="R793" s="404"/>
      <c r="S793" s="404"/>
      <c r="T793" s="404"/>
      <c r="U793" s="404"/>
      <c r="V793" s="407"/>
      <c r="W793" s="404"/>
      <c r="X793" s="408"/>
      <c r="Y793" s="403"/>
      <c r="Z793" s="267"/>
      <c r="AA793" s="267"/>
      <c r="AB793" s="267"/>
      <c r="AC793" s="267"/>
      <c r="AD793" s="268"/>
      <c r="AE793" s="269"/>
    </row>
    <row r="794" spans="1:31" customFormat="1" ht="15.75">
      <c r="A794" s="391">
        <v>43599</v>
      </c>
      <c r="B794" s="409" t="s">
        <v>200</v>
      </c>
      <c r="C794" s="409" t="s">
        <v>199</v>
      </c>
      <c r="D794" s="284">
        <v>4096.32</v>
      </c>
      <c r="E794" s="284">
        <v>4196</v>
      </c>
      <c r="F794" s="284">
        <v>4055.36</v>
      </c>
      <c r="G794" s="284">
        <v>4048.43</v>
      </c>
      <c r="H794" s="284">
        <v>3997.54</v>
      </c>
      <c r="I794" s="411">
        <v>4007.22</v>
      </c>
      <c r="J794" s="411">
        <v>4063.01</v>
      </c>
      <c r="K794" s="411">
        <v>4010.98</v>
      </c>
      <c r="L794" s="411">
        <v>4058.14</v>
      </c>
      <c r="M794" s="411">
        <v>4032.6</v>
      </c>
      <c r="N794" s="411">
        <v>4225.3500000000004</v>
      </c>
      <c r="O794" s="411">
        <v>4021.11</v>
      </c>
      <c r="P794" s="411">
        <v>3953.31</v>
      </c>
      <c r="Q794" s="409">
        <f>IF((L795=""),"",MAX(D796:P796))</f>
        <v>5601.2999999999993</v>
      </c>
      <c r="R794" s="409">
        <f>IF(L795="","",MIN(D796:L796))</f>
        <v>5483.24</v>
      </c>
      <c r="S794" s="400">
        <f>IF((P796=""),"",AVERAGE(D796:P796))</f>
        <v>5557.2661538461534</v>
      </c>
      <c r="T794" s="412">
        <f>IF((L795=""),"",(Q794-R794)/(Q794+R794)*100)</f>
        <v>1.0650870491693791</v>
      </c>
      <c r="U794" s="409">
        <f>STDEV(D796:P796)</f>
        <v>41.235944987081695</v>
      </c>
      <c r="V794" s="413" t="str">
        <f>IF(P795="","",IF(T794&lt;2.7,IF(S794&gt;5150,IF(S794&lt;5600,"Pass","Fail"),"Fail"),"Fail"))</f>
        <v>Pass</v>
      </c>
      <c r="W794" s="409">
        <v>102</v>
      </c>
      <c r="X794" s="402" t="s">
        <v>323</v>
      </c>
      <c r="Y794" s="403"/>
      <c r="Z794" s="321">
        <v>4470</v>
      </c>
      <c r="AA794" s="321">
        <v>6020</v>
      </c>
      <c r="AB794" s="321">
        <v>5150</v>
      </c>
      <c r="AC794" s="321">
        <v>5600</v>
      </c>
      <c r="AD794" s="305">
        <v>10</v>
      </c>
      <c r="AE794" s="322">
        <v>2.7</v>
      </c>
    </row>
    <row r="795" spans="1:31" customFormat="1" ht="15.75">
      <c r="A795" s="390"/>
      <c r="B795" s="404"/>
      <c r="C795" s="404" t="s">
        <v>198</v>
      </c>
      <c r="D795" s="284">
        <v>1344.89</v>
      </c>
      <c r="E795" s="284">
        <v>1420.76</v>
      </c>
      <c r="F795" s="284">
        <v>1313.74</v>
      </c>
      <c r="G795" s="284">
        <v>1270.79</v>
      </c>
      <c r="H795" s="411">
        <v>1206.6099999999999</v>
      </c>
      <c r="I795" s="411">
        <v>1209.8</v>
      </c>
      <c r="J795" s="411">
        <v>1272.71</v>
      </c>
      <c r="K795" s="411">
        <v>1212.29</v>
      </c>
      <c r="L795" s="411">
        <v>1311.7</v>
      </c>
      <c r="M795" s="411">
        <v>1231.95</v>
      </c>
      <c r="N795" s="411">
        <v>1431.77</v>
      </c>
      <c r="O795" s="411">
        <v>1251.74</v>
      </c>
      <c r="P795" s="411">
        <v>1164.3900000000001</v>
      </c>
      <c r="Q795" s="404"/>
      <c r="R795" s="404"/>
      <c r="S795" s="404"/>
      <c r="T795" s="404"/>
      <c r="U795" s="404"/>
      <c r="V795" s="407"/>
      <c r="W795" s="404"/>
      <c r="X795" s="408"/>
      <c r="Y795" s="403"/>
      <c r="Z795" s="267"/>
      <c r="AA795" s="267"/>
      <c r="AB795" s="267"/>
      <c r="AC795" s="267"/>
      <c r="AD795" s="268"/>
      <c r="AE795" s="269"/>
    </row>
    <row r="796" spans="1:31" customFormat="1" ht="57.75" thickBot="1">
      <c r="A796" s="393"/>
      <c r="B796" s="414"/>
      <c r="C796" s="414" t="s">
        <v>197</v>
      </c>
      <c r="D796" s="415">
        <f t="shared" ref="D796:P796" si="260">IF(((D794="")*AND(D795="")),"",(D794-D795)*2)</f>
        <v>5502.8599999999988</v>
      </c>
      <c r="E796" s="415">
        <f t="shared" si="260"/>
        <v>5550.48</v>
      </c>
      <c r="F796" s="415">
        <f t="shared" si="260"/>
        <v>5483.24</v>
      </c>
      <c r="G796" s="415">
        <f t="shared" si="260"/>
        <v>5555.28</v>
      </c>
      <c r="H796" s="415">
        <f t="shared" si="260"/>
        <v>5581.8600000000006</v>
      </c>
      <c r="I796" s="415">
        <f t="shared" si="260"/>
        <v>5594.84</v>
      </c>
      <c r="J796" s="415">
        <f t="shared" si="260"/>
        <v>5580.6</v>
      </c>
      <c r="K796" s="415">
        <f t="shared" si="260"/>
        <v>5597.38</v>
      </c>
      <c r="L796" s="415">
        <f t="shared" si="260"/>
        <v>5492.8799999999992</v>
      </c>
      <c r="M796" s="415">
        <f t="shared" si="260"/>
        <v>5601.2999999999993</v>
      </c>
      <c r="N796" s="415">
        <f t="shared" si="260"/>
        <v>5587.1600000000008</v>
      </c>
      <c r="O796" s="415">
        <f t="shared" si="260"/>
        <v>5538.74</v>
      </c>
      <c r="P796" s="415">
        <f t="shared" si="260"/>
        <v>5577.84</v>
      </c>
      <c r="Q796" s="414"/>
      <c r="R796" s="414"/>
      <c r="S796" s="414"/>
      <c r="T796" s="414"/>
      <c r="U796" s="414"/>
      <c r="V796" s="416"/>
      <c r="W796" s="414"/>
      <c r="X796" s="417"/>
      <c r="Y796" s="403"/>
      <c r="Z796" s="267"/>
      <c r="AA796" s="267"/>
      <c r="AB796" s="267"/>
      <c r="AC796" s="267"/>
      <c r="AD796" s="268"/>
      <c r="AE796" s="269"/>
    </row>
    <row r="797" spans="1:31" customFormat="1" ht="15.75">
      <c r="A797" s="344">
        <v>43605</v>
      </c>
      <c r="B797" s="395" t="s">
        <v>202</v>
      </c>
      <c r="C797" s="396" t="s">
        <v>199</v>
      </c>
      <c r="D797" s="397">
        <v>6115.71</v>
      </c>
      <c r="E797" s="397">
        <v>6293.44</v>
      </c>
      <c r="F797" s="397">
        <v>6275.6</v>
      </c>
      <c r="G797" s="397">
        <v>6268.08</v>
      </c>
      <c r="H797" s="397">
        <v>6263.56</v>
      </c>
      <c r="I797" s="397">
        <v>5986.48</v>
      </c>
      <c r="J797" s="397">
        <v>6281.96</v>
      </c>
      <c r="K797" s="397">
        <v>6282.39</v>
      </c>
      <c r="L797" s="397">
        <v>6188.63</v>
      </c>
      <c r="M797" s="398"/>
      <c r="N797" s="398"/>
      <c r="O797" s="398"/>
      <c r="P797" s="398"/>
      <c r="Q797" s="395">
        <f>IF((L798=""),"",MAX(D799:L799))</f>
        <v>8089.5599999999986</v>
      </c>
      <c r="R797" s="395">
        <f>IF(L798="","",MIN(D799:L799))</f>
        <v>7115.7000000000016</v>
      </c>
      <c r="S797" s="399">
        <f>IF((L799=""),"",AVERAGE(D799:L799))</f>
        <v>7368.79</v>
      </c>
      <c r="T797" s="400">
        <f>IF((L798=""),"",(Q797-R797)/(Q797+R797)*100)</f>
        <v>6.4047573010918386</v>
      </c>
      <c r="U797" s="395">
        <f>STDEV(D799:P799)</f>
        <v>307.86130091324156</v>
      </c>
      <c r="V797" s="401" t="str">
        <f>IF(L798="","",IF(T797&lt;9.8,IF(S797&gt;5100,IF(S797&lt;8300,"Pass","Fail"),"Fail"),"Fail"))</f>
        <v>Pass</v>
      </c>
      <c r="W797" s="395">
        <v>1340</v>
      </c>
      <c r="X797" s="402" t="s">
        <v>336</v>
      </c>
      <c r="Y797" s="403"/>
      <c r="Z797" s="267">
        <v>4955</v>
      </c>
      <c r="AA797" s="267">
        <v>9645</v>
      </c>
      <c r="AB797" s="267">
        <v>5100</v>
      </c>
      <c r="AC797" s="267">
        <v>8300</v>
      </c>
      <c r="AD797" s="305">
        <v>10</v>
      </c>
      <c r="AE797" s="305">
        <v>9.8000000000000007</v>
      </c>
    </row>
    <row r="798" spans="1:31" customFormat="1" ht="15.75">
      <c r="A798" s="390"/>
      <c r="B798" s="404"/>
      <c r="C798" s="405" t="s">
        <v>198</v>
      </c>
      <c r="D798" s="284">
        <v>3601.98</v>
      </c>
      <c r="E798" s="284">
        <v>3860.03</v>
      </c>
      <c r="F798" s="284">
        <v>3901.83</v>
      </c>
      <c r="G798" s="284">
        <v>3875.6</v>
      </c>
      <c r="H798" s="284">
        <v>3772.48</v>
      </c>
      <c r="I798" s="284">
        <v>3289.96</v>
      </c>
      <c r="J798" s="284">
        <v>3851.57</v>
      </c>
      <c r="K798" s="284">
        <v>3910.49</v>
      </c>
      <c r="L798" s="284">
        <v>3785.54</v>
      </c>
      <c r="M798" s="406"/>
      <c r="N798" s="406"/>
      <c r="O798" s="406"/>
      <c r="P798" s="406"/>
      <c r="Q798" s="404"/>
      <c r="R798" s="404"/>
      <c r="S798" s="404"/>
      <c r="T798" s="404"/>
      <c r="U798" s="404"/>
      <c r="V798" s="407"/>
      <c r="W798" s="404"/>
      <c r="X798" s="408"/>
      <c r="Y798" s="403"/>
      <c r="Z798" s="267"/>
      <c r="AA798" s="267"/>
      <c r="AB798" s="267"/>
      <c r="AC798" s="267"/>
      <c r="AD798" s="268"/>
      <c r="AE798" s="269"/>
    </row>
    <row r="799" spans="1:31" customFormat="1" ht="57.75" thickBot="1">
      <c r="A799" s="390"/>
      <c r="B799" s="404"/>
      <c r="C799" s="409" t="s">
        <v>197</v>
      </c>
      <c r="D799" s="410">
        <f t="shared" ref="D799:L799" si="261">IF(((D797="")*AND(D798="")),"",(D797-D798)*3)</f>
        <v>7541.1900000000005</v>
      </c>
      <c r="E799" s="410">
        <f t="shared" si="261"/>
        <v>7300.2299999999977</v>
      </c>
      <c r="F799" s="410">
        <f t="shared" si="261"/>
        <v>7121.3100000000013</v>
      </c>
      <c r="G799" s="410">
        <f t="shared" si="261"/>
        <v>7177.4400000000005</v>
      </c>
      <c r="H799" s="410">
        <f t="shared" si="261"/>
        <v>7473.2400000000016</v>
      </c>
      <c r="I799" s="410">
        <f t="shared" si="261"/>
        <v>8089.5599999999986</v>
      </c>
      <c r="J799" s="410">
        <f t="shared" si="261"/>
        <v>7291.17</v>
      </c>
      <c r="K799" s="410">
        <f t="shared" si="261"/>
        <v>7115.7000000000016</v>
      </c>
      <c r="L799" s="410">
        <f t="shared" si="261"/>
        <v>7209.27</v>
      </c>
      <c r="M799" s="410"/>
      <c r="N799" s="410"/>
      <c r="O799" s="410"/>
      <c r="P799" s="410" t="str">
        <f>IF(((P797="")*AND(P798="")),"",(P797-P798)*2)</f>
        <v/>
      </c>
      <c r="Q799" s="404"/>
      <c r="R799" s="404"/>
      <c r="S799" s="404"/>
      <c r="T799" s="404"/>
      <c r="U799" s="404"/>
      <c r="V799" s="407"/>
      <c r="W799" s="404"/>
      <c r="X799" s="408"/>
      <c r="Y799" s="403"/>
      <c r="Z799" s="267"/>
      <c r="AA799" s="267"/>
      <c r="AB799" s="267"/>
      <c r="AC799" s="267"/>
      <c r="AD799" s="268"/>
      <c r="AE799" s="269"/>
    </row>
    <row r="800" spans="1:31" customFormat="1" ht="15.75">
      <c r="A800" s="391">
        <v>43605</v>
      </c>
      <c r="B800" s="409" t="s">
        <v>200</v>
      </c>
      <c r="C800" s="409" t="s">
        <v>199</v>
      </c>
      <c r="D800" s="306">
        <v>6853.9</v>
      </c>
      <c r="E800" s="306">
        <v>6831.7</v>
      </c>
      <c r="F800" s="306">
        <v>6909.44</v>
      </c>
      <c r="G800" s="306">
        <v>6967.09</v>
      </c>
      <c r="H800" s="306">
        <v>6852.22</v>
      </c>
      <c r="I800" s="306">
        <v>6901.58</v>
      </c>
      <c r="J800" s="306">
        <v>7033.46</v>
      </c>
      <c r="K800" s="306">
        <v>7041.79</v>
      </c>
      <c r="L800" s="306">
        <v>6975.43</v>
      </c>
      <c r="M800" s="306">
        <v>7048.95</v>
      </c>
      <c r="N800" s="306">
        <v>6915.03</v>
      </c>
      <c r="O800" s="306">
        <v>7009.32</v>
      </c>
      <c r="P800" s="306">
        <v>6996.07</v>
      </c>
      <c r="Q800" s="409">
        <f>IF((L801=""),"",MAX(D802:P802))</f>
        <v>5467.58</v>
      </c>
      <c r="R800" s="409">
        <f>IF(L801="","",MIN(D802:L802))</f>
        <v>5345.7599999999984</v>
      </c>
      <c r="S800" s="400">
        <f>IF((P802=""),"",AVERAGE(D802:P802))</f>
        <v>5419.7323076923067</v>
      </c>
      <c r="T800" s="412">
        <f>IF((L801=""),"",(Q800-R800)/(Q800+R800)*100)</f>
        <v>1.1265714386119512</v>
      </c>
      <c r="U800" s="409">
        <f>STDEV(D802:P802)</f>
        <v>40.633494015389779</v>
      </c>
      <c r="V800" s="413" t="str">
        <f>IF(P801="","",IF(T800&lt;2.7,IF(S800&gt;5150,IF(S800&lt;5600,"Pass","Fail"),"Fail"),"Fail"))</f>
        <v>Pass</v>
      </c>
      <c r="W800" s="409" t="s">
        <v>161</v>
      </c>
      <c r="X800" s="402" t="s">
        <v>336</v>
      </c>
      <c r="Y800" s="403"/>
      <c r="Z800" s="321">
        <v>4470</v>
      </c>
      <c r="AA800" s="321">
        <v>6020</v>
      </c>
      <c r="AB800" s="321">
        <v>5150</v>
      </c>
      <c r="AC800" s="321">
        <v>5600</v>
      </c>
      <c r="AD800" s="305">
        <v>10</v>
      </c>
      <c r="AE800" s="322">
        <v>2.7</v>
      </c>
    </row>
    <row r="801" spans="1:31" customFormat="1" ht="15.75">
      <c r="A801" s="390"/>
      <c r="B801" s="404"/>
      <c r="C801" s="404" t="s">
        <v>198</v>
      </c>
      <c r="D801" s="306">
        <v>4169.67</v>
      </c>
      <c r="E801" s="306">
        <v>4118.6099999999997</v>
      </c>
      <c r="F801" s="306">
        <v>4236.5600000000004</v>
      </c>
      <c r="G801" s="306">
        <v>4265.29</v>
      </c>
      <c r="H801" s="306">
        <v>4123.1000000000004</v>
      </c>
      <c r="I801" s="306">
        <v>4174.6400000000003</v>
      </c>
      <c r="J801" s="306">
        <v>4322.05</v>
      </c>
      <c r="K801" s="306">
        <v>4319.49</v>
      </c>
      <c r="L801" s="306">
        <v>4296.5</v>
      </c>
      <c r="M801" s="306">
        <v>4318.32</v>
      </c>
      <c r="N801" s="306">
        <v>4181.24</v>
      </c>
      <c r="O801" s="306">
        <v>4303.54</v>
      </c>
      <c r="P801" s="306">
        <v>4278.71</v>
      </c>
      <c r="Q801" s="404"/>
      <c r="R801" s="404"/>
      <c r="S801" s="404"/>
      <c r="T801" s="404"/>
      <c r="U801" s="404"/>
      <c r="V801" s="407"/>
      <c r="W801" s="404"/>
      <c r="X801" s="408"/>
      <c r="Y801" s="403"/>
      <c r="Z801" s="267"/>
      <c r="AA801" s="267"/>
      <c r="AB801" s="267"/>
      <c r="AC801" s="267"/>
      <c r="AD801" s="268"/>
      <c r="AE801" s="269"/>
    </row>
    <row r="802" spans="1:31" customFormat="1" ht="57.75" thickBot="1">
      <c r="A802" s="393"/>
      <c r="B802" s="414"/>
      <c r="C802" s="414" t="s">
        <v>197</v>
      </c>
      <c r="D802" s="415">
        <f t="shared" ref="D802:P802" si="262">IF(((D800="")*AND(D801="")),"",(D800-D801)*2)</f>
        <v>5368.4599999999991</v>
      </c>
      <c r="E802" s="415">
        <f t="shared" si="262"/>
        <v>5426.18</v>
      </c>
      <c r="F802" s="415">
        <f t="shared" si="262"/>
        <v>5345.7599999999984</v>
      </c>
      <c r="G802" s="415">
        <f t="shared" si="262"/>
        <v>5403.6</v>
      </c>
      <c r="H802" s="415">
        <f t="shared" si="262"/>
        <v>5458.24</v>
      </c>
      <c r="I802" s="415">
        <f t="shared" si="262"/>
        <v>5453.8799999999992</v>
      </c>
      <c r="J802" s="415">
        <f t="shared" si="262"/>
        <v>5422.82</v>
      </c>
      <c r="K802" s="415">
        <f t="shared" si="262"/>
        <v>5444.6</v>
      </c>
      <c r="L802" s="415">
        <f t="shared" si="262"/>
        <v>5357.8600000000006</v>
      </c>
      <c r="M802" s="415">
        <f t="shared" si="262"/>
        <v>5461.26</v>
      </c>
      <c r="N802" s="415">
        <f t="shared" si="262"/>
        <v>5467.58</v>
      </c>
      <c r="O802" s="415">
        <f t="shared" si="262"/>
        <v>5411.5599999999995</v>
      </c>
      <c r="P802" s="415">
        <f t="shared" si="262"/>
        <v>5434.7199999999993</v>
      </c>
      <c r="Q802" s="414"/>
      <c r="R802" s="414"/>
      <c r="S802" s="414"/>
      <c r="T802" s="414"/>
      <c r="U802" s="414"/>
      <c r="V802" s="416"/>
      <c r="W802" s="414"/>
      <c r="X802" s="417"/>
      <c r="Y802" s="403"/>
      <c r="Z802" s="267"/>
      <c r="AA802" s="267"/>
      <c r="AB802" s="267"/>
      <c r="AC802" s="267"/>
      <c r="AD802" s="268"/>
      <c r="AE802" s="269"/>
    </row>
    <row r="803" spans="1:31" ht="15">
      <c r="A803" s="344">
        <v>43612</v>
      </c>
      <c r="B803" s="395" t="s">
        <v>202</v>
      </c>
      <c r="C803" s="396" t="s">
        <v>199</v>
      </c>
      <c r="D803" s="306">
        <v>6098.3</v>
      </c>
      <c r="E803" s="306">
        <v>6179.23</v>
      </c>
      <c r="F803" s="306">
        <v>6178.81</v>
      </c>
      <c r="G803" s="306">
        <v>6163.71</v>
      </c>
      <c r="H803" s="306">
        <v>6174.15</v>
      </c>
      <c r="I803" s="306">
        <v>5880.51</v>
      </c>
      <c r="J803" s="306">
        <v>6179.5</v>
      </c>
      <c r="K803" s="306">
        <v>6196.07</v>
      </c>
      <c r="L803" s="306">
        <v>6151.84</v>
      </c>
      <c r="M803" s="398"/>
      <c r="N803" s="398"/>
      <c r="O803" s="398"/>
      <c r="P803" s="398"/>
      <c r="Q803" s="395">
        <f>IF((L804=""),"",MAX(D805:L805))</f>
        <v>8078.6100000000006</v>
      </c>
      <c r="R803" s="395">
        <f>IF(L804="","",MIN(D805:L805))</f>
        <v>6771.8100000000013</v>
      </c>
      <c r="S803" s="399">
        <f>IF((L805=""),"",AVERAGE(D805:L805))</f>
        <v>7152.6566666666668</v>
      </c>
      <c r="T803" s="400">
        <f>IF((L804=""),"",(Q803-R803)/(Q803+R803)*100)</f>
        <v>8.7997511181501888</v>
      </c>
      <c r="U803" s="395">
        <f>STDEV(D805:P805)</f>
        <v>440.3749913993779</v>
      </c>
      <c r="V803" s="401" t="str">
        <f>IF(L804="","",IF(T803&lt;9.8,IF(S803&gt;5100,IF(S803&lt;8300,"Pass","Fail"),"Fail"),"Fail"))</f>
        <v>Pass</v>
      </c>
      <c r="W803" s="395">
        <v>1340</v>
      </c>
      <c r="X803" s="402" t="s">
        <v>339</v>
      </c>
      <c r="Y803" s="268"/>
      <c r="Z803" s="267">
        <v>4955</v>
      </c>
      <c r="AA803" s="267">
        <v>9645</v>
      </c>
      <c r="AB803" s="267">
        <v>5100</v>
      </c>
      <c r="AC803" s="267">
        <v>8300</v>
      </c>
      <c r="AD803" s="305">
        <v>10</v>
      </c>
      <c r="AE803" s="305">
        <v>9.8000000000000007</v>
      </c>
    </row>
    <row r="804" spans="1:31" ht="15">
      <c r="A804" s="390"/>
      <c r="B804" s="404"/>
      <c r="C804" s="405" t="s">
        <v>198</v>
      </c>
      <c r="D804" s="306">
        <v>3565.38</v>
      </c>
      <c r="E804" s="306">
        <v>3858.97</v>
      </c>
      <c r="F804" s="306">
        <v>3921.54</v>
      </c>
      <c r="G804" s="306">
        <v>3894.12</v>
      </c>
      <c r="H804" s="306">
        <v>3753.13</v>
      </c>
      <c r="I804" s="306">
        <v>3187.64</v>
      </c>
      <c r="J804" s="306">
        <v>3868.63</v>
      </c>
      <c r="K804" s="306">
        <v>3933.83</v>
      </c>
      <c r="L804" s="306">
        <v>3760.91</v>
      </c>
      <c r="M804" s="406"/>
      <c r="N804" s="406"/>
      <c r="O804" s="406"/>
      <c r="P804" s="406"/>
      <c r="Q804" s="404"/>
      <c r="R804" s="404"/>
      <c r="S804" s="404"/>
      <c r="T804" s="404"/>
      <c r="U804" s="404"/>
      <c r="V804" s="407"/>
      <c r="W804" s="404"/>
      <c r="X804" s="408"/>
      <c r="Y804" s="268"/>
      <c r="Z804" s="267"/>
      <c r="AA804" s="267"/>
      <c r="AB804" s="267"/>
      <c r="AC804" s="267"/>
      <c r="AD804" s="268"/>
      <c r="AE804" s="269"/>
    </row>
    <row r="805" spans="1:31" ht="57.75" thickBot="1">
      <c r="A805" s="390"/>
      <c r="B805" s="404"/>
      <c r="C805" s="409" t="s">
        <v>197</v>
      </c>
      <c r="D805" s="410">
        <f t="shared" ref="D805:L805" si="263">IF(((D803="")*AND(D804="")),"",(D803-D804)*3)</f>
        <v>7598.76</v>
      </c>
      <c r="E805" s="410">
        <f t="shared" si="263"/>
        <v>6960.7799999999988</v>
      </c>
      <c r="F805" s="410">
        <f t="shared" si="263"/>
        <v>6771.8100000000013</v>
      </c>
      <c r="G805" s="410">
        <f t="shared" si="263"/>
        <v>6808.77</v>
      </c>
      <c r="H805" s="410">
        <f t="shared" si="263"/>
        <v>7263.0599999999986</v>
      </c>
      <c r="I805" s="410">
        <f t="shared" si="263"/>
        <v>8078.6100000000006</v>
      </c>
      <c r="J805" s="410">
        <f t="shared" si="263"/>
        <v>6932.61</v>
      </c>
      <c r="K805" s="410">
        <f t="shared" si="263"/>
        <v>6786.7199999999993</v>
      </c>
      <c r="L805" s="410">
        <f t="shared" si="263"/>
        <v>7172.7900000000009</v>
      </c>
      <c r="M805" s="410"/>
      <c r="N805" s="410"/>
      <c r="O805" s="410"/>
      <c r="P805" s="410" t="str">
        <f>IF(((P803="")*AND(P804="")),"",(P803-P804)*2)</f>
        <v/>
      </c>
      <c r="Q805" s="404"/>
      <c r="R805" s="404"/>
      <c r="S805" s="404"/>
      <c r="T805" s="404"/>
      <c r="U805" s="404"/>
      <c r="V805" s="407"/>
      <c r="W805" s="404"/>
      <c r="X805" s="408"/>
      <c r="Y805" s="268"/>
      <c r="Z805" s="267"/>
      <c r="AA805" s="267"/>
      <c r="AB805" s="267"/>
      <c r="AC805" s="267"/>
      <c r="AD805" s="268"/>
      <c r="AE805" s="269"/>
    </row>
    <row r="806" spans="1:31" customFormat="1" ht="15.75">
      <c r="A806" s="344">
        <v>43612</v>
      </c>
      <c r="B806" s="409" t="s">
        <v>200</v>
      </c>
      <c r="C806" s="409" t="s">
        <v>199</v>
      </c>
      <c r="D806" s="306">
        <v>6948.4</v>
      </c>
      <c r="E806" s="306">
        <v>6927.36</v>
      </c>
      <c r="F806" s="306">
        <v>6998.51</v>
      </c>
      <c r="G806" s="306">
        <v>7053.84</v>
      </c>
      <c r="H806" s="306">
        <v>6955.43</v>
      </c>
      <c r="I806" s="306">
        <v>6998.15</v>
      </c>
      <c r="J806" s="306">
        <v>7118.57</v>
      </c>
      <c r="K806" s="306">
        <v>7123.24</v>
      </c>
      <c r="L806" s="306">
        <v>7059.92</v>
      </c>
      <c r="M806" s="306">
        <v>7132.98</v>
      </c>
      <c r="N806" s="306">
        <v>7012.15</v>
      </c>
      <c r="O806" s="306">
        <v>7096.39</v>
      </c>
      <c r="P806" s="306">
        <v>7090.16</v>
      </c>
      <c r="Q806" s="409">
        <f>IF((L807=""),"",MAX(D808:P808))</f>
        <v>5499.66</v>
      </c>
      <c r="R806" s="409">
        <f>IF(L807="","",MIN(D808:L808))</f>
        <v>5391.7800000000007</v>
      </c>
      <c r="S806" s="400">
        <f>IF((P808=""),"",AVERAGE(D808:P808))</f>
        <v>5460.833846153846</v>
      </c>
      <c r="T806" s="412">
        <f>IF((L807=""),"",(Q806-R806)/(Q806+R806)*100)</f>
        <v>0.99050263326060828</v>
      </c>
      <c r="U806" s="409">
        <f>STDEV(D808:P808)</f>
        <v>36.271723040280534</v>
      </c>
      <c r="V806" s="413" t="str">
        <f>IF(P807="","",IF(T806&lt;2.7,IF(S806&gt;5150,IF(S806&lt;5600,"Pass","Fail"),"Fail"),"Fail"))</f>
        <v>Pass</v>
      </c>
      <c r="W806" s="409">
        <v>1340</v>
      </c>
      <c r="X806" s="402" t="s">
        <v>339</v>
      </c>
      <c r="Y806" s="403"/>
      <c r="Z806" s="321">
        <v>4470</v>
      </c>
      <c r="AA806" s="321">
        <v>6020</v>
      </c>
      <c r="AB806" s="321">
        <v>5150</v>
      </c>
      <c r="AC806" s="321">
        <v>5600</v>
      </c>
      <c r="AD806" s="305">
        <v>10</v>
      </c>
      <c r="AE806" s="322">
        <v>2.7</v>
      </c>
    </row>
    <row r="807" spans="1:31" customFormat="1" ht="15.75">
      <c r="A807" s="390"/>
      <c r="B807" s="404"/>
      <c r="C807" s="404" t="s">
        <v>198</v>
      </c>
      <c r="D807" s="306">
        <v>4240.58</v>
      </c>
      <c r="E807" s="306">
        <v>4191.66</v>
      </c>
      <c r="F807" s="306">
        <v>4302.62</v>
      </c>
      <c r="G807" s="306">
        <v>4329.47</v>
      </c>
      <c r="H807" s="306">
        <v>4215.3</v>
      </c>
      <c r="I807" s="306">
        <v>4250.3900000000003</v>
      </c>
      <c r="J807" s="306">
        <v>4385.5600000000004</v>
      </c>
      <c r="K807" s="306">
        <v>4376.4799999999996</v>
      </c>
      <c r="L807" s="306">
        <v>4356.5600000000004</v>
      </c>
      <c r="M807" s="306">
        <v>4383.1499999999996</v>
      </c>
      <c r="N807" s="306">
        <v>4262.51</v>
      </c>
      <c r="O807" s="306">
        <v>4369.83</v>
      </c>
      <c r="P807" s="306">
        <v>4355.57</v>
      </c>
      <c r="Q807" s="404"/>
      <c r="R807" s="404"/>
      <c r="S807" s="404"/>
      <c r="T807" s="404"/>
      <c r="U807" s="404"/>
      <c r="V807" s="407"/>
      <c r="W807" s="404"/>
      <c r="X807" s="408"/>
      <c r="Y807" s="403"/>
      <c r="Z807" s="267"/>
      <c r="AA807" s="267"/>
      <c r="AB807" s="267"/>
      <c r="AC807" s="267"/>
      <c r="AD807" s="268"/>
      <c r="AE807" s="269"/>
    </row>
    <row r="808" spans="1:31" customFormat="1" ht="57.75" thickBot="1">
      <c r="A808" s="393"/>
      <c r="B808" s="414"/>
      <c r="C808" s="414" t="s">
        <v>197</v>
      </c>
      <c r="D808" s="415">
        <f t="shared" ref="D808:P808" si="264">IF(((D806="")*AND(D807="")),"",(D806-D807)*2)</f>
        <v>5415.6399999999994</v>
      </c>
      <c r="E808" s="415">
        <f t="shared" si="264"/>
        <v>5471.4</v>
      </c>
      <c r="F808" s="415">
        <f t="shared" si="264"/>
        <v>5391.7800000000007</v>
      </c>
      <c r="G808" s="415">
        <f t="shared" si="264"/>
        <v>5448.74</v>
      </c>
      <c r="H808" s="415">
        <f t="shared" si="264"/>
        <v>5480.26</v>
      </c>
      <c r="I808" s="415">
        <f t="shared" si="264"/>
        <v>5495.5199999999986</v>
      </c>
      <c r="J808" s="415">
        <f t="shared" si="264"/>
        <v>5466.0199999999986</v>
      </c>
      <c r="K808" s="415">
        <f t="shared" si="264"/>
        <v>5493.52</v>
      </c>
      <c r="L808" s="415">
        <f t="shared" si="264"/>
        <v>5406.7199999999993</v>
      </c>
      <c r="M808" s="415">
        <f t="shared" si="264"/>
        <v>5499.66</v>
      </c>
      <c r="N808" s="415">
        <f t="shared" si="264"/>
        <v>5499.2799999999988</v>
      </c>
      <c r="O808" s="415">
        <f t="shared" si="264"/>
        <v>5453.1200000000008</v>
      </c>
      <c r="P808" s="415">
        <f t="shared" si="264"/>
        <v>5469.18</v>
      </c>
      <c r="Q808" s="414"/>
      <c r="R808" s="414"/>
      <c r="S808" s="414"/>
      <c r="T808" s="414"/>
      <c r="U808" s="414"/>
      <c r="V808" s="416"/>
      <c r="W808" s="414"/>
      <c r="X808" s="417"/>
      <c r="Y808" s="403"/>
      <c r="Z808" s="267"/>
      <c r="AA808" s="267"/>
      <c r="AB808" s="267"/>
      <c r="AC808" s="267"/>
      <c r="AD808" s="268"/>
      <c r="AE808" s="269"/>
    </row>
    <row r="809" spans="1:31" ht="15">
      <c r="A809" s="344">
        <v>43616</v>
      </c>
      <c r="B809" s="395" t="s">
        <v>202</v>
      </c>
      <c r="C809" s="396" t="s">
        <v>199</v>
      </c>
      <c r="D809" s="306">
        <v>3565.38</v>
      </c>
      <c r="E809" s="306">
        <v>3858.97</v>
      </c>
      <c r="F809" s="306">
        <v>3921.54</v>
      </c>
      <c r="G809" s="306">
        <v>3894.12</v>
      </c>
      <c r="H809" s="306">
        <v>3753.13</v>
      </c>
      <c r="I809" s="306">
        <v>3187.64</v>
      </c>
      <c r="J809" s="306">
        <v>3868.63</v>
      </c>
      <c r="K809" s="306">
        <v>3933.83</v>
      </c>
      <c r="L809" s="306">
        <v>3760.91</v>
      </c>
      <c r="M809" s="398"/>
      <c r="N809" s="398"/>
      <c r="O809" s="398"/>
      <c r="P809" s="398"/>
      <c r="Q809" s="395">
        <f>IF((L810=""),"",MAX(D811:L811))</f>
        <v>7547.07</v>
      </c>
      <c r="R809" s="395">
        <f>IF(L810="","",MIN(D811:L811))</f>
        <v>6485.8499999999995</v>
      </c>
      <c r="S809" s="399">
        <f>IF((L811=""),"",AVERAGE(D811:L811))</f>
        <v>7023.4666666666662</v>
      </c>
      <c r="T809" s="400">
        <f>IF((L810=""),"",(Q809-R809)/(Q809+R809)*100)</f>
        <v>7.5623605065802444</v>
      </c>
      <c r="U809" s="395">
        <f>STDEV(D811:P811)</f>
        <v>322.30777321529916</v>
      </c>
      <c r="V809" s="401" t="str">
        <f>IF(L810="","",IF(T809&lt;9.8,IF(S809&gt;5100,IF(S809&lt;8300,"Pass","Fail"),"Fail"),"Fail"))</f>
        <v>Pass</v>
      </c>
      <c r="W809" s="395">
        <v>1340</v>
      </c>
      <c r="X809" s="402" t="s">
        <v>341</v>
      </c>
      <c r="Y809" s="268"/>
      <c r="Z809" s="267">
        <v>4955</v>
      </c>
      <c r="AA809" s="267">
        <v>9645</v>
      </c>
      <c r="AB809" s="267">
        <v>5100</v>
      </c>
      <c r="AC809" s="267">
        <v>8300</v>
      </c>
      <c r="AD809" s="305">
        <v>10</v>
      </c>
      <c r="AE809" s="305">
        <v>9.8000000000000007</v>
      </c>
    </row>
    <row r="810" spans="1:31" ht="15">
      <c r="A810" s="390"/>
      <c r="B810" s="404"/>
      <c r="C810" s="405" t="s">
        <v>198</v>
      </c>
      <c r="D810" s="306">
        <v>1049.69</v>
      </c>
      <c r="E810" s="306">
        <v>1514.35</v>
      </c>
      <c r="F810" s="306">
        <v>1573.57</v>
      </c>
      <c r="G810" s="306">
        <v>1551.14</v>
      </c>
      <c r="H810" s="306">
        <v>1545.34</v>
      </c>
      <c r="I810" s="306">
        <v>738.83</v>
      </c>
      <c r="J810" s="306">
        <v>1509.44</v>
      </c>
      <c r="K810" s="306">
        <v>1592.43</v>
      </c>
      <c r="L810" s="306">
        <v>1598.96</v>
      </c>
      <c r="M810" s="406"/>
      <c r="N810" s="406"/>
      <c r="O810" s="406"/>
      <c r="P810" s="406"/>
      <c r="Q810" s="404"/>
      <c r="R810" s="404"/>
      <c r="S810" s="404"/>
      <c r="T810" s="404"/>
      <c r="U810" s="404"/>
      <c r="V810" s="407"/>
      <c r="W810" s="404"/>
      <c r="X810" s="408"/>
      <c r="Y810" s="268"/>
      <c r="Z810" s="267"/>
      <c r="AA810" s="267"/>
      <c r="AB810" s="267"/>
      <c r="AC810" s="267"/>
      <c r="AD810" s="268"/>
      <c r="AE810" s="269"/>
    </row>
    <row r="811" spans="1:31" ht="57.75" thickBot="1">
      <c r="A811" s="390"/>
      <c r="B811" s="404"/>
      <c r="C811" s="409" t="s">
        <v>197</v>
      </c>
      <c r="D811" s="410">
        <f t="shared" ref="D811:L811" si="265">IF(((D809="")*AND(D810="")),"",(D809-D810)*3)</f>
        <v>7547.07</v>
      </c>
      <c r="E811" s="410">
        <f t="shared" si="265"/>
        <v>7033.86</v>
      </c>
      <c r="F811" s="410">
        <f t="shared" si="265"/>
        <v>7043.9100000000008</v>
      </c>
      <c r="G811" s="410">
        <f t="shared" si="265"/>
        <v>7028.9399999999987</v>
      </c>
      <c r="H811" s="410">
        <f t="shared" si="265"/>
        <v>6623.37</v>
      </c>
      <c r="I811" s="410">
        <f t="shared" si="265"/>
        <v>7346.43</v>
      </c>
      <c r="J811" s="410">
        <f t="shared" si="265"/>
        <v>7077.57</v>
      </c>
      <c r="K811" s="410">
        <f t="shared" si="265"/>
        <v>7024.1999999999989</v>
      </c>
      <c r="L811" s="410">
        <f t="shared" si="265"/>
        <v>6485.8499999999995</v>
      </c>
      <c r="M811" s="410"/>
      <c r="N811" s="410"/>
      <c r="O811" s="410"/>
      <c r="P811" s="410" t="str">
        <f>IF(((P809="")*AND(P810="")),"",(P809-P810)*2)</f>
        <v/>
      </c>
      <c r="Q811" s="404"/>
      <c r="R811" s="404"/>
      <c r="S811" s="404"/>
      <c r="T811" s="404"/>
      <c r="U811" s="404"/>
      <c r="V811" s="407"/>
      <c r="W811" s="404"/>
      <c r="X811" s="408"/>
      <c r="Y811" s="268"/>
      <c r="Z811" s="267"/>
      <c r="AA811" s="267"/>
      <c r="AB811" s="267"/>
      <c r="AC811" s="267"/>
      <c r="AD811" s="268"/>
      <c r="AE811" s="269"/>
    </row>
    <row r="812" spans="1:31" ht="15">
      <c r="A812" s="344">
        <v>43616</v>
      </c>
      <c r="B812" s="409" t="s">
        <v>200</v>
      </c>
      <c r="C812" s="409" t="s">
        <v>199</v>
      </c>
      <c r="D812" s="306">
        <v>6893.5</v>
      </c>
      <c r="E812" s="306">
        <v>6999.87</v>
      </c>
      <c r="F812" s="306">
        <v>6911.11</v>
      </c>
      <c r="G812" s="306">
        <v>7045.39</v>
      </c>
      <c r="H812" s="306">
        <v>7154.58</v>
      </c>
      <c r="I812" s="306">
        <v>7124.87</v>
      </c>
      <c r="J812" s="306">
        <v>7125.27</v>
      </c>
      <c r="K812" s="306">
        <v>7086.06</v>
      </c>
      <c r="L812" s="306">
        <v>6973.81</v>
      </c>
      <c r="M812" s="306">
        <v>7171.61</v>
      </c>
      <c r="N812" s="306">
        <v>7192.26</v>
      </c>
      <c r="O812" s="306">
        <v>7059.5</v>
      </c>
      <c r="P812" s="306">
        <v>7180.7</v>
      </c>
      <c r="Q812" s="409">
        <f>IF((L813=""),"",MAX(D814:P814))</f>
        <v>5644.880000000001</v>
      </c>
      <c r="R812" s="409">
        <f>IF(L813="","",MIN(D814:L814))</f>
        <v>5513.66</v>
      </c>
      <c r="S812" s="400">
        <f>IF((P814=""),"",AVERAGE(D814:P814))</f>
        <v>5590.0969230769224</v>
      </c>
      <c r="T812" s="412">
        <f>IF((L813=""),"",(Q812-R812)/(Q812+R812)*100)</f>
        <v>1.1759602958810127</v>
      </c>
      <c r="U812" s="409">
        <f>STDEV(D814:P814)</f>
        <v>41.445898748728396</v>
      </c>
      <c r="V812" s="413" t="str">
        <f>IF(P813="","",IF(T812&lt;2.7,IF(S812&gt;5150,IF(S812&lt;5600,"Pass","Fail"),"Fail"),"Fail"))</f>
        <v>Pass</v>
      </c>
      <c r="W812" s="409">
        <v>1340</v>
      </c>
      <c r="X812" s="402" t="s">
        <v>341</v>
      </c>
      <c r="Y812" s="268"/>
      <c r="Z812" s="321">
        <v>4470</v>
      </c>
      <c r="AA812" s="321">
        <v>6020</v>
      </c>
      <c r="AB812" s="321">
        <v>5150</v>
      </c>
      <c r="AC812" s="321">
        <v>5600</v>
      </c>
      <c r="AD812" s="305">
        <v>10</v>
      </c>
      <c r="AE812" s="322">
        <v>2.7</v>
      </c>
    </row>
    <row r="813" spans="1:31" ht="15">
      <c r="A813" s="390"/>
      <c r="B813" s="404"/>
      <c r="C813" s="404" t="s">
        <v>198</v>
      </c>
      <c r="D813" s="306">
        <v>4120.96</v>
      </c>
      <c r="E813" s="306">
        <v>4197.9399999999996</v>
      </c>
      <c r="F813" s="306">
        <v>4154.28</v>
      </c>
      <c r="G813" s="306">
        <v>4260.32</v>
      </c>
      <c r="H813" s="306">
        <v>4346.28</v>
      </c>
      <c r="I813" s="306">
        <v>4306.75</v>
      </c>
      <c r="J813" s="306">
        <v>4334.01</v>
      </c>
      <c r="K813" s="306">
        <v>4282.4799999999996</v>
      </c>
      <c r="L813" s="306">
        <v>4210.5200000000004</v>
      </c>
      <c r="M813" s="306">
        <v>4358.59</v>
      </c>
      <c r="N813" s="306">
        <v>4369.82</v>
      </c>
      <c r="O813" s="306">
        <v>4267.63</v>
      </c>
      <c r="P813" s="306">
        <v>4373.32</v>
      </c>
      <c r="Q813" s="404"/>
      <c r="R813" s="404"/>
      <c r="S813" s="404"/>
      <c r="T813" s="404"/>
      <c r="U813" s="404"/>
      <c r="V813" s="407"/>
      <c r="W813" s="404"/>
      <c r="X813" s="408"/>
      <c r="Y813" s="268"/>
      <c r="Z813" s="267"/>
      <c r="AA813" s="267"/>
      <c r="AB813" s="267"/>
      <c r="AC813" s="267"/>
      <c r="AD813" s="268"/>
      <c r="AE813" s="269"/>
    </row>
    <row r="814" spans="1:31" ht="57.75" thickBot="1">
      <c r="A814" s="393"/>
      <c r="B814" s="414"/>
      <c r="C814" s="414" t="s">
        <v>197</v>
      </c>
      <c r="D814" s="415">
        <f t="shared" ref="D814:P814" si="266">IF(((D812="")*AND(D813="")),"",(D812-D813)*2)</f>
        <v>5545.08</v>
      </c>
      <c r="E814" s="415">
        <f t="shared" si="266"/>
        <v>5603.8600000000006</v>
      </c>
      <c r="F814" s="415">
        <f t="shared" si="266"/>
        <v>5513.66</v>
      </c>
      <c r="G814" s="415">
        <f t="shared" si="266"/>
        <v>5570.1400000000012</v>
      </c>
      <c r="H814" s="415">
        <f t="shared" si="266"/>
        <v>5616.6</v>
      </c>
      <c r="I814" s="415">
        <f t="shared" si="266"/>
        <v>5636.24</v>
      </c>
      <c r="J814" s="415">
        <f t="shared" si="266"/>
        <v>5582.52</v>
      </c>
      <c r="K814" s="415">
        <f t="shared" si="266"/>
        <v>5607.1600000000017</v>
      </c>
      <c r="L814" s="415">
        <f t="shared" si="266"/>
        <v>5526.58</v>
      </c>
      <c r="M814" s="415">
        <f t="shared" si="266"/>
        <v>5626.0399999999991</v>
      </c>
      <c r="N814" s="415">
        <f t="shared" si="266"/>
        <v>5644.880000000001</v>
      </c>
      <c r="O814" s="415">
        <f t="shared" si="266"/>
        <v>5583.74</v>
      </c>
      <c r="P814" s="415">
        <f t="shared" si="266"/>
        <v>5614.76</v>
      </c>
      <c r="Q814" s="414"/>
      <c r="R814" s="414"/>
      <c r="S814" s="414"/>
      <c r="T814" s="414"/>
      <c r="U814" s="414"/>
      <c r="V814" s="416"/>
      <c r="W814" s="414"/>
      <c r="X814" s="417"/>
      <c r="Y814" s="268"/>
      <c r="Z814" s="267"/>
      <c r="AA814" s="267"/>
      <c r="AB814" s="267"/>
      <c r="AC814" s="267"/>
      <c r="AD814" s="268"/>
      <c r="AE814" s="269"/>
    </row>
    <row r="815" spans="1:31" ht="15">
      <c r="A815" s="344">
        <v>43629</v>
      </c>
      <c r="B815" s="395" t="s">
        <v>202</v>
      </c>
      <c r="C815" s="396" t="s">
        <v>199</v>
      </c>
      <c r="D815" s="306">
        <v>6150.59</v>
      </c>
      <c r="E815" s="306">
        <v>6164.8</v>
      </c>
      <c r="F815" s="306">
        <v>6208.43</v>
      </c>
      <c r="G815" s="306">
        <v>6197.39</v>
      </c>
      <c r="H815" s="306">
        <v>6155.23</v>
      </c>
      <c r="I815" s="306">
        <v>5883.3</v>
      </c>
      <c r="J815" s="306">
        <v>6151.65</v>
      </c>
      <c r="K815" s="306">
        <v>6207.62</v>
      </c>
      <c r="L815" s="306">
        <v>6156.39</v>
      </c>
      <c r="M815" s="398"/>
      <c r="N815" s="398"/>
      <c r="O815" s="398"/>
      <c r="P815" s="398"/>
      <c r="Q815" s="395">
        <f>IF((L816=""),"",MAX(D817:L817))</f>
        <v>7621.08</v>
      </c>
      <c r="R815" s="395">
        <f>IF(L816="","",MIN(D817:L817))</f>
        <v>6558.8700000000008</v>
      </c>
      <c r="S815" s="399">
        <f>IF((L817=""),"",AVERAGE(D817:L817))</f>
        <v>6874.94</v>
      </c>
      <c r="T815" s="400">
        <f>IF((L816=""),"",(Q815-R815)/(Q815+R815)*100)</f>
        <v>7.4909290935440467</v>
      </c>
      <c r="U815" s="395">
        <f>STDEV(D817:P817)</f>
        <v>393.59555142302935</v>
      </c>
      <c r="V815" s="401" t="str">
        <f>IF(L816="","",IF(T815&lt;9.8,IF(S815&gt;5100,IF(S815&lt;8300,"Pass","Fail"),"Fail"),"Fail"))</f>
        <v>Pass</v>
      </c>
      <c r="W815" s="395">
        <v>1340</v>
      </c>
      <c r="X815" s="402" t="s">
        <v>343</v>
      </c>
      <c r="Y815" s="268"/>
      <c r="Z815" s="267">
        <v>4955</v>
      </c>
      <c r="AA815" s="267">
        <v>9645</v>
      </c>
      <c r="AB815" s="267">
        <v>5100</v>
      </c>
      <c r="AC815" s="267">
        <v>8300</v>
      </c>
      <c r="AD815" s="305">
        <v>10</v>
      </c>
      <c r="AE815" s="305">
        <v>9.8000000000000007</v>
      </c>
    </row>
    <row r="816" spans="1:31" ht="15">
      <c r="A816" s="390"/>
      <c r="B816" s="404"/>
      <c r="C816" s="405" t="s">
        <v>198</v>
      </c>
      <c r="D816" s="306">
        <v>3687.26</v>
      </c>
      <c r="E816" s="306">
        <v>3938.45</v>
      </c>
      <c r="F816" s="306">
        <v>4017.81</v>
      </c>
      <c r="G816" s="306">
        <v>4011.1</v>
      </c>
      <c r="H816" s="306">
        <v>3839.46</v>
      </c>
      <c r="I816" s="306">
        <v>3342.94</v>
      </c>
      <c r="J816" s="306">
        <v>3953.87</v>
      </c>
      <c r="K816" s="306">
        <v>4019.84</v>
      </c>
      <c r="L816" s="306">
        <v>3839.85</v>
      </c>
      <c r="M816" s="406"/>
      <c r="N816" s="406"/>
      <c r="O816" s="406"/>
      <c r="P816" s="406"/>
      <c r="Q816" s="404"/>
      <c r="R816" s="404"/>
      <c r="S816" s="404"/>
      <c r="T816" s="404"/>
      <c r="U816" s="404"/>
      <c r="V816" s="407"/>
      <c r="W816" s="404"/>
      <c r="X816" s="408"/>
      <c r="Y816" s="268"/>
      <c r="Z816" s="267"/>
      <c r="AA816" s="267"/>
      <c r="AB816" s="267"/>
      <c r="AC816" s="267"/>
      <c r="AD816" s="268"/>
      <c r="AE816" s="269"/>
    </row>
    <row r="817" spans="1:31" ht="57.75" thickBot="1">
      <c r="A817" s="390"/>
      <c r="B817" s="404"/>
      <c r="C817" s="409" t="s">
        <v>197</v>
      </c>
      <c r="D817" s="410">
        <f t="shared" ref="D817:L817" si="267">IF(((D815="")*AND(D816="")),"",(D815-D816)*3)</f>
        <v>7389.99</v>
      </c>
      <c r="E817" s="410">
        <f t="shared" si="267"/>
        <v>6679.0500000000011</v>
      </c>
      <c r="F817" s="410">
        <f t="shared" si="267"/>
        <v>6571.8600000000006</v>
      </c>
      <c r="G817" s="410">
        <f t="shared" si="267"/>
        <v>6558.8700000000008</v>
      </c>
      <c r="H817" s="410">
        <f t="shared" si="267"/>
        <v>6947.3099999999986</v>
      </c>
      <c r="I817" s="410">
        <f t="shared" si="267"/>
        <v>7621.08</v>
      </c>
      <c r="J817" s="410">
        <f t="shared" si="267"/>
        <v>6593.3399999999992</v>
      </c>
      <c r="K817" s="410">
        <f t="shared" si="267"/>
        <v>6563.3399999999992</v>
      </c>
      <c r="L817" s="410">
        <f t="shared" si="267"/>
        <v>6949.6200000000008</v>
      </c>
      <c r="M817" s="410"/>
      <c r="N817" s="410"/>
      <c r="O817" s="410"/>
      <c r="P817" s="410" t="str">
        <f>IF(((P815="")*AND(P816="")),"",(P815-P816)*2)</f>
        <v/>
      </c>
      <c r="Q817" s="404"/>
      <c r="R817" s="404"/>
      <c r="S817" s="404"/>
      <c r="T817" s="404"/>
      <c r="U817" s="404"/>
      <c r="V817" s="407"/>
      <c r="W817" s="404"/>
      <c r="X817" s="417"/>
      <c r="Y817" s="268"/>
      <c r="Z817" s="267"/>
      <c r="AA817" s="267"/>
      <c r="AB817" s="267"/>
      <c r="AC817" s="267"/>
      <c r="AD817" s="268"/>
      <c r="AE817" s="269"/>
    </row>
    <row r="818" spans="1:31" ht="15">
      <c r="A818" s="344">
        <v>43629</v>
      </c>
      <c r="B818" s="409" t="s">
        <v>200</v>
      </c>
      <c r="C818" s="409" t="s">
        <v>199</v>
      </c>
      <c r="D818" s="306">
        <v>6859.35</v>
      </c>
      <c r="E818" s="306">
        <v>6960.09</v>
      </c>
      <c r="F818" s="306">
        <v>6896.38</v>
      </c>
      <c r="G818" s="306">
        <v>7032.49</v>
      </c>
      <c r="H818" s="306">
        <v>7128.11</v>
      </c>
      <c r="I818" s="306">
        <v>7103.94</v>
      </c>
      <c r="J818" s="306">
        <v>7118.61</v>
      </c>
      <c r="K818" s="306">
        <v>7080.77</v>
      </c>
      <c r="L818" s="306">
        <v>6964.27</v>
      </c>
      <c r="M818" s="306">
        <v>7172.28</v>
      </c>
      <c r="N818" s="306">
        <v>7191.56</v>
      </c>
      <c r="O818" s="306">
        <v>7069.61</v>
      </c>
      <c r="P818" s="306">
        <v>7201.75</v>
      </c>
      <c r="Q818" s="409">
        <f>IF((L819=""),"",MAX(D820:P820))</f>
        <v>5700.16</v>
      </c>
      <c r="R818" s="409">
        <f>IF(L819="","",MIN(D820:L820))</f>
        <v>5514.2000000000007</v>
      </c>
      <c r="S818" s="400">
        <f>IF((P820=""),"",AVERAGE(D820:P820))</f>
        <v>5584.4446153846156</v>
      </c>
      <c r="T818" s="412">
        <f>IF((L819=""),"",(Q818-R818)/(Q818+R818)*100)</f>
        <v>1.6582310537560694</v>
      </c>
      <c r="U818" s="409">
        <f>STDEV(D820:P820)</f>
        <v>52.568587676045105</v>
      </c>
      <c r="V818" s="413" t="str">
        <f>IF(P819="","",IF(T818&lt;2.7,IF(S818&gt;5150,IF(S818&lt;5600,"Pass","Fail"),"Fail"),"Fail"))</f>
        <v>Pass</v>
      </c>
      <c r="W818" s="409">
        <v>1340</v>
      </c>
      <c r="X818" s="402" t="s">
        <v>343</v>
      </c>
      <c r="Y818" s="268"/>
      <c r="Z818" s="321">
        <v>4470</v>
      </c>
      <c r="AA818" s="321">
        <v>6020</v>
      </c>
      <c r="AB818" s="321">
        <v>5150</v>
      </c>
      <c r="AC818" s="321">
        <v>5600</v>
      </c>
      <c r="AD818" s="305">
        <v>10</v>
      </c>
      <c r="AE818" s="322">
        <v>2.7</v>
      </c>
    </row>
    <row r="819" spans="1:31" ht="15">
      <c r="A819" s="390"/>
      <c r="B819" s="404"/>
      <c r="C819" s="404" t="s">
        <v>198</v>
      </c>
      <c r="D819" s="306">
        <v>4081.15</v>
      </c>
      <c r="E819" s="306">
        <v>4150.75</v>
      </c>
      <c r="F819" s="306">
        <v>4135.7700000000004</v>
      </c>
      <c r="G819" s="306">
        <v>4251</v>
      </c>
      <c r="H819" s="306">
        <v>4278.03</v>
      </c>
      <c r="I819" s="306">
        <v>4287.95</v>
      </c>
      <c r="J819" s="306">
        <v>4336.03</v>
      </c>
      <c r="K819" s="306">
        <v>4293.1000000000004</v>
      </c>
      <c r="L819" s="306">
        <v>4207.17</v>
      </c>
      <c r="M819" s="306">
        <v>4375.82</v>
      </c>
      <c r="N819" s="306">
        <v>4369.3599999999997</v>
      </c>
      <c r="O819" s="306">
        <v>4299.33</v>
      </c>
      <c r="P819" s="306">
        <v>4414.8599999999997</v>
      </c>
      <c r="Q819" s="404"/>
      <c r="R819" s="404"/>
      <c r="S819" s="404"/>
      <c r="T819" s="404"/>
      <c r="U819" s="404"/>
      <c r="V819" s="407"/>
      <c r="W819" s="404"/>
      <c r="X819" s="408"/>
      <c r="Y819" s="268"/>
      <c r="Z819" s="267"/>
      <c r="AA819" s="267"/>
      <c r="AB819" s="267"/>
      <c r="AC819" s="267"/>
      <c r="AD819" s="268"/>
      <c r="AE819" s="269"/>
    </row>
    <row r="820" spans="1:31" ht="57.75" thickBot="1">
      <c r="A820" s="393"/>
      <c r="B820" s="414"/>
      <c r="C820" s="414" t="s">
        <v>197</v>
      </c>
      <c r="D820" s="415">
        <f t="shared" ref="D820:P820" si="268">IF(((D818="")*AND(D819="")),"",(D818-D819)*2)</f>
        <v>5556.4000000000005</v>
      </c>
      <c r="E820" s="415">
        <f t="shared" si="268"/>
        <v>5618.68</v>
      </c>
      <c r="F820" s="415">
        <f t="shared" si="268"/>
        <v>5521.2199999999993</v>
      </c>
      <c r="G820" s="415">
        <f t="shared" si="268"/>
        <v>5562.98</v>
      </c>
      <c r="H820" s="415">
        <f t="shared" si="268"/>
        <v>5700.16</v>
      </c>
      <c r="I820" s="415">
        <f t="shared" si="268"/>
        <v>5631.98</v>
      </c>
      <c r="J820" s="415">
        <f t="shared" si="268"/>
        <v>5565.16</v>
      </c>
      <c r="K820" s="415">
        <f t="shared" si="268"/>
        <v>5575.34</v>
      </c>
      <c r="L820" s="415">
        <f t="shared" si="268"/>
        <v>5514.2000000000007</v>
      </c>
      <c r="M820" s="415">
        <f t="shared" si="268"/>
        <v>5592.92</v>
      </c>
      <c r="N820" s="415">
        <f t="shared" si="268"/>
        <v>5644.4000000000015</v>
      </c>
      <c r="O820" s="415">
        <f t="shared" si="268"/>
        <v>5540.5599999999995</v>
      </c>
      <c r="P820" s="415">
        <f t="shared" si="268"/>
        <v>5573.7800000000007</v>
      </c>
      <c r="Q820" s="414"/>
      <c r="R820" s="414"/>
      <c r="S820" s="414"/>
      <c r="T820" s="414"/>
      <c r="U820" s="414"/>
      <c r="V820" s="416"/>
      <c r="W820" s="414"/>
      <c r="X820" s="417"/>
      <c r="Y820" s="268"/>
      <c r="Z820" s="267"/>
      <c r="AA820" s="267"/>
      <c r="AB820" s="267"/>
      <c r="AC820" s="267"/>
      <c r="AD820" s="268"/>
      <c r="AE820" s="269"/>
    </row>
    <row r="821" spans="1:31" ht="15">
      <c r="A821" s="344">
        <v>43633</v>
      </c>
      <c r="B821" s="395" t="s">
        <v>202</v>
      </c>
      <c r="C821" s="396" t="s">
        <v>199</v>
      </c>
      <c r="D821" s="306">
        <v>5949.5</v>
      </c>
      <c r="E821" s="306">
        <v>6198.45</v>
      </c>
      <c r="F821" s="306">
        <v>6173.01</v>
      </c>
      <c r="G821" s="306">
        <v>6167.75</v>
      </c>
      <c r="H821" s="306">
        <v>6145.95</v>
      </c>
      <c r="I821" s="306">
        <v>5921.77</v>
      </c>
      <c r="J821" s="306">
        <v>6191.25</v>
      </c>
      <c r="K821" s="306">
        <v>6188.56</v>
      </c>
      <c r="L821" s="306">
        <v>6150.08</v>
      </c>
      <c r="M821" s="398"/>
      <c r="N821" s="398"/>
      <c r="O821" s="398"/>
      <c r="P821" s="398"/>
      <c r="Q821" s="395">
        <f>IF((L822=""),"",MAX(D823:L823))</f>
        <v>7141.7400000000016</v>
      </c>
      <c r="R821" s="395">
        <f>IF(L822="","",MIN(D823:L823))</f>
        <v>6451.32</v>
      </c>
      <c r="S821" s="399">
        <f>IF((L823=""),"",AVERAGE(D823:L823))</f>
        <v>6774.6733333333332</v>
      </c>
      <c r="T821" s="400">
        <f>IF((L822=""),"",(Q821-R821)/(Q821+R821)*100)</f>
        <v>5.0792095378082776</v>
      </c>
      <c r="U821" s="395">
        <f>STDEV(D823:P823)</f>
        <v>261.1469289499891</v>
      </c>
      <c r="V821" s="401" t="str">
        <f>IF(L822="","",IF(T821&lt;9.8,IF(S821&gt;5100,IF(S821&lt;8300,"Pass","Fail"),"Fail"),"Fail"))</f>
        <v>Pass</v>
      </c>
      <c r="W821" s="395">
        <v>1159</v>
      </c>
      <c r="X821" s="402" t="s">
        <v>346</v>
      </c>
      <c r="Y821" s="268"/>
      <c r="Z821" s="267">
        <v>4955</v>
      </c>
      <c r="AA821" s="267">
        <v>9645</v>
      </c>
      <c r="AB821" s="267">
        <v>5100</v>
      </c>
      <c r="AC821" s="267">
        <v>8300</v>
      </c>
      <c r="AD821" s="305">
        <v>10</v>
      </c>
      <c r="AE821" s="305">
        <v>9.8000000000000007</v>
      </c>
    </row>
    <row r="822" spans="1:31" ht="15">
      <c r="A822" s="390"/>
      <c r="B822" s="404"/>
      <c r="C822" s="405" t="s">
        <v>198</v>
      </c>
      <c r="D822" s="306">
        <v>3590.53</v>
      </c>
      <c r="E822" s="306">
        <v>3938.08</v>
      </c>
      <c r="F822" s="306">
        <v>4022.57</v>
      </c>
      <c r="G822" s="306">
        <v>3993.71</v>
      </c>
      <c r="H822" s="306">
        <v>3823.19</v>
      </c>
      <c r="I822" s="306">
        <v>3541.19</v>
      </c>
      <c r="J822" s="306">
        <v>3974.59</v>
      </c>
      <c r="K822" s="306">
        <v>4026.71</v>
      </c>
      <c r="L822" s="306">
        <v>3851.73</v>
      </c>
      <c r="M822" s="406"/>
      <c r="N822" s="406"/>
      <c r="O822" s="406"/>
      <c r="P822" s="406"/>
      <c r="Q822" s="404"/>
      <c r="R822" s="404"/>
      <c r="S822" s="404"/>
      <c r="T822" s="404"/>
      <c r="U822" s="404"/>
      <c r="V822" s="407"/>
      <c r="W822" s="404"/>
      <c r="X822" s="408"/>
      <c r="Y822" s="268"/>
      <c r="Z822" s="267"/>
      <c r="AA822" s="267"/>
      <c r="AB822" s="267"/>
      <c r="AC822" s="267"/>
      <c r="AD822" s="268"/>
      <c r="AE822" s="269"/>
    </row>
    <row r="823" spans="1:31" ht="57.75" thickBot="1">
      <c r="A823" s="390"/>
      <c r="B823" s="404"/>
      <c r="C823" s="409" t="s">
        <v>197</v>
      </c>
      <c r="D823" s="410">
        <f t="shared" ref="D823:L823" si="269">IF(((D821="")*AND(D822="")),"",(D821-D822)*3)</f>
        <v>7076.91</v>
      </c>
      <c r="E823" s="410">
        <f t="shared" si="269"/>
        <v>6781.11</v>
      </c>
      <c r="F823" s="410">
        <f t="shared" si="269"/>
        <v>6451.32</v>
      </c>
      <c r="G823" s="410">
        <f t="shared" si="269"/>
        <v>6522.12</v>
      </c>
      <c r="H823" s="410">
        <f t="shared" si="269"/>
        <v>6968.2799999999988</v>
      </c>
      <c r="I823" s="410">
        <f t="shared" si="269"/>
        <v>7141.7400000000016</v>
      </c>
      <c r="J823" s="410">
        <f t="shared" si="269"/>
        <v>6649.98</v>
      </c>
      <c r="K823" s="410">
        <f t="shared" si="269"/>
        <v>6485.5500000000011</v>
      </c>
      <c r="L823" s="410">
        <f t="shared" si="269"/>
        <v>6895.0499999999993</v>
      </c>
      <c r="M823" s="410"/>
      <c r="N823" s="410"/>
      <c r="O823" s="410"/>
      <c r="P823" s="410" t="str">
        <f>IF(((P821="")*AND(P822="")),"",(P821-P822)*2)</f>
        <v/>
      </c>
      <c r="Q823" s="404"/>
      <c r="R823" s="404"/>
      <c r="S823" s="404"/>
      <c r="T823" s="404"/>
      <c r="U823" s="404"/>
      <c r="V823" s="407"/>
      <c r="W823" s="404"/>
      <c r="X823" s="417"/>
      <c r="Y823" s="268"/>
      <c r="Z823" s="267"/>
      <c r="AA823" s="267"/>
      <c r="AB823" s="267"/>
      <c r="AC823" s="267"/>
      <c r="AD823" s="268"/>
      <c r="AE823" s="269"/>
    </row>
    <row r="824" spans="1:31" ht="15">
      <c r="A824" s="344">
        <v>43633</v>
      </c>
      <c r="B824" s="409" t="s">
        <v>200</v>
      </c>
      <c r="C824" s="409" t="s">
        <v>199</v>
      </c>
      <c r="D824" s="306">
        <v>6887.01</v>
      </c>
      <c r="E824" s="306">
        <v>6997.87</v>
      </c>
      <c r="F824" s="306">
        <v>6908.6</v>
      </c>
      <c r="G824" s="306">
        <v>7042.28</v>
      </c>
      <c r="H824" s="306">
        <v>7159.7</v>
      </c>
      <c r="I824" s="306">
        <v>7129.94</v>
      </c>
      <c r="J824" s="306">
        <v>7124.48</v>
      </c>
      <c r="K824" s="306">
        <v>7084.22</v>
      </c>
      <c r="L824" s="306">
        <v>6972.35</v>
      </c>
      <c r="M824" s="306">
        <v>7172.62</v>
      </c>
      <c r="N824" s="306">
        <v>7201.64</v>
      </c>
      <c r="O824" s="306">
        <v>7060.23</v>
      </c>
      <c r="P824" s="306">
        <v>7185.22</v>
      </c>
      <c r="Q824" s="409">
        <f>IF((L825=""),"",MAX(D826:P826))</f>
        <v>5583.9599999999991</v>
      </c>
      <c r="R824" s="409">
        <f>IF(L825="","",MIN(D826:L826))</f>
        <v>5482.4400000000005</v>
      </c>
      <c r="S824" s="400">
        <f>IF((P826=""),"",AVERAGE(D826:P826))</f>
        <v>5532.1307692307691</v>
      </c>
      <c r="T824" s="412">
        <f>IF((L825=""),"",(Q824-R824)/(Q824+R824)*100)</f>
        <v>0.91737150292776881</v>
      </c>
      <c r="U824" s="409">
        <f>STDEV(D826:P826)</f>
        <v>33.648242762772433</v>
      </c>
      <c r="V824" s="413" t="str">
        <f>IF(P825="","",IF(T824&lt;2.7,IF(S824&gt;5150,IF(S824&lt;5600,"Pass","Fail"),"Fail"),"Fail"))</f>
        <v>Pass</v>
      </c>
      <c r="W824" s="409">
        <v>1159</v>
      </c>
      <c r="X824" s="402" t="s">
        <v>346</v>
      </c>
      <c r="Y824" s="268"/>
      <c r="Z824" s="321">
        <v>4470</v>
      </c>
      <c r="AA824" s="321">
        <v>6020</v>
      </c>
      <c r="AB824" s="321">
        <v>5150</v>
      </c>
      <c r="AC824" s="321">
        <v>5600</v>
      </c>
      <c r="AD824" s="305">
        <v>10</v>
      </c>
      <c r="AE824" s="322">
        <v>2.7</v>
      </c>
    </row>
    <row r="825" spans="1:31" ht="15">
      <c r="A825" s="390"/>
      <c r="B825" s="404"/>
      <c r="C825" s="404" t="s">
        <v>198</v>
      </c>
      <c r="D825" s="306">
        <v>4133.3</v>
      </c>
      <c r="E825" s="306">
        <v>4216.3500000000004</v>
      </c>
      <c r="F825" s="306">
        <v>4166.7299999999996</v>
      </c>
      <c r="G825" s="306">
        <v>4284.8500000000004</v>
      </c>
      <c r="H825" s="306">
        <v>4367.72</v>
      </c>
      <c r="I825" s="306">
        <v>4341.57</v>
      </c>
      <c r="J825" s="306">
        <v>4359.7299999999996</v>
      </c>
      <c r="K825" s="306">
        <v>4309.07</v>
      </c>
      <c r="L825" s="306">
        <v>4231.13</v>
      </c>
      <c r="M825" s="306">
        <v>4393.42</v>
      </c>
      <c r="N825" s="306">
        <v>4428.34</v>
      </c>
      <c r="O825" s="306">
        <v>4307.55</v>
      </c>
      <c r="P825" s="306">
        <v>4427.55</v>
      </c>
      <c r="Q825" s="404"/>
      <c r="R825" s="404"/>
      <c r="S825" s="404"/>
      <c r="T825" s="404"/>
      <c r="U825" s="404"/>
      <c r="V825" s="407"/>
      <c r="W825" s="404"/>
      <c r="X825" s="408"/>
      <c r="Y825" s="268"/>
      <c r="Z825" s="267"/>
      <c r="AA825" s="267"/>
      <c r="AB825" s="267"/>
      <c r="AC825" s="267"/>
      <c r="AD825" s="268"/>
      <c r="AE825" s="269"/>
    </row>
    <row r="826" spans="1:31" ht="57.75" thickBot="1">
      <c r="A826" s="393"/>
      <c r="B826" s="414"/>
      <c r="C826" s="414" t="s">
        <v>197</v>
      </c>
      <c r="D826" s="415">
        <f t="shared" ref="D826:P826" si="270">IF(((D824="")*AND(D825="")),"",(D824-D825)*2)</f>
        <v>5507.42</v>
      </c>
      <c r="E826" s="415">
        <f t="shared" si="270"/>
        <v>5563.0399999999991</v>
      </c>
      <c r="F826" s="415">
        <f t="shared" si="270"/>
        <v>5483.7400000000016</v>
      </c>
      <c r="G826" s="415">
        <f t="shared" si="270"/>
        <v>5514.8599999999988</v>
      </c>
      <c r="H826" s="415">
        <f t="shared" si="270"/>
        <v>5583.9599999999991</v>
      </c>
      <c r="I826" s="415">
        <f t="shared" si="270"/>
        <v>5576.74</v>
      </c>
      <c r="J826" s="415">
        <f t="shared" si="270"/>
        <v>5529.5</v>
      </c>
      <c r="K826" s="415">
        <f t="shared" si="270"/>
        <v>5550.3000000000011</v>
      </c>
      <c r="L826" s="415">
        <f t="shared" si="270"/>
        <v>5482.4400000000005</v>
      </c>
      <c r="M826" s="415">
        <f t="shared" si="270"/>
        <v>5558.4</v>
      </c>
      <c r="N826" s="415">
        <f t="shared" si="270"/>
        <v>5546.6</v>
      </c>
      <c r="O826" s="415">
        <f t="shared" si="270"/>
        <v>5505.3599999999988</v>
      </c>
      <c r="P826" s="415">
        <f t="shared" si="270"/>
        <v>5515.34</v>
      </c>
      <c r="Q826" s="414"/>
      <c r="R826" s="414"/>
      <c r="S826" s="414"/>
      <c r="T826" s="414"/>
      <c r="U826" s="414"/>
      <c r="V826" s="416"/>
      <c r="W826" s="414"/>
      <c r="X826" s="417"/>
      <c r="Y826" s="268"/>
      <c r="Z826" s="267"/>
      <c r="AA826" s="267"/>
      <c r="AB826" s="267"/>
      <c r="AC826" s="267"/>
      <c r="AD826" s="268"/>
      <c r="AE826" s="269"/>
    </row>
    <row r="827" spans="1:31" ht="15">
      <c r="A827" s="344">
        <v>43638</v>
      </c>
      <c r="B827" s="395" t="s">
        <v>202</v>
      </c>
      <c r="C827" s="396" t="s">
        <v>199</v>
      </c>
      <c r="D827" s="306">
        <v>3475.39</v>
      </c>
      <c r="E827" s="306">
        <v>3757.81</v>
      </c>
      <c r="F827" s="306">
        <v>3773.24</v>
      </c>
      <c r="G827" s="306">
        <v>3771.45</v>
      </c>
      <c r="H827" s="306">
        <v>3657.11</v>
      </c>
      <c r="I827" s="306">
        <v>3672.96</v>
      </c>
      <c r="J827" s="306">
        <v>3761.7</v>
      </c>
      <c r="K827" s="306">
        <v>3756.08</v>
      </c>
      <c r="L827" s="306">
        <v>3684.78</v>
      </c>
      <c r="M827" s="398"/>
      <c r="N827" s="398"/>
      <c r="O827" s="398"/>
      <c r="P827" s="398"/>
      <c r="Q827" s="395">
        <f>IF((L828=""),"",MAX(D829:L829))</f>
        <v>6662.01</v>
      </c>
      <c r="R827" s="395">
        <f>IF(L828="","",MIN(D829:L829))</f>
        <v>6242.8200000000015</v>
      </c>
      <c r="S827" s="399">
        <f>IF((L829=""),"",AVERAGE(D829:L829))</f>
        <v>6485.65</v>
      </c>
      <c r="T827" s="400">
        <f>IF((L828=""),"",(Q827-R827)/(Q827+R827)*100)</f>
        <v>3.2483186527834822</v>
      </c>
      <c r="U827" s="395">
        <f>STDEV(D829:P829)</f>
        <v>144.21959818278572</v>
      </c>
      <c r="V827" s="401" t="str">
        <f>IF(L828="","",IF(T827&lt;9.8,IF(S827&gt;5100,IF(S827&lt;8300,"Pass","Fail"),"Fail"),"Fail"))</f>
        <v>Pass</v>
      </c>
      <c r="W827" s="395">
        <v>102</v>
      </c>
      <c r="X827" s="402" t="s">
        <v>350</v>
      </c>
      <c r="Y827" s="268"/>
      <c r="Z827" s="267">
        <v>4955</v>
      </c>
      <c r="AA827" s="267">
        <v>9645</v>
      </c>
      <c r="AB827" s="267">
        <v>5100</v>
      </c>
      <c r="AC827" s="267">
        <v>8300</v>
      </c>
      <c r="AD827" s="305">
        <v>10</v>
      </c>
      <c r="AE827" s="305">
        <v>9.8000000000000007</v>
      </c>
    </row>
    <row r="828" spans="1:31" ht="15">
      <c r="A828" s="390"/>
      <c r="B828" s="404"/>
      <c r="C828" s="405" t="s">
        <v>198</v>
      </c>
      <c r="D828" s="306">
        <v>1354.57</v>
      </c>
      <c r="E828" s="306">
        <v>1566.85</v>
      </c>
      <c r="F828" s="306">
        <v>1552.57</v>
      </c>
      <c r="G828" s="306">
        <v>1574.76</v>
      </c>
      <c r="H828" s="306">
        <v>1540.12</v>
      </c>
      <c r="I828" s="306">
        <v>1531.65</v>
      </c>
      <c r="J828" s="306">
        <v>1557.44</v>
      </c>
      <c r="K828" s="306">
        <v>1571.77</v>
      </c>
      <c r="L828" s="306">
        <v>1603.84</v>
      </c>
      <c r="M828" s="406"/>
      <c r="N828" s="406"/>
      <c r="O828" s="406"/>
      <c r="P828" s="406"/>
      <c r="Q828" s="404"/>
      <c r="R828" s="404"/>
      <c r="S828" s="404"/>
      <c r="T828" s="404"/>
      <c r="U828" s="404"/>
      <c r="V828" s="407"/>
      <c r="W828" s="404"/>
      <c r="X828" s="408"/>
      <c r="Y828" s="268"/>
      <c r="Z828" s="267"/>
      <c r="AA828" s="267"/>
      <c r="AB828" s="267"/>
      <c r="AC828" s="267"/>
      <c r="AD828" s="268"/>
      <c r="AE828" s="269"/>
    </row>
    <row r="829" spans="1:31" ht="57.75" thickBot="1">
      <c r="A829" s="390"/>
      <c r="B829" s="404"/>
      <c r="C829" s="409" t="s">
        <v>197</v>
      </c>
      <c r="D829" s="410">
        <f t="shared" ref="D829:L829" si="271">IF(((D827="")*AND(D828="")),"",(D827-D828)*3)</f>
        <v>6362.4599999999991</v>
      </c>
      <c r="E829" s="410">
        <f t="shared" si="271"/>
        <v>6572.88</v>
      </c>
      <c r="F829" s="410">
        <f t="shared" si="271"/>
        <v>6662.01</v>
      </c>
      <c r="G829" s="410">
        <f t="shared" si="271"/>
        <v>6590.0699999999988</v>
      </c>
      <c r="H829" s="410">
        <f t="shared" si="271"/>
        <v>6350.9700000000012</v>
      </c>
      <c r="I829" s="410">
        <f t="shared" si="271"/>
        <v>6423.93</v>
      </c>
      <c r="J829" s="410">
        <f t="shared" si="271"/>
        <v>6612.7799999999988</v>
      </c>
      <c r="K829" s="410">
        <f t="shared" si="271"/>
        <v>6552.93</v>
      </c>
      <c r="L829" s="410">
        <f t="shared" si="271"/>
        <v>6242.8200000000015</v>
      </c>
      <c r="M829" s="410"/>
      <c r="N829" s="410"/>
      <c r="O829" s="410"/>
      <c r="P829" s="410" t="str">
        <f>IF(((P827="")*AND(P828="")),"",(P827-P828)*2)</f>
        <v/>
      </c>
      <c r="Q829" s="404"/>
      <c r="R829" s="404"/>
      <c r="S829" s="404"/>
      <c r="T829" s="404"/>
      <c r="U829" s="404"/>
      <c r="V829" s="407"/>
      <c r="W829" s="404"/>
      <c r="X829" s="417"/>
      <c r="Y829" s="268"/>
      <c r="Z829" s="267"/>
      <c r="AA829" s="267"/>
      <c r="AB829" s="267"/>
      <c r="AC829" s="267"/>
      <c r="AD829" s="268"/>
      <c r="AE829" s="269"/>
    </row>
    <row r="830" spans="1:31" ht="15">
      <c r="A830" s="344">
        <v>43638</v>
      </c>
      <c r="B830" s="409" t="s">
        <v>200</v>
      </c>
      <c r="C830" s="409" t="s">
        <v>199</v>
      </c>
      <c r="D830" s="306">
        <v>6882.26</v>
      </c>
      <c r="E830" s="306">
        <v>6992.36</v>
      </c>
      <c r="F830" s="306">
        <v>6909.38</v>
      </c>
      <c r="G830" s="306">
        <v>7042.78</v>
      </c>
      <c r="H830" s="306">
        <v>7149.11</v>
      </c>
      <c r="I830" s="306">
        <v>7130.34</v>
      </c>
      <c r="J830" s="306">
        <v>7128.87</v>
      </c>
      <c r="K830" s="306">
        <v>7092.88</v>
      </c>
      <c r="L830" s="306">
        <v>6978.14</v>
      </c>
      <c r="M830" s="306">
        <v>7178.85</v>
      </c>
      <c r="N830" s="306">
        <v>7210.04</v>
      </c>
      <c r="O830" s="306">
        <v>7074.31</v>
      </c>
      <c r="P830" s="306">
        <v>7201.35</v>
      </c>
      <c r="Q830" s="409">
        <f>IF((L831=""),"",MAX(D832:P832))</f>
        <v>5561.6200000000008</v>
      </c>
      <c r="R830" s="409">
        <f>IF(L831="","",MIN(D832:L832))</f>
        <v>5413.74</v>
      </c>
      <c r="S830" s="400">
        <f>IF((P832=""),"",AVERAGE(D832:P832))</f>
        <v>5503.5399999999991</v>
      </c>
      <c r="T830" s="412">
        <f>IF((L831=""),"",(Q830-R830)/(Q830+R830)*100)</f>
        <v>1.347381771531877</v>
      </c>
      <c r="U830" s="409">
        <f>STDEV(D832:P832)</f>
        <v>49.858973114265282</v>
      </c>
      <c r="V830" s="413" t="str">
        <f>IF(P831="","",IF(T830&lt;2.7,IF(S830&gt;5150,IF(S830&lt;5600,"Pass","Fail"),"Fail"),"Fail"))</f>
        <v>Pass</v>
      </c>
      <c r="W830" s="409">
        <v>102</v>
      </c>
      <c r="X830" s="402" t="s">
        <v>350</v>
      </c>
      <c r="Y830" s="268"/>
      <c r="Z830" s="321">
        <v>4470</v>
      </c>
      <c r="AA830" s="321">
        <v>6020</v>
      </c>
      <c r="AB830" s="321">
        <v>5150</v>
      </c>
      <c r="AC830" s="321">
        <v>5600</v>
      </c>
      <c r="AD830" s="305">
        <v>10</v>
      </c>
      <c r="AE830" s="322">
        <v>2.7</v>
      </c>
    </row>
    <row r="831" spans="1:31" ht="15">
      <c r="A831" s="390"/>
      <c r="B831" s="404"/>
      <c r="C831" s="404" t="s">
        <v>198</v>
      </c>
      <c r="D831" s="306">
        <v>4175.3900000000003</v>
      </c>
      <c r="E831" s="306">
        <v>4248.49</v>
      </c>
      <c r="F831" s="306">
        <v>4180.78</v>
      </c>
      <c r="G831" s="306">
        <v>4325.8500000000004</v>
      </c>
      <c r="H831" s="306">
        <v>4388.58</v>
      </c>
      <c r="I831" s="306">
        <v>4351.1499999999996</v>
      </c>
      <c r="J831" s="306">
        <v>4365.1499999999996</v>
      </c>
      <c r="K831" s="306">
        <v>4317.1000000000004</v>
      </c>
      <c r="L831" s="306">
        <v>4249.79</v>
      </c>
      <c r="M831" s="306">
        <v>4398.04</v>
      </c>
      <c r="N831" s="306">
        <v>4435.17</v>
      </c>
      <c r="O831" s="306">
        <v>4324.84</v>
      </c>
      <c r="P831" s="306">
        <v>4437.33</v>
      </c>
      <c r="Q831" s="404"/>
      <c r="R831" s="404"/>
      <c r="S831" s="404"/>
      <c r="T831" s="404"/>
      <c r="U831" s="404"/>
      <c r="V831" s="407"/>
      <c r="W831" s="404"/>
      <c r="X831" s="408"/>
      <c r="Y831" s="268"/>
      <c r="Z831" s="267"/>
      <c r="AA831" s="267"/>
      <c r="AB831" s="267"/>
      <c r="AC831" s="267"/>
      <c r="AD831" s="268"/>
      <c r="AE831" s="269"/>
    </row>
    <row r="832" spans="1:31" ht="57.75" thickBot="1">
      <c r="A832" s="393"/>
      <c r="B832" s="414"/>
      <c r="C832" s="414" t="s">
        <v>197</v>
      </c>
      <c r="D832" s="415">
        <f t="shared" ref="D832:P832" si="272">IF(((D830="")*AND(D831="")),"",(D830-D831)*2)</f>
        <v>5413.74</v>
      </c>
      <c r="E832" s="415">
        <f t="shared" si="272"/>
        <v>5487.74</v>
      </c>
      <c r="F832" s="415">
        <f t="shared" si="272"/>
        <v>5457.2000000000007</v>
      </c>
      <c r="G832" s="415">
        <f t="shared" si="272"/>
        <v>5433.8599999999988</v>
      </c>
      <c r="H832" s="415">
        <f t="shared" si="272"/>
        <v>5521.0599999999995</v>
      </c>
      <c r="I832" s="415">
        <f t="shared" si="272"/>
        <v>5558.380000000001</v>
      </c>
      <c r="J832" s="415">
        <f t="shared" si="272"/>
        <v>5527.4400000000005</v>
      </c>
      <c r="K832" s="415">
        <f t="shared" si="272"/>
        <v>5551.5599999999995</v>
      </c>
      <c r="L832" s="415">
        <f t="shared" si="272"/>
        <v>5456.7000000000007</v>
      </c>
      <c r="M832" s="415">
        <f t="shared" si="272"/>
        <v>5561.6200000000008</v>
      </c>
      <c r="N832" s="415">
        <f t="shared" si="272"/>
        <v>5549.74</v>
      </c>
      <c r="O832" s="415">
        <f t="shared" si="272"/>
        <v>5498.9400000000005</v>
      </c>
      <c r="P832" s="415">
        <f t="shared" si="272"/>
        <v>5528.0400000000009</v>
      </c>
      <c r="Q832" s="414"/>
      <c r="R832" s="414"/>
      <c r="S832" s="414"/>
      <c r="T832" s="414"/>
      <c r="U832" s="414"/>
      <c r="V832" s="416"/>
      <c r="W832" s="414"/>
      <c r="X832" s="417"/>
      <c r="Y832" s="268"/>
      <c r="Z832" s="267"/>
      <c r="AA832" s="267"/>
      <c r="AB832" s="267"/>
      <c r="AC832" s="267"/>
      <c r="AD832" s="268"/>
      <c r="AE832" s="269"/>
    </row>
    <row r="833" spans="1:31" ht="15">
      <c r="A833" s="344">
        <v>43642</v>
      </c>
      <c r="B833" s="395" t="s">
        <v>202</v>
      </c>
      <c r="C833" s="396" t="s">
        <v>199</v>
      </c>
      <c r="D833" s="306">
        <v>3466.71</v>
      </c>
      <c r="E833" s="306">
        <v>3721.58</v>
      </c>
      <c r="F833" s="306">
        <v>3757.08</v>
      </c>
      <c r="G833" s="306">
        <v>3745.83</v>
      </c>
      <c r="H833" s="306">
        <v>3711.11</v>
      </c>
      <c r="I833" s="306">
        <v>3239.14</v>
      </c>
      <c r="J833" s="306">
        <v>3722.41</v>
      </c>
      <c r="K833" s="306">
        <v>3771.55</v>
      </c>
      <c r="L833" s="306">
        <v>3674.78</v>
      </c>
      <c r="M833" s="398"/>
      <c r="N833" s="398"/>
      <c r="O833" s="398"/>
      <c r="P833" s="398"/>
      <c r="Q833" s="395">
        <f>IF((L834=""),"",MAX(D835:L835))</f>
        <v>6665.670000000001</v>
      </c>
      <c r="R833" s="395">
        <f>IF(L834="","",MIN(D835:L835))</f>
        <v>6199.02</v>
      </c>
      <c r="S833" s="399">
        <f>IF((L835=""),"",AVERAGE(D835:L835))</f>
        <v>6430.876666666667</v>
      </c>
      <c r="T833" s="400">
        <f>IF((L834=""),"",(Q833-R833)/(Q833+R833)*100)</f>
        <v>3.62737073337951</v>
      </c>
      <c r="U833" s="395">
        <f>STDEV(D835:P835)</f>
        <v>149.81169714009323</v>
      </c>
      <c r="V833" s="401" t="str">
        <f>IF(L834="","",IF(T833&lt;9.8,IF(S833&gt;5100,IF(S833&lt;8300,"Pass","Fail"),"Fail"),"Fail"))</f>
        <v>Pass</v>
      </c>
      <c r="W833" s="395">
        <v>1428</v>
      </c>
      <c r="X833" s="402" t="s">
        <v>351</v>
      </c>
      <c r="Y833" s="268"/>
      <c r="Z833" s="267">
        <v>4955</v>
      </c>
      <c r="AA833" s="267">
        <v>9645</v>
      </c>
      <c r="AB833" s="267">
        <v>5100</v>
      </c>
      <c r="AC833" s="267">
        <v>8300</v>
      </c>
      <c r="AD833" s="305">
        <v>10</v>
      </c>
      <c r="AE833" s="305">
        <v>9.8000000000000007</v>
      </c>
    </row>
    <row r="834" spans="1:31" ht="15">
      <c r="A834" s="390"/>
      <c r="B834" s="404"/>
      <c r="C834" s="405" t="s">
        <v>198</v>
      </c>
      <c r="D834" s="306">
        <v>1257.8499999999999</v>
      </c>
      <c r="E834" s="306">
        <v>1608.11</v>
      </c>
      <c r="F834" s="306">
        <v>1586.42</v>
      </c>
      <c r="G834" s="306">
        <v>1594.19</v>
      </c>
      <c r="H834" s="306">
        <v>1594.64</v>
      </c>
      <c r="I834" s="306">
        <v>1107.79</v>
      </c>
      <c r="J834" s="306">
        <v>1610.46</v>
      </c>
      <c r="K834" s="306">
        <v>1549.66</v>
      </c>
      <c r="L834" s="306">
        <v>1608.44</v>
      </c>
      <c r="M834" s="406"/>
      <c r="N834" s="406"/>
      <c r="O834" s="406"/>
      <c r="P834" s="406"/>
      <c r="Q834" s="404"/>
      <c r="R834" s="404"/>
      <c r="S834" s="404"/>
      <c r="T834" s="404"/>
      <c r="U834" s="404"/>
      <c r="V834" s="407"/>
      <c r="W834" s="404"/>
      <c r="X834" s="408"/>
      <c r="Y834" s="268"/>
      <c r="Z834" s="267"/>
      <c r="AA834" s="267"/>
      <c r="AB834" s="267"/>
      <c r="AC834" s="267"/>
      <c r="AD834" s="268"/>
      <c r="AE834" s="269"/>
    </row>
    <row r="835" spans="1:31" ht="57.75" thickBot="1">
      <c r="A835" s="390"/>
      <c r="B835" s="404"/>
      <c r="C835" s="409" t="s">
        <v>197</v>
      </c>
      <c r="D835" s="410">
        <f t="shared" ref="D835:L835" si="273">IF(((D833="")*AND(D834="")),"",(D833-D834)*3)</f>
        <v>6626.58</v>
      </c>
      <c r="E835" s="410">
        <f t="shared" si="273"/>
        <v>6340.4100000000008</v>
      </c>
      <c r="F835" s="410">
        <f t="shared" si="273"/>
        <v>6511.98</v>
      </c>
      <c r="G835" s="410">
        <f t="shared" si="273"/>
        <v>6454.92</v>
      </c>
      <c r="H835" s="410">
        <f t="shared" si="273"/>
        <v>6349.4100000000008</v>
      </c>
      <c r="I835" s="410">
        <f t="shared" si="273"/>
        <v>6394.0499999999993</v>
      </c>
      <c r="J835" s="410">
        <f t="shared" si="273"/>
        <v>6335.8499999999995</v>
      </c>
      <c r="K835" s="410">
        <f t="shared" si="273"/>
        <v>6665.670000000001</v>
      </c>
      <c r="L835" s="410">
        <f t="shared" si="273"/>
        <v>6199.02</v>
      </c>
      <c r="M835" s="410"/>
      <c r="N835" s="410"/>
      <c r="O835" s="410"/>
      <c r="P835" s="410" t="str">
        <f>IF(((P833="")*AND(P834="")),"",(P833-P834)*2)</f>
        <v/>
      </c>
      <c r="Q835" s="404"/>
      <c r="R835" s="404"/>
      <c r="S835" s="404"/>
      <c r="T835" s="404"/>
      <c r="U835" s="404"/>
      <c r="V835" s="407"/>
      <c r="W835" s="404"/>
      <c r="X835" s="417"/>
      <c r="Y835" s="268"/>
      <c r="Z835" s="267"/>
      <c r="AA835" s="267"/>
      <c r="AB835" s="267"/>
      <c r="AC835" s="267"/>
      <c r="AD835" s="268"/>
      <c r="AE835" s="269"/>
    </row>
    <row r="836" spans="1:31" ht="15">
      <c r="A836" s="344">
        <v>43642</v>
      </c>
      <c r="B836" s="409" t="s">
        <v>200</v>
      </c>
      <c r="C836" s="409" t="s">
        <v>199</v>
      </c>
      <c r="D836" s="306">
        <v>6697.82</v>
      </c>
      <c r="E836" s="306">
        <v>6823.82</v>
      </c>
      <c r="F836" s="306">
        <v>6620.05</v>
      </c>
      <c r="G836" s="306">
        <v>6665.97</v>
      </c>
      <c r="H836" s="306">
        <v>6648.24</v>
      </c>
      <c r="I836" s="306">
        <v>6636.94</v>
      </c>
      <c r="J836" s="306">
        <v>6708.53</v>
      </c>
      <c r="K836" s="306">
        <v>6625.59</v>
      </c>
      <c r="L836" s="306">
        <v>6669.21</v>
      </c>
      <c r="M836" s="306">
        <v>6688.77</v>
      </c>
      <c r="N836" s="306">
        <v>6830.04</v>
      </c>
      <c r="O836" s="306">
        <v>6633.74</v>
      </c>
      <c r="P836" s="306">
        <v>6602.81</v>
      </c>
      <c r="Q836" s="409">
        <f>IF((L837=""),"",MAX(D838:P838))</f>
        <v>5490.579999999999</v>
      </c>
      <c r="R836" s="409">
        <f>IF(L837="","",MIN(D838:L838))</f>
        <v>5350.88</v>
      </c>
      <c r="S836" s="400">
        <f>IF((P838=""),"",AVERAGE(D838:P838))</f>
        <v>5423.5107692307693</v>
      </c>
      <c r="T836" s="412">
        <f>IF((L837=""),"",(Q836-R836)/(Q836+R836)*100)</f>
        <v>1.2885718344208152</v>
      </c>
      <c r="U836" s="409">
        <f>STDEV(D838:P838)</f>
        <v>48.087237125418113</v>
      </c>
      <c r="V836" s="413" t="str">
        <f>IF(P837="","",IF(T836&lt;2.7,IF(S836&gt;5150,IF(S836&lt;5600,"Pass","Fail"),"Fail"),"Fail"))</f>
        <v>Pass</v>
      </c>
      <c r="W836" s="409">
        <v>1428</v>
      </c>
      <c r="X836" s="402" t="s">
        <v>351</v>
      </c>
      <c r="Y836" s="268"/>
      <c r="Z836" s="321">
        <v>4470</v>
      </c>
      <c r="AA836" s="321">
        <v>6020</v>
      </c>
      <c r="AB836" s="321">
        <v>5150</v>
      </c>
      <c r="AC836" s="321">
        <v>5600</v>
      </c>
      <c r="AD836" s="305">
        <v>10</v>
      </c>
      <c r="AE836" s="322">
        <v>2.7</v>
      </c>
    </row>
    <row r="837" spans="1:31" ht="15">
      <c r="A837" s="390"/>
      <c r="B837" s="404"/>
      <c r="C837" s="404" t="s">
        <v>198</v>
      </c>
      <c r="D837" s="306">
        <v>4016.93</v>
      </c>
      <c r="E837" s="306">
        <v>4123.22</v>
      </c>
      <c r="F837" s="306">
        <v>3940.55</v>
      </c>
      <c r="G837" s="306">
        <v>3952.02</v>
      </c>
      <c r="H837" s="306">
        <v>3945.54</v>
      </c>
      <c r="I837" s="306">
        <v>3891.65</v>
      </c>
      <c r="J837" s="306">
        <v>3986.75</v>
      </c>
      <c r="K837" s="306">
        <v>3881.88</v>
      </c>
      <c r="L837" s="306">
        <v>3993.77</v>
      </c>
      <c r="M837" s="306">
        <v>3957.25</v>
      </c>
      <c r="N837" s="306">
        <v>4090.77</v>
      </c>
      <c r="O837" s="306">
        <v>3926.37</v>
      </c>
      <c r="P837" s="306">
        <v>3892.01</v>
      </c>
      <c r="Q837" s="404"/>
      <c r="R837" s="404"/>
      <c r="S837" s="404"/>
      <c r="T837" s="404"/>
      <c r="U837" s="404"/>
      <c r="V837" s="407"/>
      <c r="W837" s="404"/>
      <c r="X837" s="408"/>
      <c r="Y837" s="268"/>
      <c r="Z837" s="267"/>
      <c r="AA837" s="267"/>
      <c r="AB837" s="267"/>
      <c r="AC837" s="267"/>
      <c r="AD837" s="268"/>
      <c r="AE837" s="269"/>
    </row>
    <row r="838" spans="1:31" ht="57.75" thickBot="1">
      <c r="A838" s="393"/>
      <c r="B838" s="414"/>
      <c r="C838" s="414" t="s">
        <v>197</v>
      </c>
      <c r="D838" s="415">
        <f t="shared" ref="D838:P838" si="274">IF(((D836="")*AND(D837="")),"",(D836-D837)*2)</f>
        <v>5361.78</v>
      </c>
      <c r="E838" s="415">
        <f t="shared" si="274"/>
        <v>5401.1999999999989</v>
      </c>
      <c r="F838" s="415">
        <f t="shared" si="274"/>
        <v>5359</v>
      </c>
      <c r="G838" s="415">
        <f t="shared" si="274"/>
        <v>5427.9000000000005</v>
      </c>
      <c r="H838" s="415">
        <f t="shared" si="274"/>
        <v>5405.4</v>
      </c>
      <c r="I838" s="415">
        <f t="shared" si="274"/>
        <v>5490.579999999999</v>
      </c>
      <c r="J838" s="415">
        <f t="shared" si="274"/>
        <v>5443.5599999999995</v>
      </c>
      <c r="K838" s="415">
        <f t="shared" si="274"/>
        <v>5487.42</v>
      </c>
      <c r="L838" s="415">
        <f t="shared" si="274"/>
        <v>5350.88</v>
      </c>
      <c r="M838" s="415">
        <f t="shared" si="274"/>
        <v>5463.0400000000009</v>
      </c>
      <c r="N838" s="415">
        <f t="shared" si="274"/>
        <v>5478.54</v>
      </c>
      <c r="O838" s="415">
        <f t="shared" si="274"/>
        <v>5414.74</v>
      </c>
      <c r="P838" s="415">
        <f t="shared" si="274"/>
        <v>5421.6</v>
      </c>
      <c r="Q838" s="414"/>
      <c r="R838" s="414"/>
      <c r="S838" s="414"/>
      <c r="T838" s="414"/>
      <c r="U838" s="414"/>
      <c r="V838" s="416"/>
      <c r="W838" s="414"/>
      <c r="X838" s="417"/>
      <c r="Y838" s="268"/>
      <c r="Z838" s="267"/>
      <c r="AA838" s="267"/>
      <c r="AB838" s="267"/>
      <c r="AC838" s="267"/>
      <c r="AD838" s="268"/>
      <c r="AE838" s="269"/>
    </row>
    <row r="839" spans="1:31" ht="15">
      <c r="A839" s="344">
        <v>43648</v>
      </c>
      <c r="B839" s="395" t="s">
        <v>202</v>
      </c>
      <c r="C839" s="396" t="s">
        <v>199</v>
      </c>
      <c r="D839" s="306">
        <v>6076.09</v>
      </c>
      <c r="E839" s="306">
        <v>6208.14</v>
      </c>
      <c r="F839" s="306">
        <v>6188.78</v>
      </c>
      <c r="G839" s="306">
        <v>6178.36</v>
      </c>
      <c r="H839" s="306">
        <v>6192.52</v>
      </c>
      <c r="I839" s="306">
        <v>5921.33</v>
      </c>
      <c r="J839" s="306">
        <v>6206.13</v>
      </c>
      <c r="K839" s="306">
        <v>6211.36</v>
      </c>
      <c r="L839" s="306">
        <v>6159.27</v>
      </c>
      <c r="M839" s="398"/>
      <c r="N839" s="398"/>
      <c r="O839" s="398"/>
      <c r="P839" s="398"/>
      <c r="Q839" s="395">
        <f>IF((L840=""),"",MAX(D841:L841))</f>
        <v>7413.5399999999991</v>
      </c>
      <c r="R839" s="395">
        <f>IF(L840="","",MIN(D841:L841))</f>
        <v>6637.65</v>
      </c>
      <c r="S839" s="399">
        <f>IF((L841=""),"",AVERAGE(D841:L841))</f>
        <v>6911.4833333333336</v>
      </c>
      <c r="T839" s="400">
        <f>IF((L840=""),"",(Q839-R839)/(Q839+R839)*100)</f>
        <v>5.5218810648777756</v>
      </c>
      <c r="U839" s="395">
        <f>STDEV(D841:P841)</f>
        <v>285.10262406721012</v>
      </c>
      <c r="V839" s="401" t="str">
        <f>IF(L840="","",IF(T839&lt;9.8,IF(S839&gt;5100,IF(S839&lt;8300,"Pass","Fail"),"Fail"),"Fail"))</f>
        <v>Pass</v>
      </c>
      <c r="W839" s="395">
        <v>1340</v>
      </c>
      <c r="X839" s="402"/>
      <c r="Y839" s="268"/>
      <c r="Z839" s="267">
        <v>4955</v>
      </c>
      <c r="AA839" s="267">
        <v>9645</v>
      </c>
      <c r="AB839" s="267">
        <v>5100</v>
      </c>
      <c r="AC839" s="267">
        <v>8300</v>
      </c>
      <c r="AD839" s="305">
        <v>10</v>
      </c>
      <c r="AE839" s="305">
        <v>9.8000000000000007</v>
      </c>
    </row>
    <row r="840" spans="1:31" ht="15">
      <c r="A840" s="390"/>
      <c r="B840" s="404"/>
      <c r="C840" s="405" t="s">
        <v>198</v>
      </c>
      <c r="D840" s="306">
        <v>3644.77</v>
      </c>
      <c r="E840" s="306">
        <v>3925.45</v>
      </c>
      <c r="F840" s="306">
        <v>3976.23</v>
      </c>
      <c r="G840" s="306">
        <v>3949.52</v>
      </c>
      <c r="H840" s="306">
        <v>3830.75</v>
      </c>
      <c r="I840" s="306">
        <v>3450.15</v>
      </c>
      <c r="J840" s="306">
        <v>3937.24</v>
      </c>
      <c r="K840" s="306">
        <v>3988.62</v>
      </c>
      <c r="L840" s="306">
        <v>3904.8</v>
      </c>
      <c r="M840" s="406"/>
      <c r="N840" s="406"/>
      <c r="O840" s="406"/>
      <c r="P840" s="406"/>
      <c r="Q840" s="404"/>
      <c r="R840" s="404"/>
      <c r="S840" s="404"/>
      <c r="T840" s="404"/>
      <c r="U840" s="404"/>
      <c r="V840" s="407"/>
      <c r="W840" s="404"/>
      <c r="X840" s="408"/>
      <c r="Y840" s="268"/>
      <c r="Z840" s="267"/>
      <c r="AA840" s="267"/>
      <c r="AB840" s="267"/>
      <c r="AC840" s="267"/>
      <c r="AD840" s="268"/>
      <c r="AE840" s="269"/>
    </row>
    <row r="841" spans="1:31" ht="57.75" thickBot="1">
      <c r="A841" s="390"/>
      <c r="B841" s="404"/>
      <c r="C841" s="409" t="s">
        <v>197</v>
      </c>
      <c r="D841" s="410">
        <f t="shared" ref="D841:L841" si="275">IF(((D839="")*AND(D840="")),"",(D839-D840)*3)</f>
        <v>7293.9600000000009</v>
      </c>
      <c r="E841" s="410">
        <f t="shared" si="275"/>
        <v>6848.0700000000015</v>
      </c>
      <c r="F841" s="410">
        <f t="shared" si="275"/>
        <v>6637.65</v>
      </c>
      <c r="G841" s="410">
        <f t="shared" si="275"/>
        <v>6686.5199999999986</v>
      </c>
      <c r="H841" s="410">
        <f t="shared" si="275"/>
        <v>7085.3100000000013</v>
      </c>
      <c r="I841" s="410">
        <f t="shared" si="275"/>
        <v>7413.5399999999991</v>
      </c>
      <c r="J841" s="410">
        <f t="shared" si="275"/>
        <v>6806.670000000001</v>
      </c>
      <c r="K841" s="410">
        <f t="shared" si="275"/>
        <v>6668.2199999999993</v>
      </c>
      <c r="L841" s="410">
        <f t="shared" si="275"/>
        <v>6763.4100000000008</v>
      </c>
      <c r="M841" s="410"/>
      <c r="N841" s="410"/>
      <c r="O841" s="410"/>
      <c r="P841" s="410" t="str">
        <f>IF(((P839="")*AND(P840="")),"",(P839-P840)*2)</f>
        <v/>
      </c>
      <c r="Q841" s="404"/>
      <c r="R841" s="404"/>
      <c r="S841" s="404"/>
      <c r="T841" s="404"/>
      <c r="U841" s="404"/>
      <c r="V841" s="407"/>
      <c r="W841" s="404"/>
      <c r="X841" s="417"/>
      <c r="Y841" s="268"/>
      <c r="Z841" s="267"/>
      <c r="AA841" s="267"/>
      <c r="AB841" s="267"/>
      <c r="AC841" s="267"/>
      <c r="AD841" s="268"/>
      <c r="AE841" s="269"/>
    </row>
    <row r="842" spans="1:31" ht="15">
      <c r="A842" s="344">
        <v>43648</v>
      </c>
      <c r="B842" s="409" t="s">
        <v>200</v>
      </c>
      <c r="C842" s="409" t="s">
        <v>199</v>
      </c>
      <c r="D842" s="306">
        <v>6922.17</v>
      </c>
      <c r="E842" s="306">
        <v>7026.61</v>
      </c>
      <c r="F842" s="306">
        <v>6936.67</v>
      </c>
      <c r="G842" s="306">
        <v>7066.35</v>
      </c>
      <c r="H842" s="306">
        <v>7175.22</v>
      </c>
      <c r="I842" s="306">
        <v>7145.85</v>
      </c>
      <c r="J842" s="306">
        <v>7142.03</v>
      </c>
      <c r="K842" s="306">
        <v>7100.86</v>
      </c>
      <c r="L842" s="306">
        <v>6993.63</v>
      </c>
      <c r="M842" s="306">
        <v>7180.93</v>
      </c>
      <c r="N842" s="306">
        <v>7204.16</v>
      </c>
      <c r="O842" s="306">
        <v>7064.42</v>
      </c>
      <c r="P842" s="306">
        <v>7179.35</v>
      </c>
      <c r="Q842" s="409">
        <f>IF((L843=""),"",MAX(D844:P844))</f>
        <v>5577.6200000000008</v>
      </c>
      <c r="R842" s="409">
        <f>IF(L843="","",MIN(D844:L844))</f>
        <v>5452.0400000000009</v>
      </c>
      <c r="S842" s="400">
        <f>IF((P844=""),"",AVERAGE(D844:P844))</f>
        <v>5523.633846153848</v>
      </c>
      <c r="T842" s="412">
        <f>IF((L843=""),"",(Q842-R842)/(Q842+R842)*100)</f>
        <v>1.1385663746661268</v>
      </c>
      <c r="U842" s="409">
        <f>STDEV(D844:P844)</f>
        <v>38.155864018155029</v>
      </c>
      <c r="V842" s="413" t="str">
        <f>IF(P843="","",IF(T842&lt;2.7,IF(S842&gt;5150,IF(S842&lt;5600,"Pass","Fail"),"Fail"),"Fail"))</f>
        <v>Pass</v>
      </c>
      <c r="W842" s="409">
        <v>1340</v>
      </c>
      <c r="X842" s="402"/>
      <c r="Y842" s="268"/>
      <c r="Z842" s="321">
        <v>4470</v>
      </c>
      <c r="AA842" s="321">
        <v>6020</v>
      </c>
      <c r="AB842" s="321">
        <v>5150</v>
      </c>
      <c r="AC842" s="321">
        <v>5600</v>
      </c>
      <c r="AD842" s="305">
        <v>10</v>
      </c>
      <c r="AE842" s="322">
        <v>2.7</v>
      </c>
    </row>
    <row r="843" spans="1:31" ht="15">
      <c r="A843" s="390"/>
      <c r="B843" s="404"/>
      <c r="C843" s="404" t="s">
        <v>198</v>
      </c>
      <c r="D843" s="306">
        <v>4178.3900000000003</v>
      </c>
      <c r="E843" s="306">
        <v>4263.88</v>
      </c>
      <c r="F843" s="306">
        <v>4210.6499999999996</v>
      </c>
      <c r="G843" s="306">
        <v>4312.66</v>
      </c>
      <c r="H843" s="306">
        <v>4409.55</v>
      </c>
      <c r="I843" s="306">
        <v>4365.28</v>
      </c>
      <c r="J843" s="306">
        <v>4375.46</v>
      </c>
      <c r="K843" s="306">
        <v>4321.6099999999997</v>
      </c>
      <c r="L843" s="306">
        <v>4263.82</v>
      </c>
      <c r="M843" s="306">
        <v>4392.12</v>
      </c>
      <c r="N843" s="306">
        <v>4427.26</v>
      </c>
      <c r="O843" s="306">
        <v>4300.3</v>
      </c>
      <c r="P843" s="306">
        <v>4413.6499999999996</v>
      </c>
      <c r="Q843" s="404"/>
      <c r="R843" s="404"/>
      <c r="S843" s="404"/>
      <c r="T843" s="404"/>
      <c r="U843" s="404"/>
      <c r="V843" s="407"/>
      <c r="W843" s="404"/>
      <c r="X843" s="408"/>
      <c r="Y843" s="268"/>
      <c r="Z843" s="267"/>
      <c r="AA843" s="267"/>
      <c r="AB843" s="267"/>
      <c r="AC843" s="267"/>
      <c r="AD843" s="268"/>
      <c r="AE843" s="269"/>
    </row>
    <row r="844" spans="1:31" ht="57.75" thickBot="1">
      <c r="A844" s="393"/>
      <c r="B844" s="414"/>
      <c r="C844" s="414" t="s">
        <v>197</v>
      </c>
      <c r="D844" s="415">
        <f t="shared" ref="D844:P844" si="276">IF(((D842="")*AND(D843="")),"",(D842-D843)*2)</f>
        <v>5487.5599999999995</v>
      </c>
      <c r="E844" s="415">
        <f t="shared" si="276"/>
        <v>5525.4599999999991</v>
      </c>
      <c r="F844" s="415">
        <f t="shared" si="276"/>
        <v>5452.0400000000009</v>
      </c>
      <c r="G844" s="415">
        <f t="shared" si="276"/>
        <v>5507.380000000001</v>
      </c>
      <c r="H844" s="415">
        <f t="shared" si="276"/>
        <v>5531.34</v>
      </c>
      <c r="I844" s="415">
        <f t="shared" si="276"/>
        <v>5561.1400000000012</v>
      </c>
      <c r="J844" s="415">
        <f t="shared" si="276"/>
        <v>5533.1399999999994</v>
      </c>
      <c r="K844" s="415">
        <f t="shared" si="276"/>
        <v>5558.5</v>
      </c>
      <c r="L844" s="415">
        <f t="shared" si="276"/>
        <v>5459.6200000000008</v>
      </c>
      <c r="M844" s="415">
        <f t="shared" si="276"/>
        <v>5577.6200000000008</v>
      </c>
      <c r="N844" s="415">
        <f t="shared" si="276"/>
        <v>5553.7999999999993</v>
      </c>
      <c r="O844" s="415">
        <f t="shared" si="276"/>
        <v>5528.24</v>
      </c>
      <c r="P844" s="415">
        <f t="shared" si="276"/>
        <v>5531.4000000000015</v>
      </c>
      <c r="Q844" s="414"/>
      <c r="R844" s="414"/>
      <c r="S844" s="414"/>
      <c r="T844" s="414"/>
      <c r="U844" s="414"/>
      <c r="V844" s="416"/>
      <c r="W844" s="414"/>
      <c r="X844" s="417"/>
      <c r="Y844" s="268"/>
      <c r="Z844" s="267"/>
      <c r="AA844" s="267"/>
      <c r="AB844" s="267"/>
      <c r="AC844" s="267"/>
      <c r="AD844" s="268"/>
      <c r="AE844" s="269"/>
    </row>
    <row r="845" spans="1:31" ht="15">
      <c r="A845" s="344">
        <v>43654</v>
      </c>
      <c r="B845" s="395" t="s">
        <v>202</v>
      </c>
      <c r="C845" s="396" t="s">
        <v>199</v>
      </c>
      <c r="D845" s="418">
        <v>6122</v>
      </c>
      <c r="E845" s="418">
        <v>6312.6</v>
      </c>
      <c r="F845" s="418">
        <v>6303.95</v>
      </c>
      <c r="G845" s="418">
        <v>6305.28</v>
      </c>
      <c r="H845" s="418">
        <v>6242.96</v>
      </c>
      <c r="I845" s="418">
        <v>5912.17</v>
      </c>
      <c r="J845" s="418">
        <v>6310.76</v>
      </c>
      <c r="K845" s="418">
        <v>6306.11</v>
      </c>
      <c r="L845" s="418">
        <v>6152.24</v>
      </c>
      <c r="M845" s="398"/>
      <c r="N845" s="398"/>
      <c r="O845" s="398"/>
      <c r="P845" s="398"/>
      <c r="Q845" s="395">
        <f>IF((L846=""),"",MAX(D847:L847))</f>
        <v>8168.37</v>
      </c>
      <c r="R845" s="395">
        <f>IF(L846="","",MIN(D847:L847))</f>
        <v>6956.9699999999993</v>
      </c>
      <c r="S845" s="399">
        <f>IF((L847=""),"",AVERAGE(D847:L847))</f>
        <v>7378.3000000000011</v>
      </c>
      <c r="T845" s="400">
        <f>IF((L846=""),"",(Q845-R845)/(Q845+R845)*100)</f>
        <v>8.0090761596103004</v>
      </c>
      <c r="U845" s="395">
        <f>STDEV(D847:P847)</f>
        <v>344.22813656061072</v>
      </c>
      <c r="V845" s="401" t="str">
        <f>IF(L846="","",IF(T845&lt;9.8,IF(S845&gt;5100,IF(S845&lt;8300,"Pass","Fail"),"Fail"),"Fail"))</f>
        <v>Pass</v>
      </c>
      <c r="W845" s="395">
        <v>64</v>
      </c>
      <c r="X845" s="402" t="s">
        <v>353</v>
      </c>
      <c r="Y845" s="268"/>
      <c r="Z845" s="267">
        <v>4955</v>
      </c>
      <c r="AA845" s="267">
        <v>9645</v>
      </c>
      <c r="AB845" s="267">
        <v>5100</v>
      </c>
      <c r="AC845" s="267">
        <v>8300</v>
      </c>
      <c r="AD845" s="305">
        <v>10</v>
      </c>
      <c r="AE845" s="305">
        <v>9.8000000000000007</v>
      </c>
    </row>
    <row r="846" spans="1:31" ht="15">
      <c r="A846" s="390"/>
      <c r="B846" s="404"/>
      <c r="C846" s="405" t="s">
        <v>198</v>
      </c>
      <c r="D846" s="418">
        <v>3601.39</v>
      </c>
      <c r="E846" s="418">
        <v>3865.41</v>
      </c>
      <c r="F846" s="418">
        <v>3910.88</v>
      </c>
      <c r="G846" s="418">
        <v>3879.18</v>
      </c>
      <c r="H846" s="418">
        <v>3757.97</v>
      </c>
      <c r="I846" s="418">
        <v>3189.38</v>
      </c>
      <c r="J846" s="418">
        <v>3873.61</v>
      </c>
      <c r="K846" s="418">
        <v>3922.1</v>
      </c>
      <c r="L846" s="418">
        <v>3833.25</v>
      </c>
      <c r="M846" s="406"/>
      <c r="N846" s="406"/>
      <c r="O846" s="406"/>
      <c r="P846" s="406"/>
      <c r="Q846" s="404"/>
      <c r="R846" s="404"/>
      <c r="S846" s="404"/>
      <c r="T846" s="404"/>
      <c r="U846" s="404"/>
      <c r="V846" s="407"/>
      <c r="W846" s="404"/>
      <c r="X846" s="408"/>
      <c r="Y846" s="268"/>
      <c r="Z846" s="267"/>
      <c r="AA846" s="267"/>
      <c r="AB846" s="267"/>
      <c r="AC846" s="267"/>
      <c r="AD846" s="268"/>
      <c r="AE846" s="269"/>
    </row>
    <row r="847" spans="1:31" ht="57.75" thickBot="1">
      <c r="A847" s="390"/>
      <c r="B847" s="404"/>
      <c r="C847" s="409" t="s">
        <v>197</v>
      </c>
      <c r="D847" s="410">
        <f t="shared" ref="D847:L847" si="277">IF(((D845="")*AND(D846="")),"",(D845-D846)*3)</f>
        <v>7561.83</v>
      </c>
      <c r="E847" s="410">
        <f t="shared" si="277"/>
        <v>7341.5700000000015</v>
      </c>
      <c r="F847" s="410">
        <f t="shared" si="277"/>
        <v>7179.2099999999991</v>
      </c>
      <c r="G847" s="410">
        <f t="shared" si="277"/>
        <v>7278.2999999999993</v>
      </c>
      <c r="H847" s="410">
        <f t="shared" si="277"/>
        <v>7454.9700000000012</v>
      </c>
      <c r="I847" s="410">
        <f t="shared" si="277"/>
        <v>8168.37</v>
      </c>
      <c r="J847" s="410">
        <f t="shared" si="277"/>
        <v>7311.4500000000007</v>
      </c>
      <c r="K847" s="410">
        <f t="shared" si="277"/>
        <v>7152.0299999999988</v>
      </c>
      <c r="L847" s="410">
        <f t="shared" si="277"/>
        <v>6956.9699999999993</v>
      </c>
      <c r="M847" s="410"/>
      <c r="N847" s="410"/>
      <c r="O847" s="410"/>
      <c r="P847" s="410" t="str">
        <f>IF(((P845="")*AND(P846="")),"",(P845-P846)*2)</f>
        <v/>
      </c>
      <c r="Q847" s="404"/>
      <c r="R847" s="404"/>
      <c r="S847" s="404"/>
      <c r="T847" s="404"/>
      <c r="U847" s="404"/>
      <c r="V847" s="407"/>
      <c r="W847" s="404"/>
      <c r="X847" s="417"/>
      <c r="Y847" s="268"/>
      <c r="Z847" s="267"/>
      <c r="AA847" s="267"/>
      <c r="AB847" s="267"/>
      <c r="AC847" s="267"/>
      <c r="AD847" s="268"/>
      <c r="AE847" s="269"/>
    </row>
    <row r="848" spans="1:31" ht="15">
      <c r="A848" s="344">
        <v>43654</v>
      </c>
      <c r="B848" s="409" t="s">
        <v>200</v>
      </c>
      <c r="C848" s="409" t="s">
        <v>199</v>
      </c>
      <c r="D848" s="306">
        <v>6924.9</v>
      </c>
      <c r="E848" s="306">
        <v>7023.04</v>
      </c>
      <c r="F848" s="306">
        <v>6943.61</v>
      </c>
      <c r="G848" s="306">
        <v>7062.7</v>
      </c>
      <c r="H848" s="306">
        <v>7174.08</v>
      </c>
      <c r="I848" s="306">
        <v>7143.32</v>
      </c>
      <c r="J848" s="306">
        <v>7139.46</v>
      </c>
      <c r="K848" s="306">
        <v>7102.82</v>
      </c>
      <c r="L848" s="306">
        <v>7001.93</v>
      </c>
      <c r="M848" s="306">
        <v>7181.75</v>
      </c>
      <c r="N848" s="306">
        <v>7208.29</v>
      </c>
      <c r="O848" s="306">
        <v>7072.46</v>
      </c>
      <c r="P848" s="306">
        <v>7187.48</v>
      </c>
      <c r="Q848" s="409">
        <f>IF((L849=""),"",MAX(D850:P850))</f>
        <v>5571.4599999999991</v>
      </c>
      <c r="R848" s="409">
        <f>IF(L849="","",MIN(D850:L850))</f>
        <v>5439</v>
      </c>
      <c r="S848" s="400">
        <f>IF((P850=""),"",AVERAGE(D850:P850))</f>
        <v>5516.9507692307679</v>
      </c>
      <c r="T848" s="412">
        <f>IF((L849=""),"",(Q848-R848)/(Q848+R848)*100)</f>
        <v>1.2030378385644118</v>
      </c>
      <c r="U848" s="409">
        <f>STDEV(D850:P850)</f>
        <v>42.287261766398714</v>
      </c>
      <c r="V848" s="413" t="str">
        <f>IF(P849="","",IF(T848&lt;2.7,IF(S848&gt;5150,IF(S848&lt;5600,"Pass","Fail"),"Fail"),"Fail"))</f>
        <v>Pass</v>
      </c>
      <c r="W848" s="409">
        <v>64</v>
      </c>
      <c r="X848" s="402" t="s">
        <v>353</v>
      </c>
      <c r="Y848" s="268"/>
      <c r="Z848" s="321">
        <v>4470</v>
      </c>
      <c r="AA848" s="321">
        <v>6020</v>
      </c>
      <c r="AB848" s="321">
        <v>5150</v>
      </c>
      <c r="AC848" s="321">
        <v>5600</v>
      </c>
      <c r="AD848" s="305">
        <v>10</v>
      </c>
      <c r="AE848" s="322">
        <v>2.7</v>
      </c>
    </row>
    <row r="849" spans="1:31" ht="15">
      <c r="A849" s="390"/>
      <c r="B849" s="404"/>
      <c r="C849" s="404" t="s">
        <v>198</v>
      </c>
      <c r="D849" s="306">
        <v>4188.99</v>
      </c>
      <c r="E849" s="306">
        <v>4263.99</v>
      </c>
      <c r="F849" s="306">
        <v>4224.1099999999997</v>
      </c>
      <c r="G849" s="306">
        <v>4313.59</v>
      </c>
      <c r="H849" s="306">
        <v>4406.88</v>
      </c>
      <c r="I849" s="306">
        <v>4362.22</v>
      </c>
      <c r="J849" s="306">
        <v>4375.16</v>
      </c>
      <c r="K849" s="306">
        <v>4333.8599999999997</v>
      </c>
      <c r="L849" s="306">
        <v>4278.76</v>
      </c>
      <c r="M849" s="306">
        <v>4396.0200000000004</v>
      </c>
      <c r="N849" s="306">
        <v>4428.3100000000004</v>
      </c>
      <c r="O849" s="306">
        <v>4312.71</v>
      </c>
      <c r="P849" s="306">
        <v>4421.0600000000004</v>
      </c>
      <c r="Q849" s="404"/>
      <c r="R849" s="404"/>
      <c r="S849" s="404"/>
      <c r="T849" s="404"/>
      <c r="U849" s="404"/>
      <c r="V849" s="407"/>
      <c r="W849" s="404"/>
      <c r="X849" s="408"/>
      <c r="Y849" s="268"/>
      <c r="Z849" s="267"/>
      <c r="AA849" s="267"/>
      <c r="AB849" s="267"/>
      <c r="AC849" s="267"/>
      <c r="AD849" s="268"/>
      <c r="AE849" s="269"/>
    </row>
    <row r="850" spans="1:31" ht="57.75" thickBot="1">
      <c r="A850" s="393"/>
      <c r="B850" s="414"/>
      <c r="C850" s="414" t="s">
        <v>197</v>
      </c>
      <c r="D850" s="415">
        <f t="shared" ref="D850:P850" si="278">IF(((D848="")*AND(D849="")),"",(D848-D849)*2)</f>
        <v>5471.82</v>
      </c>
      <c r="E850" s="415">
        <f t="shared" si="278"/>
        <v>5518.1</v>
      </c>
      <c r="F850" s="415">
        <f t="shared" si="278"/>
        <v>5439</v>
      </c>
      <c r="G850" s="415">
        <f t="shared" si="278"/>
        <v>5498.2199999999993</v>
      </c>
      <c r="H850" s="415">
        <f t="shared" si="278"/>
        <v>5534.4</v>
      </c>
      <c r="I850" s="415">
        <f t="shared" si="278"/>
        <v>5562.1999999999989</v>
      </c>
      <c r="J850" s="415">
        <f t="shared" si="278"/>
        <v>5528.6</v>
      </c>
      <c r="K850" s="415">
        <f t="shared" si="278"/>
        <v>5537.92</v>
      </c>
      <c r="L850" s="415">
        <f t="shared" si="278"/>
        <v>5446.34</v>
      </c>
      <c r="M850" s="415">
        <f t="shared" si="278"/>
        <v>5571.4599999999991</v>
      </c>
      <c r="N850" s="415">
        <f t="shared" si="278"/>
        <v>5559.9599999999991</v>
      </c>
      <c r="O850" s="415">
        <f t="shared" si="278"/>
        <v>5519.5</v>
      </c>
      <c r="P850" s="415">
        <f t="shared" si="278"/>
        <v>5532.8399999999983</v>
      </c>
      <c r="Q850" s="414"/>
      <c r="R850" s="414"/>
      <c r="S850" s="414"/>
      <c r="T850" s="414"/>
      <c r="U850" s="414"/>
      <c r="V850" s="416"/>
      <c r="W850" s="414"/>
      <c r="X850" s="417"/>
      <c r="Y850" s="268"/>
      <c r="Z850" s="267"/>
      <c r="AA850" s="267"/>
      <c r="AB850" s="267"/>
      <c r="AC850" s="267"/>
      <c r="AD850" s="268"/>
      <c r="AE850" s="269"/>
    </row>
    <row r="851" spans="1:31" ht="15">
      <c r="A851" s="344">
        <v>43657</v>
      </c>
      <c r="B851" s="395" t="s">
        <v>202</v>
      </c>
      <c r="C851" s="396" t="s">
        <v>199</v>
      </c>
      <c r="D851" s="306">
        <v>6032.31</v>
      </c>
      <c r="E851" s="306">
        <v>6208.58</v>
      </c>
      <c r="F851" s="306">
        <v>6164.56</v>
      </c>
      <c r="G851" s="306">
        <v>6163.75</v>
      </c>
      <c r="H851" s="306">
        <v>6168.43</v>
      </c>
      <c r="I851" s="306">
        <v>5891.72</v>
      </c>
      <c r="J851" s="306">
        <v>6205.57</v>
      </c>
      <c r="K851" s="306">
        <v>6177.38</v>
      </c>
      <c r="L851" s="306">
        <v>6138.2</v>
      </c>
      <c r="M851" s="398"/>
      <c r="N851" s="398"/>
      <c r="O851" s="398"/>
      <c r="P851" s="398"/>
      <c r="Q851" s="395">
        <f>IF((L852=""),"",MAX(D853:L853))</f>
        <v>7672.4400000000014</v>
      </c>
      <c r="R851" s="395">
        <f>IF(L852="","",MIN(D853:L853))</f>
        <v>6657.1500000000005</v>
      </c>
      <c r="S851" s="399">
        <f>IF((L853=""),"",AVERAGE(D853:L853))</f>
        <v>7004.6733333333332</v>
      </c>
      <c r="T851" s="400">
        <f>IF((L852=""),"",(Q851-R851)/(Q851+R851)*100)</f>
        <v>7.08526901327952</v>
      </c>
      <c r="U851" s="395">
        <f>STDEV(D853:P853)</f>
        <v>340.70245977981688</v>
      </c>
      <c r="V851" s="401" t="str">
        <f>IF(L852="","",IF(T851&lt;9.8,IF(S851&gt;5100,IF(S851&lt;8300,"Pass","Fail"),"Fail"),"Fail"))</f>
        <v>Pass</v>
      </c>
      <c r="W851" s="395">
        <v>64</v>
      </c>
      <c r="X851" s="402" t="s">
        <v>354</v>
      </c>
      <c r="Y851" s="268"/>
      <c r="Z851" s="267">
        <v>4955</v>
      </c>
      <c r="AA851" s="267">
        <v>9645</v>
      </c>
      <c r="AB851" s="267">
        <v>5100</v>
      </c>
      <c r="AC851" s="267">
        <v>8300</v>
      </c>
      <c r="AD851" s="305">
        <v>10</v>
      </c>
      <c r="AE851" s="305">
        <v>9.8000000000000007</v>
      </c>
    </row>
    <row r="852" spans="1:31" ht="15">
      <c r="A852" s="390"/>
      <c r="B852" s="404"/>
      <c r="C852" s="405" t="s">
        <v>198</v>
      </c>
      <c r="D852" s="306">
        <v>3579.68</v>
      </c>
      <c r="E852" s="306">
        <v>3885.68</v>
      </c>
      <c r="F852" s="306">
        <v>3941.18</v>
      </c>
      <c r="G852" s="306">
        <v>3908.99</v>
      </c>
      <c r="H852" s="306">
        <v>3774.84</v>
      </c>
      <c r="I852" s="306">
        <v>3334.24</v>
      </c>
      <c r="J852" s="306">
        <v>3891.17</v>
      </c>
      <c r="K852" s="306">
        <v>3958.33</v>
      </c>
      <c r="L852" s="306">
        <v>3862.37</v>
      </c>
      <c r="M852" s="406"/>
      <c r="N852" s="406"/>
      <c r="O852" s="406"/>
      <c r="P852" s="406"/>
      <c r="Q852" s="404"/>
      <c r="R852" s="404"/>
      <c r="S852" s="404"/>
      <c r="T852" s="404"/>
      <c r="U852" s="404"/>
      <c r="V852" s="407"/>
      <c r="W852" s="404"/>
      <c r="X852" s="408"/>
      <c r="Y852" s="268"/>
      <c r="Z852" s="267"/>
      <c r="AA852" s="267"/>
      <c r="AB852" s="267"/>
      <c r="AC852" s="267"/>
      <c r="AD852" s="268"/>
      <c r="AE852" s="269"/>
    </row>
    <row r="853" spans="1:31" ht="57.75" thickBot="1">
      <c r="A853" s="390"/>
      <c r="B853" s="404"/>
      <c r="C853" s="409" t="s">
        <v>197</v>
      </c>
      <c r="D853" s="410">
        <f t="shared" ref="D853:L853" si="279">IF(((D851="")*AND(D852="")),"",(D851-D852)*3)</f>
        <v>7357.8900000000012</v>
      </c>
      <c r="E853" s="410">
        <f t="shared" si="279"/>
        <v>6968.7000000000007</v>
      </c>
      <c r="F853" s="410">
        <f t="shared" si="279"/>
        <v>6670.1400000000012</v>
      </c>
      <c r="G853" s="410">
        <f t="shared" si="279"/>
        <v>6764.2800000000007</v>
      </c>
      <c r="H853" s="410">
        <f t="shared" si="279"/>
        <v>7180.77</v>
      </c>
      <c r="I853" s="410">
        <f t="shared" si="279"/>
        <v>7672.4400000000014</v>
      </c>
      <c r="J853" s="410">
        <f t="shared" si="279"/>
        <v>6943.1999999999989</v>
      </c>
      <c r="K853" s="410">
        <f t="shared" si="279"/>
        <v>6657.1500000000005</v>
      </c>
      <c r="L853" s="410">
        <f t="shared" si="279"/>
        <v>6827.49</v>
      </c>
      <c r="M853" s="410"/>
      <c r="N853" s="410"/>
      <c r="O853" s="410"/>
      <c r="P853" s="410" t="str">
        <f>IF(((P851="")*AND(P852="")),"",(P851-P852)*2)</f>
        <v/>
      </c>
      <c r="Q853" s="404"/>
      <c r="R853" s="404"/>
      <c r="S853" s="404"/>
      <c r="T853" s="404"/>
      <c r="U853" s="404"/>
      <c r="V853" s="407"/>
      <c r="W853" s="404"/>
      <c r="X853" s="417"/>
      <c r="Y853" s="268"/>
      <c r="Z853" s="267"/>
      <c r="AA853" s="267"/>
      <c r="AB853" s="267"/>
      <c r="AC853" s="267"/>
      <c r="AD853" s="268"/>
      <c r="AE853" s="269"/>
    </row>
    <row r="854" spans="1:31" ht="15">
      <c r="A854" s="344">
        <v>43657</v>
      </c>
      <c r="B854" s="409" t="s">
        <v>200</v>
      </c>
      <c r="C854" s="409" t="s">
        <v>199</v>
      </c>
      <c r="D854" s="418">
        <v>6762.35</v>
      </c>
      <c r="E854" s="418">
        <v>6885.92</v>
      </c>
      <c r="F854" s="418">
        <v>6697.97</v>
      </c>
      <c r="G854" s="418">
        <v>6751.93</v>
      </c>
      <c r="H854" s="418">
        <v>6689.17</v>
      </c>
      <c r="I854" s="418">
        <v>6703.79</v>
      </c>
      <c r="J854" s="418">
        <v>6795.49</v>
      </c>
      <c r="K854" s="418">
        <v>6722.54</v>
      </c>
      <c r="L854" s="418">
        <v>6740.57</v>
      </c>
      <c r="M854" s="418">
        <v>6773.4</v>
      </c>
      <c r="N854" s="418">
        <v>6904.52</v>
      </c>
      <c r="O854" s="418">
        <v>6706.6</v>
      </c>
      <c r="P854" s="418">
        <v>6652.38</v>
      </c>
      <c r="Q854" s="409">
        <f>IF((L855=""),"",MAX(D856:P856))</f>
        <v>5490.619999999999</v>
      </c>
      <c r="R854" s="409">
        <f>IF(L855="","",MIN(D856:L856))</f>
        <v>5388.1399999999994</v>
      </c>
      <c r="S854" s="400">
        <f>IF((P856=""),"",AVERAGE(D856:P856))</f>
        <v>5452.5476923076922</v>
      </c>
      <c r="T854" s="412">
        <f>IF((L855=""),"",(Q854-R854)/(Q854+R854)*100)</f>
        <v>0.94201912717993208</v>
      </c>
      <c r="U854" s="409">
        <f>STDEV(D856:P856)</f>
        <v>32.992695695195593</v>
      </c>
      <c r="V854" s="413" t="str">
        <f>IF(P855="","",IF(T854&lt;2.7,IF(S854&gt;5150,IF(S854&lt;5600,"Pass","Fail"),"Fail"),"Fail"))</f>
        <v>Pass</v>
      </c>
      <c r="W854" s="409">
        <v>64</v>
      </c>
      <c r="X854" s="402" t="s">
        <v>354</v>
      </c>
      <c r="Y854" s="268"/>
      <c r="Z854" s="321">
        <v>4470</v>
      </c>
      <c r="AA854" s="321">
        <v>6020</v>
      </c>
      <c r="AB854" s="321">
        <v>5150</v>
      </c>
      <c r="AC854" s="321">
        <v>5600</v>
      </c>
      <c r="AD854" s="305">
        <v>10</v>
      </c>
      <c r="AE854" s="322">
        <v>2.7</v>
      </c>
    </row>
    <row r="855" spans="1:31" ht="15">
      <c r="A855" s="390"/>
      <c r="B855" s="404"/>
      <c r="C855" s="404" t="s">
        <v>198</v>
      </c>
      <c r="D855" s="418">
        <v>4042.93</v>
      </c>
      <c r="E855" s="418">
        <v>4149.75</v>
      </c>
      <c r="F855" s="418">
        <v>4002.41</v>
      </c>
      <c r="G855" s="418">
        <v>4034.12</v>
      </c>
      <c r="H855" s="418">
        <v>3951.18</v>
      </c>
      <c r="I855" s="418">
        <v>3962.47</v>
      </c>
      <c r="J855" s="418">
        <v>4070.02</v>
      </c>
      <c r="K855" s="418">
        <v>3987.76</v>
      </c>
      <c r="L855" s="418">
        <v>4046.5</v>
      </c>
      <c r="M855" s="418">
        <v>4028.09</v>
      </c>
      <c r="N855" s="418">
        <v>4162</v>
      </c>
      <c r="O855" s="418">
        <v>3982.55</v>
      </c>
      <c r="P855" s="418">
        <v>3925.29</v>
      </c>
      <c r="Q855" s="404"/>
      <c r="R855" s="404"/>
      <c r="S855" s="404"/>
      <c r="T855" s="404"/>
      <c r="U855" s="404"/>
      <c r="V855" s="407"/>
      <c r="W855" s="404"/>
      <c r="X855" s="408"/>
      <c r="Y855" s="268"/>
      <c r="Z855" s="267"/>
      <c r="AA855" s="267"/>
      <c r="AB855" s="267"/>
      <c r="AC855" s="267"/>
      <c r="AD855" s="268"/>
      <c r="AE855" s="269"/>
    </row>
    <row r="856" spans="1:31" ht="57.75" thickBot="1">
      <c r="A856" s="393"/>
      <c r="B856" s="414"/>
      <c r="C856" s="414" t="s">
        <v>197</v>
      </c>
      <c r="D856" s="415">
        <f t="shared" ref="D856:P856" si="280">IF(((D854="")*AND(D855="")),"",(D854-D855)*2)</f>
        <v>5438.8400000000011</v>
      </c>
      <c r="E856" s="415">
        <f t="shared" si="280"/>
        <v>5472.34</v>
      </c>
      <c r="F856" s="415">
        <f t="shared" si="280"/>
        <v>5391.1200000000008</v>
      </c>
      <c r="G856" s="415">
        <f t="shared" si="280"/>
        <v>5435.6200000000008</v>
      </c>
      <c r="H856" s="415">
        <f t="shared" si="280"/>
        <v>5475.9800000000005</v>
      </c>
      <c r="I856" s="415">
        <f t="shared" si="280"/>
        <v>5482.64</v>
      </c>
      <c r="J856" s="415">
        <f t="shared" si="280"/>
        <v>5450.94</v>
      </c>
      <c r="K856" s="415">
        <f t="shared" si="280"/>
        <v>5469.5599999999995</v>
      </c>
      <c r="L856" s="415">
        <f t="shared" si="280"/>
        <v>5388.1399999999994</v>
      </c>
      <c r="M856" s="415">
        <f t="shared" si="280"/>
        <v>5490.619999999999</v>
      </c>
      <c r="N856" s="415">
        <f t="shared" si="280"/>
        <v>5485.0400000000009</v>
      </c>
      <c r="O856" s="415">
        <f t="shared" si="280"/>
        <v>5448.1</v>
      </c>
      <c r="P856" s="415">
        <f t="shared" si="280"/>
        <v>5454.18</v>
      </c>
      <c r="Q856" s="414"/>
      <c r="R856" s="414"/>
      <c r="S856" s="414"/>
      <c r="T856" s="414"/>
      <c r="U856" s="414"/>
      <c r="V856" s="416"/>
      <c r="W856" s="414"/>
      <c r="X856" s="417"/>
      <c r="Y856" s="268"/>
      <c r="Z856" s="267"/>
      <c r="AA856" s="267"/>
      <c r="AB856" s="267"/>
      <c r="AC856" s="267"/>
      <c r="AD856" s="268"/>
      <c r="AE856" s="269"/>
    </row>
    <row r="857" spans="1:31" ht="15">
      <c r="A857" s="344">
        <v>43661</v>
      </c>
      <c r="B857" s="395" t="s">
        <v>202</v>
      </c>
      <c r="C857" s="396" t="s">
        <v>199</v>
      </c>
      <c r="D857" s="306">
        <v>6105.18</v>
      </c>
      <c r="E857" s="306">
        <v>6311.7</v>
      </c>
      <c r="F857" s="306">
        <v>6312.65</v>
      </c>
      <c r="G857" s="306">
        <v>6316.05</v>
      </c>
      <c r="H857" s="306">
        <v>6258.48</v>
      </c>
      <c r="I857" s="306">
        <v>5931.3</v>
      </c>
      <c r="J857" s="306">
        <v>6315.79</v>
      </c>
      <c r="K857" s="306">
        <v>6315.1</v>
      </c>
      <c r="L857" s="306">
        <v>6158.57</v>
      </c>
      <c r="M857" s="398"/>
      <c r="N857" s="398"/>
      <c r="O857" s="398"/>
      <c r="P857" s="398"/>
      <c r="Q857" s="395">
        <f>IF((L858=""),"",MAX(D859:L859))</f>
        <v>7610.9700000000012</v>
      </c>
      <c r="R857" s="395">
        <f>IF(L858="","",MIN(D859:L859))</f>
        <v>6800.5199999999986</v>
      </c>
      <c r="S857" s="399">
        <f>IF((L859=""),"",AVERAGE(D859:L859))</f>
        <v>7173.166666666667</v>
      </c>
      <c r="T857" s="400">
        <f>IF((L858=""),"",(Q857-R857)/(Q857+R857)*100)</f>
        <v>5.6236378056675784</v>
      </c>
      <c r="U857" s="395">
        <f>STDEV(D859:P859)</f>
        <v>227.4392014912969</v>
      </c>
      <c r="V857" s="401" t="str">
        <f>IF(L858="","",IF(T857&lt;9.8,IF(S857&gt;5100,IF(S857&lt;8300,"Pass","Fail"),"Fail"),"Fail"))</f>
        <v>Pass</v>
      </c>
      <c r="W857" s="395">
        <v>1159</v>
      </c>
      <c r="X857" s="402" t="s">
        <v>358</v>
      </c>
      <c r="Y857" s="268"/>
      <c r="Z857" s="267">
        <v>4955</v>
      </c>
      <c r="AA857" s="267">
        <v>9645</v>
      </c>
      <c r="AB857" s="267">
        <v>5100</v>
      </c>
      <c r="AC857" s="267">
        <v>8300</v>
      </c>
      <c r="AD857" s="305">
        <v>10</v>
      </c>
      <c r="AE857" s="305">
        <v>9.8000000000000007</v>
      </c>
    </row>
    <row r="858" spans="1:31" ht="15">
      <c r="A858" s="390"/>
      <c r="B858" s="404"/>
      <c r="C858" s="405" t="s">
        <v>198</v>
      </c>
      <c r="D858" s="306">
        <v>3686.1</v>
      </c>
      <c r="E858" s="306">
        <v>3915.95</v>
      </c>
      <c r="F858" s="306">
        <v>3967.55</v>
      </c>
      <c r="G858" s="306">
        <v>3936.38</v>
      </c>
      <c r="H858" s="306">
        <v>3816.55</v>
      </c>
      <c r="I858" s="306">
        <v>3394.31</v>
      </c>
      <c r="J858" s="306">
        <v>3913.6</v>
      </c>
      <c r="K858" s="306">
        <v>3983.15</v>
      </c>
      <c r="L858" s="306">
        <v>3891.73</v>
      </c>
      <c r="M858" s="406"/>
      <c r="N858" s="406"/>
      <c r="O858" s="406"/>
      <c r="P858" s="406"/>
      <c r="Q858" s="404"/>
      <c r="R858" s="404"/>
      <c r="S858" s="404"/>
      <c r="T858" s="404"/>
      <c r="U858" s="404"/>
      <c r="V858" s="407"/>
      <c r="W858" s="404"/>
      <c r="X858" s="408"/>
      <c r="Y858" s="268"/>
      <c r="Z858" s="267"/>
      <c r="AA858" s="267"/>
      <c r="AB858" s="267"/>
      <c r="AC858" s="267"/>
      <c r="AD858" s="268"/>
      <c r="AE858" s="269"/>
    </row>
    <row r="859" spans="1:31" ht="57.75" thickBot="1">
      <c r="A859" s="390"/>
      <c r="B859" s="404"/>
      <c r="C859" s="409" t="s">
        <v>197</v>
      </c>
      <c r="D859" s="410">
        <f t="shared" ref="D859:L859" si="281">IF(((D857="")*AND(D858="")),"",(D857-D858)*3)</f>
        <v>7257.2400000000016</v>
      </c>
      <c r="E859" s="410">
        <f t="shared" si="281"/>
        <v>7187.25</v>
      </c>
      <c r="F859" s="410">
        <f t="shared" si="281"/>
        <v>7035.2999999999984</v>
      </c>
      <c r="G859" s="410">
        <f t="shared" si="281"/>
        <v>7139.01</v>
      </c>
      <c r="H859" s="410">
        <f t="shared" si="281"/>
        <v>7325.7899999999981</v>
      </c>
      <c r="I859" s="410">
        <f t="shared" si="281"/>
        <v>7610.9700000000012</v>
      </c>
      <c r="J859" s="410">
        <f t="shared" si="281"/>
        <v>7206.57</v>
      </c>
      <c r="K859" s="410">
        <f t="shared" si="281"/>
        <v>6995.85</v>
      </c>
      <c r="L859" s="410">
        <f t="shared" si="281"/>
        <v>6800.5199999999986</v>
      </c>
      <c r="M859" s="410"/>
      <c r="N859" s="410"/>
      <c r="O859" s="410"/>
      <c r="P859" s="410" t="str">
        <f>IF(((P857="")*AND(P858="")),"",(P857-P858)*2)</f>
        <v/>
      </c>
      <c r="Q859" s="404"/>
      <c r="R859" s="404"/>
      <c r="S859" s="404"/>
      <c r="T859" s="404"/>
      <c r="U859" s="404"/>
      <c r="V859" s="407"/>
      <c r="W859" s="404"/>
      <c r="X859" s="417"/>
      <c r="Y859" s="268"/>
      <c r="Z859" s="267"/>
      <c r="AA859" s="267"/>
      <c r="AB859" s="267"/>
      <c r="AC859" s="267"/>
      <c r="AD859" s="268"/>
      <c r="AE859" s="269"/>
    </row>
    <row r="860" spans="1:31" ht="15">
      <c r="A860" s="344">
        <v>43661</v>
      </c>
      <c r="B860" s="409" t="s">
        <v>200</v>
      </c>
      <c r="C860" s="409" t="s">
        <v>199</v>
      </c>
      <c r="D860" s="306">
        <v>6931.05</v>
      </c>
      <c r="E860" s="306">
        <v>7037.65</v>
      </c>
      <c r="F860" s="306">
        <v>6942.74</v>
      </c>
      <c r="G860" s="306">
        <v>7066.49</v>
      </c>
      <c r="H860" s="306">
        <v>7186.42</v>
      </c>
      <c r="I860" s="306">
        <v>7152.41</v>
      </c>
      <c r="J860" s="306">
        <v>7141.59</v>
      </c>
      <c r="K860" s="306">
        <v>7102.84</v>
      </c>
      <c r="L860" s="306">
        <v>7001.89</v>
      </c>
      <c r="M860" s="306">
        <v>7182.13</v>
      </c>
      <c r="N860" s="306">
        <v>7209.72</v>
      </c>
      <c r="O860" s="306">
        <v>7067.84</v>
      </c>
      <c r="P860" s="306">
        <v>7178.4</v>
      </c>
      <c r="Q860" s="409">
        <f>IF((L861=""),"",MAX(D862:P862))</f>
        <v>5568.3600000000006</v>
      </c>
      <c r="R860" s="409">
        <f>IF(L861="","",MIN(D862:L862))</f>
        <v>5442.7199999999993</v>
      </c>
      <c r="S860" s="400">
        <f>IF((P862=""),"",AVERAGE(D862:P862))</f>
        <v>5516.4892307692307</v>
      </c>
      <c r="T860" s="412">
        <f>IF((L861=""),"",(Q860-R860)/(Q860+R860)*100)</f>
        <v>1.1410324872764637</v>
      </c>
      <c r="U860" s="409">
        <f>STDEV(D862:P862)</f>
        <v>38.934899182494163</v>
      </c>
      <c r="V860" s="413" t="str">
        <f>IF(P861="","",IF(T860&lt;2.7,IF(S860&gt;5150,IF(S860&lt;5600,"Pass","Fail"),"Fail"),"Fail"))</f>
        <v>Pass</v>
      </c>
      <c r="W860" s="409">
        <v>1159</v>
      </c>
      <c r="X860" s="402" t="s">
        <v>358</v>
      </c>
      <c r="Y860" s="268"/>
      <c r="Z860" s="321">
        <v>4470</v>
      </c>
      <c r="AA860" s="321">
        <v>6020</v>
      </c>
      <c r="AB860" s="321">
        <v>5150</v>
      </c>
      <c r="AC860" s="321">
        <v>5600</v>
      </c>
      <c r="AD860" s="305">
        <v>10</v>
      </c>
      <c r="AE860" s="322">
        <v>2.7</v>
      </c>
    </row>
    <row r="861" spans="1:31" ht="15">
      <c r="A861" s="390"/>
      <c r="B861" s="404"/>
      <c r="C861" s="404" t="s">
        <v>198</v>
      </c>
      <c r="D861" s="306">
        <v>4189.12</v>
      </c>
      <c r="E861" s="306">
        <v>4280.0600000000004</v>
      </c>
      <c r="F861" s="306">
        <v>4221.38</v>
      </c>
      <c r="G861" s="306">
        <v>4314.8</v>
      </c>
      <c r="H861" s="306">
        <v>4423.96</v>
      </c>
      <c r="I861" s="306">
        <v>4371.13</v>
      </c>
      <c r="J861" s="306">
        <v>4377.5</v>
      </c>
      <c r="K861" s="306">
        <v>4329.08</v>
      </c>
      <c r="L861" s="306">
        <v>4277</v>
      </c>
      <c r="M861" s="306">
        <v>4397.95</v>
      </c>
      <c r="N861" s="306">
        <v>4435.38</v>
      </c>
      <c r="O861" s="306">
        <v>4309.67</v>
      </c>
      <c r="P861" s="306">
        <v>4416.96</v>
      </c>
      <c r="Q861" s="404"/>
      <c r="R861" s="404"/>
      <c r="S861" s="404"/>
      <c r="T861" s="404"/>
      <c r="U861" s="404"/>
      <c r="V861" s="407"/>
      <c r="W861" s="404"/>
      <c r="X861" s="408"/>
      <c r="Y861" s="268"/>
      <c r="Z861" s="267"/>
      <c r="AA861" s="267"/>
      <c r="AB861" s="267"/>
      <c r="AC861" s="267"/>
      <c r="AD861" s="268"/>
      <c r="AE861" s="269"/>
    </row>
    <row r="862" spans="1:31" ht="57.75" thickBot="1">
      <c r="A862" s="393"/>
      <c r="B862" s="414"/>
      <c r="C862" s="414" t="s">
        <v>197</v>
      </c>
      <c r="D862" s="415">
        <f t="shared" ref="D862:P862" si="282">IF(((D860="")*AND(D861="")),"",(D860-D861)*2)</f>
        <v>5483.8600000000006</v>
      </c>
      <c r="E862" s="415">
        <f t="shared" si="282"/>
        <v>5515.1799999999985</v>
      </c>
      <c r="F862" s="415">
        <f t="shared" si="282"/>
        <v>5442.7199999999993</v>
      </c>
      <c r="G862" s="415">
        <f t="shared" si="282"/>
        <v>5503.3799999999992</v>
      </c>
      <c r="H862" s="415">
        <f t="shared" si="282"/>
        <v>5524.92</v>
      </c>
      <c r="I862" s="415">
        <f t="shared" si="282"/>
        <v>5562.5599999999995</v>
      </c>
      <c r="J862" s="415">
        <f t="shared" si="282"/>
        <v>5528.18</v>
      </c>
      <c r="K862" s="415">
        <f t="shared" si="282"/>
        <v>5547.52</v>
      </c>
      <c r="L862" s="415">
        <f t="shared" si="282"/>
        <v>5449.7800000000007</v>
      </c>
      <c r="M862" s="415">
        <f t="shared" si="282"/>
        <v>5568.3600000000006</v>
      </c>
      <c r="N862" s="415">
        <f t="shared" si="282"/>
        <v>5548.68</v>
      </c>
      <c r="O862" s="415">
        <f t="shared" si="282"/>
        <v>5516.34</v>
      </c>
      <c r="P862" s="415">
        <f t="shared" si="282"/>
        <v>5522.8799999999992</v>
      </c>
      <c r="Q862" s="414"/>
      <c r="R862" s="414"/>
      <c r="S862" s="414"/>
      <c r="T862" s="414"/>
      <c r="U862" s="414"/>
      <c r="V862" s="416"/>
      <c r="W862" s="414"/>
      <c r="X862" s="417"/>
      <c r="Y862" s="268"/>
      <c r="Z862" s="267"/>
      <c r="AA862" s="267"/>
      <c r="AB862" s="267"/>
      <c r="AC862" s="267"/>
      <c r="AD862" s="268"/>
      <c r="AE862" s="269"/>
    </row>
    <row r="863" spans="1:31" ht="15">
      <c r="A863" s="344">
        <v>43668</v>
      </c>
      <c r="B863" s="395" t="s">
        <v>202</v>
      </c>
      <c r="C863" s="396" t="s">
        <v>199</v>
      </c>
      <c r="D863" s="306">
        <v>6124.42</v>
      </c>
      <c r="E863" s="306">
        <v>6237.79</v>
      </c>
      <c r="F863" s="306">
        <v>6129.47</v>
      </c>
      <c r="G863" s="306">
        <v>6130.54</v>
      </c>
      <c r="H863" s="306">
        <v>6181.13</v>
      </c>
      <c r="I863" s="306">
        <v>5931.46</v>
      </c>
      <c r="J863" s="306">
        <v>6227.77</v>
      </c>
      <c r="K863" s="306">
        <v>6135.88</v>
      </c>
      <c r="L863" s="306">
        <v>6163.79</v>
      </c>
      <c r="M863" s="398"/>
      <c r="N863" s="398"/>
      <c r="O863" s="398"/>
      <c r="P863" s="398"/>
      <c r="Q863" s="395">
        <f>IF((L864=""),"",MAX(D865:L865))</f>
        <v>7412.25</v>
      </c>
      <c r="R863" s="395">
        <f>IF(L864="","",MIN(D865:L865))</f>
        <v>6451.68</v>
      </c>
      <c r="S863" s="399">
        <f>IF((L865=""),"",AVERAGE(D865:L865))</f>
        <v>6885.37</v>
      </c>
      <c r="T863" s="400">
        <f>IF((L864=""),"",(Q863-R863)/(Q863+R863)*100)</f>
        <v>6.9285548902800267</v>
      </c>
      <c r="U863" s="395">
        <f>STDEV(D865:P865)</f>
        <v>347.72920444651515</v>
      </c>
      <c r="V863" s="401" t="str">
        <f>IF(L864="","",IF(T863&lt;9.8,IF(S863&gt;5100,IF(S863&lt;8300,"Pass","Fail"),"Fail"),"Fail"))</f>
        <v>Pass</v>
      </c>
      <c r="W863" s="395">
        <v>1340</v>
      </c>
      <c r="X863" s="402"/>
      <c r="Y863" s="268"/>
      <c r="Z863" s="267">
        <v>4955</v>
      </c>
      <c r="AA863" s="267">
        <v>9645</v>
      </c>
      <c r="AB863" s="267">
        <v>5100</v>
      </c>
      <c r="AC863" s="267">
        <v>8300</v>
      </c>
      <c r="AD863" s="305">
        <v>10</v>
      </c>
      <c r="AE863" s="305">
        <v>9.8000000000000007</v>
      </c>
    </row>
    <row r="864" spans="1:31" ht="15">
      <c r="A864" s="390"/>
      <c r="B864" s="404"/>
      <c r="C864" s="405" t="s">
        <v>198</v>
      </c>
      <c r="D864" s="306">
        <v>3687.94</v>
      </c>
      <c r="E864" s="306">
        <v>3922.53</v>
      </c>
      <c r="F864" s="306">
        <v>3977.72</v>
      </c>
      <c r="G864" s="306">
        <v>3938.34</v>
      </c>
      <c r="H864" s="306">
        <v>3821.87</v>
      </c>
      <c r="I864" s="306">
        <v>3460.71</v>
      </c>
      <c r="J864" s="306">
        <v>3933.76</v>
      </c>
      <c r="K864" s="306">
        <v>3985.32</v>
      </c>
      <c r="L864" s="306">
        <v>3877.95</v>
      </c>
      <c r="M864" s="406"/>
      <c r="N864" s="406"/>
      <c r="O864" s="406"/>
      <c r="P864" s="406"/>
      <c r="Q864" s="404"/>
      <c r="R864" s="404"/>
      <c r="S864" s="404"/>
      <c r="T864" s="404"/>
      <c r="U864" s="404"/>
      <c r="V864" s="407"/>
      <c r="W864" s="404"/>
      <c r="X864" s="408"/>
      <c r="Y864" s="268"/>
      <c r="Z864" s="267"/>
      <c r="AA864" s="267"/>
      <c r="AB864" s="267"/>
      <c r="AC864" s="267"/>
      <c r="AD864" s="268"/>
      <c r="AE864" s="269"/>
    </row>
    <row r="865" spans="1:31" ht="57.75" thickBot="1">
      <c r="A865" s="390"/>
      <c r="B865" s="404"/>
      <c r="C865" s="409" t="s">
        <v>197</v>
      </c>
      <c r="D865" s="410">
        <f t="shared" ref="D865:L865" si="283">IF(((D863="")*AND(D864="")),"",(D863-D864)*3)</f>
        <v>7309.4400000000005</v>
      </c>
      <c r="E865" s="410">
        <f t="shared" si="283"/>
        <v>6945.7799999999988</v>
      </c>
      <c r="F865" s="410">
        <f t="shared" si="283"/>
        <v>6455.2500000000018</v>
      </c>
      <c r="G865" s="410">
        <f t="shared" si="283"/>
        <v>6576.5999999999995</v>
      </c>
      <c r="H865" s="410">
        <f t="shared" si="283"/>
        <v>7077.7800000000007</v>
      </c>
      <c r="I865" s="410">
        <f t="shared" si="283"/>
        <v>7412.25</v>
      </c>
      <c r="J865" s="410">
        <f t="shared" si="283"/>
        <v>6882.0300000000007</v>
      </c>
      <c r="K865" s="410">
        <f t="shared" si="283"/>
        <v>6451.68</v>
      </c>
      <c r="L865" s="410">
        <f t="shared" si="283"/>
        <v>6857.52</v>
      </c>
      <c r="M865" s="410"/>
      <c r="N865" s="410"/>
      <c r="O865" s="410"/>
      <c r="P865" s="410" t="str">
        <f>IF(((P863="")*AND(P864="")),"",(P863-P864)*2)</f>
        <v/>
      </c>
      <c r="Q865" s="404"/>
      <c r="R865" s="404"/>
      <c r="S865" s="404"/>
      <c r="T865" s="404"/>
      <c r="U865" s="404"/>
      <c r="V865" s="407"/>
      <c r="W865" s="404"/>
      <c r="X865" s="417"/>
      <c r="Y865" s="268"/>
      <c r="Z865" s="267"/>
      <c r="AA865" s="267"/>
      <c r="AB865" s="267"/>
      <c r="AC865" s="267"/>
      <c r="AD865" s="268"/>
      <c r="AE865" s="269"/>
    </row>
    <row r="866" spans="1:31" ht="15">
      <c r="A866" s="344">
        <v>43668</v>
      </c>
      <c r="B866" s="409" t="s">
        <v>200</v>
      </c>
      <c r="C866" s="409" t="s">
        <v>199</v>
      </c>
      <c r="D866" s="306">
        <v>6951.5</v>
      </c>
      <c r="E866" s="306">
        <v>7027.66</v>
      </c>
      <c r="F866" s="306">
        <v>6979.99</v>
      </c>
      <c r="G866" s="306">
        <v>7084.94</v>
      </c>
      <c r="H866" s="306">
        <v>7164.65</v>
      </c>
      <c r="I866" s="306">
        <v>7142.78</v>
      </c>
      <c r="J866" s="306">
        <v>7156.13</v>
      </c>
      <c r="K866" s="306">
        <v>7127.87</v>
      </c>
      <c r="L866" s="306">
        <v>7033.25</v>
      </c>
      <c r="M866" s="306">
        <v>7191.58</v>
      </c>
      <c r="N866" s="306">
        <v>7201.47</v>
      </c>
      <c r="O866" s="306">
        <v>7090.15</v>
      </c>
      <c r="P866" s="306">
        <v>7186.98</v>
      </c>
      <c r="Q866" s="409">
        <f>IF((L867=""),"",MAX(D868:P868))</f>
        <v>5557.76</v>
      </c>
      <c r="R866" s="409">
        <f>IF(L867="","",MIN(D868:L868))</f>
        <v>5434.119999999999</v>
      </c>
      <c r="S866" s="400">
        <f>IF((P868=""),"",AVERAGE(D868:P868))</f>
        <v>5506.367692307691</v>
      </c>
      <c r="T866" s="412">
        <f>IF((L867=""),"",(Q866-R866)/(Q866+R866)*100)</f>
        <v>1.1248303292976385</v>
      </c>
      <c r="U866" s="409">
        <f>STDEV(D868:P868)</f>
        <v>36.723322778809958</v>
      </c>
      <c r="V866" s="413" t="str">
        <f>IF(P867="","",IF(T866&lt;2.7,IF(S866&gt;5150,IF(S866&lt;5600,"Pass","Fail"),"Fail"),"Fail"))</f>
        <v>Pass</v>
      </c>
      <c r="W866" s="409">
        <v>1340</v>
      </c>
      <c r="X866" s="402"/>
      <c r="Y866" s="268"/>
      <c r="Z866" s="321">
        <v>4470</v>
      </c>
      <c r="AA866" s="321">
        <v>6020</v>
      </c>
      <c r="AB866" s="321">
        <v>5150</v>
      </c>
      <c r="AC866" s="321">
        <v>5600</v>
      </c>
      <c r="AD866" s="305">
        <v>10</v>
      </c>
      <c r="AE866" s="322">
        <v>2.7</v>
      </c>
    </row>
    <row r="867" spans="1:31" ht="15">
      <c r="A867" s="390"/>
      <c r="B867" s="404"/>
      <c r="C867" s="404" t="s">
        <v>198</v>
      </c>
      <c r="D867" s="306">
        <v>4217.82</v>
      </c>
      <c r="E867" s="306">
        <v>4276.74</v>
      </c>
      <c r="F867" s="306">
        <v>4262.93</v>
      </c>
      <c r="G867" s="306">
        <v>4338.24</v>
      </c>
      <c r="H867" s="306">
        <v>4410.03</v>
      </c>
      <c r="I867" s="306">
        <v>4372.24</v>
      </c>
      <c r="J867" s="306">
        <v>4397.05</v>
      </c>
      <c r="K867" s="306">
        <v>4357.8</v>
      </c>
      <c r="L867" s="306">
        <v>4307.76</v>
      </c>
      <c r="M867" s="306">
        <v>4412.7</v>
      </c>
      <c r="N867" s="306">
        <v>4434.7700000000004</v>
      </c>
      <c r="O867" s="306">
        <v>4334.2</v>
      </c>
      <c r="P867" s="306">
        <v>4425.28</v>
      </c>
      <c r="Q867" s="404"/>
      <c r="R867" s="404"/>
      <c r="S867" s="404"/>
      <c r="T867" s="404"/>
      <c r="U867" s="404"/>
      <c r="V867" s="407"/>
      <c r="W867" s="404"/>
      <c r="X867" s="408"/>
      <c r="Y867" s="268"/>
      <c r="Z867" s="267"/>
      <c r="AA867" s="267"/>
      <c r="AB867" s="267"/>
      <c r="AC867" s="267"/>
      <c r="AD867" s="268"/>
      <c r="AE867" s="269"/>
    </row>
    <row r="868" spans="1:31" ht="57.75" thickBot="1">
      <c r="A868" s="393"/>
      <c r="B868" s="414"/>
      <c r="C868" s="414" t="s">
        <v>197</v>
      </c>
      <c r="D868" s="415">
        <f t="shared" ref="D868:P868" si="284">IF(((D866="")*AND(D867="")),"",(D866-D867)*2)</f>
        <v>5467.3600000000006</v>
      </c>
      <c r="E868" s="415">
        <f t="shared" si="284"/>
        <v>5501.84</v>
      </c>
      <c r="F868" s="415">
        <f t="shared" si="284"/>
        <v>5434.119999999999</v>
      </c>
      <c r="G868" s="415">
        <f t="shared" si="284"/>
        <v>5493.4</v>
      </c>
      <c r="H868" s="415">
        <f t="shared" si="284"/>
        <v>5509.24</v>
      </c>
      <c r="I868" s="415">
        <f t="shared" si="284"/>
        <v>5541.08</v>
      </c>
      <c r="J868" s="415">
        <f t="shared" si="284"/>
        <v>5518.16</v>
      </c>
      <c r="K868" s="415">
        <f t="shared" si="284"/>
        <v>5540.1399999999994</v>
      </c>
      <c r="L868" s="415">
        <f t="shared" si="284"/>
        <v>5450.98</v>
      </c>
      <c r="M868" s="415">
        <f t="shared" si="284"/>
        <v>5557.76</v>
      </c>
      <c r="N868" s="415">
        <f t="shared" si="284"/>
        <v>5533.4</v>
      </c>
      <c r="O868" s="415">
        <f t="shared" si="284"/>
        <v>5511.9</v>
      </c>
      <c r="P868" s="415">
        <f t="shared" si="284"/>
        <v>5523.4</v>
      </c>
      <c r="Q868" s="414"/>
      <c r="R868" s="414"/>
      <c r="S868" s="414"/>
      <c r="T868" s="414"/>
      <c r="U868" s="414"/>
      <c r="V868" s="416"/>
      <c r="W868" s="414"/>
      <c r="X868" s="417"/>
      <c r="Y868" s="268"/>
      <c r="Z868" s="267"/>
      <c r="AA868" s="267"/>
      <c r="AB868" s="267"/>
      <c r="AC868" s="267"/>
      <c r="AD868" s="268"/>
      <c r="AE868" s="269"/>
    </row>
    <row r="869" spans="1:31" ht="15">
      <c r="A869" s="344">
        <v>43672</v>
      </c>
      <c r="B869" s="395" t="s">
        <v>202</v>
      </c>
      <c r="C869" s="396" t="s">
        <v>199</v>
      </c>
      <c r="D869" s="306">
        <v>3687.94</v>
      </c>
      <c r="E869" s="306">
        <v>3922.53</v>
      </c>
      <c r="F869" s="306">
        <v>3977.72</v>
      </c>
      <c r="G869" s="306">
        <v>3938.34</v>
      </c>
      <c r="H869" s="306">
        <v>3821.87</v>
      </c>
      <c r="I869" s="306">
        <v>3460.71</v>
      </c>
      <c r="J869" s="306">
        <v>3933.76</v>
      </c>
      <c r="K869" s="306">
        <v>3985.32</v>
      </c>
      <c r="L869" s="306">
        <v>3877.95</v>
      </c>
      <c r="M869" s="398"/>
      <c r="N869" s="398"/>
      <c r="O869" s="398"/>
      <c r="P869" s="398"/>
      <c r="Q869" s="395">
        <f>IF((L870=""),"",MAX(D871:L871))</f>
        <v>7100.82</v>
      </c>
      <c r="R869" s="395">
        <f>IF(L870="","",MIN(D871:L871))</f>
        <v>6246.9299999999985</v>
      </c>
      <c r="S869" s="399">
        <f>IF((L871=""),"",AVERAGE(D871:L871))</f>
        <v>6575.6733333333341</v>
      </c>
      <c r="T869" s="400">
        <f>IF((L870=""),"",(Q869-R869)/(Q869+R869)*100)</f>
        <v>6.3972579648255419</v>
      </c>
      <c r="U869" s="395">
        <f>STDEV(D871:P871)</f>
        <v>294.94281420302497</v>
      </c>
      <c r="V869" s="401" t="str">
        <f>IF(L870="","",IF(T869&lt;9.8,IF(S869&gt;5100,IF(S869&lt;8300,"Pass","Fail"),"Fail"),"Fail"))</f>
        <v>Pass</v>
      </c>
      <c r="W869" s="395">
        <v>1340</v>
      </c>
      <c r="X869" s="402"/>
      <c r="Y869" s="268"/>
      <c r="Z869" s="267">
        <v>4955</v>
      </c>
      <c r="AA869" s="267">
        <v>9645</v>
      </c>
      <c r="AB869" s="267">
        <v>5100</v>
      </c>
      <c r="AC869" s="267">
        <v>8300</v>
      </c>
      <c r="AD869" s="305">
        <v>10</v>
      </c>
      <c r="AE869" s="305">
        <v>9.8000000000000007</v>
      </c>
    </row>
    <row r="870" spans="1:31" ht="15">
      <c r="A870" s="390"/>
      <c r="B870" s="404"/>
      <c r="C870" s="405" t="s">
        <v>198</v>
      </c>
      <c r="D870" s="306">
        <v>1419.77</v>
      </c>
      <c r="E870" s="306">
        <v>1735.77</v>
      </c>
      <c r="F870" s="306">
        <v>1895.41</v>
      </c>
      <c r="G870" s="306">
        <v>1769.2</v>
      </c>
      <c r="H870" s="306">
        <v>1524.66</v>
      </c>
      <c r="I870" s="306">
        <v>1093.77</v>
      </c>
      <c r="J870" s="306">
        <v>1786.78</v>
      </c>
      <c r="K870" s="306">
        <v>1883.61</v>
      </c>
      <c r="L870" s="306">
        <v>1770.15</v>
      </c>
      <c r="M870" s="406"/>
      <c r="N870" s="406"/>
      <c r="O870" s="406"/>
      <c r="P870" s="406"/>
      <c r="Q870" s="404"/>
      <c r="R870" s="404"/>
      <c r="S870" s="404"/>
      <c r="T870" s="404"/>
      <c r="U870" s="404"/>
      <c r="V870" s="407"/>
      <c r="W870" s="404"/>
      <c r="X870" s="408"/>
      <c r="Y870" s="268"/>
      <c r="Z870" s="267"/>
      <c r="AA870" s="267"/>
      <c r="AB870" s="267"/>
      <c r="AC870" s="267"/>
      <c r="AD870" s="268"/>
      <c r="AE870" s="269"/>
    </row>
    <row r="871" spans="1:31" ht="57.75" thickBot="1">
      <c r="A871" s="390"/>
      <c r="B871" s="404"/>
      <c r="C871" s="409" t="s">
        <v>197</v>
      </c>
      <c r="D871" s="410">
        <f t="shared" ref="D871:L871" si="285">IF(((D869="")*AND(D870="")),"",(D869-D870)*3)</f>
        <v>6804.51</v>
      </c>
      <c r="E871" s="410">
        <f t="shared" si="285"/>
        <v>6560.2800000000007</v>
      </c>
      <c r="F871" s="410">
        <f t="shared" si="285"/>
        <v>6246.9299999999985</v>
      </c>
      <c r="G871" s="410">
        <f t="shared" si="285"/>
        <v>6507.420000000001</v>
      </c>
      <c r="H871" s="410">
        <f t="shared" si="285"/>
        <v>6891.63</v>
      </c>
      <c r="I871" s="410">
        <f t="shared" si="285"/>
        <v>7100.82</v>
      </c>
      <c r="J871" s="410">
        <f t="shared" si="285"/>
        <v>6440.9400000000014</v>
      </c>
      <c r="K871" s="410">
        <f t="shared" si="285"/>
        <v>6305.13</v>
      </c>
      <c r="L871" s="410">
        <f t="shared" si="285"/>
        <v>6323.4</v>
      </c>
      <c r="M871" s="410"/>
      <c r="N871" s="410"/>
      <c r="O871" s="410"/>
      <c r="P871" s="410" t="str">
        <f>IF(((P869="")*AND(P870="")),"",(P869-P870)*2)</f>
        <v/>
      </c>
      <c r="Q871" s="404"/>
      <c r="R871" s="404"/>
      <c r="S871" s="404"/>
      <c r="T871" s="404"/>
      <c r="U871" s="404"/>
      <c r="V871" s="407"/>
      <c r="W871" s="404"/>
      <c r="X871" s="417"/>
      <c r="Y871" s="268"/>
      <c r="Z871" s="267"/>
      <c r="AA871" s="267"/>
      <c r="AB871" s="267"/>
      <c r="AC871" s="267"/>
      <c r="AD871" s="268"/>
      <c r="AE871" s="269"/>
    </row>
    <row r="872" spans="1:31" ht="15">
      <c r="A872" s="344">
        <v>43672</v>
      </c>
      <c r="B872" s="409" t="s">
        <v>200</v>
      </c>
      <c r="C872" s="409" t="s">
        <v>199</v>
      </c>
      <c r="D872" s="306">
        <v>4217.82</v>
      </c>
      <c r="E872" s="306">
        <v>4276.74</v>
      </c>
      <c r="F872" s="306">
        <v>4262.93</v>
      </c>
      <c r="G872" s="306">
        <v>4338.24</v>
      </c>
      <c r="H872" s="306">
        <v>4410.03</v>
      </c>
      <c r="I872" s="306">
        <v>4372.24</v>
      </c>
      <c r="J872" s="306">
        <v>4397.05</v>
      </c>
      <c r="K872" s="306">
        <v>4357.8</v>
      </c>
      <c r="L872" s="306">
        <v>4307.76</v>
      </c>
      <c r="M872" s="306">
        <v>4412.7</v>
      </c>
      <c r="N872" s="306">
        <v>4434.7700000000004</v>
      </c>
      <c r="O872" s="306">
        <v>4334.2</v>
      </c>
      <c r="P872" s="306">
        <v>4425.28</v>
      </c>
      <c r="Q872" s="409">
        <f>IF((L873=""),"",MAX(D874:P874))</f>
        <v>5625.34</v>
      </c>
      <c r="R872" s="409">
        <f>IF(L873="","",MIN(D874:L874))</f>
        <v>5496.3200000000006</v>
      </c>
      <c r="S872" s="400">
        <f>IF((P874=""),"",AVERAGE(D874:P874))</f>
        <v>5572.3707692307707</v>
      </c>
      <c r="T872" s="412">
        <f>IF((L873=""),"",(Q872-R872)/(Q872+R872)*100)</f>
        <v>1.1600786213568794</v>
      </c>
      <c r="U872" s="409">
        <f>STDEV(D874:P874)</f>
        <v>41.60056298901376</v>
      </c>
      <c r="V872" s="413" t="str">
        <f>IF(P873="","",IF(T872&lt;2.7,IF(S872&gt;5150,IF(S872&lt;5600,"Pass","Fail"),"Fail"),"Fail"))</f>
        <v>Pass</v>
      </c>
      <c r="W872" s="409">
        <v>1340</v>
      </c>
      <c r="X872" s="402"/>
      <c r="Y872" s="268"/>
      <c r="Z872" s="321">
        <v>4470</v>
      </c>
      <c r="AA872" s="321">
        <v>6020</v>
      </c>
      <c r="AB872" s="321">
        <v>5150</v>
      </c>
      <c r="AC872" s="321">
        <v>5600</v>
      </c>
      <c r="AD872" s="305">
        <v>10</v>
      </c>
      <c r="AE872" s="322">
        <v>2.7</v>
      </c>
    </row>
    <row r="873" spans="1:31" ht="15">
      <c r="A873" s="390"/>
      <c r="B873" s="404"/>
      <c r="C873" s="404" t="s">
        <v>198</v>
      </c>
      <c r="D873" s="306">
        <v>1455.96</v>
      </c>
      <c r="E873" s="306">
        <v>1492.12</v>
      </c>
      <c r="F873" s="306">
        <v>1514.77</v>
      </c>
      <c r="G873" s="306">
        <v>1559.88</v>
      </c>
      <c r="H873" s="306">
        <v>1624.22</v>
      </c>
      <c r="I873" s="306">
        <v>1559.57</v>
      </c>
      <c r="J873" s="306">
        <v>1603.7</v>
      </c>
      <c r="K873" s="306">
        <v>1549.04</v>
      </c>
      <c r="L873" s="306">
        <v>1552.52</v>
      </c>
      <c r="M873" s="306">
        <v>1602.53</v>
      </c>
      <c r="N873" s="306">
        <v>1632.87</v>
      </c>
      <c r="O873" s="306">
        <v>1547.81</v>
      </c>
      <c r="P873" s="306">
        <v>1632.16</v>
      </c>
      <c r="Q873" s="404"/>
      <c r="R873" s="404"/>
      <c r="S873" s="404"/>
      <c r="T873" s="404"/>
      <c r="U873" s="404"/>
      <c r="V873" s="407"/>
      <c r="W873" s="404"/>
      <c r="X873" s="408"/>
      <c r="Y873" s="268"/>
      <c r="Z873" s="267"/>
      <c r="AA873" s="267"/>
      <c r="AB873" s="267"/>
      <c r="AC873" s="267"/>
      <c r="AD873" s="268"/>
      <c r="AE873" s="269"/>
    </row>
    <row r="874" spans="1:31" ht="57.75" thickBot="1">
      <c r="A874" s="393"/>
      <c r="B874" s="414"/>
      <c r="C874" s="414" t="s">
        <v>197</v>
      </c>
      <c r="D874" s="415">
        <f t="shared" ref="D874:P874" si="286">IF(((D872="")*AND(D873="")),"",(D872-D873)*2)</f>
        <v>5523.7199999999993</v>
      </c>
      <c r="E874" s="415">
        <f t="shared" si="286"/>
        <v>5569.24</v>
      </c>
      <c r="F874" s="415">
        <f t="shared" si="286"/>
        <v>5496.3200000000006</v>
      </c>
      <c r="G874" s="415">
        <f t="shared" si="286"/>
        <v>5556.7199999999993</v>
      </c>
      <c r="H874" s="415">
        <f t="shared" si="286"/>
        <v>5571.619999999999</v>
      </c>
      <c r="I874" s="415">
        <f t="shared" si="286"/>
        <v>5625.34</v>
      </c>
      <c r="J874" s="415">
        <f t="shared" si="286"/>
        <v>5586.7000000000007</v>
      </c>
      <c r="K874" s="415">
        <f t="shared" si="286"/>
        <v>5617.52</v>
      </c>
      <c r="L874" s="415">
        <f t="shared" si="286"/>
        <v>5510.4800000000005</v>
      </c>
      <c r="M874" s="415">
        <f t="shared" si="286"/>
        <v>5620.34</v>
      </c>
      <c r="N874" s="415">
        <f t="shared" si="286"/>
        <v>5603.8000000000011</v>
      </c>
      <c r="O874" s="415">
        <f t="shared" si="286"/>
        <v>5572.78</v>
      </c>
      <c r="P874" s="415">
        <f t="shared" si="286"/>
        <v>5586.24</v>
      </c>
      <c r="Q874" s="414"/>
      <c r="R874" s="414"/>
      <c r="S874" s="414"/>
      <c r="T874" s="414"/>
      <c r="U874" s="414"/>
      <c r="V874" s="416"/>
      <c r="W874" s="414"/>
      <c r="X874" s="417"/>
      <c r="Y874" s="268"/>
      <c r="Z874" s="267"/>
      <c r="AA874" s="267"/>
      <c r="AB874" s="267"/>
      <c r="AC874" s="267"/>
      <c r="AD874" s="268"/>
      <c r="AE874" s="269"/>
    </row>
    <row r="875" spans="1:31" ht="15">
      <c r="A875" s="344">
        <v>43676</v>
      </c>
      <c r="B875" s="395" t="s">
        <v>202</v>
      </c>
      <c r="C875" s="396" t="s">
        <v>199</v>
      </c>
      <c r="D875" s="306">
        <v>6137.12</v>
      </c>
      <c r="E875" s="306">
        <v>6224.99</v>
      </c>
      <c r="F875" s="306">
        <v>6178.01</v>
      </c>
      <c r="G875" s="306">
        <v>6170.4</v>
      </c>
      <c r="H875" s="306">
        <v>6190.09</v>
      </c>
      <c r="I875" s="306">
        <v>5918.16</v>
      </c>
      <c r="J875" s="306">
        <v>6213.04</v>
      </c>
      <c r="K875" s="306">
        <v>6177.81</v>
      </c>
      <c r="L875" s="306">
        <v>6148.73</v>
      </c>
      <c r="M875" s="398"/>
      <c r="N875" s="398"/>
      <c r="O875" s="398"/>
      <c r="P875" s="398"/>
      <c r="Q875" s="395">
        <f>IF((L876=""),"",MAX(D877:L877))</f>
        <v>7344.42</v>
      </c>
      <c r="R875" s="395">
        <f>IF(L876="","",MIN(D877:L877))</f>
        <v>6627.1500000000005</v>
      </c>
      <c r="S875" s="399">
        <f>IF((L877=""),"",AVERAGE(D877:L877))</f>
        <v>6929.4</v>
      </c>
      <c r="T875" s="400">
        <f>IF((L876=""),"",(Q875-R875)/(Q875+R875)*100)</f>
        <v>5.1337823880923876</v>
      </c>
      <c r="U875" s="395">
        <f>STDEV(D877:P877)</f>
        <v>257.48356903885997</v>
      </c>
      <c r="V875" s="401" t="str">
        <f>IF(L876="","",IF(T875&lt;9.8,IF(S875&gt;5100,IF(S875&lt;8300,"Pass","Fail"),"Fail"),"Fail"))</f>
        <v>Pass</v>
      </c>
      <c r="W875" s="395">
        <v>1159</v>
      </c>
      <c r="X875" s="402" t="s">
        <v>365</v>
      </c>
      <c r="Y875" s="268"/>
      <c r="Z875" s="267">
        <v>4955</v>
      </c>
      <c r="AA875" s="267">
        <v>9645</v>
      </c>
      <c r="AB875" s="267">
        <v>5100</v>
      </c>
      <c r="AC875" s="267">
        <v>8300</v>
      </c>
      <c r="AD875" s="305">
        <v>10</v>
      </c>
      <c r="AE875" s="305">
        <v>9.8000000000000007</v>
      </c>
    </row>
    <row r="876" spans="1:31" ht="15">
      <c r="A876" s="390"/>
      <c r="B876" s="404"/>
      <c r="C876" s="405" t="s">
        <v>198</v>
      </c>
      <c r="D876" s="306">
        <v>3716.5</v>
      </c>
      <c r="E876" s="306">
        <v>3913.74</v>
      </c>
      <c r="F876" s="306">
        <v>3963.4</v>
      </c>
      <c r="G876" s="306">
        <v>3931.73</v>
      </c>
      <c r="H876" s="306">
        <v>3829.36</v>
      </c>
      <c r="I876" s="306">
        <v>3470.02</v>
      </c>
      <c r="J876" s="306">
        <v>3915.42</v>
      </c>
      <c r="K876" s="306">
        <v>3968.76</v>
      </c>
      <c r="L876" s="306">
        <v>3861.22</v>
      </c>
      <c r="M876" s="406"/>
      <c r="N876" s="406"/>
      <c r="O876" s="406"/>
      <c r="P876" s="406"/>
      <c r="Q876" s="404"/>
      <c r="R876" s="404"/>
      <c r="S876" s="404"/>
      <c r="T876" s="404"/>
      <c r="U876" s="404"/>
      <c r="V876" s="407"/>
      <c r="W876" s="404"/>
      <c r="X876" s="408"/>
      <c r="Y876" s="268"/>
      <c r="Z876" s="267"/>
      <c r="AA876" s="267"/>
      <c r="AB876" s="267"/>
      <c r="AC876" s="267"/>
      <c r="AD876" s="268"/>
      <c r="AE876" s="269"/>
    </row>
    <row r="877" spans="1:31" ht="57.75" thickBot="1">
      <c r="A877" s="390"/>
      <c r="B877" s="404"/>
      <c r="C877" s="409" t="s">
        <v>197</v>
      </c>
      <c r="D877" s="410">
        <f t="shared" ref="D877:L877" si="287">IF(((D875="")*AND(D876="")),"",(D875-D876)*3)</f>
        <v>7261.86</v>
      </c>
      <c r="E877" s="410">
        <f t="shared" si="287"/>
        <v>6933.75</v>
      </c>
      <c r="F877" s="410">
        <f t="shared" si="287"/>
        <v>6643.83</v>
      </c>
      <c r="G877" s="410">
        <f t="shared" si="287"/>
        <v>6716.0099999999984</v>
      </c>
      <c r="H877" s="410">
        <f t="shared" si="287"/>
        <v>7082.1900000000005</v>
      </c>
      <c r="I877" s="410">
        <f t="shared" si="287"/>
        <v>7344.42</v>
      </c>
      <c r="J877" s="410">
        <f t="shared" si="287"/>
        <v>6892.86</v>
      </c>
      <c r="K877" s="410">
        <f t="shared" si="287"/>
        <v>6627.1500000000005</v>
      </c>
      <c r="L877" s="410">
        <f t="shared" si="287"/>
        <v>6862.5299999999988</v>
      </c>
      <c r="M877" s="410"/>
      <c r="N877" s="410"/>
      <c r="O877" s="410"/>
      <c r="P877" s="410" t="str">
        <f>IF(((P875="")*AND(P876="")),"",(P875-P876)*2)</f>
        <v/>
      </c>
      <c r="Q877" s="404"/>
      <c r="R877" s="404"/>
      <c r="S877" s="404"/>
      <c r="T877" s="404"/>
      <c r="U877" s="404"/>
      <c r="V877" s="407"/>
      <c r="W877" s="404"/>
      <c r="X877" s="417"/>
      <c r="Y877" s="268"/>
      <c r="Z877" s="267"/>
      <c r="AA877" s="267"/>
      <c r="AB877" s="267"/>
      <c r="AC877" s="267"/>
      <c r="AD877" s="268"/>
      <c r="AE877" s="269"/>
    </row>
    <row r="878" spans="1:31" ht="15">
      <c r="A878" s="344">
        <v>43676</v>
      </c>
      <c r="B878" s="409" t="s">
        <v>200</v>
      </c>
      <c r="C878" s="409" t="s">
        <v>199</v>
      </c>
      <c r="D878" s="306">
        <v>6935</v>
      </c>
      <c r="E878" s="306">
        <v>7034.34</v>
      </c>
      <c r="F878" s="306">
        <v>6958.03</v>
      </c>
      <c r="G878" s="306">
        <v>7078.17</v>
      </c>
      <c r="H878" s="306">
        <v>7180.87</v>
      </c>
      <c r="I878" s="306">
        <v>7152.52</v>
      </c>
      <c r="J878" s="306">
        <v>7152.1</v>
      </c>
      <c r="K878" s="306">
        <v>7118.76</v>
      </c>
      <c r="L878" s="306">
        <v>7021.15</v>
      </c>
      <c r="M878" s="306">
        <v>7189.17</v>
      </c>
      <c r="N878" s="306">
        <v>7201.78</v>
      </c>
      <c r="O878" s="306">
        <v>7078.82</v>
      </c>
      <c r="P878" s="306">
        <v>7172.11</v>
      </c>
      <c r="Q878" s="409">
        <f>IF((L879=""),"",MAX(D880:P880))</f>
        <v>5486.7000000000007</v>
      </c>
      <c r="R878" s="409">
        <f>IF(L879="","",MIN(D880:L880))</f>
        <v>5371.42</v>
      </c>
      <c r="S878" s="400">
        <f>IF((P880=""),"",AVERAGE(D880:P880))</f>
        <v>5444.1461538461544</v>
      </c>
      <c r="T878" s="412">
        <f>IF((L879=""),"",(Q878-R878)/(Q878+R878)*100)</f>
        <v>1.0616939212313057</v>
      </c>
      <c r="U878" s="409">
        <f>STDEV(D880:P880)</f>
        <v>36.882155020709881</v>
      </c>
      <c r="V878" s="413" t="str">
        <f>IF(P879="","",IF(T878&lt;2.7,IF(S878&gt;5150,IF(S878&lt;5600,"Pass","Fail"),"Fail"),"Fail"))</f>
        <v>Pass</v>
      </c>
      <c r="W878" s="409">
        <v>1159</v>
      </c>
      <c r="X878" s="402" t="s">
        <v>365</v>
      </c>
      <c r="Y878" s="268"/>
      <c r="Z878" s="321">
        <v>4470</v>
      </c>
      <c r="AA878" s="321">
        <v>6020</v>
      </c>
      <c r="AB878" s="321">
        <v>5150</v>
      </c>
      <c r="AC878" s="321">
        <v>5600</v>
      </c>
      <c r="AD878" s="305">
        <v>10</v>
      </c>
      <c r="AE878" s="322">
        <v>2.7</v>
      </c>
    </row>
    <row r="879" spans="1:31" ht="15">
      <c r="A879" s="390"/>
      <c r="B879" s="404"/>
      <c r="C879" s="404" t="s">
        <v>198</v>
      </c>
      <c r="D879" s="306">
        <v>4229.6499999999996</v>
      </c>
      <c r="E879" s="306">
        <v>4307.1000000000004</v>
      </c>
      <c r="F879" s="306">
        <v>4272.32</v>
      </c>
      <c r="G879" s="306">
        <v>4366.47</v>
      </c>
      <c r="H879" s="306">
        <v>4438.01</v>
      </c>
      <c r="I879" s="306">
        <v>4414.21</v>
      </c>
      <c r="J879" s="306">
        <v>4428.5600000000004</v>
      </c>
      <c r="K879" s="306">
        <v>4385.17</v>
      </c>
      <c r="L879" s="306">
        <v>4328.07</v>
      </c>
      <c r="M879" s="306">
        <v>4445.82</v>
      </c>
      <c r="N879" s="306">
        <v>4465.83</v>
      </c>
      <c r="O879" s="306">
        <v>4359.29</v>
      </c>
      <c r="P879" s="306">
        <v>4445.37</v>
      </c>
      <c r="Q879" s="404"/>
      <c r="R879" s="404"/>
      <c r="S879" s="404"/>
      <c r="T879" s="404"/>
      <c r="U879" s="404"/>
      <c r="V879" s="407"/>
      <c r="W879" s="404"/>
      <c r="X879" s="408"/>
      <c r="Y879" s="268"/>
      <c r="Z879" s="267"/>
      <c r="AA879" s="267"/>
      <c r="AB879" s="267"/>
      <c r="AC879" s="267"/>
      <c r="AD879" s="268"/>
      <c r="AE879" s="269"/>
    </row>
    <row r="880" spans="1:31" ht="57.75" thickBot="1">
      <c r="A880" s="393"/>
      <c r="B880" s="414"/>
      <c r="C880" s="414" t="s">
        <v>197</v>
      </c>
      <c r="D880" s="415">
        <f t="shared" ref="D880:P880" si="288">IF(((D878="")*AND(D879="")),"",(D878-D879)*2)</f>
        <v>5410.7000000000007</v>
      </c>
      <c r="E880" s="415">
        <f t="shared" si="288"/>
        <v>5454.48</v>
      </c>
      <c r="F880" s="415">
        <f t="shared" si="288"/>
        <v>5371.42</v>
      </c>
      <c r="G880" s="415">
        <f t="shared" si="288"/>
        <v>5423.4</v>
      </c>
      <c r="H880" s="415">
        <f t="shared" si="288"/>
        <v>5485.7199999999993</v>
      </c>
      <c r="I880" s="415">
        <f t="shared" si="288"/>
        <v>5476.6200000000008</v>
      </c>
      <c r="J880" s="415">
        <f t="shared" si="288"/>
        <v>5447.08</v>
      </c>
      <c r="K880" s="415">
        <f t="shared" si="288"/>
        <v>5467.18</v>
      </c>
      <c r="L880" s="415">
        <f t="shared" si="288"/>
        <v>5386.16</v>
      </c>
      <c r="M880" s="415">
        <f t="shared" si="288"/>
        <v>5486.7000000000007</v>
      </c>
      <c r="N880" s="415">
        <f t="shared" si="288"/>
        <v>5471.9</v>
      </c>
      <c r="O880" s="415">
        <f t="shared" si="288"/>
        <v>5439.0599999999995</v>
      </c>
      <c r="P880" s="415">
        <f t="shared" si="288"/>
        <v>5453.48</v>
      </c>
      <c r="Q880" s="414"/>
      <c r="R880" s="414"/>
      <c r="S880" s="414"/>
      <c r="T880" s="414"/>
      <c r="U880" s="414"/>
      <c r="V880" s="416"/>
      <c r="W880" s="414"/>
      <c r="X880" s="417"/>
      <c r="Y880" s="268"/>
      <c r="Z880" s="267"/>
      <c r="AA880" s="267"/>
      <c r="AB880" s="267"/>
      <c r="AC880" s="267"/>
      <c r="AD880" s="268"/>
      <c r="AE880" s="269"/>
    </row>
    <row r="881" spans="1:31" ht="15">
      <c r="A881" s="344">
        <v>43682</v>
      </c>
      <c r="B881" s="395" t="s">
        <v>202</v>
      </c>
      <c r="C881" s="396" t="s">
        <v>199</v>
      </c>
      <c r="D881" s="306">
        <v>6140.96</v>
      </c>
      <c r="E881" s="306">
        <v>6221.77</v>
      </c>
      <c r="F881" s="306">
        <v>6179.85</v>
      </c>
      <c r="G881" s="306">
        <v>6172.7</v>
      </c>
      <c r="H881" s="306">
        <v>6178.4</v>
      </c>
      <c r="I881" s="306">
        <v>5910.8</v>
      </c>
      <c r="J881" s="306">
        <v>6210.5</v>
      </c>
      <c r="K881" s="306">
        <v>6184.37</v>
      </c>
      <c r="L881" s="306">
        <v>6146.43</v>
      </c>
      <c r="M881" s="398"/>
      <c r="N881" s="398"/>
      <c r="O881" s="398"/>
      <c r="P881" s="398"/>
      <c r="Q881" s="395">
        <f>IF((L882=""),"",MAX(D883:L883))</f>
        <v>7146.2999999999993</v>
      </c>
      <c r="R881" s="395">
        <f>IF(L882="","",MIN(D883:L883))</f>
        <v>6562.62</v>
      </c>
      <c r="S881" s="399">
        <f>IF((L883=""),"",AVERAGE(D883:L883))</f>
        <v>6817.5933333333342</v>
      </c>
      <c r="T881" s="400">
        <f>IF((L882=""),"",(Q881-R881)/(Q881+R881)*100)</f>
        <v>4.2576658117488426</v>
      </c>
      <c r="U881" s="395">
        <f>STDEV(D883:P883)</f>
        <v>199.37220273897549</v>
      </c>
      <c r="V881" s="401" t="str">
        <f>IF(L882="","",IF(T881&lt;9.8,IF(S881&gt;5100,IF(S881&lt;8300,"Pass","Fail"),"Fail"),"Fail"))</f>
        <v>Pass</v>
      </c>
      <c r="W881" s="395">
        <v>1340</v>
      </c>
      <c r="X881" s="402"/>
      <c r="Y881" s="268"/>
      <c r="Z881" s="267">
        <v>4955</v>
      </c>
      <c r="AA881" s="267">
        <v>9645</v>
      </c>
      <c r="AB881" s="267">
        <v>5100</v>
      </c>
      <c r="AC881" s="267">
        <v>8300</v>
      </c>
      <c r="AD881" s="305">
        <v>10</v>
      </c>
      <c r="AE881" s="305">
        <v>9.8000000000000007</v>
      </c>
    </row>
    <row r="882" spans="1:31" ht="15">
      <c r="A882" s="390"/>
      <c r="B882" s="404"/>
      <c r="C882" s="405" t="s">
        <v>198</v>
      </c>
      <c r="D882" s="306">
        <v>3758.86</v>
      </c>
      <c r="E882" s="306">
        <v>3939.07</v>
      </c>
      <c r="F882" s="306">
        <v>3982.17</v>
      </c>
      <c r="G882" s="306">
        <v>3957.72</v>
      </c>
      <c r="H882" s="306">
        <v>3874.65</v>
      </c>
      <c r="I882" s="306">
        <v>3560.78</v>
      </c>
      <c r="J882" s="306">
        <v>3938.73</v>
      </c>
      <c r="K882" s="306">
        <v>3996.83</v>
      </c>
      <c r="L882" s="306">
        <v>3884.19</v>
      </c>
      <c r="M882" s="406"/>
      <c r="N882" s="406"/>
      <c r="O882" s="406"/>
      <c r="P882" s="406"/>
      <c r="Q882" s="404"/>
      <c r="R882" s="404"/>
      <c r="S882" s="404"/>
      <c r="T882" s="404"/>
      <c r="U882" s="404"/>
      <c r="V882" s="407"/>
      <c r="W882" s="404"/>
      <c r="X882" s="408"/>
      <c r="Y882" s="268"/>
      <c r="Z882" s="267"/>
      <c r="AA882" s="267"/>
      <c r="AB882" s="267"/>
      <c r="AC882" s="267"/>
      <c r="AD882" s="268"/>
      <c r="AE882" s="269"/>
    </row>
    <row r="883" spans="1:31" ht="57.75" thickBot="1">
      <c r="A883" s="390"/>
      <c r="B883" s="404"/>
      <c r="C883" s="409" t="s">
        <v>197</v>
      </c>
      <c r="D883" s="410">
        <f t="shared" ref="D883:L883" si="289">IF(((D881="")*AND(D882="")),"",(D881-D882)*3)</f>
        <v>7146.2999999999993</v>
      </c>
      <c r="E883" s="410">
        <f t="shared" si="289"/>
        <v>6848.1</v>
      </c>
      <c r="F883" s="410">
        <f t="shared" si="289"/>
        <v>6593.0400000000009</v>
      </c>
      <c r="G883" s="410">
        <f t="shared" si="289"/>
        <v>6644.9400000000005</v>
      </c>
      <c r="H883" s="410">
        <f t="shared" si="289"/>
        <v>6911.2499999999982</v>
      </c>
      <c r="I883" s="410">
        <f t="shared" si="289"/>
        <v>7050.0599999999995</v>
      </c>
      <c r="J883" s="410">
        <f t="shared" si="289"/>
        <v>6815.3099999999995</v>
      </c>
      <c r="K883" s="410">
        <f t="shared" si="289"/>
        <v>6562.62</v>
      </c>
      <c r="L883" s="410">
        <f t="shared" si="289"/>
        <v>6786.7200000000012</v>
      </c>
      <c r="M883" s="410"/>
      <c r="N883" s="410"/>
      <c r="O883" s="410"/>
      <c r="P883" s="410" t="str">
        <f>IF(((P881="")*AND(P882="")),"",(P881-P882)*2)</f>
        <v/>
      </c>
      <c r="Q883" s="404"/>
      <c r="R883" s="404"/>
      <c r="S883" s="404"/>
      <c r="T883" s="404"/>
      <c r="U883" s="404"/>
      <c r="V883" s="407"/>
      <c r="W883" s="404"/>
      <c r="X883" s="417"/>
      <c r="Y883" s="268"/>
      <c r="Z883" s="267"/>
      <c r="AA883" s="267"/>
      <c r="AB883" s="267"/>
      <c r="AC883" s="267"/>
      <c r="AD883" s="268"/>
      <c r="AE883" s="269"/>
    </row>
    <row r="884" spans="1:31" ht="15">
      <c r="A884" s="344">
        <v>43682</v>
      </c>
      <c r="B884" s="409" t="s">
        <v>200</v>
      </c>
      <c r="C884" s="409" t="s">
        <v>199</v>
      </c>
      <c r="D884" s="306">
        <v>6901.19</v>
      </c>
      <c r="E884" s="306">
        <v>7019.04</v>
      </c>
      <c r="F884" s="306">
        <v>6908.31</v>
      </c>
      <c r="G884" s="306">
        <v>7052.39</v>
      </c>
      <c r="H884" s="306">
        <v>7179.92</v>
      </c>
      <c r="I884" s="306">
        <v>7144.14</v>
      </c>
      <c r="J884" s="306">
        <v>7131.94</v>
      </c>
      <c r="K884" s="306">
        <v>7088.57</v>
      </c>
      <c r="L884" s="306">
        <v>6970.02</v>
      </c>
      <c r="M884" s="306">
        <v>7179.98</v>
      </c>
      <c r="N884" s="306">
        <v>7208.52</v>
      </c>
      <c r="O884" s="306">
        <v>7057.1</v>
      </c>
      <c r="P884" s="306">
        <v>7185.9</v>
      </c>
      <c r="Q884" s="409">
        <f>IF((L885=""),"",MAX(D886:P886))</f>
        <v>5593.5199999999986</v>
      </c>
      <c r="R884" s="409">
        <f>IF(L885="","",MIN(D886:L886))</f>
        <v>5484.1200000000008</v>
      </c>
      <c r="S884" s="400">
        <f>IF((P886=""),"",AVERAGE(D886:P886))</f>
        <v>5548.3307692307681</v>
      </c>
      <c r="T884" s="412">
        <f>IF((L885=""),"",(Q884-R884)/(Q884+R884)*100)</f>
        <v>0.98757497084214529</v>
      </c>
      <c r="U884" s="409">
        <f>STDEV(D886:P886)</f>
        <v>34.367260210345194</v>
      </c>
      <c r="V884" s="413" t="str">
        <f>IF(P885="","",IF(T884&lt;2.7,IF(S884&gt;5150,IF(S884&lt;5600,"Pass","Fail"),"Fail"),"Fail"))</f>
        <v>Pass</v>
      </c>
      <c r="W884" s="409">
        <v>1340</v>
      </c>
      <c r="X884" s="402"/>
      <c r="Y884" s="268"/>
      <c r="Z884" s="321">
        <v>4470</v>
      </c>
      <c r="AA884" s="321">
        <v>6020</v>
      </c>
      <c r="AB884" s="321">
        <v>5150</v>
      </c>
      <c r="AC884" s="321">
        <v>5600</v>
      </c>
      <c r="AD884" s="305">
        <v>10</v>
      </c>
      <c r="AE884" s="322">
        <v>2.7</v>
      </c>
    </row>
    <row r="885" spans="1:31" ht="15">
      <c r="A885" s="390"/>
      <c r="B885" s="404"/>
      <c r="C885" s="404" t="s">
        <v>198</v>
      </c>
      <c r="D885" s="306">
        <v>4144.51</v>
      </c>
      <c r="E885" s="306">
        <v>4243.9799999999996</v>
      </c>
      <c r="F885" s="306">
        <v>4166.25</v>
      </c>
      <c r="G885" s="306">
        <v>4285.84</v>
      </c>
      <c r="H885" s="306">
        <v>4401.1000000000004</v>
      </c>
      <c r="I885" s="306">
        <v>4350.8900000000003</v>
      </c>
      <c r="J885" s="306">
        <v>4355.82</v>
      </c>
      <c r="K885" s="306">
        <v>4303.33</v>
      </c>
      <c r="L885" s="306">
        <v>4222.8</v>
      </c>
      <c r="M885" s="306">
        <v>4383.22</v>
      </c>
      <c r="N885" s="306">
        <v>4415.95</v>
      </c>
      <c r="O885" s="306">
        <v>4284.95</v>
      </c>
      <c r="P885" s="306">
        <v>4404.2299999999996</v>
      </c>
      <c r="Q885" s="404"/>
      <c r="R885" s="404"/>
      <c r="S885" s="404"/>
      <c r="T885" s="404"/>
      <c r="U885" s="404"/>
      <c r="V885" s="407"/>
      <c r="W885" s="404"/>
      <c r="X885" s="408"/>
      <c r="Y885" s="268"/>
      <c r="Z885" s="267"/>
      <c r="AA885" s="267"/>
      <c r="AB885" s="267"/>
      <c r="AC885" s="267"/>
      <c r="AD885" s="268"/>
      <c r="AE885" s="269"/>
    </row>
    <row r="886" spans="1:31" ht="57.75" thickBot="1">
      <c r="A886" s="393"/>
      <c r="B886" s="414"/>
      <c r="C886" s="414" t="s">
        <v>197</v>
      </c>
      <c r="D886" s="415">
        <f t="shared" ref="D886:P886" si="290">IF(((D884="")*AND(D885="")),"",(D884-D885)*2)</f>
        <v>5513.3599999999988</v>
      </c>
      <c r="E886" s="415">
        <f t="shared" si="290"/>
        <v>5550.1200000000008</v>
      </c>
      <c r="F886" s="415">
        <f t="shared" si="290"/>
        <v>5484.1200000000008</v>
      </c>
      <c r="G886" s="415">
        <f t="shared" si="290"/>
        <v>5533.1</v>
      </c>
      <c r="H886" s="415">
        <f t="shared" si="290"/>
        <v>5557.6399999999994</v>
      </c>
      <c r="I886" s="415">
        <f t="shared" si="290"/>
        <v>5586.5</v>
      </c>
      <c r="J886" s="415">
        <f t="shared" si="290"/>
        <v>5552.24</v>
      </c>
      <c r="K886" s="415">
        <f t="shared" si="290"/>
        <v>5570.48</v>
      </c>
      <c r="L886" s="415">
        <f t="shared" si="290"/>
        <v>5494.4400000000005</v>
      </c>
      <c r="M886" s="415">
        <f t="shared" si="290"/>
        <v>5593.5199999999986</v>
      </c>
      <c r="N886" s="415">
        <f t="shared" si="290"/>
        <v>5585.1400000000012</v>
      </c>
      <c r="O886" s="415">
        <f t="shared" si="290"/>
        <v>5544.3000000000011</v>
      </c>
      <c r="P886" s="415">
        <f t="shared" si="290"/>
        <v>5563.34</v>
      </c>
      <c r="Q886" s="414"/>
      <c r="R886" s="414"/>
      <c r="S886" s="414"/>
      <c r="T886" s="414"/>
      <c r="U886" s="414"/>
      <c r="V886" s="416"/>
      <c r="W886" s="414"/>
      <c r="X886" s="417"/>
      <c r="Y886" s="268"/>
      <c r="Z886" s="267"/>
      <c r="AA886" s="267"/>
      <c r="AB886" s="267"/>
      <c r="AC886" s="267"/>
      <c r="AD886" s="268"/>
      <c r="AE886" s="269"/>
    </row>
    <row r="887" spans="1:31" ht="15">
      <c r="A887" s="344">
        <v>43693</v>
      </c>
      <c r="B887" s="395" t="s">
        <v>202</v>
      </c>
      <c r="C887" s="396" t="s">
        <v>199</v>
      </c>
      <c r="D887" s="306">
        <v>3605.75</v>
      </c>
      <c r="E887" s="306">
        <v>3765.36</v>
      </c>
      <c r="F887" s="306">
        <v>3809.11</v>
      </c>
      <c r="G887" s="306">
        <v>3788.87</v>
      </c>
      <c r="H887" s="306">
        <v>3748.51</v>
      </c>
      <c r="I887" s="306">
        <v>3492.15</v>
      </c>
      <c r="J887" s="306">
        <v>3771.55</v>
      </c>
      <c r="K887" s="306">
        <v>3825.45</v>
      </c>
      <c r="L887" s="306">
        <v>3736.15</v>
      </c>
      <c r="M887" s="398"/>
      <c r="N887" s="398"/>
      <c r="O887" s="398"/>
      <c r="P887" s="398"/>
      <c r="Q887" s="395">
        <f>IF((L888=""),"",MAX(D889:L889))</f>
        <v>6845.01</v>
      </c>
      <c r="R887" s="395">
        <f>IF(L888="","",MIN(D889:L889))</f>
        <v>6528.6900000000005</v>
      </c>
      <c r="S887" s="399">
        <f>IF((L889=""),"",AVERAGE(D889:L889))</f>
        <v>6690.0733333333337</v>
      </c>
      <c r="T887" s="400">
        <f>IF((L888=""),"",(Q887-R887)/(Q887+R887)*100)</f>
        <v>2.3652392382063283</v>
      </c>
      <c r="U887" s="395">
        <f>STDEV(D889:P889)</f>
        <v>121.48008735998836</v>
      </c>
      <c r="V887" s="401" t="str">
        <f>IF(L888="","",IF(T887&lt;9.8,IF(S887&gt;5100,IF(S887&lt;8300,"Pass","Fail"),"Fail"),"Fail"))</f>
        <v>Pass</v>
      </c>
      <c r="W887" s="395">
        <v>1335</v>
      </c>
      <c r="X887" s="402"/>
      <c r="Y887" s="268"/>
      <c r="Z887" s="267">
        <v>4955</v>
      </c>
      <c r="AA887" s="267">
        <v>9645</v>
      </c>
      <c r="AB887" s="267">
        <v>5100</v>
      </c>
      <c r="AC887" s="267">
        <v>8300</v>
      </c>
      <c r="AD887" s="305">
        <v>10</v>
      </c>
      <c r="AE887" s="305">
        <v>9.8000000000000007</v>
      </c>
    </row>
    <row r="888" spans="1:31" ht="15">
      <c r="A888" s="390"/>
      <c r="B888" s="404"/>
      <c r="C888" s="405" t="s">
        <v>198</v>
      </c>
      <c r="D888" s="306">
        <v>1429.52</v>
      </c>
      <c r="E888" s="306">
        <v>1547.82</v>
      </c>
      <c r="F888" s="306">
        <v>1527.44</v>
      </c>
      <c r="G888" s="306">
        <v>1510.3</v>
      </c>
      <c r="H888" s="306">
        <v>1537.85</v>
      </c>
      <c r="I888" s="306">
        <v>1312.38</v>
      </c>
      <c r="J888" s="306">
        <v>1543.14</v>
      </c>
      <c r="K888" s="306">
        <v>1549.89</v>
      </c>
      <c r="L888" s="306">
        <v>1514.34</v>
      </c>
      <c r="M888" s="406"/>
      <c r="N888" s="406"/>
      <c r="O888" s="406"/>
      <c r="P888" s="406"/>
      <c r="Q888" s="404"/>
      <c r="R888" s="404"/>
      <c r="S888" s="404"/>
      <c r="T888" s="404"/>
      <c r="U888" s="404"/>
      <c r="V888" s="407"/>
      <c r="W888" s="404"/>
      <c r="X888" s="408"/>
      <c r="Y888" s="268"/>
      <c r="Z888" s="267"/>
      <c r="AA888" s="267"/>
      <c r="AB888" s="267"/>
      <c r="AC888" s="267"/>
      <c r="AD888" s="268"/>
      <c r="AE888" s="269"/>
    </row>
    <row r="889" spans="1:31" ht="57.75" thickBot="1">
      <c r="A889" s="390"/>
      <c r="B889" s="404"/>
      <c r="C889" s="409" t="s">
        <v>197</v>
      </c>
      <c r="D889" s="410">
        <f t="shared" ref="D889:L889" si="291">IF(((D887="")*AND(D888="")),"",(D887-D888)*3)</f>
        <v>6528.6900000000005</v>
      </c>
      <c r="E889" s="410">
        <f t="shared" si="291"/>
        <v>6652.62</v>
      </c>
      <c r="F889" s="410">
        <f t="shared" si="291"/>
        <v>6845.01</v>
      </c>
      <c r="G889" s="410">
        <f t="shared" si="291"/>
        <v>6835.7099999999991</v>
      </c>
      <c r="H889" s="410">
        <f t="shared" si="291"/>
        <v>6631.9800000000014</v>
      </c>
      <c r="I889" s="410">
        <f t="shared" si="291"/>
        <v>6539.3099999999995</v>
      </c>
      <c r="J889" s="410">
        <f t="shared" si="291"/>
        <v>6685.23</v>
      </c>
      <c r="K889" s="410">
        <f t="shared" si="291"/>
        <v>6826.6799999999985</v>
      </c>
      <c r="L889" s="410">
        <f t="shared" si="291"/>
        <v>6665.4300000000012</v>
      </c>
      <c r="M889" s="410"/>
      <c r="N889" s="410"/>
      <c r="O889" s="410"/>
      <c r="P889" s="410" t="str">
        <f>IF(((P887="")*AND(P888="")),"",(P887-P888)*2)</f>
        <v/>
      </c>
      <c r="Q889" s="404"/>
      <c r="R889" s="404"/>
      <c r="S889" s="404"/>
      <c r="T889" s="404"/>
      <c r="U889" s="404"/>
      <c r="V889" s="407"/>
      <c r="W889" s="404"/>
      <c r="X889" s="417"/>
      <c r="Y889" s="268"/>
      <c r="Z889" s="267"/>
      <c r="AA889" s="267"/>
      <c r="AB889" s="267"/>
      <c r="AC889" s="267"/>
      <c r="AD889" s="268"/>
      <c r="AE889" s="269"/>
    </row>
    <row r="890" spans="1:31" ht="15">
      <c r="A890" s="344">
        <v>43693</v>
      </c>
      <c r="B890" s="409" t="s">
        <v>200</v>
      </c>
      <c r="C890" s="409" t="s">
        <v>199</v>
      </c>
      <c r="D890" s="306">
        <v>6929.35</v>
      </c>
      <c r="E890" s="306">
        <v>7033.91</v>
      </c>
      <c r="F890" s="306">
        <v>6942.16</v>
      </c>
      <c r="G890" s="306">
        <v>7071.4</v>
      </c>
      <c r="H890" s="306">
        <v>7186.83</v>
      </c>
      <c r="I890" s="306">
        <v>7153.95</v>
      </c>
      <c r="J890" s="306">
        <v>7148.74</v>
      </c>
      <c r="K890" s="306">
        <v>7111.69</v>
      </c>
      <c r="L890" s="306">
        <v>7002.47</v>
      </c>
      <c r="M890" s="306">
        <v>7193.34</v>
      </c>
      <c r="N890" s="306">
        <v>7215.28</v>
      </c>
      <c r="O890" s="306">
        <v>7078.35</v>
      </c>
      <c r="P890" s="306">
        <v>7192.03</v>
      </c>
      <c r="Q890" s="409">
        <f>IF((L891=""),"",MAX(D892:P892))</f>
        <v>5569.82</v>
      </c>
      <c r="R890" s="409">
        <f>IF(L891="","",MIN(D892:L892))</f>
        <v>5449.1999999999989</v>
      </c>
      <c r="S890" s="400">
        <f>IF((P892=""),"",AVERAGE(D892:P892))</f>
        <v>5522.0384615384619</v>
      </c>
      <c r="T890" s="412">
        <f>IF((L891=""),"",(Q890-R890)/(Q890+R890)*100)</f>
        <v>1.0946527005123943</v>
      </c>
      <c r="U890" s="409">
        <f>STDEV(D892:P892)</f>
        <v>37.594384741663312</v>
      </c>
      <c r="V890" s="413" t="str">
        <f>IF(P891="","",IF(T890&lt;2.7,IF(S890&gt;5150,IF(S890&lt;5600,"Pass","Fail"),"Fail"),"Fail"))</f>
        <v>Pass</v>
      </c>
      <c r="W890" s="409">
        <v>1335</v>
      </c>
      <c r="X890" s="402"/>
      <c r="Y890" s="268"/>
      <c r="Z890" s="321">
        <v>4470</v>
      </c>
      <c r="AA890" s="321">
        <v>6020</v>
      </c>
      <c r="AB890" s="321">
        <v>5150</v>
      </c>
      <c r="AC890" s="321">
        <v>5600</v>
      </c>
      <c r="AD890" s="305">
        <v>10</v>
      </c>
      <c r="AE890" s="322">
        <v>2.7</v>
      </c>
    </row>
    <row r="891" spans="1:31" ht="15">
      <c r="A891" s="390"/>
      <c r="B891" s="404"/>
      <c r="C891" s="404" t="s">
        <v>198</v>
      </c>
      <c r="D891" s="306">
        <v>4189.7</v>
      </c>
      <c r="E891" s="306">
        <v>4274.8999999999996</v>
      </c>
      <c r="F891" s="306">
        <v>4217.5600000000004</v>
      </c>
      <c r="G891" s="306">
        <v>4319.29</v>
      </c>
      <c r="H891" s="306">
        <v>4424.33</v>
      </c>
      <c r="I891" s="306">
        <v>4373.51</v>
      </c>
      <c r="J891" s="306">
        <v>4383.1000000000004</v>
      </c>
      <c r="K891" s="306">
        <v>4337.74</v>
      </c>
      <c r="L891" s="306">
        <v>4269.82</v>
      </c>
      <c r="M891" s="306">
        <v>4408.43</v>
      </c>
      <c r="N891" s="306">
        <v>4439.7299999999996</v>
      </c>
      <c r="O891" s="306">
        <v>4304.5</v>
      </c>
      <c r="P891" s="306">
        <v>4423.6400000000003</v>
      </c>
      <c r="Q891" s="404"/>
      <c r="R891" s="404"/>
      <c r="S891" s="404"/>
      <c r="T891" s="404"/>
      <c r="U891" s="404"/>
      <c r="V891" s="407"/>
      <c r="W891" s="404"/>
      <c r="X891" s="408"/>
      <c r="Y891" s="268"/>
      <c r="Z891" s="267"/>
      <c r="AA891" s="267"/>
      <c r="AB891" s="267"/>
      <c r="AC891" s="267"/>
      <c r="AD891" s="268"/>
      <c r="AE891" s="269"/>
    </row>
    <row r="892" spans="1:31" ht="57.75" thickBot="1">
      <c r="A892" s="393"/>
      <c r="B892" s="414"/>
      <c r="C892" s="414" t="s">
        <v>197</v>
      </c>
      <c r="D892" s="415">
        <f t="shared" ref="D892:P892" si="292">IF(((D890="")*AND(D891="")),"",(D890-D891)*2)</f>
        <v>5479.3000000000011</v>
      </c>
      <c r="E892" s="415">
        <f t="shared" si="292"/>
        <v>5518.02</v>
      </c>
      <c r="F892" s="415">
        <f t="shared" si="292"/>
        <v>5449.1999999999989</v>
      </c>
      <c r="G892" s="415">
        <f t="shared" si="292"/>
        <v>5504.2199999999993</v>
      </c>
      <c r="H892" s="415">
        <f t="shared" si="292"/>
        <v>5525</v>
      </c>
      <c r="I892" s="415">
        <f t="shared" si="292"/>
        <v>5560.8799999999992</v>
      </c>
      <c r="J892" s="415">
        <f t="shared" si="292"/>
        <v>5531.2799999999988</v>
      </c>
      <c r="K892" s="415">
        <f t="shared" si="292"/>
        <v>5547.9</v>
      </c>
      <c r="L892" s="415">
        <f t="shared" si="292"/>
        <v>5465.3000000000011</v>
      </c>
      <c r="M892" s="415">
        <f t="shared" si="292"/>
        <v>5569.82</v>
      </c>
      <c r="N892" s="415">
        <f t="shared" si="292"/>
        <v>5551.1</v>
      </c>
      <c r="O892" s="415">
        <f t="shared" si="292"/>
        <v>5547.7000000000007</v>
      </c>
      <c r="P892" s="415">
        <f t="shared" si="292"/>
        <v>5536.7799999999988</v>
      </c>
      <c r="Q892" s="414"/>
      <c r="R892" s="414"/>
      <c r="S892" s="414"/>
      <c r="T892" s="414"/>
      <c r="U892" s="414"/>
      <c r="V892" s="416"/>
      <c r="W892" s="414"/>
      <c r="X892" s="417"/>
      <c r="Y892" s="268"/>
      <c r="Z892" s="267"/>
      <c r="AA892" s="267"/>
      <c r="AB892" s="267"/>
      <c r="AC892" s="267"/>
      <c r="AD892" s="268"/>
      <c r="AE892" s="269"/>
    </row>
    <row r="893" spans="1:31" ht="15">
      <c r="A893" s="344">
        <v>43695</v>
      </c>
      <c r="B893" s="395" t="s">
        <v>202</v>
      </c>
      <c r="C893" s="396" t="s">
        <v>199</v>
      </c>
      <c r="D893" s="306">
        <v>6139.9</v>
      </c>
      <c r="E893" s="306">
        <v>6212.85</v>
      </c>
      <c r="F893" s="306">
        <v>6166.36</v>
      </c>
      <c r="G893" s="306">
        <v>6162.6</v>
      </c>
      <c r="H893" s="306">
        <v>6177.61</v>
      </c>
      <c r="I893" s="306">
        <v>5930.92</v>
      </c>
      <c r="J893" s="306">
        <v>6202.99</v>
      </c>
      <c r="K893" s="306">
        <v>6164.95</v>
      </c>
      <c r="L893" s="306">
        <v>6142.57</v>
      </c>
      <c r="M893" s="398"/>
      <c r="N893" s="398"/>
      <c r="O893" s="398"/>
      <c r="P893" s="398"/>
      <c r="Q893" s="395">
        <f>IF((L894=""),"",MAX(D895:L895))</f>
        <v>8734.8599999999988</v>
      </c>
      <c r="R893" s="395">
        <f>IF(L894="","",MIN(D895:L895))</f>
        <v>7405.5</v>
      </c>
      <c r="S893" s="399">
        <f>IF((L895=""),"",AVERAGE(D895:L895))</f>
        <v>7831.9433333333327</v>
      </c>
      <c r="T893" s="400">
        <f>IF((L894=""),"",(Q893-R893)/(Q893+R893)*100)</f>
        <v>8.2362475186427009</v>
      </c>
      <c r="U893" s="395">
        <f>STDEV(D895:P895)</f>
        <v>490.50328181880292</v>
      </c>
      <c r="V893" s="401" t="str">
        <f>IF(L894="","",IF(T893&lt;9.8,IF(S893&gt;5100,IF(S893&lt;8300,"Pass","Fail"),"Fail"),"Fail"))</f>
        <v>Pass</v>
      </c>
      <c r="W893" s="395">
        <v>64</v>
      </c>
      <c r="X893" s="402"/>
      <c r="Y893" s="268" t="s">
        <v>370</v>
      </c>
      <c r="Z893" s="267">
        <v>4955</v>
      </c>
      <c r="AA893" s="267">
        <v>9645</v>
      </c>
      <c r="AB893" s="267">
        <v>5100</v>
      </c>
      <c r="AC893" s="267">
        <v>8300</v>
      </c>
      <c r="AD893" s="305">
        <v>10</v>
      </c>
      <c r="AE893" s="305">
        <v>9.8000000000000007</v>
      </c>
    </row>
    <row r="894" spans="1:31" ht="15">
      <c r="A894" s="390"/>
      <c r="B894" s="404"/>
      <c r="C894" s="405" t="s">
        <v>198</v>
      </c>
      <c r="D894" s="306">
        <v>3228.28</v>
      </c>
      <c r="E894" s="306">
        <v>3654.42</v>
      </c>
      <c r="F894" s="306">
        <v>3687.11</v>
      </c>
      <c r="G894" s="306">
        <v>3663.9</v>
      </c>
      <c r="H894" s="306">
        <v>3578.76</v>
      </c>
      <c r="I894" s="306">
        <v>3065.86</v>
      </c>
      <c r="J894" s="306">
        <v>3651.47</v>
      </c>
      <c r="K894" s="306">
        <v>3696.45</v>
      </c>
      <c r="L894" s="306">
        <v>3578.67</v>
      </c>
      <c r="M894" s="406"/>
      <c r="N894" s="406"/>
      <c r="O894" s="406"/>
      <c r="P894" s="406"/>
      <c r="Q894" s="404"/>
      <c r="R894" s="404"/>
      <c r="S894" s="404"/>
      <c r="T894" s="404"/>
      <c r="U894" s="404"/>
      <c r="V894" s="407"/>
      <c r="W894" s="404"/>
      <c r="X894" s="408"/>
      <c r="Y894" s="268"/>
      <c r="Z894" s="267"/>
      <c r="AA894" s="267"/>
      <c r="AB894" s="267"/>
      <c r="AC894" s="267"/>
      <c r="AD894" s="268"/>
      <c r="AE894" s="269"/>
    </row>
    <row r="895" spans="1:31" ht="57.75" thickBot="1">
      <c r="A895" s="390"/>
      <c r="B895" s="404"/>
      <c r="C895" s="409" t="s">
        <v>197</v>
      </c>
      <c r="D895" s="410">
        <f t="shared" ref="D895:L895" si="293">IF(((D893="")*AND(D894="")),"",(D893-D894)*3)</f>
        <v>8734.8599999999988</v>
      </c>
      <c r="E895" s="410">
        <f t="shared" si="293"/>
        <v>7675.2900000000009</v>
      </c>
      <c r="F895" s="410">
        <f t="shared" si="293"/>
        <v>7437.7499999999982</v>
      </c>
      <c r="G895" s="410">
        <f t="shared" si="293"/>
        <v>7496.1</v>
      </c>
      <c r="H895" s="410">
        <f t="shared" si="293"/>
        <v>7796.5499999999984</v>
      </c>
      <c r="I895" s="410">
        <f t="shared" si="293"/>
        <v>8595.18</v>
      </c>
      <c r="J895" s="410">
        <f t="shared" si="293"/>
        <v>7654.5599999999995</v>
      </c>
      <c r="K895" s="410">
        <f t="shared" si="293"/>
        <v>7405.5</v>
      </c>
      <c r="L895" s="410">
        <f t="shared" si="293"/>
        <v>7691.6999999999989</v>
      </c>
      <c r="M895" s="410"/>
      <c r="N895" s="410"/>
      <c r="O895" s="410"/>
      <c r="P895" s="410" t="str">
        <f>IF(((P893="")*AND(P894="")),"",(P893-P894)*2)</f>
        <v/>
      </c>
      <c r="Q895" s="404"/>
      <c r="R895" s="404"/>
      <c r="S895" s="404"/>
      <c r="T895" s="404"/>
      <c r="U895" s="404"/>
      <c r="V895" s="407"/>
      <c r="W895" s="404"/>
      <c r="X895" s="417"/>
      <c r="Y895" s="268"/>
      <c r="Z895" s="267"/>
      <c r="AA895" s="267"/>
      <c r="AB895" s="267"/>
      <c r="AC895" s="267"/>
      <c r="AD895" s="268"/>
      <c r="AE895" s="269"/>
    </row>
    <row r="896" spans="1:31" ht="15">
      <c r="A896" s="344">
        <v>43695</v>
      </c>
      <c r="B896" s="409" t="s">
        <v>200</v>
      </c>
      <c r="C896" s="409" t="s">
        <v>199</v>
      </c>
      <c r="D896" s="306">
        <v>6930.08</v>
      </c>
      <c r="E896" s="306">
        <v>7040.72</v>
      </c>
      <c r="F896" s="306">
        <v>6939.47</v>
      </c>
      <c r="G896" s="306">
        <v>7080.29</v>
      </c>
      <c r="H896" s="306">
        <v>7192.7</v>
      </c>
      <c r="I896" s="306">
        <v>7161</v>
      </c>
      <c r="J896" s="306">
        <v>7154.91</v>
      </c>
      <c r="K896" s="306">
        <v>7112.24</v>
      </c>
      <c r="L896" s="306">
        <v>6995.43</v>
      </c>
      <c r="M896" s="306">
        <v>7195.08</v>
      </c>
      <c r="N896" s="306">
        <v>7216.65</v>
      </c>
      <c r="O896" s="306">
        <v>7070.94</v>
      </c>
      <c r="P896" s="306">
        <v>7189.91</v>
      </c>
      <c r="Q896" s="409">
        <f>IF((L897=""),"",MAX(D898:P898))</f>
        <v>5871.92</v>
      </c>
      <c r="R896" s="409">
        <f>IF(L897="","",MIN(D898:L898))</f>
        <v>5672.36</v>
      </c>
      <c r="S896" s="400">
        <f>IF((P898=""),"",AVERAGE(D898:P898))</f>
        <v>5765.373846153846</v>
      </c>
      <c r="T896" s="412">
        <f>IF((L897=""),"",(Q896-R896)/(Q896+R896)*100)</f>
        <v>1.7286483002837805</v>
      </c>
      <c r="U896" s="409">
        <f>STDEV(D898:P898)</f>
        <v>64.363782458066993</v>
      </c>
      <c r="V896" s="413" t="str">
        <f>IF(P897="","",IF(T896&lt;2.7,IF(S896&gt;5150,IF(S896&lt;5600,"Pass","Fail"),"Fail"),"Fail"))</f>
        <v>Fail</v>
      </c>
      <c r="W896" s="409">
        <v>64</v>
      </c>
      <c r="X896" s="402"/>
      <c r="Y896" s="268" t="s">
        <v>370</v>
      </c>
      <c r="Z896" s="321">
        <v>4470</v>
      </c>
      <c r="AA896" s="321">
        <v>6020</v>
      </c>
      <c r="AB896" s="321">
        <v>5150</v>
      </c>
      <c r="AC896" s="321">
        <v>5600</v>
      </c>
      <c r="AD896" s="305">
        <v>10</v>
      </c>
      <c r="AE896" s="322">
        <v>2.7</v>
      </c>
    </row>
    <row r="897" spans="1:31" ht="15">
      <c r="A897" s="390"/>
      <c r="B897" s="404"/>
      <c r="C897" s="404" t="s">
        <v>198</v>
      </c>
      <c r="D897" s="306">
        <v>4093.9</v>
      </c>
      <c r="E897" s="306">
        <v>4190.79</v>
      </c>
      <c r="F897" s="306">
        <v>4088.8</v>
      </c>
      <c r="G897" s="306">
        <v>4188.41</v>
      </c>
      <c r="H897" s="306">
        <v>4347.24</v>
      </c>
      <c r="I897" s="306">
        <v>4269.04</v>
      </c>
      <c r="J897" s="306">
        <v>4240.78</v>
      </c>
      <c r="K897" s="306">
        <v>4181.6499999999996</v>
      </c>
      <c r="L897" s="306">
        <v>4128.75</v>
      </c>
      <c r="M897" s="306">
        <v>4259.12</v>
      </c>
      <c r="N897" s="306">
        <v>4336.96</v>
      </c>
      <c r="O897" s="306">
        <v>4173.3599999999997</v>
      </c>
      <c r="P897" s="306">
        <v>4305.6899999999996</v>
      </c>
      <c r="Q897" s="404"/>
      <c r="R897" s="404"/>
      <c r="S897" s="404"/>
      <c r="T897" s="404"/>
      <c r="U897" s="404"/>
      <c r="V897" s="407"/>
      <c r="W897" s="404"/>
      <c r="X897" s="408"/>
      <c r="Y897" s="268"/>
      <c r="Z897" s="267"/>
      <c r="AA897" s="267"/>
      <c r="AB897" s="267"/>
      <c r="AC897" s="267"/>
      <c r="AD897" s="268"/>
      <c r="AE897" s="269"/>
    </row>
    <row r="898" spans="1:31" ht="57.75" thickBot="1">
      <c r="A898" s="393"/>
      <c r="B898" s="414"/>
      <c r="C898" s="414" t="s">
        <v>197</v>
      </c>
      <c r="D898" s="415">
        <f t="shared" ref="D898:P898" si="294">IF(((D896="")*AND(D897="")),"",(D896-D897)*2)</f>
        <v>5672.36</v>
      </c>
      <c r="E898" s="415">
        <f t="shared" si="294"/>
        <v>5699.8600000000006</v>
      </c>
      <c r="F898" s="415">
        <f t="shared" si="294"/>
        <v>5701.34</v>
      </c>
      <c r="G898" s="415">
        <f t="shared" si="294"/>
        <v>5783.76</v>
      </c>
      <c r="H898" s="415">
        <f t="shared" si="294"/>
        <v>5690.92</v>
      </c>
      <c r="I898" s="415">
        <f t="shared" si="294"/>
        <v>5783.92</v>
      </c>
      <c r="J898" s="415">
        <f t="shared" si="294"/>
        <v>5828.26</v>
      </c>
      <c r="K898" s="415">
        <f t="shared" si="294"/>
        <v>5861.18</v>
      </c>
      <c r="L898" s="415">
        <f t="shared" si="294"/>
        <v>5733.3600000000006</v>
      </c>
      <c r="M898" s="415">
        <f t="shared" si="294"/>
        <v>5871.92</v>
      </c>
      <c r="N898" s="415">
        <f t="shared" si="294"/>
        <v>5759.3799999999992</v>
      </c>
      <c r="O898" s="415">
        <f t="shared" si="294"/>
        <v>5795.16</v>
      </c>
      <c r="P898" s="415">
        <f t="shared" si="294"/>
        <v>5768.4400000000005</v>
      </c>
      <c r="Q898" s="414"/>
      <c r="R898" s="414"/>
      <c r="S898" s="414"/>
      <c r="T898" s="414"/>
      <c r="U898" s="414"/>
      <c r="V898" s="416"/>
      <c r="W898" s="414"/>
      <c r="X898" s="417"/>
      <c r="Y898" s="268"/>
      <c r="Z898" s="267"/>
      <c r="AA898" s="267"/>
      <c r="AB898" s="267"/>
      <c r="AC898" s="267"/>
      <c r="AD898" s="268"/>
      <c r="AE898" s="269"/>
    </row>
    <row r="899" spans="1:31" ht="15">
      <c r="A899" s="344">
        <v>43696</v>
      </c>
      <c r="B899" s="395" t="s">
        <v>202</v>
      </c>
      <c r="C899" s="396" t="s">
        <v>199</v>
      </c>
      <c r="D899" s="306">
        <v>6133.07</v>
      </c>
      <c r="E899" s="306">
        <v>6230.87</v>
      </c>
      <c r="F899" s="306">
        <v>6206.98</v>
      </c>
      <c r="G899" s="306">
        <v>6199.15</v>
      </c>
      <c r="H899" s="306">
        <v>6196.67</v>
      </c>
      <c r="I899" s="306">
        <v>5912.39</v>
      </c>
      <c r="J899" s="306">
        <v>6226.55</v>
      </c>
      <c r="K899" s="306">
        <v>6211.1</v>
      </c>
      <c r="L899" s="306">
        <v>6137.14</v>
      </c>
      <c r="M899" s="398"/>
      <c r="N899" s="398"/>
      <c r="O899" s="398"/>
      <c r="P899" s="398"/>
      <c r="Q899" s="395">
        <f>IF((L900=""),"",MAX(D901:L901))</f>
        <v>8618.4299999999985</v>
      </c>
      <c r="R899" s="395">
        <f>IF(L900="","",MIN(D901:L901))</f>
        <v>7482.9900000000016</v>
      </c>
      <c r="S899" s="399">
        <f>IF((L901=""),"",AVERAGE(D901:L901))</f>
        <v>7821.12</v>
      </c>
      <c r="T899" s="400">
        <f>IF((L900=""),"",(Q899-R899)/(Q899+R899)*100)</f>
        <v>7.0518004002131294</v>
      </c>
      <c r="U899" s="395">
        <f>STDEV(D901:P901)</f>
        <v>436.90786614571704</v>
      </c>
      <c r="V899" s="401" t="str">
        <f>IF(L900="","",IF(T899&lt;9.8,IF(S899&gt;5100,IF(S899&lt;8300,"Pass","Fail"),"Fail"),"Fail"))</f>
        <v>Pass</v>
      </c>
      <c r="W899" s="419" t="s">
        <v>215</v>
      </c>
      <c r="X899" s="402"/>
      <c r="Y899" s="268" t="s">
        <v>374</v>
      </c>
      <c r="Z899" s="267">
        <v>4955</v>
      </c>
      <c r="AA899" s="267">
        <v>9645</v>
      </c>
      <c r="AB899" s="267">
        <v>5100</v>
      </c>
      <c r="AC899" s="267">
        <v>8300</v>
      </c>
      <c r="AD899" s="305">
        <v>10</v>
      </c>
      <c r="AE899" s="305">
        <v>9.8000000000000007</v>
      </c>
    </row>
    <row r="900" spans="1:31" ht="15">
      <c r="A900" s="390"/>
      <c r="B900" s="404"/>
      <c r="C900" s="405" t="s">
        <v>198</v>
      </c>
      <c r="D900" s="306">
        <v>3260.26</v>
      </c>
      <c r="E900" s="306">
        <v>3675.35</v>
      </c>
      <c r="F900" s="306">
        <v>3701.58</v>
      </c>
      <c r="G900" s="306">
        <v>3688.91</v>
      </c>
      <c r="H900" s="306">
        <v>3613.39</v>
      </c>
      <c r="I900" s="306">
        <v>3068.02</v>
      </c>
      <c r="J900" s="306">
        <v>3665.8</v>
      </c>
      <c r="K900" s="306">
        <v>3716.77</v>
      </c>
      <c r="L900" s="306">
        <v>3600.48</v>
      </c>
      <c r="M900" s="406"/>
      <c r="N900" s="406"/>
      <c r="O900" s="406"/>
      <c r="P900" s="406"/>
      <c r="Q900" s="404"/>
      <c r="R900" s="404"/>
      <c r="S900" s="404"/>
      <c r="T900" s="404"/>
      <c r="U900" s="404"/>
      <c r="V900" s="407"/>
      <c r="W900" s="420"/>
      <c r="X900" s="408"/>
      <c r="Y900" s="268"/>
      <c r="Z900" s="267"/>
      <c r="AA900" s="267"/>
      <c r="AB900" s="267"/>
      <c r="AC900" s="267"/>
      <c r="AD900" s="268"/>
      <c r="AE900" s="269"/>
    </row>
    <row r="901" spans="1:31" ht="57.75" thickBot="1">
      <c r="A901" s="390"/>
      <c r="B901" s="404"/>
      <c r="C901" s="409" t="s">
        <v>197</v>
      </c>
      <c r="D901" s="410">
        <f t="shared" ref="D901:L901" si="295">IF(((D899="")*AND(D900="")),"",(D899-D900)*3)</f>
        <v>8618.4299999999985</v>
      </c>
      <c r="E901" s="410">
        <f t="shared" si="295"/>
        <v>7666.5599999999995</v>
      </c>
      <c r="F901" s="410">
        <f t="shared" si="295"/>
        <v>7516.1999999999989</v>
      </c>
      <c r="G901" s="410">
        <f t="shared" si="295"/>
        <v>7530.7199999999993</v>
      </c>
      <c r="H901" s="410">
        <f t="shared" si="295"/>
        <v>7749.84</v>
      </c>
      <c r="I901" s="410">
        <f t="shared" si="295"/>
        <v>8533.11</v>
      </c>
      <c r="J901" s="410">
        <f t="shared" si="295"/>
        <v>7682.25</v>
      </c>
      <c r="K901" s="410">
        <f t="shared" si="295"/>
        <v>7482.9900000000016</v>
      </c>
      <c r="L901" s="410">
        <f t="shared" si="295"/>
        <v>7609.9800000000014</v>
      </c>
      <c r="M901" s="410"/>
      <c r="N901" s="410"/>
      <c r="O901" s="410"/>
      <c r="P901" s="410" t="str">
        <f>IF(((P899="")*AND(P900="")),"",(P899-P900)*2)</f>
        <v/>
      </c>
      <c r="Q901" s="404"/>
      <c r="R901" s="404"/>
      <c r="S901" s="404"/>
      <c r="T901" s="404"/>
      <c r="U901" s="404"/>
      <c r="V901" s="407"/>
      <c r="W901" s="420"/>
      <c r="X901" s="417"/>
      <c r="Y901" s="268"/>
      <c r="Z901" s="267"/>
      <c r="AA901" s="267"/>
      <c r="AB901" s="267"/>
      <c r="AC901" s="267"/>
      <c r="AD901" s="268"/>
      <c r="AE901" s="269"/>
    </row>
    <row r="902" spans="1:31" ht="15">
      <c r="A902" s="344">
        <v>43696</v>
      </c>
      <c r="B902" s="409" t="s">
        <v>200</v>
      </c>
      <c r="C902" s="409" t="s">
        <v>199</v>
      </c>
      <c r="D902" s="306">
        <v>6922.95</v>
      </c>
      <c r="E902" s="306">
        <v>7011.58</v>
      </c>
      <c r="F902" s="306">
        <v>6948.12</v>
      </c>
      <c r="G902" s="306">
        <v>7062.68</v>
      </c>
      <c r="H902" s="306">
        <v>7159.39</v>
      </c>
      <c r="I902" s="306">
        <v>7132.1</v>
      </c>
      <c r="J902" s="306">
        <v>7140.21</v>
      </c>
      <c r="K902" s="306">
        <v>7110.98</v>
      </c>
      <c r="L902" s="306">
        <v>7010.76</v>
      </c>
      <c r="M902" s="306">
        <v>7185.31</v>
      </c>
      <c r="N902" s="306">
        <v>7199.97</v>
      </c>
      <c r="O902" s="306">
        <v>7083.07</v>
      </c>
      <c r="P902" s="306">
        <v>7191.49</v>
      </c>
      <c r="Q902" s="409">
        <f>IF((L903=""),"",MAX(D904:P904))</f>
        <v>5845.3000000000011</v>
      </c>
      <c r="R902" s="409">
        <f>IF(L903="","",MIN(D904:L904))</f>
        <v>5651.7199999999993</v>
      </c>
      <c r="S902" s="400">
        <f>IF((P904=""),"",AVERAGE(D904:P904))</f>
        <v>5740.7969230769222</v>
      </c>
      <c r="T902" s="412">
        <f>IF((L903=""),"",(Q902-R902)/(Q902+R902)*100)</f>
        <v>1.6837406562744235</v>
      </c>
      <c r="U902" s="409">
        <f>STDEV(D904:P904)</f>
        <v>62.687727053152798</v>
      </c>
      <c r="V902" s="413" t="str">
        <f>IF(P903="","",IF(T902&lt;2.7,IF(S902&gt;5150,IF(S902&lt;5600,"Pass","Fail"),"Fail"),"Fail"))</f>
        <v>Fail</v>
      </c>
      <c r="W902" s="421" t="s">
        <v>215</v>
      </c>
      <c r="X902" s="402"/>
      <c r="Y902" s="268" t="s">
        <v>372</v>
      </c>
      <c r="Z902" s="321">
        <v>4470</v>
      </c>
      <c r="AA902" s="321">
        <v>6020</v>
      </c>
      <c r="AB902" s="321">
        <v>5150</v>
      </c>
      <c r="AC902" s="321">
        <v>5600</v>
      </c>
      <c r="AD902" s="305">
        <v>10</v>
      </c>
      <c r="AE902" s="322">
        <v>2.7</v>
      </c>
    </row>
    <row r="903" spans="1:31" ht="15">
      <c r="A903" s="390"/>
      <c r="B903" s="404"/>
      <c r="C903" s="404" t="s">
        <v>198</v>
      </c>
      <c r="D903" s="306">
        <v>4097.09</v>
      </c>
      <c r="E903" s="306">
        <v>4174.22</v>
      </c>
      <c r="F903" s="306">
        <v>4108.95</v>
      </c>
      <c r="G903" s="306">
        <v>4182.74</v>
      </c>
      <c r="H903" s="306">
        <v>4324.08</v>
      </c>
      <c r="I903" s="306">
        <v>4254.1899999999996</v>
      </c>
      <c r="J903" s="306">
        <v>4238.38</v>
      </c>
      <c r="K903" s="306">
        <v>4193.78</v>
      </c>
      <c r="L903" s="306">
        <v>4156.68</v>
      </c>
      <c r="M903" s="306">
        <v>4262.66</v>
      </c>
      <c r="N903" s="306">
        <v>4331.8500000000004</v>
      </c>
      <c r="O903" s="306">
        <v>4199.3500000000004</v>
      </c>
      <c r="P903" s="306">
        <v>4319.46</v>
      </c>
      <c r="Q903" s="404"/>
      <c r="R903" s="404"/>
      <c r="S903" s="404"/>
      <c r="T903" s="404"/>
      <c r="U903" s="404"/>
      <c r="V903" s="407"/>
      <c r="W903" s="404"/>
      <c r="X903" s="408"/>
      <c r="Y903" s="268"/>
      <c r="Z903" s="267"/>
      <c r="AA903" s="267"/>
      <c r="AB903" s="267"/>
      <c r="AC903" s="267"/>
      <c r="AD903" s="268"/>
      <c r="AE903" s="269"/>
    </row>
    <row r="904" spans="1:31" ht="57.75" thickBot="1">
      <c r="A904" s="393"/>
      <c r="B904" s="414"/>
      <c r="C904" s="414" t="s">
        <v>197</v>
      </c>
      <c r="D904" s="415">
        <f t="shared" ref="D904:P904" si="296">IF(((D902="")*AND(D903="")),"",(D902-D903)*2)</f>
        <v>5651.7199999999993</v>
      </c>
      <c r="E904" s="415">
        <f t="shared" si="296"/>
        <v>5674.7199999999993</v>
      </c>
      <c r="F904" s="415">
        <f t="shared" si="296"/>
        <v>5678.34</v>
      </c>
      <c r="G904" s="415">
        <f t="shared" si="296"/>
        <v>5759.880000000001</v>
      </c>
      <c r="H904" s="415">
        <f t="shared" si="296"/>
        <v>5670.6200000000008</v>
      </c>
      <c r="I904" s="415">
        <f t="shared" si="296"/>
        <v>5755.8200000000015</v>
      </c>
      <c r="J904" s="415">
        <f t="shared" si="296"/>
        <v>5803.66</v>
      </c>
      <c r="K904" s="415">
        <f t="shared" si="296"/>
        <v>5834.4</v>
      </c>
      <c r="L904" s="415">
        <f t="shared" si="296"/>
        <v>5708.16</v>
      </c>
      <c r="M904" s="415">
        <f t="shared" si="296"/>
        <v>5845.3000000000011</v>
      </c>
      <c r="N904" s="415">
        <f t="shared" si="296"/>
        <v>5736.24</v>
      </c>
      <c r="O904" s="415">
        <f t="shared" si="296"/>
        <v>5767.4399999999987</v>
      </c>
      <c r="P904" s="415">
        <f t="shared" si="296"/>
        <v>5744.0599999999995</v>
      </c>
      <c r="Q904" s="414"/>
      <c r="R904" s="414"/>
      <c r="S904" s="414"/>
      <c r="T904" s="414"/>
      <c r="U904" s="414"/>
      <c r="V904" s="416"/>
      <c r="W904" s="414"/>
      <c r="X904" s="417"/>
      <c r="Y904" s="268"/>
      <c r="Z904" s="267"/>
      <c r="AA904" s="267"/>
      <c r="AB904" s="267"/>
      <c r="AC904" s="267"/>
      <c r="AD904" s="268"/>
      <c r="AE904" s="269"/>
    </row>
    <row r="905" spans="1:31" ht="15">
      <c r="A905" s="344">
        <v>43697</v>
      </c>
      <c r="B905" s="409" t="s">
        <v>200</v>
      </c>
      <c r="C905" s="409" t="s">
        <v>199</v>
      </c>
      <c r="D905" s="306">
        <v>6920.71</v>
      </c>
      <c r="E905" s="306">
        <v>7027.26</v>
      </c>
      <c r="F905" s="306">
        <v>6934.57</v>
      </c>
      <c r="G905" s="306">
        <v>7067.68</v>
      </c>
      <c r="H905" s="306">
        <v>7181.35</v>
      </c>
      <c r="I905" s="306">
        <v>7149.29</v>
      </c>
      <c r="J905" s="306">
        <v>7144.8</v>
      </c>
      <c r="K905" s="306">
        <v>7106.43</v>
      </c>
      <c r="L905" s="306">
        <v>6995.05</v>
      </c>
      <c r="M905" s="306">
        <v>7188.95</v>
      </c>
      <c r="N905" s="306">
        <v>7210.92</v>
      </c>
      <c r="O905" s="306">
        <v>7073.48</v>
      </c>
      <c r="P905" s="306">
        <v>7191.75</v>
      </c>
      <c r="Q905" s="409">
        <f>IF((L906=""),"",MAX(D907:P907))</f>
        <v>5742.1399999999994</v>
      </c>
      <c r="R905" s="409">
        <f>IF(L906="","",MIN(D907:L907))</f>
        <v>5611.8599999999988</v>
      </c>
      <c r="S905" s="400">
        <f>IF((P907=""),"",AVERAGE(D907:P907))</f>
        <v>5686.8276923076928</v>
      </c>
      <c r="T905" s="412">
        <f>IF((L906=""),"",(Q905-R905)/(Q905+R905)*100)</f>
        <v>1.1474370265985614</v>
      </c>
      <c r="U905" s="409">
        <f>STDEV(D907:P907)</f>
        <v>40.339479866367803</v>
      </c>
      <c r="V905" s="413" t="str">
        <f>IF(P906="","",IF(T905&lt;2.7,IF(S905&gt;5150,IF(S905&lt;5600,"Pass","Fail"),"Fail"),"Fail"))</f>
        <v>Fail</v>
      </c>
      <c r="W905" s="409">
        <v>1340</v>
      </c>
      <c r="X905" s="402"/>
      <c r="Y905" s="268" t="s">
        <v>372</v>
      </c>
      <c r="Z905" s="321">
        <v>4470</v>
      </c>
      <c r="AA905" s="321">
        <v>6020</v>
      </c>
      <c r="AB905" s="321">
        <v>5150</v>
      </c>
      <c r="AC905" s="321">
        <v>5600</v>
      </c>
      <c r="AD905" s="305">
        <v>10</v>
      </c>
      <c r="AE905" s="322">
        <v>2.7</v>
      </c>
    </row>
    <row r="906" spans="1:31" ht="15">
      <c r="A906" s="390"/>
      <c r="B906" s="404"/>
      <c r="C906" s="404" t="s">
        <v>198</v>
      </c>
      <c r="D906" s="306">
        <v>4100.99</v>
      </c>
      <c r="E906" s="306">
        <v>4183.18</v>
      </c>
      <c r="F906" s="306">
        <v>4128.6400000000003</v>
      </c>
      <c r="G906" s="306">
        <v>4236.1099999999997</v>
      </c>
      <c r="H906" s="306">
        <v>4329.74</v>
      </c>
      <c r="I906" s="306">
        <v>4288.95</v>
      </c>
      <c r="J906" s="306">
        <v>4295.08</v>
      </c>
      <c r="K906" s="306">
        <v>4243.09</v>
      </c>
      <c r="L906" s="306">
        <v>4181.1499999999996</v>
      </c>
      <c r="M906" s="306">
        <v>4317.88</v>
      </c>
      <c r="N906" s="306">
        <v>4350.13</v>
      </c>
      <c r="O906" s="306">
        <v>4231.28</v>
      </c>
      <c r="P906" s="306">
        <v>4341.6400000000003</v>
      </c>
      <c r="Q906" s="404"/>
      <c r="R906" s="404"/>
      <c r="S906" s="404"/>
      <c r="T906" s="404"/>
      <c r="U906" s="404"/>
      <c r="V906" s="407"/>
      <c r="W906" s="404"/>
      <c r="X906" s="408"/>
      <c r="Y906" s="268"/>
      <c r="Z906" s="267"/>
      <c r="AA906" s="267"/>
      <c r="AB906" s="267"/>
      <c r="AC906" s="267"/>
      <c r="AD906" s="268"/>
      <c r="AE906" s="269"/>
    </row>
    <row r="907" spans="1:31" ht="57.75" thickBot="1">
      <c r="A907" s="393"/>
      <c r="B907" s="414"/>
      <c r="C907" s="414" t="s">
        <v>197</v>
      </c>
      <c r="D907" s="415">
        <f t="shared" ref="D907:P907" si="297">IF(((D905="")*AND(D906="")),"",(D905-D906)*2)</f>
        <v>5639.4400000000005</v>
      </c>
      <c r="E907" s="415">
        <f t="shared" si="297"/>
        <v>5688.16</v>
      </c>
      <c r="F907" s="415">
        <f t="shared" si="297"/>
        <v>5611.8599999999988</v>
      </c>
      <c r="G907" s="415">
        <f t="shared" si="297"/>
        <v>5663.1400000000012</v>
      </c>
      <c r="H907" s="415">
        <f t="shared" si="297"/>
        <v>5703.2200000000012</v>
      </c>
      <c r="I907" s="415">
        <f t="shared" si="297"/>
        <v>5720.68</v>
      </c>
      <c r="J907" s="415">
        <f t="shared" si="297"/>
        <v>5699.4400000000005</v>
      </c>
      <c r="K907" s="415">
        <f t="shared" si="297"/>
        <v>5726.68</v>
      </c>
      <c r="L907" s="415">
        <f t="shared" si="297"/>
        <v>5627.8000000000011</v>
      </c>
      <c r="M907" s="415">
        <f t="shared" si="297"/>
        <v>5742.1399999999994</v>
      </c>
      <c r="N907" s="415">
        <f t="shared" si="297"/>
        <v>5721.58</v>
      </c>
      <c r="O907" s="415">
        <f t="shared" si="297"/>
        <v>5684.4</v>
      </c>
      <c r="P907" s="415">
        <f t="shared" si="297"/>
        <v>5700.2199999999993</v>
      </c>
      <c r="Q907" s="414"/>
      <c r="R907" s="414"/>
      <c r="S907" s="414"/>
      <c r="T907" s="414"/>
      <c r="U907" s="414"/>
      <c r="V907" s="416"/>
      <c r="W907" s="414"/>
      <c r="X907" s="417"/>
      <c r="Y907" s="268"/>
      <c r="Z907" s="267"/>
      <c r="AA907" s="267"/>
      <c r="AB907" s="267"/>
      <c r="AC907" s="267"/>
      <c r="AD907" s="268"/>
      <c r="AE907" s="269"/>
    </row>
    <row r="908" spans="1:31" ht="15">
      <c r="A908" s="344">
        <v>43697</v>
      </c>
      <c r="B908" s="409" t="s">
        <v>200</v>
      </c>
      <c r="C908" s="409" t="s">
        <v>199</v>
      </c>
      <c r="D908" s="306">
        <v>4097.09</v>
      </c>
      <c r="E908" s="306">
        <v>4174.22</v>
      </c>
      <c r="F908" s="306">
        <v>4108.95</v>
      </c>
      <c r="G908" s="306">
        <v>4182.74</v>
      </c>
      <c r="H908" s="306">
        <v>4324.08</v>
      </c>
      <c r="I908" s="306">
        <v>4254.1899999999996</v>
      </c>
      <c r="J908" s="306">
        <v>4238.38</v>
      </c>
      <c r="K908" s="306">
        <v>4193.78</v>
      </c>
      <c r="L908" s="306">
        <v>4156.68</v>
      </c>
      <c r="M908" s="306">
        <v>4262.66</v>
      </c>
      <c r="N908" s="306">
        <v>4331.8500000000004</v>
      </c>
      <c r="O908" s="306">
        <v>4199.3500000000004</v>
      </c>
      <c r="P908" s="306">
        <v>4319.46</v>
      </c>
      <c r="Q908" s="409">
        <f>IF((L909=""),"",MAX(D910:P910))</f>
        <v>5759.0199999999995</v>
      </c>
      <c r="R908" s="409">
        <f>IF(L909="","",MIN(D910:L910))</f>
        <v>5615.32</v>
      </c>
      <c r="S908" s="400">
        <f>IF((P910=""),"",AVERAGE(D910:P910))</f>
        <v>5706.2215384615392</v>
      </c>
      <c r="T908" s="412">
        <f>IF((L909=""),"",(Q908-R908)/(Q908+R908)*100)</f>
        <v>1.2633700065234539</v>
      </c>
      <c r="U908" s="409">
        <f>STDEV(D910:P910)</f>
        <v>50.728618787686237</v>
      </c>
      <c r="V908" s="413" t="str">
        <f>IF(P909="","",IF(T908&lt;2.7,IF(S908&gt;5150,IF(S908&lt;5600,"Pass","Fail"),"Fail"),"Fail"))</f>
        <v>Fail</v>
      </c>
      <c r="W908" s="409">
        <v>1340</v>
      </c>
      <c r="X908" s="402"/>
      <c r="Y908" s="268" t="s">
        <v>372</v>
      </c>
      <c r="Z908" s="321">
        <v>4470</v>
      </c>
      <c r="AA908" s="321">
        <v>6020</v>
      </c>
      <c r="AB908" s="321">
        <v>5150</v>
      </c>
      <c r="AC908" s="321">
        <v>5600</v>
      </c>
      <c r="AD908" s="305">
        <v>10</v>
      </c>
      <c r="AE908" s="322">
        <v>2.7</v>
      </c>
    </row>
    <row r="909" spans="1:31" ht="15">
      <c r="A909" s="390"/>
      <c r="B909" s="404"/>
      <c r="C909" s="404" t="s">
        <v>198</v>
      </c>
      <c r="D909" s="306">
        <v>1277.8399999999999</v>
      </c>
      <c r="E909" s="306">
        <v>1320.85</v>
      </c>
      <c r="F909" s="306">
        <v>1301.29</v>
      </c>
      <c r="G909" s="306">
        <v>1341.36</v>
      </c>
      <c r="H909" s="306">
        <v>1455.24</v>
      </c>
      <c r="I909" s="306">
        <v>1376.55</v>
      </c>
      <c r="J909" s="306">
        <v>1378.34</v>
      </c>
      <c r="K909" s="306">
        <v>1316.9</v>
      </c>
      <c r="L909" s="306">
        <v>1341.21</v>
      </c>
      <c r="M909" s="306">
        <v>1383.15</v>
      </c>
      <c r="N909" s="306">
        <v>1452.51</v>
      </c>
      <c r="O909" s="306">
        <v>1350.7</v>
      </c>
      <c r="P909" s="306">
        <v>1457.05</v>
      </c>
      <c r="Q909" s="404"/>
      <c r="R909" s="404"/>
      <c r="S909" s="404"/>
      <c r="T909" s="404"/>
      <c r="U909" s="404"/>
      <c r="V909" s="407"/>
      <c r="W909" s="404"/>
      <c r="X909" s="408"/>
      <c r="Y909" s="268"/>
      <c r="Z909" s="267"/>
      <c r="AA909" s="267"/>
      <c r="AB909" s="267"/>
      <c r="AC909" s="267"/>
      <c r="AD909" s="268"/>
      <c r="AE909" s="269"/>
    </row>
    <row r="910" spans="1:31" ht="57.75" thickBot="1">
      <c r="A910" s="393"/>
      <c r="B910" s="414"/>
      <c r="C910" s="414" t="s">
        <v>197</v>
      </c>
      <c r="D910" s="415">
        <f t="shared" ref="D910:P910" si="298">IF(((D908="")*AND(D909="")),"",(D908-D909)*2)</f>
        <v>5638.5</v>
      </c>
      <c r="E910" s="415">
        <f t="shared" si="298"/>
        <v>5706.7400000000007</v>
      </c>
      <c r="F910" s="415">
        <f t="shared" si="298"/>
        <v>5615.32</v>
      </c>
      <c r="G910" s="415">
        <f t="shared" si="298"/>
        <v>5682.76</v>
      </c>
      <c r="H910" s="415">
        <f t="shared" si="298"/>
        <v>5737.68</v>
      </c>
      <c r="I910" s="415">
        <f t="shared" si="298"/>
        <v>5755.2799999999988</v>
      </c>
      <c r="J910" s="415">
        <f t="shared" si="298"/>
        <v>5720.08</v>
      </c>
      <c r="K910" s="415">
        <f t="shared" si="298"/>
        <v>5753.7599999999993</v>
      </c>
      <c r="L910" s="415">
        <f t="shared" si="298"/>
        <v>5630.9400000000005</v>
      </c>
      <c r="M910" s="415">
        <f t="shared" si="298"/>
        <v>5759.0199999999995</v>
      </c>
      <c r="N910" s="415">
        <f t="shared" si="298"/>
        <v>5758.68</v>
      </c>
      <c r="O910" s="415">
        <f t="shared" si="298"/>
        <v>5697.3000000000011</v>
      </c>
      <c r="P910" s="415">
        <f t="shared" si="298"/>
        <v>5724.82</v>
      </c>
      <c r="Q910" s="414"/>
      <c r="R910" s="414"/>
      <c r="S910" s="414"/>
      <c r="T910" s="414"/>
      <c r="U910" s="414"/>
      <c r="V910" s="416"/>
      <c r="W910" s="414"/>
      <c r="X910" s="417"/>
      <c r="Y910" s="268"/>
      <c r="Z910" s="267"/>
      <c r="AA910" s="267"/>
      <c r="AB910" s="267"/>
      <c r="AC910" s="267"/>
      <c r="AD910" s="268"/>
      <c r="AE910" s="269"/>
    </row>
    <row r="911" spans="1:31" ht="15">
      <c r="A911" s="344">
        <v>43697</v>
      </c>
      <c r="B911" s="409" t="s">
        <v>200</v>
      </c>
      <c r="C911" s="409" t="s">
        <v>199</v>
      </c>
      <c r="D911" s="306">
        <v>6909.52</v>
      </c>
      <c r="E911" s="306">
        <v>6995.47</v>
      </c>
      <c r="F911" s="306">
        <v>6940.17</v>
      </c>
      <c r="G911" s="306">
        <v>7064.42</v>
      </c>
      <c r="H911" s="306">
        <v>7148.66</v>
      </c>
      <c r="I911" s="306">
        <v>7126.1</v>
      </c>
      <c r="J911" s="306">
        <v>7143.02</v>
      </c>
      <c r="K911" s="306">
        <v>7111.5</v>
      </c>
      <c r="L911" s="306">
        <v>7001.16</v>
      </c>
      <c r="M911" s="306">
        <v>7190.21</v>
      </c>
      <c r="N911" s="306">
        <v>7202.35</v>
      </c>
      <c r="O911" s="306">
        <v>7088.3</v>
      </c>
      <c r="P911" s="306">
        <v>7208.64</v>
      </c>
      <c r="Q911" s="409">
        <f>IF((L912=""),"",MAX(D913:P913))</f>
        <v>5721.8799999999992</v>
      </c>
      <c r="R911" s="409">
        <f>IF(L912="","",MIN(D913:L913))</f>
        <v>5585.7800000000007</v>
      </c>
      <c r="S911" s="400">
        <f>IF((P913=""),"",AVERAGE(D913:P913))</f>
        <v>5663.2723076923085</v>
      </c>
      <c r="T911" s="412">
        <f>IF((L912=""),"",(Q911-R911)/(Q911+R911)*100)</f>
        <v>1.2036088810593752</v>
      </c>
      <c r="U911" s="409">
        <f>STDEV(D913:P913)</f>
        <v>44.043185275744541</v>
      </c>
      <c r="V911" s="413" t="str">
        <f>IF(P912="","",IF(T911&lt;2.7,IF(S911&gt;5150,IF(S911&lt;5600,"Pass","Fail"),"Fail"),"Fail"))</f>
        <v>Fail</v>
      </c>
      <c r="W911" s="409">
        <v>1340</v>
      </c>
      <c r="X911" s="402"/>
      <c r="Y911" s="268" t="s">
        <v>372</v>
      </c>
      <c r="Z911" s="321">
        <v>4470</v>
      </c>
      <c r="AA911" s="321">
        <v>6020</v>
      </c>
      <c r="AB911" s="321">
        <v>5150</v>
      </c>
      <c r="AC911" s="321">
        <v>5600</v>
      </c>
      <c r="AD911" s="305">
        <v>10</v>
      </c>
      <c r="AE911" s="322">
        <v>2.7</v>
      </c>
    </row>
    <row r="912" spans="1:31" ht="15">
      <c r="A912" s="390"/>
      <c r="B912" s="404"/>
      <c r="C912" s="404" t="s">
        <v>198</v>
      </c>
      <c r="D912" s="306">
        <v>4110.57</v>
      </c>
      <c r="E912" s="306">
        <v>4166.8500000000004</v>
      </c>
      <c r="F912" s="306">
        <v>4147.28</v>
      </c>
      <c r="G912" s="306">
        <v>4243.49</v>
      </c>
      <c r="H912" s="306">
        <v>4308.45</v>
      </c>
      <c r="I912" s="306">
        <v>4278.97</v>
      </c>
      <c r="J912" s="306">
        <v>4305.4399999999996</v>
      </c>
      <c r="K912" s="306">
        <v>4262.66</v>
      </c>
      <c r="L912" s="306">
        <v>4199.99</v>
      </c>
      <c r="M912" s="306">
        <v>4329.2700000000004</v>
      </c>
      <c r="N912" s="306">
        <v>4348.21</v>
      </c>
      <c r="O912" s="306">
        <v>4253.37</v>
      </c>
      <c r="P912" s="306">
        <v>4363.7</v>
      </c>
      <c r="Q912" s="404"/>
      <c r="R912" s="404"/>
      <c r="S912" s="404"/>
      <c r="T912" s="404"/>
      <c r="U912" s="404"/>
      <c r="V912" s="407"/>
      <c r="W912" s="404"/>
      <c r="X912" s="408"/>
      <c r="Y912" s="268"/>
      <c r="Z912" s="267"/>
      <c r="AA912" s="267"/>
      <c r="AB912" s="267"/>
      <c r="AC912" s="267"/>
      <c r="AD912" s="268"/>
      <c r="AE912" s="269"/>
    </row>
    <row r="913" spans="1:31" ht="57.75" thickBot="1">
      <c r="A913" s="393"/>
      <c r="B913" s="414"/>
      <c r="C913" s="414" t="s">
        <v>197</v>
      </c>
      <c r="D913" s="415">
        <f t="shared" ref="D913:P913" si="299">IF(((D911="")*AND(D912="")),"",(D911-D912)*2)</f>
        <v>5597.9000000000015</v>
      </c>
      <c r="E913" s="415">
        <f t="shared" si="299"/>
        <v>5657.24</v>
      </c>
      <c r="F913" s="415">
        <f t="shared" si="299"/>
        <v>5585.7800000000007</v>
      </c>
      <c r="G913" s="415">
        <f t="shared" si="299"/>
        <v>5641.8600000000006</v>
      </c>
      <c r="H913" s="415">
        <f t="shared" si="299"/>
        <v>5680.42</v>
      </c>
      <c r="I913" s="415">
        <f t="shared" si="299"/>
        <v>5694.26</v>
      </c>
      <c r="J913" s="415">
        <f t="shared" si="299"/>
        <v>5675.1600000000017</v>
      </c>
      <c r="K913" s="415">
        <f t="shared" si="299"/>
        <v>5697.68</v>
      </c>
      <c r="L913" s="415">
        <f t="shared" si="299"/>
        <v>5602.34</v>
      </c>
      <c r="M913" s="415">
        <f t="shared" si="299"/>
        <v>5721.8799999999992</v>
      </c>
      <c r="N913" s="415">
        <f t="shared" si="299"/>
        <v>5708.2800000000007</v>
      </c>
      <c r="O913" s="415">
        <f t="shared" si="299"/>
        <v>5669.8600000000006</v>
      </c>
      <c r="P913" s="415">
        <f t="shared" si="299"/>
        <v>5689.880000000001</v>
      </c>
      <c r="Q913" s="414"/>
      <c r="R913" s="414"/>
      <c r="S913" s="414"/>
      <c r="T913" s="414"/>
      <c r="U913" s="414"/>
      <c r="V913" s="416"/>
      <c r="W913" s="414"/>
      <c r="X913" s="417"/>
      <c r="Y913" s="268"/>
      <c r="Z913" s="267"/>
      <c r="AA913" s="267"/>
      <c r="AB913" s="267"/>
      <c r="AC913" s="267"/>
      <c r="AD913" s="268"/>
      <c r="AE913" s="269"/>
    </row>
    <row r="914" spans="1:31" ht="15">
      <c r="A914" s="344">
        <v>43698</v>
      </c>
      <c r="B914" s="409" t="s">
        <v>200</v>
      </c>
      <c r="C914" s="409" t="s">
        <v>199</v>
      </c>
      <c r="D914" s="306">
        <v>6919.57</v>
      </c>
      <c r="E914" s="306">
        <v>7017.52</v>
      </c>
      <c r="F914" s="306">
        <v>6944.65</v>
      </c>
      <c r="G914" s="306">
        <v>7068.67</v>
      </c>
      <c r="H914" s="306">
        <v>7183.63</v>
      </c>
      <c r="I914" s="306">
        <v>7152.42</v>
      </c>
      <c r="J914" s="306">
        <v>7149.47</v>
      </c>
      <c r="K914" s="306">
        <v>7114.18</v>
      </c>
      <c r="L914" s="306">
        <v>7008.05</v>
      </c>
      <c r="M914" s="306">
        <v>7198.5</v>
      </c>
      <c r="N914" s="306">
        <v>7230.92</v>
      </c>
      <c r="O914" s="306">
        <v>7086.28</v>
      </c>
      <c r="P914" s="306">
        <v>7212.06</v>
      </c>
      <c r="Q914" s="409">
        <f>IF((L915=""),"",MAX(D916:P916))</f>
        <v>5648.9</v>
      </c>
      <c r="R914" s="409">
        <f>IF(L915="","",MIN(D916:L916))</f>
        <v>5523.58</v>
      </c>
      <c r="S914" s="400">
        <f>IF((P916=""),"",AVERAGE(D916:P916))</f>
        <v>5596.2738461538456</v>
      </c>
      <c r="T914" s="412">
        <f>IF((L915=""),"",(Q914-R914)/(Q914+R914)*100)</f>
        <v>1.1216847110041792</v>
      </c>
      <c r="U914" s="409">
        <f>STDEV(D916:P916)</f>
        <v>39.562335105274144</v>
      </c>
      <c r="V914" s="413" t="str">
        <f>IF(P915="","",IF(T914&lt;2.7,IF(S914&gt;5150,IF(S914&lt;5600,"Pass","Fail"),"Fail"),"Fail"))</f>
        <v>Pass</v>
      </c>
      <c r="W914" s="409">
        <v>1340</v>
      </c>
      <c r="X914" s="402"/>
      <c r="Y914" s="268" t="s">
        <v>373</v>
      </c>
      <c r="Z914" s="321">
        <v>4470</v>
      </c>
      <c r="AA914" s="321">
        <v>6020</v>
      </c>
      <c r="AB914" s="321">
        <v>5150</v>
      </c>
      <c r="AC914" s="321">
        <v>5600</v>
      </c>
      <c r="AD914" s="305">
        <v>10</v>
      </c>
      <c r="AE914" s="322">
        <v>2.7</v>
      </c>
    </row>
    <row r="915" spans="1:31" ht="15">
      <c r="A915" s="390"/>
      <c r="B915" s="404"/>
      <c r="C915" s="404" t="s">
        <v>198</v>
      </c>
      <c r="D915" s="306">
        <v>4135.82</v>
      </c>
      <c r="E915" s="306">
        <v>4211.3500000000004</v>
      </c>
      <c r="F915" s="306">
        <v>4182.8599999999997</v>
      </c>
      <c r="G915" s="306">
        <v>4285.58</v>
      </c>
      <c r="H915" s="306">
        <v>4368.12</v>
      </c>
      <c r="I915" s="306">
        <v>4335.3</v>
      </c>
      <c r="J915" s="306">
        <v>4352.28</v>
      </c>
      <c r="K915" s="306">
        <v>4307.04</v>
      </c>
      <c r="L915" s="306">
        <v>4240.93</v>
      </c>
      <c r="M915" s="306">
        <v>4382.08</v>
      </c>
      <c r="N915" s="306">
        <v>4406.47</v>
      </c>
      <c r="O915" s="306">
        <v>4296.74</v>
      </c>
      <c r="P915" s="306">
        <v>4405.57</v>
      </c>
      <c r="Q915" s="404"/>
      <c r="R915" s="404"/>
      <c r="S915" s="404"/>
      <c r="T915" s="404"/>
      <c r="U915" s="404"/>
      <c r="V915" s="407"/>
      <c r="W915" s="404"/>
      <c r="X915" s="408"/>
      <c r="Y915" s="268"/>
      <c r="Z915" s="267"/>
      <c r="AA915" s="267"/>
      <c r="AB915" s="267"/>
      <c r="AC915" s="267"/>
      <c r="AD915" s="268"/>
      <c r="AE915" s="269"/>
    </row>
    <row r="916" spans="1:31" ht="57.75" thickBot="1">
      <c r="A916" s="393"/>
      <c r="B916" s="414"/>
      <c r="C916" s="414" t="s">
        <v>197</v>
      </c>
      <c r="D916" s="415">
        <f t="shared" ref="D916:P916" si="300">IF(((D914="")*AND(D915="")),"",(D914-D915)*2)</f>
        <v>5567.5</v>
      </c>
      <c r="E916" s="415">
        <f t="shared" si="300"/>
        <v>5612.34</v>
      </c>
      <c r="F916" s="415">
        <f t="shared" si="300"/>
        <v>5523.58</v>
      </c>
      <c r="G916" s="415">
        <f t="shared" si="300"/>
        <v>5566.18</v>
      </c>
      <c r="H916" s="415">
        <f t="shared" si="300"/>
        <v>5631.02</v>
      </c>
      <c r="I916" s="415">
        <f t="shared" si="300"/>
        <v>5634.24</v>
      </c>
      <c r="J916" s="415">
        <f t="shared" si="300"/>
        <v>5594.380000000001</v>
      </c>
      <c r="K916" s="415">
        <f t="shared" si="300"/>
        <v>5614.2800000000007</v>
      </c>
      <c r="L916" s="415">
        <f t="shared" si="300"/>
        <v>5534.24</v>
      </c>
      <c r="M916" s="415">
        <f t="shared" si="300"/>
        <v>5632.84</v>
      </c>
      <c r="N916" s="415">
        <f t="shared" si="300"/>
        <v>5648.9</v>
      </c>
      <c r="O916" s="415">
        <f t="shared" si="300"/>
        <v>5579.08</v>
      </c>
      <c r="P916" s="415">
        <f t="shared" si="300"/>
        <v>5612.9800000000014</v>
      </c>
      <c r="Q916" s="414"/>
      <c r="R916" s="414"/>
      <c r="S916" s="414"/>
      <c r="T916" s="414"/>
      <c r="U916" s="414"/>
      <c r="V916" s="416"/>
      <c r="W916" s="414"/>
      <c r="X916" s="417"/>
      <c r="Y916" s="268"/>
      <c r="Z916" s="267"/>
      <c r="AA916" s="267"/>
      <c r="AB916" s="267"/>
      <c r="AC916" s="267"/>
      <c r="AD916" s="268"/>
      <c r="AE916" s="269"/>
    </row>
    <row r="917" spans="1:31" ht="15">
      <c r="A917" s="344">
        <v>43698</v>
      </c>
      <c r="B917" s="409" t="s">
        <v>200</v>
      </c>
      <c r="C917" s="409" t="s">
        <v>199</v>
      </c>
      <c r="D917" s="306">
        <v>6914.46</v>
      </c>
      <c r="E917" s="306">
        <v>7006.37</v>
      </c>
      <c r="F917" s="306">
        <v>6942.18</v>
      </c>
      <c r="G917" s="306">
        <v>7060.18</v>
      </c>
      <c r="H917" s="306">
        <v>7166.16</v>
      </c>
      <c r="I917" s="306">
        <v>7136.73</v>
      </c>
      <c r="J917" s="306">
        <v>7139.23</v>
      </c>
      <c r="K917" s="306">
        <v>7107.07</v>
      </c>
      <c r="L917" s="306">
        <v>7004.45</v>
      </c>
      <c r="M917" s="306">
        <v>7187.36</v>
      </c>
      <c r="N917" s="306">
        <v>7214.69</v>
      </c>
      <c r="O917" s="306">
        <v>7081.26</v>
      </c>
      <c r="P917" s="306">
        <v>7206.08</v>
      </c>
      <c r="Q917" s="409">
        <f>IF((L918=""),"",MAX(D919:P919))</f>
        <v>5642.7199999999993</v>
      </c>
      <c r="R917" s="409">
        <f>IF(L918="","",MIN(D919:L919))</f>
        <v>5503.42</v>
      </c>
      <c r="S917" s="400">
        <f>IF((P919=""),"",AVERAGE(D919:P919))</f>
        <v>5582.3692307692309</v>
      </c>
      <c r="T917" s="412">
        <f>IF((L918=""),"",(Q917-R917)/(Q917+R917)*100)</f>
        <v>1.2497600066031762</v>
      </c>
      <c r="U917" s="409">
        <f>STDEV(D919:P919)</f>
        <v>43.079368314222059</v>
      </c>
      <c r="V917" s="413" t="str">
        <f>IF(P918="","",IF(T917&lt;2.7,IF(S917&gt;5150,IF(S917&lt;5600,"Pass","Fail"),"Fail"),"Fail"))</f>
        <v>Pass</v>
      </c>
      <c r="W917" s="409">
        <v>121</v>
      </c>
      <c r="X917" s="402"/>
      <c r="Y917" s="268" t="s">
        <v>375</v>
      </c>
      <c r="Z917" s="321">
        <v>4470</v>
      </c>
      <c r="AA917" s="321">
        <v>6020</v>
      </c>
      <c r="AB917" s="321">
        <v>5150</v>
      </c>
      <c r="AC917" s="321">
        <v>5600</v>
      </c>
      <c r="AD917" s="305">
        <v>10</v>
      </c>
      <c r="AE917" s="322">
        <v>2.7</v>
      </c>
    </row>
    <row r="918" spans="1:31" ht="15">
      <c r="A918" s="390"/>
      <c r="B918" s="404"/>
      <c r="C918" s="404" t="s">
        <v>198</v>
      </c>
      <c r="D918" s="306">
        <v>4142.5</v>
      </c>
      <c r="E918" s="306">
        <v>4211.3500000000004</v>
      </c>
      <c r="F918" s="306">
        <v>4190.47</v>
      </c>
      <c r="G918" s="306">
        <v>4283.63</v>
      </c>
      <c r="H918" s="306">
        <v>4360.12</v>
      </c>
      <c r="I918" s="306">
        <v>4325.2700000000004</v>
      </c>
      <c r="J918" s="306">
        <v>4348.1400000000003</v>
      </c>
      <c r="K918" s="306">
        <v>4308.3500000000004</v>
      </c>
      <c r="L918" s="306">
        <v>4246.4399999999996</v>
      </c>
      <c r="M918" s="306">
        <v>4374.8900000000003</v>
      </c>
      <c r="N918" s="306">
        <v>4393.33</v>
      </c>
      <c r="O918" s="306">
        <v>4296.26</v>
      </c>
      <c r="P918" s="306">
        <v>4400.07</v>
      </c>
      <c r="Q918" s="404"/>
      <c r="R918" s="404"/>
      <c r="S918" s="404"/>
      <c r="T918" s="404"/>
      <c r="U918" s="404"/>
      <c r="V918" s="407"/>
      <c r="W918" s="404"/>
      <c r="X918" s="408"/>
      <c r="Y918" s="268"/>
      <c r="Z918" s="267"/>
      <c r="AA918" s="267"/>
      <c r="AB918" s="267"/>
      <c r="AC918" s="267"/>
      <c r="AD918" s="268"/>
      <c r="AE918" s="269"/>
    </row>
    <row r="919" spans="1:31" ht="57.75" thickBot="1">
      <c r="A919" s="393"/>
      <c r="B919" s="414"/>
      <c r="C919" s="414" t="s">
        <v>197</v>
      </c>
      <c r="D919" s="415">
        <f t="shared" ref="D919:P919" si="301">IF(((D917="")*AND(D918="")),"",(D917-D918)*2)</f>
        <v>5543.92</v>
      </c>
      <c r="E919" s="415">
        <f t="shared" si="301"/>
        <v>5590.0399999999991</v>
      </c>
      <c r="F919" s="415">
        <f t="shared" si="301"/>
        <v>5503.42</v>
      </c>
      <c r="G919" s="415">
        <f t="shared" si="301"/>
        <v>5553.1</v>
      </c>
      <c r="H919" s="415">
        <f t="shared" si="301"/>
        <v>5612.08</v>
      </c>
      <c r="I919" s="415">
        <f t="shared" si="301"/>
        <v>5622.9199999999983</v>
      </c>
      <c r="J919" s="415">
        <f t="shared" si="301"/>
        <v>5582.1799999999985</v>
      </c>
      <c r="K919" s="415">
        <f t="shared" si="301"/>
        <v>5597.4399999999987</v>
      </c>
      <c r="L919" s="415">
        <f t="shared" si="301"/>
        <v>5516.02</v>
      </c>
      <c r="M919" s="415">
        <f t="shared" si="301"/>
        <v>5624.9399999999987</v>
      </c>
      <c r="N919" s="415">
        <f t="shared" si="301"/>
        <v>5642.7199999999993</v>
      </c>
      <c r="O919" s="415">
        <f t="shared" si="301"/>
        <v>5570</v>
      </c>
      <c r="P919" s="415">
        <f t="shared" si="301"/>
        <v>5612.02</v>
      </c>
      <c r="Q919" s="414"/>
      <c r="R919" s="414"/>
      <c r="S919" s="414"/>
      <c r="T919" s="414"/>
      <c r="U919" s="414"/>
      <c r="V919" s="416"/>
      <c r="W919" s="414"/>
      <c r="X919" s="417"/>
      <c r="Y919" s="268"/>
      <c r="Z919" s="267"/>
      <c r="AA919" s="267"/>
      <c r="AB919" s="267"/>
      <c r="AC919" s="267"/>
      <c r="AD919" s="268"/>
      <c r="AE919" s="269"/>
    </row>
    <row r="920" spans="1:31" ht="15">
      <c r="A920" s="344">
        <v>43700</v>
      </c>
      <c r="B920" s="395" t="s">
        <v>202</v>
      </c>
      <c r="C920" s="396" t="s">
        <v>199</v>
      </c>
      <c r="D920" s="306">
        <v>6130.24</v>
      </c>
      <c r="E920" s="306">
        <v>6218.67</v>
      </c>
      <c r="F920" s="306">
        <v>6188.54</v>
      </c>
      <c r="G920" s="306">
        <v>6182.76</v>
      </c>
      <c r="H920" s="306">
        <v>6184.19</v>
      </c>
      <c r="I920" s="306">
        <v>5954.98</v>
      </c>
      <c r="J920" s="306">
        <v>6212.85</v>
      </c>
      <c r="K920" s="306">
        <v>6200.1</v>
      </c>
      <c r="L920" s="306">
        <v>6132.75</v>
      </c>
      <c r="M920" s="398"/>
      <c r="N920" s="398"/>
      <c r="O920" s="398"/>
      <c r="P920" s="398"/>
      <c r="Q920" s="395">
        <f>IF((L921=""),"",MAX(D922:L922))</f>
        <v>8326.59</v>
      </c>
      <c r="R920" s="395">
        <f>IF(L921="","",MIN(D922:L922))</f>
        <v>7137.7500000000018</v>
      </c>
      <c r="S920" s="399">
        <f>IF((L922=""),"",AVERAGE(D922:L922))</f>
        <v>7460.0533333333342</v>
      </c>
      <c r="T920" s="400">
        <f>IF((L921=""),"",(Q920-R920)/(Q920+R920)*100)</f>
        <v>7.6876219741676532</v>
      </c>
      <c r="U920" s="395">
        <f>STDEV(D922:P922)</f>
        <v>400.64365628944324</v>
      </c>
      <c r="V920" s="401" t="str">
        <f>IF(L921="","",IF(T920&lt;9.8,IF(S920&gt;5100,IF(S920&lt;8300,"Pass","Fail"),"Fail"),"Fail"))</f>
        <v>Pass</v>
      </c>
      <c r="W920" s="395" t="s">
        <v>161</v>
      </c>
      <c r="X920" s="402" t="s">
        <v>377</v>
      </c>
      <c r="Y920" s="268"/>
      <c r="Z920" s="267">
        <v>4955</v>
      </c>
      <c r="AA920" s="267">
        <v>9645</v>
      </c>
      <c r="AB920" s="267">
        <v>5100</v>
      </c>
      <c r="AC920" s="267">
        <v>8300</v>
      </c>
      <c r="AD920" s="305">
        <v>10</v>
      </c>
      <c r="AE920" s="305">
        <v>9.8000000000000007</v>
      </c>
    </row>
    <row r="921" spans="1:31" ht="15">
      <c r="A921" s="390"/>
      <c r="B921" s="404"/>
      <c r="C921" s="405" t="s">
        <v>198</v>
      </c>
      <c r="D921" s="306">
        <v>3496.2</v>
      </c>
      <c r="E921" s="306">
        <v>3775.91</v>
      </c>
      <c r="F921" s="306">
        <v>3808.56</v>
      </c>
      <c r="G921" s="306">
        <v>3782.53</v>
      </c>
      <c r="H921" s="306">
        <v>3688.26</v>
      </c>
      <c r="I921" s="306">
        <v>3179.45</v>
      </c>
      <c r="J921" s="306">
        <v>3773.14</v>
      </c>
      <c r="K921" s="306">
        <v>3820.85</v>
      </c>
      <c r="L921" s="306">
        <v>3700.02</v>
      </c>
      <c r="M921" s="406"/>
      <c r="N921" s="406"/>
      <c r="O921" s="406"/>
      <c r="P921" s="406"/>
      <c r="Q921" s="404"/>
      <c r="R921" s="404"/>
      <c r="S921" s="404"/>
      <c r="T921" s="404"/>
      <c r="U921" s="404"/>
      <c r="V921" s="407"/>
      <c r="W921" s="404"/>
      <c r="X921" s="408"/>
      <c r="Y921" s="268"/>
      <c r="Z921" s="267"/>
      <c r="AA921" s="267"/>
      <c r="AB921" s="267"/>
      <c r="AC921" s="267"/>
      <c r="AD921" s="268"/>
      <c r="AE921" s="269"/>
    </row>
    <row r="922" spans="1:31" ht="57.75" thickBot="1">
      <c r="A922" s="390"/>
      <c r="B922" s="404"/>
      <c r="C922" s="409" t="s">
        <v>197</v>
      </c>
      <c r="D922" s="410">
        <f t="shared" ref="D922:L922" si="302">IF(((D920="")*AND(D921="")),"",(D920-D921)*3)</f>
        <v>7902.12</v>
      </c>
      <c r="E922" s="410">
        <f t="shared" si="302"/>
        <v>7328.2800000000007</v>
      </c>
      <c r="F922" s="410">
        <f t="shared" si="302"/>
        <v>7139.9400000000005</v>
      </c>
      <c r="G922" s="410">
        <f t="shared" si="302"/>
        <v>7200.6900000000005</v>
      </c>
      <c r="H922" s="410">
        <f t="shared" si="302"/>
        <v>7487.7899999999981</v>
      </c>
      <c r="I922" s="410">
        <f t="shared" si="302"/>
        <v>8326.59</v>
      </c>
      <c r="J922" s="410">
        <f t="shared" si="302"/>
        <v>7319.130000000001</v>
      </c>
      <c r="K922" s="410">
        <f t="shared" si="302"/>
        <v>7137.7500000000018</v>
      </c>
      <c r="L922" s="410">
        <f t="shared" si="302"/>
        <v>7298.1900000000005</v>
      </c>
      <c r="M922" s="410"/>
      <c r="N922" s="410"/>
      <c r="O922" s="410"/>
      <c r="P922" s="410" t="str">
        <f>IF(((P920="")*AND(P921="")),"",(P920-P921)*2)</f>
        <v/>
      </c>
      <c r="Q922" s="404"/>
      <c r="R922" s="404"/>
      <c r="S922" s="404"/>
      <c r="T922" s="404"/>
      <c r="U922" s="404"/>
      <c r="V922" s="407"/>
      <c r="W922" s="404"/>
      <c r="X922" s="417"/>
      <c r="Y922" s="268"/>
      <c r="Z922" s="267"/>
      <c r="AA922" s="267"/>
      <c r="AB922" s="267"/>
      <c r="AC922" s="267"/>
      <c r="AD922" s="268"/>
      <c r="AE922" s="269"/>
    </row>
    <row r="923" spans="1:31" ht="15">
      <c r="A923" s="344">
        <v>43700</v>
      </c>
      <c r="B923" s="409" t="s">
        <v>200</v>
      </c>
      <c r="C923" s="409" t="s">
        <v>199</v>
      </c>
      <c r="D923" s="306">
        <v>6923.24</v>
      </c>
      <c r="E923" s="306">
        <v>7042.14</v>
      </c>
      <c r="F923" s="306">
        <v>6928.61</v>
      </c>
      <c r="G923" s="306">
        <v>7076.44</v>
      </c>
      <c r="H923" s="306">
        <v>7196.15</v>
      </c>
      <c r="I923" s="306">
        <v>7163.47</v>
      </c>
      <c r="J923" s="306">
        <v>7151.73</v>
      </c>
      <c r="K923" s="306">
        <v>7106.51</v>
      </c>
      <c r="L923" s="306">
        <v>6989.35</v>
      </c>
      <c r="M923" s="306">
        <v>7193.2</v>
      </c>
      <c r="N923" s="306">
        <v>7216.54</v>
      </c>
      <c r="O923" s="306">
        <v>7065.22</v>
      </c>
      <c r="P923" s="306">
        <v>7184.73</v>
      </c>
      <c r="Q923" s="409">
        <f>IF((L924=""),"",MAX(D925:P925))</f>
        <v>5616.3599999999988</v>
      </c>
      <c r="R923" s="409">
        <f>IF(L924="","",MIN(D925:L925))</f>
        <v>5496.26</v>
      </c>
      <c r="S923" s="400">
        <f>IF((P925=""),"",AVERAGE(D925:P925))</f>
        <v>5563.7938461538452</v>
      </c>
      <c r="T923" s="412">
        <f>IF((L924=""),"",(Q923-R923)/(Q923+R923)*100)</f>
        <v>1.080753233710849</v>
      </c>
      <c r="U923" s="409">
        <f>STDEV(D925:P925)</f>
        <v>39.125244523006401</v>
      </c>
      <c r="V923" s="413" t="str">
        <f>IF(P924="","",IF(T923&lt;2.7,IF(S923&gt;5150,IF(S923&lt;5600,"Pass","Fail"),"Fail"),"Fail"))</f>
        <v>Pass</v>
      </c>
      <c r="W923" s="409" t="s">
        <v>161</v>
      </c>
      <c r="X923" s="402" t="s">
        <v>377</v>
      </c>
      <c r="Y923" s="268"/>
      <c r="Z923" s="321">
        <v>4470</v>
      </c>
      <c r="AA923" s="321">
        <v>6020</v>
      </c>
      <c r="AB923" s="321">
        <v>5150</v>
      </c>
      <c r="AC923" s="321">
        <v>5600</v>
      </c>
      <c r="AD923" s="305">
        <v>10</v>
      </c>
      <c r="AE923" s="322">
        <v>2.7</v>
      </c>
    </row>
    <row r="924" spans="1:31" ht="15">
      <c r="A924" s="390"/>
      <c r="B924" s="404"/>
      <c r="C924" s="404" t="s">
        <v>198</v>
      </c>
      <c r="D924" s="306">
        <v>4166.71</v>
      </c>
      <c r="E924" s="306">
        <v>4263.57</v>
      </c>
      <c r="F924" s="306">
        <v>4180.4799999999996</v>
      </c>
      <c r="G924" s="306">
        <v>4304.37</v>
      </c>
      <c r="H924" s="306">
        <v>4406.99</v>
      </c>
      <c r="I924" s="306">
        <v>4361</v>
      </c>
      <c r="J924" s="306">
        <v>4365.43</v>
      </c>
      <c r="K924" s="306">
        <v>4312.28</v>
      </c>
      <c r="L924" s="306">
        <v>4235.72</v>
      </c>
      <c r="M924" s="306">
        <v>4385.0200000000004</v>
      </c>
      <c r="N924" s="306">
        <v>4412.78</v>
      </c>
      <c r="O924" s="306">
        <v>4284.6499999999996</v>
      </c>
      <c r="P924" s="306">
        <v>4393.67</v>
      </c>
      <c r="Q924" s="404"/>
      <c r="R924" s="404"/>
      <c r="S924" s="404"/>
      <c r="T924" s="404"/>
      <c r="U924" s="404"/>
      <c r="V924" s="407"/>
      <c r="W924" s="404"/>
      <c r="X924" s="408"/>
      <c r="Y924" s="268"/>
      <c r="Z924" s="267"/>
      <c r="AA924" s="267"/>
      <c r="AB924" s="267"/>
      <c r="AC924" s="267"/>
      <c r="AD924" s="268"/>
      <c r="AE924" s="269"/>
    </row>
    <row r="925" spans="1:31" ht="57.75" thickBot="1">
      <c r="A925" s="393"/>
      <c r="B925" s="414"/>
      <c r="C925" s="414" t="s">
        <v>197</v>
      </c>
      <c r="D925" s="415">
        <f t="shared" ref="D925:P925" si="303">IF(((D923="")*AND(D924="")),"",(D923-D924)*2)</f>
        <v>5513.0599999999995</v>
      </c>
      <c r="E925" s="415">
        <f t="shared" si="303"/>
        <v>5557.1400000000012</v>
      </c>
      <c r="F925" s="415">
        <f t="shared" si="303"/>
        <v>5496.26</v>
      </c>
      <c r="G925" s="415">
        <f t="shared" si="303"/>
        <v>5544.1399999999994</v>
      </c>
      <c r="H925" s="415">
        <f t="shared" si="303"/>
        <v>5578.32</v>
      </c>
      <c r="I925" s="415">
        <f t="shared" si="303"/>
        <v>5604.9400000000005</v>
      </c>
      <c r="J925" s="415">
        <f t="shared" si="303"/>
        <v>5572.5999999999985</v>
      </c>
      <c r="K925" s="415">
        <f t="shared" si="303"/>
        <v>5588.4600000000009</v>
      </c>
      <c r="L925" s="415">
        <f t="shared" si="303"/>
        <v>5507.26</v>
      </c>
      <c r="M925" s="415">
        <f t="shared" si="303"/>
        <v>5616.3599999999988</v>
      </c>
      <c r="N925" s="415">
        <f t="shared" si="303"/>
        <v>5607.52</v>
      </c>
      <c r="O925" s="415">
        <f t="shared" si="303"/>
        <v>5561.1400000000012</v>
      </c>
      <c r="P925" s="415">
        <f t="shared" si="303"/>
        <v>5582.119999999999</v>
      </c>
      <c r="Q925" s="414"/>
      <c r="R925" s="414"/>
      <c r="S925" s="414"/>
      <c r="T925" s="414"/>
      <c r="U925" s="414"/>
      <c r="V925" s="416"/>
      <c r="W925" s="414"/>
      <c r="X925" s="417"/>
      <c r="Y925" s="268"/>
      <c r="Z925" s="267"/>
      <c r="AA925" s="267"/>
      <c r="AB925" s="267"/>
      <c r="AC925" s="267"/>
      <c r="AD925" s="268"/>
      <c r="AE925" s="269"/>
    </row>
    <row r="926" spans="1:31" ht="15">
      <c r="A926" s="344">
        <v>43704</v>
      </c>
      <c r="B926" s="395" t="s">
        <v>202</v>
      </c>
      <c r="C926" s="396" t="s">
        <v>199</v>
      </c>
      <c r="D926" s="306">
        <v>6112.39</v>
      </c>
      <c r="E926" s="306">
        <v>6217.55</v>
      </c>
      <c r="F926" s="306">
        <v>6198.4</v>
      </c>
      <c r="G926" s="306">
        <v>6192.28</v>
      </c>
      <c r="H926" s="306">
        <v>6182.53</v>
      </c>
      <c r="I926" s="306">
        <v>5946.48</v>
      </c>
      <c r="J926" s="306">
        <v>6216.54</v>
      </c>
      <c r="K926" s="306">
        <v>6204.51</v>
      </c>
      <c r="L926" s="306">
        <v>6140.52</v>
      </c>
      <c r="M926" s="398"/>
      <c r="N926" s="398"/>
      <c r="O926" s="398"/>
      <c r="P926" s="398"/>
      <c r="Q926" s="395">
        <f>IF((L927=""),"",MAX(D928:L928))</f>
        <v>8357.0099999999984</v>
      </c>
      <c r="R926" s="395">
        <f>IF(L927="","",MIN(D928:L928))</f>
        <v>7082.07</v>
      </c>
      <c r="S926" s="399">
        <f>IF((L928=""),"",AVERAGE(D928:L928))</f>
        <v>7428.34</v>
      </c>
      <c r="T926" s="400">
        <f>IF((L927=""),"",(Q926-R926)/(Q926+R926)*100)</f>
        <v>8.2578754692637055</v>
      </c>
      <c r="U926" s="395">
        <f>STDEV(D928:P928)</f>
        <v>413.41167000946172</v>
      </c>
      <c r="V926" s="401" t="str">
        <f>IF(L927="","",IF(T926&lt;9.8,IF(S926&gt;5100,IF(S926&lt;8300,"Pass","Fail"),"Fail"),"Fail"))</f>
        <v>Pass</v>
      </c>
      <c r="W926" s="395">
        <v>1159</v>
      </c>
      <c r="X926" s="402" t="s">
        <v>379</v>
      </c>
      <c r="Y926" s="268"/>
      <c r="Z926" s="267">
        <v>4955</v>
      </c>
      <c r="AA926" s="267">
        <v>9645</v>
      </c>
      <c r="AB926" s="267">
        <v>5100</v>
      </c>
      <c r="AC926" s="267">
        <v>8300</v>
      </c>
      <c r="AD926" s="305">
        <v>10</v>
      </c>
      <c r="AE926" s="305">
        <v>9.8000000000000007</v>
      </c>
    </row>
    <row r="927" spans="1:31" ht="15">
      <c r="A927" s="390"/>
      <c r="B927" s="404"/>
      <c r="C927" s="405" t="s">
        <v>198</v>
      </c>
      <c r="D927" s="306">
        <v>3506.66</v>
      </c>
      <c r="E927" s="306">
        <v>3793.52</v>
      </c>
      <c r="F927" s="306">
        <v>3829.49</v>
      </c>
      <c r="G927" s="306">
        <v>3800.61</v>
      </c>
      <c r="H927" s="306">
        <v>3692.26</v>
      </c>
      <c r="I927" s="306">
        <v>3160.81</v>
      </c>
      <c r="J927" s="306">
        <v>3787.55</v>
      </c>
      <c r="K927" s="306">
        <v>3843.82</v>
      </c>
      <c r="L927" s="306">
        <v>3711.46</v>
      </c>
      <c r="M927" s="406"/>
      <c r="N927" s="406"/>
      <c r="O927" s="406"/>
      <c r="P927" s="406"/>
      <c r="Q927" s="404"/>
      <c r="R927" s="404"/>
      <c r="S927" s="404"/>
      <c r="T927" s="404"/>
      <c r="U927" s="404"/>
      <c r="V927" s="407"/>
      <c r="W927" s="404"/>
      <c r="X927" s="408"/>
      <c r="Y927" s="268"/>
      <c r="Z927" s="267"/>
      <c r="AA927" s="267"/>
      <c r="AB927" s="267"/>
      <c r="AC927" s="267"/>
      <c r="AD927" s="268"/>
      <c r="AE927" s="269"/>
    </row>
    <row r="928" spans="1:31" ht="57.75" thickBot="1">
      <c r="A928" s="390"/>
      <c r="B928" s="404"/>
      <c r="C928" s="409" t="s">
        <v>197</v>
      </c>
      <c r="D928" s="410">
        <f t="shared" ref="D928:L928" si="304">IF(((D926="")*AND(D927="")),"",(D926-D927)*3)</f>
        <v>7817.1900000000014</v>
      </c>
      <c r="E928" s="410">
        <f t="shared" si="304"/>
        <v>7272.09</v>
      </c>
      <c r="F928" s="410">
        <f t="shared" si="304"/>
        <v>7106.73</v>
      </c>
      <c r="G928" s="410">
        <f t="shared" si="304"/>
        <v>7175.0099999999984</v>
      </c>
      <c r="H928" s="410">
        <f t="shared" si="304"/>
        <v>7470.8099999999986</v>
      </c>
      <c r="I928" s="410">
        <f t="shared" si="304"/>
        <v>8357.0099999999984</v>
      </c>
      <c r="J928" s="410">
        <f t="shared" si="304"/>
        <v>7286.9699999999993</v>
      </c>
      <c r="K928" s="410">
        <f t="shared" si="304"/>
        <v>7082.07</v>
      </c>
      <c r="L928" s="410">
        <f t="shared" si="304"/>
        <v>7287.1800000000012</v>
      </c>
      <c r="M928" s="410"/>
      <c r="N928" s="410"/>
      <c r="O928" s="410"/>
      <c r="P928" s="410" t="str">
        <f>IF(((P926="")*AND(P927="")),"",(P926-P927)*2)</f>
        <v/>
      </c>
      <c r="Q928" s="404"/>
      <c r="R928" s="404"/>
      <c r="S928" s="404"/>
      <c r="T928" s="404"/>
      <c r="U928" s="404"/>
      <c r="V928" s="407"/>
      <c r="W928" s="404"/>
      <c r="X928" s="417"/>
      <c r="Y928" s="268"/>
      <c r="Z928" s="267"/>
      <c r="AA928" s="267"/>
      <c r="AB928" s="267"/>
      <c r="AC928" s="267"/>
      <c r="AD928" s="268"/>
      <c r="AE928" s="269"/>
    </row>
    <row r="929" spans="1:31" ht="15">
      <c r="A929" s="344">
        <v>43704</v>
      </c>
      <c r="B929" s="409" t="s">
        <v>200</v>
      </c>
      <c r="C929" s="409" t="s">
        <v>199</v>
      </c>
      <c r="D929" s="306">
        <v>6911.86</v>
      </c>
      <c r="E929" s="306">
        <v>7007.02</v>
      </c>
      <c r="F929" s="306">
        <v>6942.85</v>
      </c>
      <c r="G929" s="306">
        <v>7065.13</v>
      </c>
      <c r="H929" s="306">
        <v>7169.46</v>
      </c>
      <c r="I929" s="306">
        <v>7141.86</v>
      </c>
      <c r="J929" s="306">
        <v>7145.59</v>
      </c>
      <c r="K929" s="306">
        <v>7108.87</v>
      </c>
      <c r="L929" s="306">
        <v>7004.15</v>
      </c>
      <c r="M929" s="306">
        <v>7192.82</v>
      </c>
      <c r="N929" s="306">
        <v>7222.48</v>
      </c>
      <c r="O929" s="306">
        <v>7082.77</v>
      </c>
      <c r="P929" s="306">
        <v>7209.75</v>
      </c>
      <c r="Q929" s="409">
        <f>IF((L930=""),"",MAX(D931:P931))</f>
        <v>5582.6999999999989</v>
      </c>
      <c r="R929" s="409">
        <f>IF(L930="","",MIN(D931:L931))</f>
        <v>5452.2000000000007</v>
      </c>
      <c r="S929" s="400">
        <f>IF((P931=""),"",AVERAGE(D931:P931))</f>
        <v>5523.123076923076</v>
      </c>
      <c r="T929" s="412">
        <f>IF((L930=""),"",(Q929-R929)/(Q929+R929)*100)</f>
        <v>1.1826115325014108</v>
      </c>
      <c r="U929" s="409">
        <f>STDEV(D931:P931)</f>
        <v>42.131221080704179</v>
      </c>
      <c r="V929" s="413" t="str">
        <f>IF(P930="","",IF(T929&lt;2.7,IF(S929&gt;5150,IF(S929&lt;5600,"Pass","Fail"),"Fail"),"Fail"))</f>
        <v>Pass</v>
      </c>
      <c r="W929" s="409">
        <v>1159</v>
      </c>
      <c r="X929" s="402" t="s">
        <v>379</v>
      </c>
      <c r="Y929" s="268"/>
      <c r="Z929" s="321">
        <v>4470</v>
      </c>
      <c r="AA929" s="321">
        <v>6020</v>
      </c>
      <c r="AB929" s="321">
        <v>5150</v>
      </c>
      <c r="AC929" s="321">
        <v>5600</v>
      </c>
      <c r="AD929" s="305">
        <v>10</v>
      </c>
      <c r="AE929" s="322">
        <v>2.7</v>
      </c>
    </row>
    <row r="930" spans="1:31" ht="15">
      <c r="A930" s="390"/>
      <c r="B930" s="404"/>
      <c r="C930" s="404" t="s">
        <v>198</v>
      </c>
      <c r="D930" s="306">
        <v>4159.71</v>
      </c>
      <c r="E930" s="306">
        <v>4232.87</v>
      </c>
      <c r="F930" s="306">
        <v>4216.75</v>
      </c>
      <c r="G930" s="306">
        <v>4319.1499999999996</v>
      </c>
      <c r="H930" s="306">
        <v>4386.34</v>
      </c>
      <c r="I930" s="306">
        <v>4356.83</v>
      </c>
      <c r="J930" s="306">
        <v>4389.41</v>
      </c>
      <c r="K930" s="306">
        <v>4346.2</v>
      </c>
      <c r="L930" s="306">
        <v>4277.71</v>
      </c>
      <c r="M930" s="306">
        <v>4417.3599999999997</v>
      </c>
      <c r="N930" s="306">
        <v>4431.13</v>
      </c>
      <c r="O930" s="306">
        <v>4332.3500000000004</v>
      </c>
      <c r="P930" s="306">
        <v>4438.5</v>
      </c>
      <c r="Q930" s="404"/>
      <c r="R930" s="404"/>
      <c r="S930" s="404"/>
      <c r="T930" s="404"/>
      <c r="U930" s="404"/>
      <c r="V930" s="407"/>
      <c r="W930" s="404"/>
      <c r="X930" s="408"/>
      <c r="Y930" s="268"/>
      <c r="Z930" s="267"/>
      <c r="AA930" s="267"/>
      <c r="AB930" s="267"/>
      <c r="AC930" s="267"/>
      <c r="AD930" s="268"/>
      <c r="AE930" s="269"/>
    </row>
    <row r="931" spans="1:31" ht="57.75" thickBot="1">
      <c r="A931" s="393"/>
      <c r="B931" s="414"/>
      <c r="C931" s="414" t="s">
        <v>197</v>
      </c>
      <c r="D931" s="415">
        <f t="shared" ref="D931:P931" si="305">IF(((D929="")*AND(D930="")),"",(D929-D930)*2)</f>
        <v>5504.2999999999993</v>
      </c>
      <c r="E931" s="415">
        <f t="shared" si="305"/>
        <v>5548.3000000000011</v>
      </c>
      <c r="F931" s="415">
        <f t="shared" si="305"/>
        <v>5452.2000000000007</v>
      </c>
      <c r="G931" s="415">
        <f t="shared" si="305"/>
        <v>5491.9600000000009</v>
      </c>
      <c r="H931" s="415">
        <f t="shared" si="305"/>
        <v>5566.24</v>
      </c>
      <c r="I931" s="415">
        <f t="shared" si="305"/>
        <v>5570.0599999999995</v>
      </c>
      <c r="J931" s="415">
        <f t="shared" si="305"/>
        <v>5512.3600000000006</v>
      </c>
      <c r="K931" s="415">
        <f t="shared" si="305"/>
        <v>5525.34</v>
      </c>
      <c r="L931" s="415">
        <f t="shared" si="305"/>
        <v>5452.8799999999992</v>
      </c>
      <c r="M931" s="415">
        <f t="shared" si="305"/>
        <v>5550.92</v>
      </c>
      <c r="N931" s="415">
        <f t="shared" si="305"/>
        <v>5582.6999999999989</v>
      </c>
      <c r="O931" s="415">
        <f t="shared" si="305"/>
        <v>5500.84</v>
      </c>
      <c r="P931" s="415">
        <f t="shared" si="305"/>
        <v>5542.5</v>
      </c>
      <c r="Q931" s="414"/>
      <c r="R931" s="414"/>
      <c r="S931" s="414"/>
      <c r="T931" s="414"/>
      <c r="U931" s="414"/>
      <c r="V931" s="416"/>
      <c r="W931" s="414"/>
      <c r="X931" s="417"/>
      <c r="Y931" s="268"/>
      <c r="Z931" s="267"/>
      <c r="AA931" s="267"/>
      <c r="AB931" s="267"/>
      <c r="AC931" s="267"/>
      <c r="AD931" s="268"/>
      <c r="AE931" s="269"/>
    </row>
    <row r="932" spans="1:31" ht="15">
      <c r="A932" s="344">
        <v>43709</v>
      </c>
      <c r="B932" s="395" t="s">
        <v>202</v>
      </c>
      <c r="C932" s="396" t="s">
        <v>199</v>
      </c>
      <c r="D932" s="306">
        <v>3508.19</v>
      </c>
      <c r="E932" s="306">
        <v>3801.02</v>
      </c>
      <c r="F932" s="306">
        <v>3828.7</v>
      </c>
      <c r="G932" s="306">
        <v>3804.33</v>
      </c>
      <c r="H932" s="306">
        <v>3704.9</v>
      </c>
      <c r="I932" s="306">
        <v>3156.71</v>
      </c>
      <c r="J932" s="306">
        <v>3792.97</v>
      </c>
      <c r="K932" s="306">
        <v>3841.12</v>
      </c>
      <c r="L932" s="306">
        <v>3716.41</v>
      </c>
      <c r="M932" s="398"/>
      <c r="N932" s="398"/>
      <c r="O932" s="398"/>
      <c r="P932" s="398"/>
      <c r="Q932" s="395">
        <f>IF((L933=""),"",MAX(D934:L934))</f>
        <v>7756.32</v>
      </c>
      <c r="R932" s="395">
        <f>IF(L933="","",MIN(D934:L934))</f>
        <v>6559.14</v>
      </c>
      <c r="S932" s="399">
        <f>IF((L934=""),"",AVERAGE(D934:L934))</f>
        <v>6980.373333333333</v>
      </c>
      <c r="T932" s="400">
        <f>IF((L933=""),"",(Q932-R932)/(Q932+R932)*100)</f>
        <v>8.3628468802259892</v>
      </c>
      <c r="U932" s="395">
        <f>STDEV(D934:P934)</f>
        <v>447.74598124941406</v>
      </c>
      <c r="V932" s="401" t="str">
        <f>IF(L933="","",IF(T932&lt;9.8,IF(S932&gt;5100,IF(S932&lt;8300,"Pass","Fail"),"Fail"),"Fail"))</f>
        <v>Pass</v>
      </c>
      <c r="W932" s="395">
        <v>1428</v>
      </c>
      <c r="X932" s="402" t="s">
        <v>380</v>
      </c>
      <c r="Y932" s="268"/>
      <c r="Z932" s="267">
        <v>4955</v>
      </c>
      <c r="AA932" s="267">
        <v>9645</v>
      </c>
      <c r="AB932" s="267">
        <v>5100</v>
      </c>
      <c r="AC932" s="267">
        <v>8300</v>
      </c>
      <c r="AD932" s="305">
        <v>10</v>
      </c>
      <c r="AE932" s="305">
        <v>9.8000000000000007</v>
      </c>
    </row>
    <row r="933" spans="1:31" ht="15">
      <c r="A933" s="390"/>
      <c r="B933" s="404"/>
      <c r="C933" s="405" t="s">
        <v>198</v>
      </c>
      <c r="D933" s="306">
        <v>922.75</v>
      </c>
      <c r="E933" s="306">
        <v>1603.75</v>
      </c>
      <c r="F933" s="306">
        <v>1572.19</v>
      </c>
      <c r="G933" s="306">
        <v>1596.46</v>
      </c>
      <c r="H933" s="306">
        <v>1256.9100000000001</v>
      </c>
      <c r="I933" s="306">
        <v>643.6</v>
      </c>
      <c r="J933" s="306">
        <v>1606.59</v>
      </c>
      <c r="K933" s="306">
        <v>1550.56</v>
      </c>
      <c r="L933" s="306">
        <v>1460.42</v>
      </c>
      <c r="M933" s="406"/>
      <c r="N933" s="406"/>
      <c r="O933" s="406"/>
      <c r="P933" s="406"/>
      <c r="Q933" s="404"/>
      <c r="R933" s="404"/>
      <c r="S933" s="404"/>
      <c r="T933" s="404"/>
      <c r="U933" s="404"/>
      <c r="V933" s="407"/>
      <c r="W933" s="404"/>
      <c r="X933" s="408"/>
      <c r="Y933" s="268"/>
      <c r="Z933" s="267"/>
      <c r="AA933" s="267"/>
      <c r="AB933" s="267"/>
      <c r="AC933" s="267"/>
      <c r="AD933" s="268"/>
      <c r="AE933" s="269"/>
    </row>
    <row r="934" spans="1:31" ht="57.75" thickBot="1">
      <c r="A934" s="390"/>
      <c r="B934" s="404"/>
      <c r="C934" s="409" t="s">
        <v>197</v>
      </c>
      <c r="D934" s="410">
        <f t="shared" ref="D934:L934" si="306">IF(((D932="")*AND(D933="")),"",(D932-D933)*3)</f>
        <v>7756.32</v>
      </c>
      <c r="E934" s="410">
        <f t="shared" si="306"/>
        <v>6591.8099999999995</v>
      </c>
      <c r="F934" s="410">
        <f t="shared" si="306"/>
        <v>6769.5299999999988</v>
      </c>
      <c r="G934" s="410">
        <f t="shared" si="306"/>
        <v>6623.61</v>
      </c>
      <c r="H934" s="410">
        <f t="shared" si="306"/>
        <v>7343.9699999999993</v>
      </c>
      <c r="I934" s="410">
        <f t="shared" si="306"/>
        <v>7539.33</v>
      </c>
      <c r="J934" s="410">
        <f t="shared" si="306"/>
        <v>6559.14</v>
      </c>
      <c r="K934" s="410">
        <f t="shared" si="306"/>
        <v>6871.68</v>
      </c>
      <c r="L934" s="410">
        <f t="shared" si="306"/>
        <v>6767.9699999999993</v>
      </c>
      <c r="M934" s="410"/>
      <c r="N934" s="410"/>
      <c r="O934" s="410"/>
      <c r="P934" s="410" t="str">
        <f>IF(((P932="")*AND(P933="")),"",(P932-P933)*2)</f>
        <v/>
      </c>
      <c r="Q934" s="404"/>
      <c r="R934" s="404"/>
      <c r="S934" s="404"/>
      <c r="T934" s="404"/>
      <c r="U934" s="404"/>
      <c r="V934" s="407"/>
      <c r="W934" s="404"/>
      <c r="X934" s="417"/>
      <c r="Y934" s="268"/>
      <c r="Z934" s="267"/>
      <c r="AA934" s="267"/>
      <c r="AB934" s="267"/>
      <c r="AC934" s="267"/>
      <c r="AD934" s="268"/>
      <c r="AE934" s="269"/>
    </row>
    <row r="935" spans="1:31" ht="15">
      <c r="A935" s="344">
        <v>43709</v>
      </c>
      <c r="B935" s="409" t="s">
        <v>200</v>
      </c>
      <c r="C935" s="409" t="s">
        <v>199</v>
      </c>
      <c r="D935" s="306">
        <v>6900.31</v>
      </c>
      <c r="E935" s="306">
        <v>7001.74</v>
      </c>
      <c r="F935" s="306">
        <v>6926.78</v>
      </c>
      <c r="G935" s="306">
        <v>7056.02</v>
      </c>
      <c r="H935" s="306">
        <v>7164.2</v>
      </c>
      <c r="I935" s="306">
        <v>7134.22</v>
      </c>
      <c r="J935" s="306">
        <v>7138.15</v>
      </c>
      <c r="K935" s="306">
        <v>7103.83</v>
      </c>
      <c r="L935" s="306">
        <v>6991.88</v>
      </c>
      <c r="M935" s="306">
        <v>7190.08</v>
      </c>
      <c r="N935" s="306">
        <v>7211.67</v>
      </c>
      <c r="O935" s="306">
        <v>7081.48</v>
      </c>
      <c r="P935" s="306">
        <v>7207.73</v>
      </c>
      <c r="Q935" s="409">
        <f>IF((L936=""),"",MAX(D937:P937))</f>
        <v>5659.5599999999995</v>
      </c>
      <c r="R935" s="409">
        <f>IF(L936="","",MIN(D937:L937))</f>
        <v>5506.0399999999991</v>
      </c>
      <c r="S935" s="400">
        <f>IF((P937=""),"",AVERAGE(D937:P937))</f>
        <v>5581.9646153846152</v>
      </c>
      <c r="T935" s="412">
        <f>IF((L936=""),"",(Q935-R935)/(Q935+R935)*100)</f>
        <v>1.3749373074442972</v>
      </c>
      <c r="U935" s="409">
        <f>STDEV(D937:P937)</f>
        <v>47.469956922967206</v>
      </c>
      <c r="V935" s="413" t="str">
        <f>IF(P936="","",IF(T935&lt;2.7,IF(S935&gt;5150,IF(S935&lt;5600,"Pass","Fail"),"Fail"),"Fail"))</f>
        <v>Pass</v>
      </c>
      <c r="W935" s="409">
        <v>1428</v>
      </c>
      <c r="X935" s="402" t="s">
        <v>380</v>
      </c>
      <c r="Y935" s="268"/>
      <c r="Z935" s="321">
        <v>4470</v>
      </c>
      <c r="AA935" s="321">
        <v>6020</v>
      </c>
      <c r="AB935" s="321">
        <v>5150</v>
      </c>
      <c r="AC935" s="321">
        <v>5600</v>
      </c>
      <c r="AD935" s="305">
        <v>10</v>
      </c>
      <c r="AE935" s="322">
        <v>2.7</v>
      </c>
    </row>
    <row r="936" spans="1:31" ht="15">
      <c r="A936" s="390"/>
      <c r="B936" s="404"/>
      <c r="C936" s="404" t="s">
        <v>198</v>
      </c>
      <c r="D936" s="306">
        <v>4127.53</v>
      </c>
      <c r="E936" s="306">
        <v>4192.6899999999996</v>
      </c>
      <c r="F936" s="306">
        <v>4173.76</v>
      </c>
      <c r="G936" s="306">
        <v>4285.5600000000004</v>
      </c>
      <c r="H936" s="306">
        <v>4334.42</v>
      </c>
      <c r="I936" s="306">
        <v>4325.4399999999996</v>
      </c>
      <c r="J936" s="306">
        <v>4354.54</v>
      </c>
      <c r="K936" s="306">
        <v>4313.3500000000004</v>
      </c>
      <c r="L936" s="306">
        <v>4235.59</v>
      </c>
      <c r="M936" s="306">
        <v>4383.92</v>
      </c>
      <c r="N936" s="306">
        <v>4392.1899999999996</v>
      </c>
      <c r="O936" s="306">
        <v>4297.6899999999996</v>
      </c>
      <c r="P936" s="306">
        <v>4408.6400000000003</v>
      </c>
      <c r="Q936" s="404"/>
      <c r="R936" s="404"/>
      <c r="S936" s="404"/>
      <c r="T936" s="404"/>
      <c r="U936" s="404"/>
      <c r="V936" s="407"/>
      <c r="W936" s="404"/>
      <c r="X936" s="408"/>
      <c r="Y936" s="268"/>
      <c r="Z936" s="267"/>
      <c r="AA936" s="267"/>
      <c r="AB936" s="267"/>
      <c r="AC936" s="267"/>
      <c r="AD936" s="268"/>
      <c r="AE936" s="269"/>
    </row>
    <row r="937" spans="1:31" ht="57.75" thickBot="1">
      <c r="A937" s="393"/>
      <c r="B937" s="414"/>
      <c r="C937" s="414" t="s">
        <v>197</v>
      </c>
      <c r="D937" s="415">
        <f t="shared" ref="D937:P937" si="307">IF(((D935="")*AND(D936="")),"",(D935-D936)*2)</f>
        <v>5545.5600000000013</v>
      </c>
      <c r="E937" s="415">
        <f t="shared" si="307"/>
        <v>5618.1</v>
      </c>
      <c r="F937" s="415">
        <f t="shared" si="307"/>
        <v>5506.0399999999991</v>
      </c>
      <c r="G937" s="415">
        <f t="shared" si="307"/>
        <v>5540.92</v>
      </c>
      <c r="H937" s="415">
        <f t="shared" si="307"/>
        <v>5659.5599999999995</v>
      </c>
      <c r="I937" s="415">
        <f t="shared" si="307"/>
        <v>5617.5600000000013</v>
      </c>
      <c r="J937" s="415">
        <f t="shared" si="307"/>
        <v>5567.2199999999993</v>
      </c>
      <c r="K937" s="415">
        <f t="shared" si="307"/>
        <v>5580.9599999999991</v>
      </c>
      <c r="L937" s="415">
        <f t="shared" si="307"/>
        <v>5512.58</v>
      </c>
      <c r="M937" s="415">
        <f t="shared" si="307"/>
        <v>5612.32</v>
      </c>
      <c r="N937" s="415">
        <f t="shared" si="307"/>
        <v>5638.9600000000009</v>
      </c>
      <c r="O937" s="415">
        <f t="shared" si="307"/>
        <v>5567.58</v>
      </c>
      <c r="P937" s="415">
        <f t="shared" si="307"/>
        <v>5598.1799999999985</v>
      </c>
      <c r="Q937" s="414"/>
      <c r="R937" s="414"/>
      <c r="S937" s="414"/>
      <c r="T937" s="414"/>
      <c r="U937" s="414"/>
      <c r="V937" s="416"/>
      <c r="W937" s="414"/>
      <c r="X937" s="417"/>
      <c r="Y937" s="268"/>
      <c r="Z937" s="267"/>
      <c r="AA937" s="267"/>
      <c r="AB937" s="267"/>
      <c r="AC937" s="267"/>
      <c r="AD937" s="268"/>
      <c r="AE937" s="269"/>
    </row>
    <row r="938" spans="1:31" ht="15">
      <c r="A938" s="344">
        <v>43714</v>
      </c>
      <c r="B938" s="395" t="s">
        <v>202</v>
      </c>
      <c r="C938" s="396" t="s">
        <v>199</v>
      </c>
      <c r="D938" s="306">
        <v>6081.5</v>
      </c>
      <c r="E938" s="306">
        <v>6221.71</v>
      </c>
      <c r="F938" s="306">
        <v>6229.66</v>
      </c>
      <c r="G938" s="306">
        <v>6203.51</v>
      </c>
      <c r="H938" s="306">
        <v>6184.57</v>
      </c>
      <c r="I938" s="306">
        <v>5964.32</v>
      </c>
      <c r="J938" s="306">
        <v>6216.41</v>
      </c>
      <c r="K938" s="306">
        <v>6239.23</v>
      </c>
      <c r="L938" s="306">
        <v>6140.31</v>
      </c>
      <c r="M938" s="398"/>
      <c r="N938" s="398"/>
      <c r="O938" s="398"/>
      <c r="P938" s="398"/>
      <c r="Q938" s="395">
        <f>IF((L939=""),"",MAX(D940:L940))</f>
        <v>8452.7699999999986</v>
      </c>
      <c r="R938" s="395">
        <f>IF(L939="","",MIN(D940:L940))</f>
        <v>7173.6900000000005</v>
      </c>
      <c r="S938" s="399">
        <f>IF((L940=""),"",AVERAGE(D940:L940))</f>
        <v>7504.1033333333326</v>
      </c>
      <c r="T938" s="400">
        <f>IF((L939=""),"",(Q938-R938)/(Q938+R938)*100)</f>
        <v>8.1853471611612498</v>
      </c>
      <c r="U938" s="395">
        <f>STDEV(D940:P940)</f>
        <v>446.20701972292107</v>
      </c>
      <c r="V938" s="401" t="str">
        <f>IF(L939="","",IF(T938&lt;9.8,IF(S938&gt;5100,IF(S938&lt;8300,"Pass","Fail"),"Fail"),"Fail"))</f>
        <v>Pass</v>
      </c>
      <c r="W938" s="395">
        <v>1428</v>
      </c>
      <c r="X938" s="402" t="s">
        <v>383</v>
      </c>
      <c r="Y938" s="268"/>
      <c r="Z938" s="267">
        <v>4955</v>
      </c>
      <c r="AA938" s="267">
        <v>9645</v>
      </c>
      <c r="AB938" s="267">
        <v>5100</v>
      </c>
      <c r="AC938" s="267">
        <v>8300</v>
      </c>
      <c r="AD938" s="305">
        <v>10</v>
      </c>
      <c r="AE938" s="305">
        <v>9.8000000000000007</v>
      </c>
    </row>
    <row r="939" spans="1:31" ht="15">
      <c r="A939" s="390"/>
      <c r="B939" s="404"/>
      <c r="C939" s="405" t="s">
        <v>198</v>
      </c>
      <c r="D939" s="306">
        <v>3405.79</v>
      </c>
      <c r="E939" s="306">
        <v>3788</v>
      </c>
      <c r="F939" s="306">
        <v>3838.43</v>
      </c>
      <c r="G939" s="306">
        <v>3804.95</v>
      </c>
      <c r="H939" s="306">
        <v>3665.21</v>
      </c>
      <c r="I939" s="306">
        <v>3146.73</v>
      </c>
      <c r="J939" s="306">
        <v>3782.79</v>
      </c>
      <c r="K939" s="306">
        <v>3845.92</v>
      </c>
      <c r="L939" s="306">
        <v>3691.09</v>
      </c>
      <c r="M939" s="406"/>
      <c r="N939" s="406"/>
      <c r="O939" s="406"/>
      <c r="P939" s="406"/>
      <c r="Q939" s="404"/>
      <c r="R939" s="404"/>
      <c r="S939" s="404"/>
      <c r="T939" s="404"/>
      <c r="U939" s="404"/>
      <c r="V939" s="407"/>
      <c r="W939" s="404"/>
      <c r="X939" s="408"/>
      <c r="Y939" s="268"/>
      <c r="Z939" s="267"/>
      <c r="AA939" s="267"/>
      <c r="AB939" s="267"/>
      <c r="AC939" s="267"/>
      <c r="AD939" s="268"/>
      <c r="AE939" s="269"/>
    </row>
    <row r="940" spans="1:31" ht="57.75" thickBot="1">
      <c r="A940" s="390"/>
      <c r="B940" s="404"/>
      <c r="C940" s="409" t="s">
        <v>197</v>
      </c>
      <c r="D940" s="410">
        <f t="shared" ref="D940:L940" si="308">IF(((D938="")*AND(D939="")),"",(D938-D939)*3)</f>
        <v>8027.13</v>
      </c>
      <c r="E940" s="410">
        <f t="shared" si="308"/>
        <v>7301.13</v>
      </c>
      <c r="F940" s="410">
        <f t="shared" si="308"/>
        <v>7173.6900000000005</v>
      </c>
      <c r="G940" s="410">
        <f t="shared" si="308"/>
        <v>7195.6800000000012</v>
      </c>
      <c r="H940" s="410">
        <f t="shared" si="308"/>
        <v>7558.079999999999</v>
      </c>
      <c r="I940" s="410">
        <f t="shared" si="308"/>
        <v>8452.7699999999986</v>
      </c>
      <c r="J940" s="410">
        <f t="shared" si="308"/>
        <v>7300.86</v>
      </c>
      <c r="K940" s="410">
        <f t="shared" si="308"/>
        <v>7179.9299999999985</v>
      </c>
      <c r="L940" s="410">
        <f t="shared" si="308"/>
        <v>7347.6600000000008</v>
      </c>
      <c r="M940" s="410"/>
      <c r="N940" s="410"/>
      <c r="O940" s="410"/>
      <c r="P940" s="410" t="str">
        <f>IF(((P938="")*AND(P939="")),"",(P938-P939)*2)</f>
        <v/>
      </c>
      <c r="Q940" s="404"/>
      <c r="R940" s="404"/>
      <c r="S940" s="404"/>
      <c r="T940" s="404"/>
      <c r="U940" s="404"/>
      <c r="V940" s="407"/>
      <c r="W940" s="404"/>
      <c r="X940" s="417"/>
      <c r="Y940" s="268"/>
      <c r="Z940" s="267"/>
      <c r="AA940" s="267"/>
      <c r="AB940" s="267"/>
      <c r="AC940" s="267"/>
      <c r="AD940" s="268"/>
      <c r="AE940" s="269"/>
    </row>
    <row r="941" spans="1:31" ht="15">
      <c r="A941" s="344">
        <v>43714</v>
      </c>
      <c r="B941" s="409" t="s">
        <v>200</v>
      </c>
      <c r="C941" s="409" t="s">
        <v>199</v>
      </c>
      <c r="D941" s="306">
        <v>6907.58</v>
      </c>
      <c r="E941" s="306">
        <v>7017.73</v>
      </c>
      <c r="F941" s="306">
        <v>6925.18</v>
      </c>
      <c r="G941" s="306">
        <v>7059.1</v>
      </c>
      <c r="H941" s="306">
        <v>7179.81</v>
      </c>
      <c r="I941" s="306">
        <v>7145.86</v>
      </c>
      <c r="J941" s="306">
        <v>7139.52</v>
      </c>
      <c r="K941" s="306">
        <v>7100.98</v>
      </c>
      <c r="L941" s="306">
        <v>6989.5</v>
      </c>
      <c r="M941" s="306">
        <v>7189.32</v>
      </c>
      <c r="N941" s="306">
        <v>7216.94</v>
      </c>
      <c r="O941" s="306">
        <v>7073.71</v>
      </c>
      <c r="P941" s="306">
        <v>7199.54</v>
      </c>
      <c r="Q941" s="409">
        <f>IF((L942=""),"",MAX(D943:P943))</f>
        <v>5621.5</v>
      </c>
      <c r="R941" s="409">
        <f>IF(L942="","",MIN(D943:L943))</f>
        <v>5482.3000000000011</v>
      </c>
      <c r="S941" s="400">
        <f>IF((P943=""),"",AVERAGE(D943:P943))</f>
        <v>5565.0907692307683</v>
      </c>
      <c r="T941" s="412">
        <f>IF((L942=""),"",(Q941-R941)/(Q941+R941)*100)</f>
        <v>1.2536248851744349</v>
      </c>
      <c r="U941" s="409">
        <f>STDEV(D943:P943)</f>
        <v>44.510510830169942</v>
      </c>
      <c r="V941" s="413" t="str">
        <f>IF(P942="","",IF(T941&lt;2.7,IF(S941&gt;5150,IF(S941&lt;5600,"Pass","Fail"),"Fail"),"Fail"))</f>
        <v>Pass</v>
      </c>
      <c r="W941" s="409">
        <v>1428</v>
      </c>
      <c r="X941" s="402" t="s">
        <v>383</v>
      </c>
      <c r="Y941" s="268"/>
      <c r="Z941" s="321">
        <v>4470</v>
      </c>
      <c r="AA941" s="321">
        <v>6020</v>
      </c>
      <c r="AB941" s="321">
        <v>5150</v>
      </c>
      <c r="AC941" s="321">
        <v>5600</v>
      </c>
      <c r="AD941" s="305">
        <v>10</v>
      </c>
      <c r="AE941" s="322">
        <v>2.7</v>
      </c>
    </row>
    <row r="942" spans="1:31" ht="15">
      <c r="A942" s="390"/>
      <c r="B942" s="404"/>
      <c r="C942" s="404" t="s">
        <v>198</v>
      </c>
      <c r="D942" s="306">
        <v>4145.91</v>
      </c>
      <c r="E942" s="306">
        <v>4224.59</v>
      </c>
      <c r="F942" s="306">
        <v>4184.03</v>
      </c>
      <c r="G942" s="306">
        <v>4296.22</v>
      </c>
      <c r="H942" s="306">
        <v>4377.0600000000004</v>
      </c>
      <c r="I942" s="306">
        <v>4342.24</v>
      </c>
      <c r="J942" s="306">
        <v>4361.2</v>
      </c>
      <c r="K942" s="306">
        <v>4315.97</v>
      </c>
      <c r="L942" s="306">
        <v>4238.3900000000003</v>
      </c>
      <c r="M942" s="306">
        <v>4387.3999999999996</v>
      </c>
      <c r="N942" s="306">
        <v>4406.1899999999996</v>
      </c>
      <c r="O942" s="306">
        <v>4291.6000000000004</v>
      </c>
      <c r="P942" s="306">
        <v>4400.88</v>
      </c>
      <c r="Q942" s="404"/>
      <c r="R942" s="404"/>
      <c r="S942" s="404"/>
      <c r="T942" s="404"/>
      <c r="U942" s="404"/>
      <c r="V942" s="407"/>
      <c r="W942" s="404"/>
      <c r="X942" s="408"/>
      <c r="Y942" s="268"/>
      <c r="Z942" s="267"/>
      <c r="AA942" s="267"/>
      <c r="AB942" s="267"/>
      <c r="AC942" s="267"/>
      <c r="AD942" s="268"/>
      <c r="AE942" s="269"/>
    </row>
    <row r="943" spans="1:31" ht="57.75" thickBot="1">
      <c r="A943" s="393"/>
      <c r="B943" s="414"/>
      <c r="C943" s="414" t="s">
        <v>197</v>
      </c>
      <c r="D943" s="415">
        <f t="shared" ref="D943:P943" si="309">IF(((D941="")*AND(D942="")),"",(D941-D942)*2)</f>
        <v>5523.34</v>
      </c>
      <c r="E943" s="415">
        <f t="shared" si="309"/>
        <v>5586.2799999999988</v>
      </c>
      <c r="F943" s="415">
        <f t="shared" si="309"/>
        <v>5482.3000000000011</v>
      </c>
      <c r="G943" s="415">
        <f t="shared" si="309"/>
        <v>5525.76</v>
      </c>
      <c r="H943" s="415">
        <f t="shared" si="309"/>
        <v>5605.5</v>
      </c>
      <c r="I943" s="415">
        <f t="shared" si="309"/>
        <v>5607.24</v>
      </c>
      <c r="J943" s="415">
        <f t="shared" si="309"/>
        <v>5556.6400000000012</v>
      </c>
      <c r="K943" s="415">
        <f t="shared" si="309"/>
        <v>5570.0199999999986</v>
      </c>
      <c r="L943" s="415">
        <f t="shared" si="309"/>
        <v>5502.2199999999993</v>
      </c>
      <c r="M943" s="415">
        <f t="shared" si="309"/>
        <v>5603.84</v>
      </c>
      <c r="N943" s="415">
        <f t="shared" si="309"/>
        <v>5621.5</v>
      </c>
      <c r="O943" s="415">
        <f t="shared" si="309"/>
        <v>5564.2199999999993</v>
      </c>
      <c r="P943" s="415">
        <f t="shared" si="309"/>
        <v>5597.32</v>
      </c>
      <c r="Q943" s="414"/>
      <c r="R943" s="414"/>
      <c r="S943" s="414"/>
      <c r="T943" s="414"/>
      <c r="U943" s="414"/>
      <c r="V943" s="416"/>
      <c r="W943" s="414"/>
      <c r="X943" s="417"/>
      <c r="Y943" s="268"/>
      <c r="Z943" s="267"/>
      <c r="AA943" s="267"/>
      <c r="AB943" s="267"/>
      <c r="AC943" s="267"/>
      <c r="AD943" s="268"/>
      <c r="AE943" s="269"/>
    </row>
    <row r="944" spans="1:31" ht="15">
      <c r="A944" s="344">
        <v>43719</v>
      </c>
      <c r="B944" s="395" t="s">
        <v>202</v>
      </c>
      <c r="C944" s="396" t="s">
        <v>199</v>
      </c>
      <c r="D944" s="306">
        <v>6096.01</v>
      </c>
      <c r="E944" s="306">
        <v>6227.61</v>
      </c>
      <c r="F944" s="306">
        <v>6194.41</v>
      </c>
      <c r="G944" s="306">
        <v>6185.74</v>
      </c>
      <c r="H944" s="306">
        <v>6195.59</v>
      </c>
      <c r="I944" s="306">
        <v>5950.74</v>
      </c>
      <c r="J944" s="306">
        <v>6218.88</v>
      </c>
      <c r="K944" s="306">
        <v>6207.93</v>
      </c>
      <c r="L944" s="306">
        <v>6151.91</v>
      </c>
      <c r="M944" s="398"/>
      <c r="N944" s="398"/>
      <c r="O944" s="398"/>
      <c r="P944" s="398"/>
      <c r="Q944" s="395">
        <f>IF((L945=""),"",MAX(D946:L946))</f>
        <v>8366.9699999999993</v>
      </c>
      <c r="R944" s="395">
        <f>IF(L945="","",MIN(D946:L946))</f>
        <v>7059.1200000000008</v>
      </c>
      <c r="S944" s="399">
        <f>IF((L946=""),"",AVERAGE(D946:L946))</f>
        <v>7410.3600000000006</v>
      </c>
      <c r="T944" s="400">
        <f>IF((L945=""),"",(Q944-R944)/(Q944+R944)*100)</f>
        <v>8.4781691277569262</v>
      </c>
      <c r="U944" s="395">
        <f>STDEV(D946:P946)</f>
        <v>434.72424414794017</v>
      </c>
      <c r="V944" s="401" t="str">
        <f>IF(L945="","",IF(T944&lt;9.8,IF(S944&gt;5100,IF(S944&lt;8300,"Pass","Fail"),"Fail"),"Fail"))</f>
        <v>Pass</v>
      </c>
      <c r="W944" s="395">
        <v>1335</v>
      </c>
      <c r="X944" s="402" t="s">
        <v>387</v>
      </c>
      <c r="Y944" s="268"/>
      <c r="Z944" s="267">
        <v>4955</v>
      </c>
      <c r="AA944" s="267">
        <v>9645</v>
      </c>
      <c r="AB944" s="267">
        <v>5100</v>
      </c>
      <c r="AC944" s="267">
        <v>8300</v>
      </c>
      <c r="AD944" s="305">
        <v>10</v>
      </c>
      <c r="AE944" s="305">
        <v>9.8000000000000007</v>
      </c>
    </row>
    <row r="945" spans="1:31" ht="15">
      <c r="A945" s="390"/>
      <c r="B945" s="404"/>
      <c r="C945" s="405" t="s">
        <v>198</v>
      </c>
      <c r="D945" s="306">
        <v>3480.01</v>
      </c>
      <c r="E945" s="306">
        <v>3817.64</v>
      </c>
      <c r="F945" s="306">
        <v>3836.69</v>
      </c>
      <c r="G945" s="306">
        <v>3814.22</v>
      </c>
      <c r="H945" s="306">
        <v>3704.44</v>
      </c>
      <c r="I945" s="306">
        <v>3161.75</v>
      </c>
      <c r="J945" s="306">
        <v>3806.08</v>
      </c>
      <c r="K945" s="306">
        <v>3854.89</v>
      </c>
      <c r="L945" s="306">
        <v>3722.02</v>
      </c>
      <c r="M945" s="406"/>
      <c r="N945" s="406"/>
      <c r="O945" s="406"/>
      <c r="P945" s="406"/>
      <c r="Q945" s="404"/>
      <c r="R945" s="404"/>
      <c r="S945" s="404"/>
      <c r="T945" s="404"/>
      <c r="U945" s="404"/>
      <c r="V945" s="407"/>
      <c r="W945" s="404"/>
      <c r="X945" s="408"/>
      <c r="Y945" s="268"/>
      <c r="Z945" s="267"/>
      <c r="AA945" s="267"/>
      <c r="AB945" s="267"/>
      <c r="AC945" s="267"/>
      <c r="AD945" s="268"/>
      <c r="AE945" s="269"/>
    </row>
    <row r="946" spans="1:31" ht="57.75" thickBot="1">
      <c r="A946" s="390"/>
      <c r="B946" s="404"/>
      <c r="C946" s="409" t="s">
        <v>197</v>
      </c>
      <c r="D946" s="410">
        <f t="shared" ref="D946:L946" si="310">IF(((D944="")*AND(D945="")),"",(D944-D945)*3)</f>
        <v>7848</v>
      </c>
      <c r="E946" s="410">
        <f t="shared" si="310"/>
        <v>7229.91</v>
      </c>
      <c r="F946" s="410">
        <f t="shared" si="310"/>
        <v>7073.16</v>
      </c>
      <c r="G946" s="410">
        <f t="shared" si="310"/>
        <v>7114.5599999999995</v>
      </c>
      <c r="H946" s="410">
        <f t="shared" si="310"/>
        <v>7473.4500000000007</v>
      </c>
      <c r="I946" s="410">
        <f t="shared" si="310"/>
        <v>8366.9699999999993</v>
      </c>
      <c r="J946" s="410">
        <f t="shared" si="310"/>
        <v>7238.4000000000005</v>
      </c>
      <c r="K946" s="410">
        <f t="shared" si="310"/>
        <v>7059.1200000000008</v>
      </c>
      <c r="L946" s="410">
        <f t="shared" si="310"/>
        <v>7289.67</v>
      </c>
      <c r="M946" s="410"/>
      <c r="N946" s="410"/>
      <c r="O946" s="410"/>
      <c r="P946" s="410" t="str">
        <f>IF(((P944="")*AND(P945="")),"",(P944-P945)*2)</f>
        <v/>
      </c>
      <c r="Q946" s="404"/>
      <c r="R946" s="404"/>
      <c r="S946" s="404"/>
      <c r="T946" s="404"/>
      <c r="U946" s="404"/>
      <c r="V946" s="407"/>
      <c r="W946" s="404"/>
      <c r="X946" s="417"/>
      <c r="Y946" s="268"/>
      <c r="Z946" s="267"/>
      <c r="AA946" s="267"/>
      <c r="AB946" s="267"/>
      <c r="AC946" s="267"/>
      <c r="AD946" s="268"/>
      <c r="AE946" s="269"/>
    </row>
    <row r="947" spans="1:31" ht="15">
      <c r="A947" s="344">
        <v>43719</v>
      </c>
      <c r="B947" s="409" t="s">
        <v>200</v>
      </c>
      <c r="C947" s="409" t="s">
        <v>199</v>
      </c>
      <c r="D947" s="306">
        <v>6941.47</v>
      </c>
      <c r="E947" s="306">
        <v>7044.05</v>
      </c>
      <c r="F947" s="306">
        <v>6953.39</v>
      </c>
      <c r="G947" s="306">
        <v>7079.63</v>
      </c>
      <c r="H947" s="306">
        <v>7196.21</v>
      </c>
      <c r="I947" s="306">
        <v>7163.03</v>
      </c>
      <c r="J947" s="306">
        <v>7156.31</v>
      </c>
      <c r="K947" s="306">
        <v>7119.37</v>
      </c>
      <c r="L947" s="306">
        <v>7014.7</v>
      </c>
      <c r="M947" s="306">
        <v>7199.83</v>
      </c>
      <c r="N947" s="306">
        <v>7222.24</v>
      </c>
      <c r="O947" s="306">
        <v>7084.61</v>
      </c>
      <c r="P947" s="306">
        <v>7197.95</v>
      </c>
      <c r="Q947" s="409">
        <f>IF((L948=""),"",MAX(D949:P949))</f>
        <v>5620.0399999999991</v>
      </c>
      <c r="R947" s="409">
        <f>IF(L948="","",MIN(D949:L949))</f>
        <v>5456.08</v>
      </c>
      <c r="S947" s="400">
        <f>IF((P949=""),"",AVERAGE(D949:P949))</f>
        <v>5538.9400000000014</v>
      </c>
      <c r="T947" s="412">
        <f>IF((L948=""),"",(Q947-R947)/(Q947+R947)*100)</f>
        <v>1.4803017663224951</v>
      </c>
      <c r="U947" s="409">
        <f>STDEV(D949:P949)</f>
        <v>52.360552581631374</v>
      </c>
      <c r="V947" s="413" t="str">
        <f>IF(P948="","",IF(T947&lt;2.7,IF(S947&gt;5150,IF(S947&lt;5600,"Pass","Fail"),"Fail"),"Fail"))</f>
        <v>Pass</v>
      </c>
      <c r="W947" s="409">
        <v>1335</v>
      </c>
      <c r="X947" s="402" t="s">
        <v>387</v>
      </c>
      <c r="Y947" s="268"/>
      <c r="Z947" s="321">
        <v>4470</v>
      </c>
      <c r="AA947" s="321">
        <v>6020</v>
      </c>
      <c r="AB947" s="321">
        <v>5150</v>
      </c>
      <c r="AC947" s="321">
        <v>5600</v>
      </c>
      <c r="AD947" s="305">
        <v>10</v>
      </c>
      <c r="AE947" s="322">
        <v>2.7</v>
      </c>
    </row>
    <row r="948" spans="1:31" ht="15">
      <c r="A948" s="390"/>
      <c r="B948" s="404"/>
      <c r="C948" s="404" t="s">
        <v>198</v>
      </c>
      <c r="D948" s="306">
        <v>4183.26</v>
      </c>
      <c r="E948" s="306">
        <v>4257.6899999999996</v>
      </c>
      <c r="F948" s="306">
        <v>4223.47</v>
      </c>
      <c r="G948" s="306">
        <v>4332.2299999999996</v>
      </c>
      <c r="H948" s="306">
        <v>4391.5200000000004</v>
      </c>
      <c r="I948" s="306">
        <v>4369.58</v>
      </c>
      <c r="J948" s="306">
        <v>4395.99</v>
      </c>
      <c r="K948" s="306">
        <v>4354.21</v>
      </c>
      <c r="L948" s="306">
        <v>4286.66</v>
      </c>
      <c r="M948" s="306">
        <v>4418</v>
      </c>
      <c r="N948" s="306">
        <v>4412.22</v>
      </c>
      <c r="O948" s="306">
        <v>4328.59</v>
      </c>
      <c r="P948" s="306">
        <v>4416.26</v>
      </c>
      <c r="Q948" s="404"/>
      <c r="R948" s="404"/>
      <c r="S948" s="404"/>
      <c r="T948" s="404"/>
      <c r="U948" s="404"/>
      <c r="V948" s="407"/>
      <c r="W948" s="404"/>
      <c r="X948" s="408"/>
      <c r="Y948" s="268"/>
      <c r="Z948" s="267"/>
      <c r="AA948" s="267"/>
      <c r="AB948" s="267"/>
      <c r="AC948" s="267"/>
      <c r="AD948" s="268"/>
      <c r="AE948" s="269"/>
    </row>
    <row r="949" spans="1:31" ht="57.75" thickBot="1">
      <c r="A949" s="393"/>
      <c r="B949" s="414"/>
      <c r="C949" s="414" t="s">
        <v>197</v>
      </c>
      <c r="D949" s="415">
        <f t="shared" ref="D949:P949" si="311">IF(((D947="")*AND(D948="")),"",(D947-D948)*2)</f>
        <v>5516.42</v>
      </c>
      <c r="E949" s="415">
        <f t="shared" si="311"/>
        <v>5572.7200000000012</v>
      </c>
      <c r="F949" s="415">
        <f t="shared" si="311"/>
        <v>5459.84</v>
      </c>
      <c r="G949" s="415">
        <f t="shared" si="311"/>
        <v>5494.8000000000011</v>
      </c>
      <c r="H949" s="415">
        <f t="shared" si="311"/>
        <v>5609.3799999999992</v>
      </c>
      <c r="I949" s="415">
        <f t="shared" si="311"/>
        <v>5586.9</v>
      </c>
      <c r="J949" s="415">
        <f t="shared" si="311"/>
        <v>5520.6400000000012</v>
      </c>
      <c r="K949" s="415">
        <f t="shared" si="311"/>
        <v>5530.32</v>
      </c>
      <c r="L949" s="415">
        <f t="shared" si="311"/>
        <v>5456.08</v>
      </c>
      <c r="M949" s="415">
        <f t="shared" si="311"/>
        <v>5563.66</v>
      </c>
      <c r="N949" s="415">
        <f t="shared" si="311"/>
        <v>5620.0399999999991</v>
      </c>
      <c r="O949" s="415">
        <f t="shared" si="311"/>
        <v>5512.0399999999991</v>
      </c>
      <c r="P949" s="415">
        <f t="shared" si="311"/>
        <v>5563.3799999999992</v>
      </c>
      <c r="Q949" s="414"/>
      <c r="R949" s="414"/>
      <c r="S949" s="414"/>
      <c r="T949" s="414"/>
      <c r="U949" s="414"/>
      <c r="V949" s="416"/>
      <c r="W949" s="414"/>
      <c r="X949" s="417"/>
      <c r="Y949" s="268"/>
      <c r="Z949" s="267"/>
      <c r="AA949" s="267"/>
      <c r="AB949" s="267"/>
      <c r="AC949" s="267"/>
      <c r="AD949" s="268"/>
      <c r="AE949" s="269"/>
    </row>
    <row r="950" spans="1:31" ht="15">
      <c r="A950" s="344">
        <v>43724</v>
      </c>
      <c r="B950" s="395" t="s">
        <v>202</v>
      </c>
      <c r="C950" s="396" t="s">
        <v>199</v>
      </c>
      <c r="D950" s="306">
        <v>6029.12</v>
      </c>
      <c r="E950" s="306">
        <v>6204.94</v>
      </c>
      <c r="F950" s="306">
        <v>6140.84</v>
      </c>
      <c r="G950" s="306">
        <v>6137.25</v>
      </c>
      <c r="H950" s="306">
        <v>6162.4</v>
      </c>
      <c r="I950" s="306">
        <v>5980.22</v>
      </c>
      <c r="J950" s="306">
        <v>6177.1</v>
      </c>
      <c r="K950" s="306">
        <v>6159.48</v>
      </c>
      <c r="L950" s="306">
        <v>6154.25</v>
      </c>
      <c r="M950" s="398"/>
      <c r="N950" s="398"/>
      <c r="O950" s="398"/>
      <c r="P950" s="398"/>
      <c r="Q950" s="395">
        <f>IF((L951=""),"",MAX(D952:L952))</f>
        <v>8630.9400000000023</v>
      </c>
      <c r="R950" s="395">
        <f>IF(L951="","",MIN(D952:L952))</f>
        <v>7104.1500000000005</v>
      </c>
      <c r="S950" s="399">
        <f>IF((L952=""),"",AVERAGE(D952:L952))</f>
        <v>7581.37</v>
      </c>
      <c r="T950" s="400">
        <f>IF((L951=""),"",(Q950-R950)/(Q950+R950)*100)</f>
        <v>9.7030903541066582</v>
      </c>
      <c r="U950" s="395">
        <f>STDEV(D952:P952)</f>
        <v>560.8472539381836</v>
      </c>
      <c r="V950" s="401" t="str">
        <f>IF(L951="","",IF(T950&lt;9.8,IF(S950&gt;5100,IF(S950&lt;8300,"Pass","Fail"),"Fail"),"Fail"))</f>
        <v>Pass</v>
      </c>
      <c r="W950" s="395">
        <v>1159</v>
      </c>
      <c r="X950" s="402" t="s">
        <v>389</v>
      </c>
      <c r="Y950" s="268"/>
      <c r="Z950" s="267">
        <v>4955</v>
      </c>
      <c r="AA950" s="267">
        <v>9645</v>
      </c>
      <c r="AB950" s="267">
        <v>5100</v>
      </c>
      <c r="AC950" s="267">
        <v>8300</v>
      </c>
      <c r="AD950" s="305">
        <v>10</v>
      </c>
      <c r="AE950" s="305">
        <v>9.8000000000000007</v>
      </c>
    </row>
    <row r="951" spans="1:31" ht="15">
      <c r="A951" s="390"/>
      <c r="B951" s="404"/>
      <c r="C951" s="405" t="s">
        <v>198</v>
      </c>
      <c r="D951" s="306">
        <v>3232.18</v>
      </c>
      <c r="E951" s="306">
        <v>3749.14</v>
      </c>
      <c r="F951" s="306">
        <v>3772.79</v>
      </c>
      <c r="G951" s="306">
        <v>3759.12</v>
      </c>
      <c r="H951" s="306">
        <v>3618.25</v>
      </c>
      <c r="I951" s="306">
        <v>3103.24</v>
      </c>
      <c r="J951" s="306">
        <v>3740.45</v>
      </c>
      <c r="K951" s="306">
        <v>3784.39</v>
      </c>
      <c r="L951" s="306">
        <v>3641.93</v>
      </c>
      <c r="M951" s="406"/>
      <c r="N951" s="406"/>
      <c r="O951" s="406"/>
      <c r="P951" s="406"/>
      <c r="Q951" s="404"/>
      <c r="R951" s="404"/>
      <c r="S951" s="404"/>
      <c r="T951" s="404"/>
      <c r="U951" s="404"/>
      <c r="V951" s="407"/>
      <c r="W951" s="404"/>
      <c r="X951" s="408"/>
      <c r="Y951" s="268"/>
      <c r="Z951" s="267"/>
      <c r="AA951" s="267"/>
      <c r="AB951" s="267"/>
      <c r="AC951" s="267"/>
      <c r="AD951" s="268"/>
      <c r="AE951" s="269"/>
    </row>
    <row r="952" spans="1:31" ht="57.75" thickBot="1">
      <c r="A952" s="390"/>
      <c r="B952" s="404"/>
      <c r="C952" s="409" t="s">
        <v>197</v>
      </c>
      <c r="D952" s="410">
        <f t="shared" ref="D952:L952" si="312">IF(((D950="")*AND(D951="")),"",(D950-D951)*3)</f>
        <v>8390.82</v>
      </c>
      <c r="E952" s="410">
        <f t="shared" si="312"/>
        <v>7367.4</v>
      </c>
      <c r="F952" s="410">
        <f t="shared" si="312"/>
        <v>7104.1500000000005</v>
      </c>
      <c r="G952" s="410">
        <f t="shared" si="312"/>
        <v>7134.39</v>
      </c>
      <c r="H952" s="410">
        <f t="shared" si="312"/>
        <v>7632.4499999999989</v>
      </c>
      <c r="I952" s="410">
        <f t="shared" si="312"/>
        <v>8630.9400000000023</v>
      </c>
      <c r="J952" s="410">
        <f t="shared" si="312"/>
        <v>7309.9500000000016</v>
      </c>
      <c r="K952" s="410">
        <f t="shared" si="312"/>
        <v>7125.2699999999986</v>
      </c>
      <c r="L952" s="410">
        <f t="shared" si="312"/>
        <v>7536.9600000000009</v>
      </c>
      <c r="M952" s="410"/>
      <c r="N952" s="410"/>
      <c r="O952" s="410"/>
      <c r="P952" s="410" t="str">
        <f>IF(((P950="")*AND(P951="")),"",(P950-P951)*2)</f>
        <v/>
      </c>
      <c r="Q952" s="404"/>
      <c r="R952" s="404"/>
      <c r="S952" s="404"/>
      <c r="T952" s="404"/>
      <c r="U952" s="404"/>
      <c r="V952" s="407"/>
      <c r="W952" s="404"/>
      <c r="X952" s="417"/>
      <c r="Y952" s="268"/>
      <c r="Z952" s="267"/>
      <c r="AA952" s="267"/>
      <c r="AB952" s="267"/>
      <c r="AC952" s="267"/>
      <c r="AD952" s="268"/>
      <c r="AE952" s="269"/>
    </row>
    <row r="953" spans="1:31" ht="15">
      <c r="A953" s="344">
        <v>43724</v>
      </c>
      <c r="B953" s="409" t="s">
        <v>200</v>
      </c>
      <c r="C953" s="409" t="s">
        <v>199</v>
      </c>
      <c r="D953" s="306">
        <v>4054.79</v>
      </c>
      <c r="E953" s="306">
        <v>4160.07</v>
      </c>
      <c r="F953" s="306">
        <v>4006.4</v>
      </c>
      <c r="G953" s="306">
        <v>4054.02</v>
      </c>
      <c r="H953" s="306">
        <v>3954.22</v>
      </c>
      <c r="I953" s="306">
        <v>3977.21</v>
      </c>
      <c r="J953" s="306">
        <v>4094.71</v>
      </c>
      <c r="K953" s="306">
        <v>4003.7</v>
      </c>
      <c r="L953" s="306">
        <v>4047.02</v>
      </c>
      <c r="M953" s="306">
        <v>4060.4</v>
      </c>
      <c r="N953" s="306">
        <v>4168.33</v>
      </c>
      <c r="O953" s="306">
        <v>4002.12</v>
      </c>
      <c r="P953" s="306">
        <v>3931.37</v>
      </c>
      <c r="Q953" s="409">
        <f>IF((L954=""),"",MAX(D955:P955))</f>
        <v>5541.68</v>
      </c>
      <c r="R953" s="409">
        <f>IF(L954="","",MIN(D955:L955))</f>
        <v>5426.04</v>
      </c>
      <c r="S953" s="400">
        <f>IF((P955=""),"",AVERAGE(D955:P955))</f>
        <v>5477.3092307692295</v>
      </c>
      <c r="T953" s="412">
        <f>IF((L954=""),"",(Q953-R953)/(Q953+R953)*100)</f>
        <v>1.054366814615985</v>
      </c>
      <c r="U953" s="409">
        <f>STDEV(D955:P955)</f>
        <v>37.777716196623956</v>
      </c>
      <c r="V953" s="413" t="str">
        <f>IF(P954="","",IF(T953&lt;2.7,IF(S953&gt;5150,IF(S953&lt;5600,"Pass","Fail"),"Fail"),"Fail"))</f>
        <v>Pass</v>
      </c>
      <c r="W953" s="409">
        <v>1159</v>
      </c>
      <c r="X953" s="402" t="s">
        <v>389</v>
      </c>
      <c r="Y953" s="268"/>
      <c r="Z953" s="321">
        <v>4470</v>
      </c>
      <c r="AA953" s="321">
        <v>6020</v>
      </c>
      <c r="AB953" s="321">
        <v>5150</v>
      </c>
      <c r="AC953" s="321">
        <v>5600</v>
      </c>
      <c r="AD953" s="305">
        <v>10</v>
      </c>
      <c r="AE953" s="322">
        <v>2.7</v>
      </c>
    </row>
    <row r="954" spans="1:31" ht="15">
      <c r="A954" s="390"/>
      <c r="B954" s="404"/>
      <c r="C954" s="404" t="s">
        <v>198</v>
      </c>
      <c r="D954" s="306">
        <v>1310.3399999999999</v>
      </c>
      <c r="E954" s="306">
        <v>1395.25</v>
      </c>
      <c r="F954" s="306">
        <v>1289.21</v>
      </c>
      <c r="G954" s="306">
        <v>1331.66</v>
      </c>
      <c r="H954" s="306">
        <v>1192.58</v>
      </c>
      <c r="I954" s="306">
        <v>1226.43</v>
      </c>
      <c r="J954" s="306">
        <v>1372.27</v>
      </c>
      <c r="K954" s="306">
        <v>1261.58</v>
      </c>
      <c r="L954" s="306">
        <v>1334</v>
      </c>
      <c r="M954" s="306">
        <v>1328.71</v>
      </c>
      <c r="N954" s="306">
        <v>1397.49</v>
      </c>
      <c r="O954" s="306">
        <v>1274.26</v>
      </c>
      <c r="P954" s="306">
        <v>1198.07</v>
      </c>
      <c r="Q954" s="404"/>
      <c r="R954" s="404"/>
      <c r="S954" s="404"/>
      <c r="T954" s="404"/>
      <c r="U954" s="404"/>
      <c r="V954" s="407"/>
      <c r="W954" s="404"/>
      <c r="X954" s="408"/>
      <c r="Y954" s="268"/>
      <c r="Z954" s="267"/>
      <c r="AA954" s="267"/>
      <c r="AB954" s="267"/>
      <c r="AC954" s="267"/>
      <c r="AD954" s="268"/>
      <c r="AE954" s="269"/>
    </row>
    <row r="955" spans="1:31" ht="57.75" thickBot="1">
      <c r="A955" s="393"/>
      <c r="B955" s="414"/>
      <c r="C955" s="414" t="s">
        <v>197</v>
      </c>
      <c r="D955" s="415">
        <f t="shared" ref="D955:P955" si="313">IF(((D953="")*AND(D954="")),"",(D953-D954)*2)</f>
        <v>5488.9</v>
      </c>
      <c r="E955" s="415">
        <f t="shared" si="313"/>
        <v>5529.6399999999994</v>
      </c>
      <c r="F955" s="415">
        <f t="shared" si="313"/>
        <v>5434.38</v>
      </c>
      <c r="G955" s="415">
        <f t="shared" si="313"/>
        <v>5444.7199999999993</v>
      </c>
      <c r="H955" s="415">
        <f t="shared" si="313"/>
        <v>5523.28</v>
      </c>
      <c r="I955" s="415">
        <f t="shared" si="313"/>
        <v>5501.5599999999995</v>
      </c>
      <c r="J955" s="415">
        <f t="shared" si="313"/>
        <v>5444.88</v>
      </c>
      <c r="K955" s="415">
        <f t="shared" si="313"/>
        <v>5484.24</v>
      </c>
      <c r="L955" s="415">
        <f t="shared" si="313"/>
        <v>5426.04</v>
      </c>
      <c r="M955" s="415">
        <f t="shared" si="313"/>
        <v>5463.38</v>
      </c>
      <c r="N955" s="415">
        <f t="shared" si="313"/>
        <v>5541.68</v>
      </c>
      <c r="O955" s="415">
        <f t="shared" si="313"/>
        <v>5455.7199999999993</v>
      </c>
      <c r="P955" s="415">
        <f t="shared" si="313"/>
        <v>5466.6</v>
      </c>
      <c r="Q955" s="414"/>
      <c r="R955" s="414"/>
      <c r="S955" s="414"/>
      <c r="T955" s="414"/>
      <c r="U955" s="414"/>
      <c r="V955" s="416"/>
      <c r="W955" s="414"/>
      <c r="X955" s="417"/>
      <c r="Y955" s="268"/>
      <c r="Z955" s="267"/>
      <c r="AA955" s="267"/>
      <c r="AB955" s="267"/>
      <c r="AC955" s="267"/>
      <c r="AD955" s="268"/>
      <c r="AE955" s="269"/>
    </row>
    <row r="956" spans="1:31" ht="15">
      <c r="A956" s="344">
        <v>43733</v>
      </c>
      <c r="B956" s="395" t="s">
        <v>202</v>
      </c>
      <c r="C956" s="396" t="s">
        <v>199</v>
      </c>
      <c r="D956" s="306">
        <v>6123.51</v>
      </c>
      <c r="E956" s="306">
        <v>6177.32</v>
      </c>
      <c r="F956" s="306">
        <v>6129.81</v>
      </c>
      <c r="G956" s="306">
        <v>6120.79</v>
      </c>
      <c r="H956" s="306">
        <v>6117.97</v>
      </c>
      <c r="I956" s="306">
        <v>6009.17</v>
      </c>
      <c r="J956" s="306">
        <v>6150.05</v>
      </c>
      <c r="K956" s="306">
        <v>6119.3</v>
      </c>
      <c r="L956" s="306">
        <v>6177.81</v>
      </c>
      <c r="M956" s="398"/>
      <c r="N956" s="398"/>
      <c r="O956" s="398"/>
      <c r="P956" s="398"/>
      <c r="Q956" s="395">
        <f>IF((L957=""),"",MAX(D958:L958))</f>
        <v>7646.9400000000005</v>
      </c>
      <c r="R956" s="395">
        <f>IF(L957="","",MIN(D958:L958))</f>
        <v>6651.420000000001</v>
      </c>
      <c r="S956" s="399">
        <f>IF((L958=""),"",AVERAGE(D958:L958))</f>
        <v>7022.77</v>
      </c>
      <c r="T956" s="400">
        <f>IF((L957=""),"",(Q956-R956)/(Q956+R956)*100)</f>
        <v>6.962476815522896</v>
      </c>
      <c r="U956" s="395">
        <f>STDEV(D958:P958)</f>
        <v>324.57913484235161</v>
      </c>
      <c r="V956" s="401" t="str">
        <f>IF(L957="","",IF(T956&lt;9.8,IF(S956&gt;5100,IF(S956&lt;8300,"Pass","Fail"),"Fail"),"Fail"))</f>
        <v>Pass</v>
      </c>
      <c r="W956" s="395">
        <v>1335</v>
      </c>
      <c r="X956" s="402" t="s">
        <v>391</v>
      </c>
      <c r="Y956" s="268"/>
      <c r="Z956" s="267">
        <v>4955</v>
      </c>
      <c r="AA956" s="267">
        <v>9645</v>
      </c>
      <c r="AB956" s="267">
        <v>5100</v>
      </c>
      <c r="AC956" s="267">
        <v>8300</v>
      </c>
      <c r="AD956" s="305">
        <v>10</v>
      </c>
      <c r="AE956" s="305">
        <v>9.8000000000000007</v>
      </c>
    </row>
    <row r="957" spans="1:31" ht="15">
      <c r="A957" s="390"/>
      <c r="B957" s="404"/>
      <c r="C957" s="405" t="s">
        <v>198</v>
      </c>
      <c r="D957" s="306">
        <v>3574.53</v>
      </c>
      <c r="E957" s="306">
        <v>3870.36</v>
      </c>
      <c r="F957" s="306">
        <v>3889.99</v>
      </c>
      <c r="G957" s="306">
        <v>3864.4</v>
      </c>
      <c r="H957" s="306">
        <v>3752.46</v>
      </c>
      <c r="I957" s="306">
        <v>3556.33</v>
      </c>
      <c r="J957" s="306">
        <v>3850.85</v>
      </c>
      <c r="K957" s="306">
        <v>3902.16</v>
      </c>
      <c r="L957" s="306">
        <v>3796.34</v>
      </c>
      <c r="M957" s="406"/>
      <c r="N957" s="406"/>
      <c r="O957" s="406"/>
      <c r="P957" s="406"/>
      <c r="Q957" s="404"/>
      <c r="R957" s="404"/>
      <c r="S957" s="404"/>
      <c r="T957" s="404"/>
      <c r="U957" s="404"/>
      <c r="V957" s="407"/>
      <c r="W957" s="404"/>
      <c r="X957" s="408"/>
      <c r="Y957" s="268"/>
      <c r="Z957" s="267"/>
      <c r="AA957" s="267"/>
      <c r="AB957" s="267"/>
      <c r="AC957" s="267"/>
      <c r="AD957" s="268"/>
      <c r="AE957" s="269"/>
    </row>
    <row r="958" spans="1:31" ht="57.75" thickBot="1">
      <c r="A958" s="390"/>
      <c r="B958" s="404"/>
      <c r="C958" s="409" t="s">
        <v>197</v>
      </c>
      <c r="D958" s="410">
        <f t="shared" ref="D958:L958" si="314">IF(((D956="")*AND(D957="")),"",(D956-D957)*3)</f>
        <v>7646.9400000000005</v>
      </c>
      <c r="E958" s="410">
        <f t="shared" si="314"/>
        <v>6920.8799999999992</v>
      </c>
      <c r="F958" s="410">
        <f t="shared" si="314"/>
        <v>6719.4600000000019</v>
      </c>
      <c r="G958" s="410">
        <f t="shared" si="314"/>
        <v>6769.17</v>
      </c>
      <c r="H958" s="410">
        <f t="shared" si="314"/>
        <v>7096.5300000000007</v>
      </c>
      <c r="I958" s="410">
        <f t="shared" si="314"/>
        <v>7358.52</v>
      </c>
      <c r="J958" s="410">
        <f t="shared" si="314"/>
        <v>6897.6</v>
      </c>
      <c r="K958" s="410">
        <f t="shared" si="314"/>
        <v>6651.420000000001</v>
      </c>
      <c r="L958" s="410">
        <f t="shared" si="314"/>
        <v>7144.4100000000008</v>
      </c>
      <c r="M958" s="410"/>
      <c r="N958" s="410"/>
      <c r="O958" s="410"/>
      <c r="P958" s="410" t="str">
        <f>IF(((P956="")*AND(P957="")),"",(P956-P957)*2)</f>
        <v/>
      </c>
      <c r="Q958" s="404"/>
      <c r="R958" s="404"/>
      <c r="S958" s="404"/>
      <c r="T958" s="404"/>
      <c r="U958" s="404"/>
      <c r="V958" s="407"/>
      <c r="W958" s="404"/>
      <c r="X958" s="417"/>
      <c r="Y958" s="268"/>
      <c r="Z958" s="267"/>
      <c r="AA958" s="267"/>
      <c r="AB958" s="267"/>
      <c r="AC958" s="267"/>
      <c r="AD958" s="268"/>
      <c r="AE958" s="269"/>
    </row>
    <row r="959" spans="1:31" ht="15">
      <c r="A959" s="344">
        <v>43733</v>
      </c>
      <c r="B959" s="409" t="s">
        <v>200</v>
      </c>
      <c r="C959" s="409" t="s">
        <v>199</v>
      </c>
      <c r="D959" s="306">
        <v>6549.96</v>
      </c>
      <c r="E959" s="306">
        <v>6604.56</v>
      </c>
      <c r="F959" s="306">
        <v>6571.52</v>
      </c>
      <c r="G959" s="306">
        <v>6666.69</v>
      </c>
      <c r="H959" s="306">
        <v>6520.41</v>
      </c>
      <c r="I959" s="306">
        <v>6581.95</v>
      </c>
      <c r="J959" s="306">
        <v>6743.47</v>
      </c>
      <c r="K959" s="306">
        <v>6754.73</v>
      </c>
      <c r="L959" s="306">
        <v>6657.3</v>
      </c>
      <c r="M959" s="306">
        <v>6757.41</v>
      </c>
      <c r="N959" s="306">
        <v>6677.09</v>
      </c>
      <c r="O959" s="306">
        <v>6681.11</v>
      </c>
      <c r="P959" s="306">
        <v>6648.17</v>
      </c>
      <c r="Q959" s="409">
        <f>IF((L960=""),"",MAX(D961:P961))</f>
        <v>5399.48</v>
      </c>
      <c r="R959" s="409">
        <f>IF(L960="","",MIN(D961:L961))</f>
        <v>5280.9000000000005</v>
      </c>
      <c r="S959" s="400">
        <f>IF((P961=""),"",AVERAGE(D961:P961))</f>
        <v>5348.0999999999995</v>
      </c>
      <c r="T959" s="412">
        <f>IF((L960=""),"",(Q959-R959)/(Q959+R959)*100)</f>
        <v>1.1102601218308619</v>
      </c>
      <c r="U959" s="409">
        <f>STDEV(D961:P961)</f>
        <v>40.173072241810772</v>
      </c>
      <c r="V959" s="413" t="str">
        <f>IF(P960="","",IF(T959&lt;2.7,IF(S959&gt;5150,IF(S959&lt;5600,"Pass","Fail"),"Fail"),"Fail"))</f>
        <v>Pass</v>
      </c>
      <c r="W959" s="409">
        <v>1335</v>
      </c>
      <c r="X959" s="402" t="s">
        <v>391</v>
      </c>
      <c r="Y959" s="268"/>
      <c r="Z959" s="321">
        <v>4470</v>
      </c>
      <c r="AA959" s="321">
        <v>6020</v>
      </c>
      <c r="AB959" s="321">
        <v>5150</v>
      </c>
      <c r="AC959" s="321">
        <v>5600</v>
      </c>
      <c r="AD959" s="305">
        <v>10</v>
      </c>
      <c r="AE959" s="322">
        <v>2.7</v>
      </c>
    </row>
    <row r="960" spans="1:31" ht="15">
      <c r="A960" s="390"/>
      <c r="B960" s="404"/>
      <c r="C960" s="404" t="s">
        <v>198</v>
      </c>
      <c r="D960" s="306">
        <v>3898.04</v>
      </c>
      <c r="E960" s="306">
        <v>3945.24</v>
      </c>
      <c r="F960" s="306">
        <v>3931.07</v>
      </c>
      <c r="G960" s="306">
        <v>3985.38</v>
      </c>
      <c r="H960" s="306">
        <v>3832.23</v>
      </c>
      <c r="I960" s="306">
        <v>3882.21</v>
      </c>
      <c r="J960" s="306">
        <v>4063.96</v>
      </c>
      <c r="K960" s="306">
        <v>4064.56</v>
      </c>
      <c r="L960" s="306">
        <v>4014.64</v>
      </c>
      <c r="M960" s="306">
        <v>4074.68</v>
      </c>
      <c r="N960" s="306">
        <v>3980.45</v>
      </c>
      <c r="O960" s="306">
        <v>4016.85</v>
      </c>
      <c r="P960" s="306">
        <v>3962.41</v>
      </c>
      <c r="Q960" s="404"/>
      <c r="R960" s="404"/>
      <c r="S960" s="404"/>
      <c r="T960" s="404"/>
      <c r="U960" s="404"/>
      <c r="V960" s="407"/>
      <c r="W960" s="404"/>
      <c r="X960" s="408"/>
      <c r="Y960" s="268"/>
      <c r="Z960" s="267"/>
      <c r="AA960" s="267"/>
      <c r="AB960" s="267"/>
      <c r="AC960" s="267"/>
      <c r="AD960" s="268"/>
      <c r="AE960" s="269"/>
    </row>
    <row r="961" spans="1:31" ht="57.75" thickBot="1">
      <c r="A961" s="393"/>
      <c r="B961" s="414"/>
      <c r="C961" s="414" t="s">
        <v>197</v>
      </c>
      <c r="D961" s="415">
        <f t="shared" ref="D961:P961" si="315">IF(((D959="")*AND(D960="")),"",(D959-D960)*2)</f>
        <v>5303.84</v>
      </c>
      <c r="E961" s="415">
        <f t="shared" si="315"/>
        <v>5318.6400000000012</v>
      </c>
      <c r="F961" s="415">
        <f t="shared" si="315"/>
        <v>5280.9000000000005</v>
      </c>
      <c r="G961" s="415">
        <f t="shared" si="315"/>
        <v>5362.619999999999</v>
      </c>
      <c r="H961" s="415">
        <f t="shared" si="315"/>
        <v>5376.36</v>
      </c>
      <c r="I961" s="415">
        <f t="shared" si="315"/>
        <v>5399.48</v>
      </c>
      <c r="J961" s="415">
        <f t="shared" si="315"/>
        <v>5359.02</v>
      </c>
      <c r="K961" s="415">
        <f t="shared" si="315"/>
        <v>5380.3399999999992</v>
      </c>
      <c r="L961" s="415">
        <f t="shared" si="315"/>
        <v>5285.3200000000006</v>
      </c>
      <c r="M961" s="415">
        <f t="shared" si="315"/>
        <v>5365.46</v>
      </c>
      <c r="N961" s="415">
        <f t="shared" si="315"/>
        <v>5393.2800000000007</v>
      </c>
      <c r="O961" s="415">
        <f t="shared" si="315"/>
        <v>5328.5199999999995</v>
      </c>
      <c r="P961" s="415">
        <f t="shared" si="315"/>
        <v>5371.52</v>
      </c>
      <c r="Q961" s="414"/>
      <c r="R961" s="414"/>
      <c r="S961" s="414"/>
      <c r="T961" s="414"/>
      <c r="U961" s="414"/>
      <c r="V961" s="416"/>
      <c r="W961" s="414"/>
      <c r="X961" s="417"/>
      <c r="Y961" s="268"/>
      <c r="Z961" s="267"/>
      <c r="AA961" s="267"/>
      <c r="AB961" s="267"/>
      <c r="AC961" s="267"/>
      <c r="AD961" s="268"/>
      <c r="AE961" s="269"/>
    </row>
    <row r="962" spans="1:31" ht="15">
      <c r="A962" s="422">
        <v>43739</v>
      </c>
      <c r="B962" s="395" t="s">
        <v>202</v>
      </c>
      <c r="C962" s="396" t="s">
        <v>199</v>
      </c>
      <c r="D962" s="306">
        <v>3609.29</v>
      </c>
      <c r="E962" s="306">
        <v>3885.18</v>
      </c>
      <c r="F962" s="306">
        <v>3905.37</v>
      </c>
      <c r="G962" s="306">
        <v>3882.78</v>
      </c>
      <c r="H962" s="306">
        <v>3787.07</v>
      </c>
      <c r="I962" s="306">
        <v>3247.02</v>
      </c>
      <c r="J962" s="306">
        <v>3874.39</v>
      </c>
      <c r="K962" s="306">
        <v>3919.04</v>
      </c>
      <c r="L962" s="306">
        <v>3821.1</v>
      </c>
      <c r="M962" s="398"/>
      <c r="N962" s="398"/>
      <c r="O962" s="398"/>
      <c r="P962" s="398"/>
      <c r="Q962" s="395">
        <f>IF((L963=""),"",MAX(D964:L964))</f>
        <v>7483.02</v>
      </c>
      <c r="R962" s="395">
        <f>IF(L963="","",MIN(D964:L964))</f>
        <v>6765.1800000000012</v>
      </c>
      <c r="S962" s="399">
        <f>IF((L964=""),"",AVERAGE(D964:L964))</f>
        <v>7068.7933333333331</v>
      </c>
      <c r="T962" s="400">
        <f>IF((L963=""),"",(Q962-R962)/(Q962+R962)*100)</f>
        <v>5.0381100770623606</v>
      </c>
      <c r="U962" s="395">
        <f>STDEV(D964:P964)</f>
        <v>227.36787591918198</v>
      </c>
      <c r="V962" s="401" t="str">
        <f>IF(L963="","",IF(T962&lt;9.8,IF(S962&gt;5100,IF(S962&lt;8300,"Pass","Fail"),"Fail"),"Fail"))</f>
        <v>Pass</v>
      </c>
      <c r="W962" s="395">
        <v>121</v>
      </c>
      <c r="X962" s="402" t="s">
        <v>393</v>
      </c>
      <c r="Y962" s="268"/>
      <c r="Z962" s="267">
        <v>4955</v>
      </c>
      <c r="AA962" s="267">
        <v>9645</v>
      </c>
      <c r="AB962" s="267">
        <v>5100</v>
      </c>
      <c r="AC962" s="267">
        <v>8300</v>
      </c>
      <c r="AD962" s="305">
        <v>10</v>
      </c>
      <c r="AE962" s="305">
        <v>9.8000000000000007</v>
      </c>
    </row>
    <row r="963" spans="1:31" ht="15">
      <c r="A963" s="390"/>
      <c r="B963" s="404"/>
      <c r="C963" s="405" t="s">
        <v>198</v>
      </c>
      <c r="D963" s="306">
        <v>1114.95</v>
      </c>
      <c r="E963" s="306">
        <v>1539.96</v>
      </c>
      <c r="F963" s="306">
        <v>1559</v>
      </c>
      <c r="G963" s="306">
        <v>1530.83</v>
      </c>
      <c r="H963" s="306">
        <v>1532.01</v>
      </c>
      <c r="I963" s="306">
        <v>802.1</v>
      </c>
      <c r="J963" s="306">
        <v>1517.38</v>
      </c>
      <c r="K963" s="306">
        <v>1571.79</v>
      </c>
      <c r="L963" s="306">
        <v>1556.84</v>
      </c>
      <c r="M963" s="406"/>
      <c r="N963" s="406"/>
      <c r="O963" s="406"/>
      <c r="P963" s="406"/>
      <c r="Q963" s="404"/>
      <c r="R963" s="404"/>
      <c r="S963" s="404"/>
      <c r="T963" s="404"/>
      <c r="U963" s="404"/>
      <c r="V963" s="407"/>
      <c r="W963" s="404"/>
      <c r="X963" s="408"/>
      <c r="Y963" s="268"/>
      <c r="Z963" s="267"/>
      <c r="AA963" s="267"/>
      <c r="AB963" s="267"/>
      <c r="AC963" s="267"/>
      <c r="AD963" s="268"/>
      <c r="AE963" s="269"/>
    </row>
    <row r="964" spans="1:31" ht="57.75" thickBot="1">
      <c r="A964" s="390"/>
      <c r="B964" s="404"/>
      <c r="C964" s="409" t="s">
        <v>197</v>
      </c>
      <c r="D964" s="410">
        <f t="shared" ref="D964:L964" si="316">IF(((D962="")*AND(D963="")),"",(D962-D963)*3)</f>
        <v>7483.02</v>
      </c>
      <c r="E964" s="410">
        <f t="shared" si="316"/>
        <v>7035.66</v>
      </c>
      <c r="F964" s="410">
        <f t="shared" si="316"/>
        <v>7039.11</v>
      </c>
      <c r="G964" s="410">
        <f t="shared" si="316"/>
        <v>7055.85</v>
      </c>
      <c r="H964" s="410">
        <f t="shared" si="316"/>
        <v>6765.1800000000012</v>
      </c>
      <c r="I964" s="410">
        <f t="shared" si="316"/>
        <v>7334.76</v>
      </c>
      <c r="J964" s="410">
        <f t="shared" si="316"/>
        <v>7071.0299999999988</v>
      </c>
      <c r="K964" s="410">
        <f t="shared" si="316"/>
        <v>7041.75</v>
      </c>
      <c r="L964" s="410">
        <f t="shared" si="316"/>
        <v>6792.7800000000007</v>
      </c>
      <c r="M964" s="410"/>
      <c r="N964" s="410"/>
      <c r="O964" s="410"/>
      <c r="P964" s="410" t="str">
        <f>IF(((P962="")*AND(P963="")),"",(P962-P963)*2)</f>
        <v/>
      </c>
      <c r="Q964" s="404"/>
      <c r="R964" s="404"/>
      <c r="S964" s="404"/>
      <c r="T964" s="404"/>
      <c r="U964" s="404"/>
      <c r="V964" s="407"/>
      <c r="W964" s="404"/>
      <c r="X964" s="417"/>
      <c r="Y964" s="268"/>
      <c r="Z964" s="267"/>
      <c r="AA964" s="267"/>
      <c r="AB964" s="267"/>
      <c r="AC964" s="267"/>
      <c r="AD964" s="268"/>
      <c r="AE964" s="269"/>
    </row>
    <row r="965" spans="1:31" ht="15">
      <c r="A965" s="422">
        <v>43739</v>
      </c>
      <c r="B965" s="409" t="s">
        <v>200</v>
      </c>
      <c r="C965" s="409" t="s">
        <v>199</v>
      </c>
      <c r="D965" s="306">
        <v>3905.85</v>
      </c>
      <c r="E965" s="306">
        <v>3954.03</v>
      </c>
      <c r="F965" s="306">
        <v>3938.05</v>
      </c>
      <c r="G965" s="306">
        <v>3994.67</v>
      </c>
      <c r="H965" s="306">
        <v>3841.66</v>
      </c>
      <c r="I965" s="306">
        <v>3891.08</v>
      </c>
      <c r="J965" s="306">
        <v>4073.36</v>
      </c>
      <c r="K965" s="306">
        <v>4075.97</v>
      </c>
      <c r="L965" s="306">
        <v>4022.17</v>
      </c>
      <c r="M965" s="306">
        <v>4085.24</v>
      </c>
      <c r="N965" s="306">
        <v>3989.71</v>
      </c>
      <c r="O965" s="306">
        <v>4026.22</v>
      </c>
      <c r="P965" s="306">
        <v>3970.89</v>
      </c>
      <c r="Q965" s="409">
        <f>IF((L966=""),"",MAX(D967:P967))</f>
        <v>5497.2999999999993</v>
      </c>
      <c r="R965" s="409">
        <f>IF(L966="","",MIN(D967:L967))</f>
        <v>5354.34</v>
      </c>
      <c r="S965" s="400">
        <f>IF((P967=""),"",AVERAGE(D967:P967))</f>
        <v>5425.4630769230771</v>
      </c>
      <c r="T965" s="412">
        <f>IF((L966=""),"",(Q965-R965)/(Q965+R965)*100)</f>
        <v>1.3174045582050191</v>
      </c>
      <c r="U965" s="409">
        <f>STDEV(D967:P967)</f>
        <v>41.169019781056583</v>
      </c>
      <c r="V965" s="413" t="str">
        <f>IF(P966="","",IF(T965&lt;2.7,IF(S965&gt;5150,IF(S965&lt;5600,"Pass","Fail"),"Fail"),"Fail"))</f>
        <v>Pass</v>
      </c>
      <c r="W965" s="409">
        <v>121</v>
      </c>
      <c r="X965" s="402" t="s">
        <v>393</v>
      </c>
      <c r="Y965" s="268"/>
      <c r="Z965" s="321">
        <v>4470</v>
      </c>
      <c r="AA965" s="321">
        <v>6020</v>
      </c>
      <c r="AB965" s="321">
        <v>5150</v>
      </c>
      <c r="AC965" s="321">
        <v>5600</v>
      </c>
      <c r="AD965" s="305">
        <v>10</v>
      </c>
      <c r="AE965" s="322">
        <v>2.7</v>
      </c>
    </row>
    <row r="966" spans="1:31" ht="15">
      <c r="A966" s="390"/>
      <c r="B966" s="404"/>
      <c r="C966" s="404" t="s">
        <v>198</v>
      </c>
      <c r="D966" s="306">
        <v>1206.3599999999999</v>
      </c>
      <c r="E966" s="306">
        <v>1243.81</v>
      </c>
      <c r="F966" s="306">
        <v>1260.8800000000001</v>
      </c>
      <c r="G966" s="306">
        <v>1277.75</v>
      </c>
      <c r="H966" s="306">
        <v>1111.42</v>
      </c>
      <c r="I966" s="306">
        <v>1142.43</v>
      </c>
      <c r="J966" s="306">
        <v>1359.64</v>
      </c>
      <c r="K966" s="306">
        <v>1347.1</v>
      </c>
      <c r="L966" s="306">
        <v>1344.02</v>
      </c>
      <c r="M966" s="306">
        <v>1370.51</v>
      </c>
      <c r="N966" s="306">
        <v>1259.9000000000001</v>
      </c>
      <c r="O966" s="306">
        <v>1328.4</v>
      </c>
      <c r="P966" s="306">
        <v>1251.17</v>
      </c>
      <c r="Q966" s="404"/>
      <c r="R966" s="404"/>
      <c r="S966" s="404"/>
      <c r="T966" s="404"/>
      <c r="U966" s="404"/>
      <c r="V966" s="407"/>
      <c r="W966" s="404"/>
      <c r="X966" s="408"/>
      <c r="Y966" s="268"/>
      <c r="Z966" s="267"/>
      <c r="AA966" s="267"/>
      <c r="AB966" s="267"/>
      <c r="AC966" s="267"/>
      <c r="AD966" s="268"/>
      <c r="AE966" s="269"/>
    </row>
    <row r="967" spans="1:31" ht="57.75" thickBot="1">
      <c r="A967" s="393"/>
      <c r="B967" s="414"/>
      <c r="C967" s="414" t="s">
        <v>197</v>
      </c>
      <c r="D967" s="415">
        <f t="shared" ref="D967:P967" si="317">IF(((D965="")*AND(D966="")),"",(D965-D966)*2)</f>
        <v>5398.98</v>
      </c>
      <c r="E967" s="415">
        <f t="shared" si="317"/>
        <v>5420.4400000000005</v>
      </c>
      <c r="F967" s="415">
        <f t="shared" si="317"/>
        <v>5354.34</v>
      </c>
      <c r="G967" s="415">
        <f t="shared" si="317"/>
        <v>5433.84</v>
      </c>
      <c r="H967" s="415">
        <f t="shared" si="317"/>
        <v>5460.48</v>
      </c>
      <c r="I967" s="415">
        <f t="shared" si="317"/>
        <v>5497.2999999999993</v>
      </c>
      <c r="J967" s="415">
        <f t="shared" si="317"/>
        <v>5427.4400000000005</v>
      </c>
      <c r="K967" s="415">
        <f t="shared" si="317"/>
        <v>5457.74</v>
      </c>
      <c r="L967" s="415">
        <f t="shared" si="317"/>
        <v>5356.3</v>
      </c>
      <c r="M967" s="415">
        <f t="shared" si="317"/>
        <v>5429.4599999999991</v>
      </c>
      <c r="N967" s="415">
        <f t="shared" si="317"/>
        <v>5459.62</v>
      </c>
      <c r="O967" s="415">
        <f t="shared" si="317"/>
        <v>5395.6399999999994</v>
      </c>
      <c r="P967" s="415">
        <f t="shared" si="317"/>
        <v>5439.44</v>
      </c>
      <c r="Q967" s="414"/>
      <c r="R967" s="414"/>
      <c r="S967" s="414"/>
      <c r="T967" s="414"/>
      <c r="U967" s="414"/>
      <c r="V967" s="416"/>
      <c r="W967" s="414"/>
      <c r="X967" s="417"/>
      <c r="Y967" s="268"/>
      <c r="Z967" s="267"/>
      <c r="AA967" s="267"/>
      <c r="AB967" s="267"/>
      <c r="AC967" s="267"/>
      <c r="AD967" s="268"/>
      <c r="AE967" s="269"/>
    </row>
    <row r="968" spans="1:31" ht="15">
      <c r="A968" s="422">
        <v>43745</v>
      </c>
      <c r="B968" s="395" t="s">
        <v>202</v>
      </c>
      <c r="C968" s="396" t="s">
        <v>199</v>
      </c>
      <c r="D968" s="306">
        <v>6089.42</v>
      </c>
      <c r="E968" s="306">
        <v>6330.68</v>
      </c>
      <c r="F968" s="306">
        <v>6402.89</v>
      </c>
      <c r="G968" s="306">
        <v>6388.21</v>
      </c>
      <c r="H968" s="306">
        <v>6323.76</v>
      </c>
      <c r="I968" s="306">
        <v>5924.02</v>
      </c>
      <c r="J968" s="306">
        <v>6334.24</v>
      </c>
      <c r="K968" s="306">
        <v>6415.63</v>
      </c>
      <c r="L968" s="306">
        <v>6149.57</v>
      </c>
      <c r="M968" s="398"/>
      <c r="N968" s="398"/>
      <c r="O968" s="398"/>
      <c r="P968" s="398"/>
      <c r="Q968" s="395">
        <f>IF((L969=""),"",MAX(D970:L970))</f>
        <v>7822.6500000000015</v>
      </c>
      <c r="R968" s="395">
        <f>IF(L969="","",MIN(D970:L970))</f>
        <v>7073.579999999999</v>
      </c>
      <c r="S968" s="399">
        <f>IF((L970=""),"",AVERAGE(D970:L970))</f>
        <v>7458.9433333333336</v>
      </c>
      <c r="T968" s="400">
        <f>IF((L969=""),"",(Q968-R968)/(Q968+R968)*100)</f>
        <v>5.0285877701942194</v>
      </c>
      <c r="U968" s="395">
        <f>STDEV(D970:P970)</f>
        <v>226.67436754075121</v>
      </c>
      <c r="V968" s="401" t="str">
        <f>IF(L969="","",IF(T968&lt;9.8,IF(S968&gt;5100,IF(S968&lt;8300,"Pass","Fail"),"Fail"),"Fail"))</f>
        <v>Pass</v>
      </c>
      <c r="W968" s="395">
        <v>1159</v>
      </c>
      <c r="X968" s="402" t="s">
        <v>396</v>
      </c>
      <c r="Y968" s="268"/>
      <c r="Z968" s="267">
        <v>4955</v>
      </c>
      <c r="AA968" s="267">
        <v>9645</v>
      </c>
      <c r="AB968" s="267">
        <v>5100</v>
      </c>
      <c r="AC968" s="267">
        <v>8300</v>
      </c>
      <c r="AD968" s="305">
        <v>10</v>
      </c>
      <c r="AE968" s="305">
        <v>9.8000000000000007</v>
      </c>
    </row>
    <row r="969" spans="1:31" ht="15">
      <c r="A969" s="390"/>
      <c r="B969" s="404"/>
      <c r="C969" s="405" t="s">
        <v>198</v>
      </c>
      <c r="D969" s="306">
        <v>3680.83</v>
      </c>
      <c r="E969" s="306">
        <v>3884.69</v>
      </c>
      <c r="F969" s="306">
        <v>3900.42</v>
      </c>
      <c r="G969" s="306">
        <v>3875.23</v>
      </c>
      <c r="H969" s="306">
        <v>3764.02</v>
      </c>
      <c r="I969" s="306">
        <v>3316.47</v>
      </c>
      <c r="J969" s="306">
        <v>3857.6</v>
      </c>
      <c r="K969" s="306">
        <v>3910.62</v>
      </c>
      <c r="L969" s="306">
        <v>3791.71</v>
      </c>
      <c r="M969" s="406"/>
      <c r="N969" s="406"/>
      <c r="O969" s="406"/>
      <c r="P969" s="406"/>
      <c r="Q969" s="404"/>
      <c r="R969" s="404"/>
      <c r="S969" s="404"/>
      <c r="T969" s="404"/>
      <c r="U969" s="404"/>
      <c r="V969" s="407"/>
      <c r="W969" s="404"/>
      <c r="X969" s="408"/>
      <c r="Y969" s="268"/>
      <c r="Z969" s="267"/>
      <c r="AA969" s="267"/>
      <c r="AB969" s="267"/>
      <c r="AC969" s="267"/>
      <c r="AD969" s="268"/>
      <c r="AE969" s="269"/>
    </row>
    <row r="970" spans="1:31" ht="57.75" thickBot="1">
      <c r="A970" s="390"/>
      <c r="B970" s="404"/>
      <c r="C970" s="409" t="s">
        <v>197</v>
      </c>
      <c r="D970" s="410">
        <f t="shared" ref="D970:L970" si="318">IF(((D968="")*AND(D969="")),"",(D968-D969)*3)</f>
        <v>7225.77</v>
      </c>
      <c r="E970" s="410">
        <f t="shared" si="318"/>
        <v>7337.9700000000012</v>
      </c>
      <c r="F970" s="410">
        <f t="shared" si="318"/>
        <v>7507.4100000000008</v>
      </c>
      <c r="G970" s="410">
        <f t="shared" si="318"/>
        <v>7538.9400000000005</v>
      </c>
      <c r="H970" s="410">
        <f t="shared" si="318"/>
        <v>7679.2200000000012</v>
      </c>
      <c r="I970" s="410">
        <f t="shared" si="318"/>
        <v>7822.6500000000015</v>
      </c>
      <c r="J970" s="410">
        <f t="shared" si="318"/>
        <v>7429.92</v>
      </c>
      <c r="K970" s="410">
        <f t="shared" si="318"/>
        <v>7515.0300000000007</v>
      </c>
      <c r="L970" s="410">
        <f t="shared" si="318"/>
        <v>7073.579999999999</v>
      </c>
      <c r="M970" s="410"/>
      <c r="N970" s="410"/>
      <c r="O970" s="410"/>
      <c r="P970" s="410" t="str">
        <f>IF(((P968="")*AND(P969="")),"",(P968-P969)*2)</f>
        <v/>
      </c>
      <c r="Q970" s="404"/>
      <c r="R970" s="404"/>
      <c r="S970" s="404"/>
      <c r="T970" s="404"/>
      <c r="U970" s="404"/>
      <c r="V970" s="407"/>
      <c r="W970" s="404"/>
      <c r="X970" s="417"/>
      <c r="Y970" s="268"/>
      <c r="Z970" s="267"/>
      <c r="AA970" s="267"/>
      <c r="AB970" s="267"/>
      <c r="AC970" s="267"/>
      <c r="AD970" s="268"/>
      <c r="AE970" s="269"/>
    </row>
    <row r="971" spans="1:31" ht="15">
      <c r="A971" s="422">
        <v>43745</v>
      </c>
      <c r="B971" s="409" t="s">
        <v>200</v>
      </c>
      <c r="C971" s="409" t="s">
        <v>199</v>
      </c>
      <c r="D971" s="306">
        <v>6676.59</v>
      </c>
      <c r="E971" s="306">
        <v>6737.19</v>
      </c>
      <c r="F971" s="306">
        <v>6682</v>
      </c>
      <c r="G971" s="306">
        <v>6758.95</v>
      </c>
      <c r="H971" s="306">
        <v>6677.25</v>
      </c>
      <c r="I971" s="306">
        <v>6706.99</v>
      </c>
      <c r="J971" s="306">
        <v>6833.6</v>
      </c>
      <c r="K971" s="306">
        <v>6849.07</v>
      </c>
      <c r="L971" s="306">
        <v>6765.74</v>
      </c>
      <c r="M971" s="306">
        <v>6855.78</v>
      </c>
      <c r="N971" s="306">
        <v>6821.28</v>
      </c>
      <c r="O971" s="306">
        <v>6798.59</v>
      </c>
      <c r="P971" s="306">
        <v>6784.14</v>
      </c>
      <c r="Q971" s="409">
        <f>IF((L972=""),"",MAX(D973:P973))</f>
        <v>5412.66</v>
      </c>
      <c r="R971" s="409">
        <f>IF(L972="","",MIN(D973:L973))</f>
        <v>5299.26</v>
      </c>
      <c r="S971" s="400">
        <f>IF((P973=""),"",AVERAGE(D973:P973))</f>
        <v>5360.1692307692319</v>
      </c>
      <c r="T971" s="412">
        <f>IF((L972=""),"",(Q971-R971)/(Q971+R971)*100)</f>
        <v>1.0586337463311866</v>
      </c>
      <c r="U971" s="409">
        <f>STDEV(D973:P973)</f>
        <v>35.171287167355246</v>
      </c>
      <c r="V971" s="413" t="str">
        <f>IF(P972="","",IF(T971&lt;2.7,IF(S971&gt;5150,IF(S971&lt;5600,"Pass","Fail"),"Fail"),"Fail"))</f>
        <v>Pass</v>
      </c>
      <c r="W971" s="409">
        <v>1159</v>
      </c>
      <c r="X971" s="402" t="s">
        <v>396</v>
      </c>
      <c r="Y971" s="268"/>
      <c r="Z971" s="321">
        <v>4470</v>
      </c>
      <c r="AA971" s="321">
        <v>6020</v>
      </c>
      <c r="AB971" s="321">
        <v>5150</v>
      </c>
      <c r="AC971" s="321">
        <v>5600</v>
      </c>
      <c r="AD971" s="305">
        <v>10</v>
      </c>
      <c r="AE971" s="322">
        <v>2.7</v>
      </c>
    </row>
    <row r="972" spans="1:31" ht="15">
      <c r="A972" s="390"/>
      <c r="B972" s="404"/>
      <c r="C972" s="404" t="s">
        <v>198</v>
      </c>
      <c r="D972" s="306">
        <v>4013.58</v>
      </c>
      <c r="E972" s="306">
        <v>4060.49</v>
      </c>
      <c r="F972" s="306">
        <v>4032.37</v>
      </c>
      <c r="G972" s="306">
        <v>4080.51</v>
      </c>
      <c r="H972" s="306">
        <v>3982.93</v>
      </c>
      <c r="I972" s="306">
        <v>4000.66</v>
      </c>
      <c r="J972" s="306">
        <v>4151.82</v>
      </c>
      <c r="K972" s="306">
        <v>4154.95</v>
      </c>
      <c r="L972" s="306">
        <v>4115.78</v>
      </c>
      <c r="M972" s="306">
        <v>4164.04</v>
      </c>
      <c r="N972" s="306">
        <v>4126.45</v>
      </c>
      <c r="O972" s="306">
        <v>4126.3999999999996</v>
      </c>
      <c r="P972" s="306">
        <v>4096.09</v>
      </c>
      <c r="Q972" s="404"/>
      <c r="R972" s="404"/>
      <c r="S972" s="404"/>
      <c r="T972" s="404"/>
      <c r="U972" s="404"/>
      <c r="V972" s="407"/>
      <c r="W972" s="404"/>
      <c r="X972" s="408"/>
      <c r="Y972" s="268"/>
      <c r="Z972" s="267"/>
      <c r="AA972" s="267"/>
      <c r="AB972" s="267"/>
      <c r="AC972" s="267"/>
      <c r="AD972" s="268"/>
      <c r="AE972" s="269"/>
    </row>
    <row r="973" spans="1:31" ht="57.75" thickBot="1">
      <c r="A973" s="393"/>
      <c r="B973" s="414"/>
      <c r="C973" s="414" t="s">
        <v>197</v>
      </c>
      <c r="D973" s="415">
        <f t="shared" ref="D973:P973" si="319">IF(((D971="")*AND(D972="")),"",(D971-D972)*2)</f>
        <v>5326.02</v>
      </c>
      <c r="E973" s="415">
        <f t="shared" si="319"/>
        <v>5353.4</v>
      </c>
      <c r="F973" s="415">
        <f t="shared" si="319"/>
        <v>5299.26</v>
      </c>
      <c r="G973" s="415">
        <f t="shared" si="319"/>
        <v>5356.8799999999992</v>
      </c>
      <c r="H973" s="415">
        <f t="shared" si="319"/>
        <v>5388.64</v>
      </c>
      <c r="I973" s="415">
        <f t="shared" si="319"/>
        <v>5412.66</v>
      </c>
      <c r="J973" s="415">
        <f t="shared" si="319"/>
        <v>5363.5600000000013</v>
      </c>
      <c r="K973" s="415">
        <f t="shared" si="319"/>
        <v>5388.24</v>
      </c>
      <c r="L973" s="415">
        <f t="shared" si="319"/>
        <v>5299.92</v>
      </c>
      <c r="M973" s="415">
        <f t="shared" si="319"/>
        <v>5383.48</v>
      </c>
      <c r="N973" s="415">
        <f t="shared" si="319"/>
        <v>5389.66</v>
      </c>
      <c r="O973" s="415">
        <f t="shared" si="319"/>
        <v>5344.380000000001</v>
      </c>
      <c r="P973" s="415">
        <f t="shared" si="319"/>
        <v>5376.1</v>
      </c>
      <c r="Q973" s="414"/>
      <c r="R973" s="414"/>
      <c r="S973" s="414"/>
      <c r="T973" s="414"/>
      <c r="U973" s="414"/>
      <c r="V973" s="416"/>
      <c r="W973" s="414"/>
      <c r="X973" s="417"/>
      <c r="Y973" s="268"/>
      <c r="Z973" s="267"/>
      <c r="AA973" s="267"/>
      <c r="AB973" s="267"/>
      <c r="AC973" s="267"/>
      <c r="AD973" s="268"/>
      <c r="AE973" s="269"/>
    </row>
    <row r="974" spans="1:31" ht="15">
      <c r="A974" s="344">
        <v>43754</v>
      </c>
      <c r="B974" s="395" t="s">
        <v>202</v>
      </c>
      <c r="C974" s="396" t="s">
        <v>199</v>
      </c>
      <c r="D974" s="306">
        <v>6093.7</v>
      </c>
      <c r="E974" s="306">
        <v>6255.3</v>
      </c>
      <c r="F974" s="306">
        <v>6206.97</v>
      </c>
      <c r="G974" s="306">
        <v>6197.11</v>
      </c>
      <c r="H974" s="306">
        <v>6207.63</v>
      </c>
      <c r="I974" s="306">
        <v>5997.93</v>
      </c>
      <c r="J974" s="306">
        <v>6238.09</v>
      </c>
      <c r="K974" s="306">
        <v>6222.57</v>
      </c>
      <c r="L974" s="306">
        <v>6177.46</v>
      </c>
      <c r="M974" s="398"/>
      <c r="N974" s="398"/>
      <c r="O974" s="398"/>
      <c r="P974" s="398"/>
      <c r="Q974" s="395">
        <f>IF((L975=""),"",MAX(D976:L976))</f>
        <v>7872.9900000000016</v>
      </c>
      <c r="R974" s="395">
        <f>IF(L975="","",MIN(D976:L976))</f>
        <v>6845.6999999999989</v>
      </c>
      <c r="S974" s="399">
        <f>IF((L976=""),"",AVERAGE(D976:L976))</f>
        <v>7153.9366666666656</v>
      </c>
      <c r="T974" s="400">
        <f>IF((L975=""),"",(Q974-R974)/(Q974+R974)*100)</f>
        <v>6.9794934195910274</v>
      </c>
      <c r="U974" s="395">
        <f>STDEV(D976:P976)</f>
        <v>336.69783775666633</v>
      </c>
      <c r="V974" s="401" t="str">
        <f>IF(L975="","",IF(T974&lt;9.8,IF(S974&gt;5100,IF(S974&lt;8300,"Pass","Fail"),"Fail"),"Fail"))</f>
        <v>Pass</v>
      </c>
      <c r="W974" s="395">
        <v>1340</v>
      </c>
      <c r="X974" s="402" t="s">
        <v>398</v>
      </c>
      <c r="Y974" s="268"/>
      <c r="Z974" s="267">
        <v>4955</v>
      </c>
      <c r="AA974" s="267">
        <v>9645</v>
      </c>
      <c r="AB974" s="267">
        <v>5100</v>
      </c>
      <c r="AC974" s="267">
        <v>8300</v>
      </c>
      <c r="AD974" s="305">
        <v>10</v>
      </c>
      <c r="AE974" s="305">
        <v>9.8000000000000007</v>
      </c>
    </row>
    <row r="975" spans="1:31" ht="15">
      <c r="A975" s="390"/>
      <c r="B975" s="404"/>
      <c r="C975" s="405" t="s">
        <v>198</v>
      </c>
      <c r="D975" s="306">
        <v>3602.89</v>
      </c>
      <c r="E975" s="306">
        <v>3896.43</v>
      </c>
      <c r="F975" s="306">
        <v>3924.77</v>
      </c>
      <c r="G975" s="306">
        <v>3902.13</v>
      </c>
      <c r="H975" s="306">
        <v>3795.34</v>
      </c>
      <c r="I975" s="306">
        <v>3373.6</v>
      </c>
      <c r="J975" s="306">
        <v>3888.01</v>
      </c>
      <c r="K975" s="306">
        <v>3940.67</v>
      </c>
      <c r="L975" s="306">
        <v>3811.11</v>
      </c>
      <c r="M975" s="406"/>
      <c r="N975" s="406"/>
      <c r="O975" s="406"/>
      <c r="P975" s="406"/>
      <c r="Q975" s="404"/>
      <c r="R975" s="404"/>
      <c r="S975" s="404"/>
      <c r="T975" s="404"/>
      <c r="U975" s="404"/>
      <c r="V975" s="407"/>
      <c r="W975" s="404"/>
      <c r="X975" s="408"/>
      <c r="Y975" s="268"/>
      <c r="Z975" s="267"/>
      <c r="AA975" s="267"/>
      <c r="AB975" s="267"/>
      <c r="AC975" s="267"/>
      <c r="AD975" s="268"/>
      <c r="AE975" s="269"/>
    </row>
    <row r="976" spans="1:31" ht="57.75" thickBot="1">
      <c r="A976" s="390"/>
      <c r="B976" s="404"/>
      <c r="C976" s="409" t="s">
        <v>197</v>
      </c>
      <c r="D976" s="410">
        <f t="shared" ref="D976:L976" si="320">IF(((D974="")*AND(D975="")),"",(D974-D975)*3)</f>
        <v>7472.43</v>
      </c>
      <c r="E976" s="410">
        <f t="shared" si="320"/>
        <v>7076.6100000000006</v>
      </c>
      <c r="F976" s="410">
        <f t="shared" si="320"/>
        <v>6846.6</v>
      </c>
      <c r="G976" s="410">
        <f t="shared" si="320"/>
        <v>6884.9399999999987</v>
      </c>
      <c r="H976" s="410">
        <f t="shared" si="320"/>
        <v>7236.87</v>
      </c>
      <c r="I976" s="410">
        <f t="shared" si="320"/>
        <v>7872.9900000000016</v>
      </c>
      <c r="J976" s="410">
        <f t="shared" si="320"/>
        <v>7050.24</v>
      </c>
      <c r="K976" s="410">
        <f t="shared" si="320"/>
        <v>6845.6999999999989</v>
      </c>
      <c r="L976" s="410">
        <f t="shared" si="320"/>
        <v>7099.0499999999993</v>
      </c>
      <c r="M976" s="410"/>
      <c r="N976" s="410"/>
      <c r="O976" s="410"/>
      <c r="P976" s="410" t="str">
        <f>IF(((P974="")*AND(P975="")),"",(P974-P975)*2)</f>
        <v/>
      </c>
      <c r="Q976" s="404"/>
      <c r="R976" s="404"/>
      <c r="S976" s="404"/>
      <c r="T976" s="404"/>
      <c r="U976" s="404"/>
      <c r="V976" s="407"/>
      <c r="W976" s="404"/>
      <c r="X976" s="417"/>
      <c r="Y976" s="268"/>
      <c r="Z976" s="267"/>
      <c r="AA976" s="267"/>
      <c r="AB976" s="267"/>
      <c r="AC976" s="267"/>
      <c r="AD976" s="268"/>
      <c r="AE976" s="269"/>
    </row>
    <row r="977" spans="1:31" ht="15">
      <c r="A977" s="344">
        <v>43754</v>
      </c>
      <c r="B977" s="409" t="s">
        <v>200</v>
      </c>
      <c r="C977" s="409" t="s">
        <v>199</v>
      </c>
      <c r="D977" s="306">
        <v>6693.88</v>
      </c>
      <c r="E977" s="306">
        <v>6760.93</v>
      </c>
      <c r="F977" s="306">
        <v>6692.62</v>
      </c>
      <c r="G977" s="306">
        <v>6765.03</v>
      </c>
      <c r="H977" s="306">
        <v>6700.94</v>
      </c>
      <c r="I977" s="306">
        <v>6720.31</v>
      </c>
      <c r="J977" s="306">
        <v>6835.41</v>
      </c>
      <c r="K977" s="306">
        <v>6850.58</v>
      </c>
      <c r="L977" s="306">
        <v>6768.85</v>
      </c>
      <c r="M977" s="306">
        <v>6855.77</v>
      </c>
      <c r="N977" s="306">
        <v>6839.49</v>
      </c>
      <c r="O977" s="306">
        <v>6799.04</v>
      </c>
      <c r="P977" s="306">
        <v>6791.91</v>
      </c>
      <c r="Q977" s="409">
        <f>IF((L978=""),"",MAX(D979:P979))</f>
        <v>5413.2000000000007</v>
      </c>
      <c r="R977" s="409">
        <f>IF(L978="","",MIN(D979:L979))</f>
        <v>5294.84</v>
      </c>
      <c r="S977" s="400">
        <f>IF((P979=""),"",AVERAGE(D979:P979))</f>
        <v>5360.790769230769</v>
      </c>
      <c r="T977" s="412">
        <f>IF((L978=""),"",(Q977-R977)/(Q977+R977)*100)</f>
        <v>1.105337671506649</v>
      </c>
      <c r="U977" s="409">
        <f>STDEV(D979:P979)</f>
        <v>36.49593914875301</v>
      </c>
      <c r="V977" s="413" t="str">
        <f>IF(P978="","",IF(T977&lt;2.7,IF(S977&gt;5150,IF(S977&lt;5600,"Pass","Fail"),"Fail"),"Fail"))</f>
        <v>Pass</v>
      </c>
      <c r="W977" s="409">
        <v>1340</v>
      </c>
      <c r="X977" s="402" t="s">
        <v>398</v>
      </c>
      <c r="Y977" s="268"/>
      <c r="Z977" s="321">
        <v>4470</v>
      </c>
      <c r="AA977" s="321">
        <v>6020</v>
      </c>
      <c r="AB977" s="321">
        <v>5150</v>
      </c>
      <c r="AC977" s="321">
        <v>5600</v>
      </c>
      <c r="AD977" s="305">
        <v>10</v>
      </c>
      <c r="AE977" s="322">
        <v>2.7</v>
      </c>
    </row>
    <row r="978" spans="1:31" ht="15">
      <c r="A978" s="390"/>
      <c r="B978" s="404"/>
      <c r="C978" s="404" t="s">
        <v>198</v>
      </c>
      <c r="D978" s="306">
        <v>4031.8</v>
      </c>
      <c r="E978" s="306">
        <v>4084.26</v>
      </c>
      <c r="F978" s="306">
        <v>4045.2</v>
      </c>
      <c r="G978" s="306">
        <v>4086.14</v>
      </c>
      <c r="H978" s="306">
        <v>4008.42</v>
      </c>
      <c r="I978" s="306">
        <v>4013.71</v>
      </c>
      <c r="J978" s="306">
        <v>4154.5600000000004</v>
      </c>
      <c r="K978" s="306">
        <v>4155.51</v>
      </c>
      <c r="L978" s="306">
        <v>4118.97</v>
      </c>
      <c r="M978" s="306">
        <v>4163.42</v>
      </c>
      <c r="N978" s="306">
        <v>4142.95</v>
      </c>
      <c r="O978" s="306">
        <v>4124.79</v>
      </c>
      <c r="P978" s="306">
        <v>4099.8900000000003</v>
      </c>
      <c r="Q978" s="404"/>
      <c r="R978" s="404"/>
      <c r="S978" s="404"/>
      <c r="T978" s="404"/>
      <c r="U978" s="404"/>
      <c r="V978" s="407"/>
      <c r="W978" s="404"/>
      <c r="X978" s="408"/>
      <c r="Y978" s="268"/>
      <c r="Z978" s="267"/>
      <c r="AA978" s="267"/>
      <c r="AB978" s="267"/>
      <c r="AC978" s="267"/>
      <c r="AD978" s="268"/>
      <c r="AE978" s="269"/>
    </row>
    <row r="979" spans="1:31" ht="57.75" thickBot="1">
      <c r="A979" s="393"/>
      <c r="B979" s="414"/>
      <c r="C979" s="414" t="s">
        <v>197</v>
      </c>
      <c r="D979" s="415">
        <f t="shared" ref="D979:P979" si="321">IF(((D977="")*AND(D978="")),"",(D977-D978)*2)</f>
        <v>5324.16</v>
      </c>
      <c r="E979" s="415">
        <f t="shared" si="321"/>
        <v>5353.34</v>
      </c>
      <c r="F979" s="415">
        <f t="shared" si="321"/>
        <v>5294.84</v>
      </c>
      <c r="G979" s="415">
        <f t="shared" si="321"/>
        <v>5357.78</v>
      </c>
      <c r="H979" s="415">
        <f t="shared" si="321"/>
        <v>5385.0399999999991</v>
      </c>
      <c r="I979" s="415">
        <f t="shared" si="321"/>
        <v>5413.2000000000007</v>
      </c>
      <c r="J979" s="415">
        <f t="shared" si="321"/>
        <v>5361.6999999999989</v>
      </c>
      <c r="K979" s="415">
        <f t="shared" si="321"/>
        <v>5390.1399999999994</v>
      </c>
      <c r="L979" s="415">
        <f t="shared" si="321"/>
        <v>5299.76</v>
      </c>
      <c r="M979" s="415">
        <f t="shared" si="321"/>
        <v>5384.7000000000007</v>
      </c>
      <c r="N979" s="415">
        <f t="shared" si="321"/>
        <v>5393.08</v>
      </c>
      <c r="O979" s="415">
        <f t="shared" si="321"/>
        <v>5348.5</v>
      </c>
      <c r="P979" s="415">
        <f t="shared" si="321"/>
        <v>5384.0399999999991</v>
      </c>
      <c r="Q979" s="414"/>
      <c r="R979" s="414"/>
      <c r="S979" s="414"/>
      <c r="T979" s="414"/>
      <c r="U979" s="414"/>
      <c r="V979" s="416"/>
      <c r="W979" s="414"/>
      <c r="X979" s="417"/>
      <c r="Y979" s="268"/>
      <c r="Z979" s="267"/>
      <c r="AA979" s="267"/>
      <c r="AB979" s="267"/>
      <c r="AC979" s="267"/>
      <c r="AD979" s="268"/>
      <c r="AE979" s="269"/>
    </row>
    <row r="980" spans="1:31" ht="15">
      <c r="A980" s="344">
        <v>43787</v>
      </c>
      <c r="B980" s="395" t="s">
        <v>202</v>
      </c>
      <c r="C980" s="396" t="s">
        <v>199</v>
      </c>
      <c r="D980" s="306">
        <v>6115.21</v>
      </c>
      <c r="E980" s="306">
        <v>6209.86</v>
      </c>
      <c r="F980" s="306">
        <v>6163.41</v>
      </c>
      <c r="G980" s="306">
        <v>6164.53</v>
      </c>
      <c r="H980" s="306">
        <v>6174.48</v>
      </c>
      <c r="I980" s="306">
        <v>5936.06</v>
      </c>
      <c r="J980" s="306">
        <v>6209.21</v>
      </c>
      <c r="K980" s="306">
        <v>6149.56</v>
      </c>
      <c r="L980" s="306">
        <v>6148.33</v>
      </c>
      <c r="M980" s="398"/>
      <c r="N980" s="398"/>
      <c r="O980" s="398"/>
      <c r="P980" s="398"/>
      <c r="Q980" s="395">
        <f>IF((L981=""),"",MAX(D982:L982))</f>
        <v>7612.8300000000017</v>
      </c>
      <c r="R980" s="395">
        <f>IF(L981="","",MIN(D982:L982))</f>
        <v>6564.6</v>
      </c>
      <c r="S980" s="399">
        <f>IF((L982=""),"",AVERAGE(D982:L982))</f>
        <v>6973.623333333333</v>
      </c>
      <c r="T980" s="400">
        <f>IF((L981=""),"",(Q980-R980)/(Q980+R980)*100)</f>
        <v>7.3936531515232398</v>
      </c>
      <c r="U980" s="395">
        <f>STDEV(D982:P982)</f>
        <v>308.34255342070361</v>
      </c>
      <c r="V980" s="401" t="str">
        <f>IF(L981="","",IF(T980&lt;9.8,IF(S980&gt;5100,IF(S980&lt;8300,"Pass","Fail"),"Fail"),"Fail"))</f>
        <v>Pass</v>
      </c>
      <c r="W980" s="395">
        <v>1159</v>
      </c>
      <c r="X980" s="402" t="s">
        <v>402</v>
      </c>
      <c r="Y980" s="268"/>
      <c r="Z980" s="267">
        <v>4955</v>
      </c>
      <c r="AA980" s="267">
        <v>9645</v>
      </c>
      <c r="AB980" s="267">
        <v>5100</v>
      </c>
      <c r="AC980" s="267">
        <v>8300</v>
      </c>
      <c r="AD980" s="305">
        <v>10</v>
      </c>
      <c r="AE980" s="305">
        <v>9.8000000000000007</v>
      </c>
    </row>
    <row r="981" spans="1:31" ht="15">
      <c r="A981" s="390"/>
      <c r="B981" s="404"/>
      <c r="C981" s="405" t="s">
        <v>198</v>
      </c>
      <c r="D981" s="306">
        <v>3727.5</v>
      </c>
      <c r="E981" s="306">
        <v>3900.51</v>
      </c>
      <c r="F981" s="306">
        <v>3934.71</v>
      </c>
      <c r="G981" s="306">
        <v>3911.15</v>
      </c>
      <c r="H981" s="306">
        <v>3804.75</v>
      </c>
      <c r="I981" s="306">
        <v>3398.45</v>
      </c>
      <c r="J981" s="306">
        <v>3888.02</v>
      </c>
      <c r="K981" s="306">
        <v>3961.36</v>
      </c>
      <c r="L981" s="306">
        <v>3823.33</v>
      </c>
      <c r="M981" s="406"/>
      <c r="N981" s="406"/>
      <c r="O981" s="406"/>
      <c r="P981" s="406"/>
      <c r="Q981" s="404"/>
      <c r="R981" s="404"/>
      <c r="S981" s="404"/>
      <c r="T981" s="404"/>
      <c r="U981" s="404"/>
      <c r="V981" s="407"/>
      <c r="W981" s="404"/>
      <c r="X981" s="408"/>
      <c r="Y981" s="268"/>
      <c r="Z981" s="267"/>
      <c r="AA981" s="267"/>
      <c r="AB981" s="267"/>
      <c r="AC981" s="267"/>
      <c r="AD981" s="268"/>
      <c r="AE981" s="269"/>
    </row>
    <row r="982" spans="1:31" ht="57.75" thickBot="1">
      <c r="A982" s="390"/>
      <c r="B982" s="404"/>
      <c r="C982" s="409" t="s">
        <v>197</v>
      </c>
      <c r="D982" s="410">
        <f t="shared" ref="D982:L982" si="322">IF(((D980="")*AND(D981="")),"",(D980-D981)*3)</f>
        <v>7163.13</v>
      </c>
      <c r="E982" s="410">
        <f t="shared" si="322"/>
        <v>6928.0499999999984</v>
      </c>
      <c r="F982" s="410">
        <f t="shared" si="322"/>
        <v>6686.0999999999995</v>
      </c>
      <c r="G982" s="410">
        <f t="shared" si="322"/>
        <v>6760.1399999999994</v>
      </c>
      <c r="H982" s="410">
        <f t="shared" si="322"/>
        <v>7109.1899999999987</v>
      </c>
      <c r="I982" s="410">
        <f t="shared" si="322"/>
        <v>7612.8300000000017</v>
      </c>
      <c r="J982" s="410">
        <f t="shared" si="322"/>
        <v>6963.57</v>
      </c>
      <c r="K982" s="410">
        <f t="shared" si="322"/>
        <v>6564.6</v>
      </c>
      <c r="L982" s="410">
        <f t="shared" si="322"/>
        <v>6975</v>
      </c>
      <c r="M982" s="410"/>
      <c r="N982" s="410"/>
      <c r="O982" s="410"/>
      <c r="P982" s="410" t="str">
        <f>IF(((P980="")*AND(P981="")),"",(P980-P981)*2)</f>
        <v/>
      </c>
      <c r="Q982" s="404"/>
      <c r="R982" s="404"/>
      <c r="S982" s="404"/>
      <c r="T982" s="404"/>
      <c r="U982" s="404"/>
      <c r="V982" s="407"/>
      <c r="W982" s="404"/>
      <c r="X982" s="417"/>
      <c r="Y982" s="268"/>
      <c r="Z982" s="267"/>
      <c r="AA982" s="267"/>
      <c r="AB982" s="267"/>
      <c r="AC982" s="267"/>
      <c r="AD982" s="268"/>
      <c r="AE982" s="269"/>
    </row>
    <row r="983" spans="1:31" ht="15">
      <c r="A983" s="344">
        <v>43787</v>
      </c>
      <c r="B983" s="409" t="s">
        <v>200</v>
      </c>
      <c r="C983" s="409" t="s">
        <v>199</v>
      </c>
      <c r="D983" s="306">
        <v>6698.34</v>
      </c>
      <c r="E983" s="306">
        <v>6767.35</v>
      </c>
      <c r="F983" s="306">
        <v>6699.83</v>
      </c>
      <c r="G983" s="306">
        <v>6768.57</v>
      </c>
      <c r="H983" s="306">
        <v>6711.61</v>
      </c>
      <c r="I983" s="306">
        <v>6729.2</v>
      </c>
      <c r="J983" s="306">
        <v>6841.94</v>
      </c>
      <c r="K983" s="306">
        <v>6858.53</v>
      </c>
      <c r="L983" s="306">
        <v>6783.03</v>
      </c>
      <c r="M983" s="306">
        <v>6864.36</v>
      </c>
      <c r="N983" s="306">
        <v>6851.84</v>
      </c>
      <c r="O983" s="306">
        <v>6815.03</v>
      </c>
      <c r="P983" s="306">
        <v>6807.96</v>
      </c>
      <c r="Q983" s="409">
        <f>IF((L984=""),"",MAX(D985:P985))</f>
        <v>5443.12</v>
      </c>
      <c r="R983" s="409">
        <f>IF(L984="","",MIN(D985:L985))</f>
        <v>5324.54</v>
      </c>
      <c r="S983" s="400">
        <f>IF((P985=""),"",AVERAGE(D985:P985))</f>
        <v>5389.912307692307</v>
      </c>
      <c r="T983" s="412">
        <f>IF((L984=""),"",(Q983-R983)/(Q983+R983)*100)</f>
        <v>1.1012606267285552</v>
      </c>
      <c r="U983" s="409">
        <f>STDEV(D985:P985)</f>
        <v>35.64815239580166</v>
      </c>
      <c r="V983" s="413" t="str">
        <f>IF(P984="","",IF(T983&lt;2.7,IF(S983&gt;5150,IF(S983&lt;5600,"Pass","Fail"),"Fail"),"Fail"))</f>
        <v>Pass</v>
      </c>
      <c r="W983" s="409">
        <v>1159</v>
      </c>
      <c r="X983" s="402" t="s">
        <v>402</v>
      </c>
      <c r="Y983" s="268"/>
      <c r="Z983" s="321">
        <v>4470</v>
      </c>
      <c r="AA983" s="321">
        <v>6020</v>
      </c>
      <c r="AB983" s="321">
        <v>5150</v>
      </c>
      <c r="AC983" s="321">
        <v>5600</v>
      </c>
      <c r="AD983" s="305">
        <v>10</v>
      </c>
      <c r="AE983" s="322">
        <v>2.7</v>
      </c>
    </row>
    <row r="984" spans="1:31" ht="15">
      <c r="A984" s="390"/>
      <c r="B984" s="404"/>
      <c r="C984" s="404" t="s">
        <v>198</v>
      </c>
      <c r="D984" s="306">
        <v>4018.97</v>
      </c>
      <c r="E984" s="306">
        <v>4070.53</v>
      </c>
      <c r="F984" s="306">
        <v>4037.56</v>
      </c>
      <c r="G984" s="306">
        <v>4071.74</v>
      </c>
      <c r="H984" s="306">
        <v>4002.05</v>
      </c>
      <c r="I984" s="306">
        <v>4007.64</v>
      </c>
      <c r="J984" s="306">
        <v>4144.1400000000003</v>
      </c>
      <c r="K984" s="306">
        <v>4147.6099999999997</v>
      </c>
      <c r="L984" s="306">
        <v>4118.5600000000004</v>
      </c>
      <c r="M984" s="306">
        <v>4158.6000000000004</v>
      </c>
      <c r="N984" s="306">
        <v>4144.95</v>
      </c>
      <c r="O984" s="306">
        <v>4130.71</v>
      </c>
      <c r="P984" s="306">
        <v>4110.1000000000004</v>
      </c>
      <c r="Q984" s="404"/>
      <c r="R984" s="404"/>
      <c r="S984" s="404"/>
      <c r="T984" s="404"/>
      <c r="U984" s="404"/>
      <c r="V984" s="407"/>
      <c r="W984" s="404"/>
      <c r="X984" s="408"/>
      <c r="Y984" s="268"/>
      <c r="Z984" s="267"/>
      <c r="AA984" s="267"/>
      <c r="AB984" s="267"/>
      <c r="AC984" s="267"/>
      <c r="AD984" s="268"/>
      <c r="AE984" s="269"/>
    </row>
    <row r="985" spans="1:31" ht="57.75" thickBot="1">
      <c r="A985" s="393"/>
      <c r="B985" s="414"/>
      <c r="C985" s="414" t="s">
        <v>197</v>
      </c>
      <c r="D985" s="415">
        <f t="shared" ref="D985:P985" si="323">IF(((D983="")*AND(D984="")),"",(D983-D984)*2)</f>
        <v>5358.7400000000007</v>
      </c>
      <c r="E985" s="415">
        <f t="shared" si="323"/>
        <v>5393.64</v>
      </c>
      <c r="F985" s="415">
        <f t="shared" si="323"/>
        <v>5324.54</v>
      </c>
      <c r="G985" s="415">
        <f t="shared" si="323"/>
        <v>5393.66</v>
      </c>
      <c r="H985" s="415">
        <f t="shared" si="323"/>
        <v>5419.119999999999</v>
      </c>
      <c r="I985" s="415">
        <f t="shared" si="323"/>
        <v>5443.12</v>
      </c>
      <c r="J985" s="415">
        <f t="shared" si="323"/>
        <v>5395.5999999999985</v>
      </c>
      <c r="K985" s="415">
        <f t="shared" si="323"/>
        <v>5421.84</v>
      </c>
      <c r="L985" s="415">
        <f t="shared" si="323"/>
        <v>5328.9399999999987</v>
      </c>
      <c r="M985" s="415">
        <f t="shared" si="323"/>
        <v>5411.5199999999986</v>
      </c>
      <c r="N985" s="415">
        <f t="shared" si="323"/>
        <v>5413.7800000000007</v>
      </c>
      <c r="O985" s="415">
        <f t="shared" si="323"/>
        <v>5368.6399999999994</v>
      </c>
      <c r="P985" s="415">
        <f t="shared" si="323"/>
        <v>5395.7199999999993</v>
      </c>
      <c r="Q985" s="414"/>
      <c r="R985" s="414"/>
      <c r="S985" s="414"/>
      <c r="T985" s="414"/>
      <c r="U985" s="414"/>
      <c r="V985" s="416"/>
      <c r="W985" s="414"/>
      <c r="X985" s="417"/>
      <c r="Y985" s="268"/>
      <c r="Z985" s="267"/>
      <c r="AA985" s="267"/>
      <c r="AB985" s="267"/>
      <c r="AC985" s="267"/>
      <c r="AD985" s="268"/>
      <c r="AE985" s="269"/>
    </row>
    <row r="986" spans="1:31" ht="15">
      <c r="A986" s="344">
        <v>43791</v>
      </c>
      <c r="B986" s="395" t="s">
        <v>202</v>
      </c>
      <c r="C986" s="396" t="s">
        <v>199</v>
      </c>
      <c r="D986" s="306">
        <v>6109.1</v>
      </c>
      <c r="E986" s="306">
        <v>6229.67</v>
      </c>
      <c r="F986" s="306">
        <v>6266.59</v>
      </c>
      <c r="G986" s="306">
        <v>6213.94</v>
      </c>
      <c r="H986" s="306">
        <v>6142.08</v>
      </c>
      <c r="I986" s="306">
        <v>6124.34</v>
      </c>
      <c r="J986" s="306">
        <v>6208.55</v>
      </c>
      <c r="K986" s="306">
        <v>6243.55</v>
      </c>
      <c r="L986" s="306">
        <v>6126.12</v>
      </c>
      <c r="M986" s="398"/>
      <c r="N986" s="398"/>
      <c r="O986" s="398"/>
      <c r="P986" s="398"/>
      <c r="Q986" s="395">
        <f>IF((L987=""),"",MAX(D988:L988))</f>
        <v>7204.2300000000014</v>
      </c>
      <c r="R986" s="395">
        <f>IF(L987="","",MIN(D988:L988))</f>
        <v>6498.3000000000011</v>
      </c>
      <c r="S986" s="399">
        <f>IF((L988=""),"",AVERAGE(D988:L988))</f>
        <v>6656.5033333333331</v>
      </c>
      <c r="T986" s="400">
        <f>IF((L987=""),"",(Q986-R986)/(Q986+R986)*100)</f>
        <v>5.1518223277015283</v>
      </c>
      <c r="U986" s="395">
        <f>STDEV(D988:P988)</f>
        <v>236.35748560179226</v>
      </c>
      <c r="V986" s="401" t="str">
        <f>IF(L987="","",IF(T986&lt;9.8,IF(S986&gt;5100,IF(S986&lt;8300,"Pass","Fail"),"Fail"),"Fail"))</f>
        <v>Pass</v>
      </c>
      <c r="W986" s="395">
        <v>1335</v>
      </c>
      <c r="X986" s="402" t="s">
        <v>405</v>
      </c>
      <c r="Y986" s="268"/>
      <c r="Z986" s="267">
        <v>4955</v>
      </c>
      <c r="AA986" s="267">
        <v>9645</v>
      </c>
      <c r="AB986" s="267">
        <v>5100</v>
      </c>
      <c r="AC986" s="267">
        <v>8300</v>
      </c>
      <c r="AD986" s="305">
        <v>10</v>
      </c>
      <c r="AE986" s="305">
        <v>9.8000000000000007</v>
      </c>
    </row>
    <row r="987" spans="1:31" ht="15">
      <c r="A987" s="390"/>
      <c r="B987" s="404"/>
      <c r="C987" s="405" t="s">
        <v>198</v>
      </c>
      <c r="D987" s="306">
        <v>3908.66</v>
      </c>
      <c r="E987" s="306">
        <v>4063.31</v>
      </c>
      <c r="F987" s="306">
        <v>4077.72</v>
      </c>
      <c r="G987" s="306">
        <v>4042.01</v>
      </c>
      <c r="H987" s="306">
        <v>3855.4</v>
      </c>
      <c r="I987" s="306">
        <v>3722.93</v>
      </c>
      <c r="J987" s="306">
        <v>4042.45</v>
      </c>
      <c r="K987" s="306">
        <v>4077.1</v>
      </c>
      <c r="L987" s="306">
        <v>3904.85</v>
      </c>
      <c r="M987" s="406"/>
      <c r="N987" s="406"/>
      <c r="O987" s="406"/>
      <c r="P987" s="406"/>
      <c r="Q987" s="404"/>
      <c r="R987" s="404"/>
      <c r="S987" s="404"/>
      <c r="T987" s="404"/>
      <c r="U987" s="404"/>
      <c r="V987" s="407"/>
      <c r="W987" s="404"/>
      <c r="X987" s="408"/>
      <c r="Y987" s="268"/>
      <c r="Z987" s="267"/>
      <c r="AA987" s="267"/>
      <c r="AB987" s="267"/>
      <c r="AC987" s="267"/>
      <c r="AD987" s="268"/>
      <c r="AE987" s="269"/>
    </row>
    <row r="988" spans="1:31" ht="57.75" thickBot="1">
      <c r="A988" s="390"/>
      <c r="B988" s="404"/>
      <c r="C988" s="409" t="s">
        <v>197</v>
      </c>
      <c r="D988" s="410">
        <f t="shared" ref="D988:L988" si="324">IF(((D986="")*AND(D987="")),"",(D986-D987)*3)</f>
        <v>6601.3200000000015</v>
      </c>
      <c r="E988" s="410">
        <f t="shared" si="324"/>
        <v>6499.08</v>
      </c>
      <c r="F988" s="410">
        <f t="shared" si="324"/>
        <v>6566.6100000000006</v>
      </c>
      <c r="G988" s="410">
        <f t="shared" si="324"/>
        <v>6515.7899999999981</v>
      </c>
      <c r="H988" s="410">
        <f t="shared" si="324"/>
        <v>6860.0399999999991</v>
      </c>
      <c r="I988" s="410">
        <f t="shared" si="324"/>
        <v>7204.2300000000014</v>
      </c>
      <c r="J988" s="410">
        <f t="shared" si="324"/>
        <v>6498.3000000000011</v>
      </c>
      <c r="K988" s="410">
        <f t="shared" si="324"/>
        <v>6499.35</v>
      </c>
      <c r="L988" s="410">
        <f t="shared" si="324"/>
        <v>6663.8099999999995</v>
      </c>
      <c r="M988" s="410"/>
      <c r="N988" s="410"/>
      <c r="O988" s="410"/>
      <c r="P988" s="410" t="str">
        <f>IF(((P986="")*AND(P987="")),"",(P986-P987)*2)</f>
        <v/>
      </c>
      <c r="Q988" s="404"/>
      <c r="R988" s="404"/>
      <c r="S988" s="404"/>
      <c r="T988" s="404"/>
      <c r="U988" s="404"/>
      <c r="V988" s="407"/>
      <c r="W988" s="404"/>
      <c r="X988" s="417"/>
      <c r="Y988" s="268"/>
      <c r="Z988" s="267"/>
      <c r="AA988" s="267"/>
      <c r="AB988" s="267"/>
      <c r="AC988" s="267"/>
      <c r="AD988" s="268"/>
      <c r="AE988" s="269"/>
    </row>
    <row r="989" spans="1:31" ht="15">
      <c r="A989" s="344">
        <v>43791</v>
      </c>
      <c r="B989" s="409" t="s">
        <v>200</v>
      </c>
      <c r="C989" s="409" t="s">
        <v>199</v>
      </c>
      <c r="D989" s="306">
        <v>6705.07</v>
      </c>
      <c r="E989" s="306">
        <v>6772.97</v>
      </c>
      <c r="F989" s="306">
        <v>6702.56</v>
      </c>
      <c r="G989" s="306">
        <v>6775.95</v>
      </c>
      <c r="H989" s="306">
        <v>6713.51</v>
      </c>
      <c r="I989" s="306">
        <v>6732.97</v>
      </c>
      <c r="J989" s="306">
        <v>6846.07</v>
      </c>
      <c r="K989" s="306">
        <v>6861.09</v>
      </c>
      <c r="L989" s="306">
        <v>6779.9</v>
      </c>
      <c r="M989" s="306">
        <v>6865.2</v>
      </c>
      <c r="N989" s="306">
        <v>6850.29</v>
      </c>
      <c r="O989" s="306">
        <v>6811.04</v>
      </c>
      <c r="P989" s="306">
        <v>6802.22</v>
      </c>
      <c r="Q989" s="409">
        <f>IF((L990=""),"",MAX(D991:P991))</f>
        <v>5431.3600000000006</v>
      </c>
      <c r="R989" s="409">
        <f>IF(L990="","",MIN(D991:L991))</f>
        <v>5307.1200000000008</v>
      </c>
      <c r="S989" s="400">
        <f>IF((P991=""),"",AVERAGE(D991:P991))</f>
        <v>5380.2738461538456</v>
      </c>
      <c r="T989" s="412">
        <f>IF((L990=""),"",(Q989-R989)/(Q989+R989)*100)</f>
        <v>1.1569607616720408</v>
      </c>
      <c r="U989" s="409">
        <f>STDEV(D991:P991)</f>
        <v>39.758876061076705</v>
      </c>
      <c r="V989" s="413" t="str">
        <f>IF(P990="","",IF(T989&lt;2.7,IF(S989&gt;5150,IF(S989&lt;5600,"Pass","Fail"),"Fail"),"Fail"))</f>
        <v>Pass</v>
      </c>
      <c r="W989" s="409">
        <v>1335</v>
      </c>
      <c r="X989" s="402" t="s">
        <v>405</v>
      </c>
      <c r="Y989" s="268"/>
      <c r="Z989" s="321">
        <v>4470</v>
      </c>
      <c r="AA989" s="321">
        <v>6020</v>
      </c>
      <c r="AB989" s="321">
        <v>5150</v>
      </c>
      <c r="AC989" s="321">
        <v>5600</v>
      </c>
      <c r="AD989" s="305">
        <v>10</v>
      </c>
      <c r="AE989" s="322">
        <v>2.7</v>
      </c>
    </row>
    <row r="990" spans="1:31" ht="15">
      <c r="A990" s="390"/>
      <c r="B990" s="404"/>
      <c r="C990" s="404" t="s">
        <v>198</v>
      </c>
      <c r="D990" s="306">
        <v>4040.64</v>
      </c>
      <c r="E990" s="306">
        <v>4083.79</v>
      </c>
      <c r="F990" s="306">
        <v>4049</v>
      </c>
      <c r="G990" s="306">
        <v>4086.79</v>
      </c>
      <c r="H990" s="306">
        <v>4008.76</v>
      </c>
      <c r="I990" s="306">
        <v>4017.29</v>
      </c>
      <c r="J990" s="306">
        <v>4154.74</v>
      </c>
      <c r="K990" s="306">
        <v>4156.74</v>
      </c>
      <c r="L990" s="306">
        <v>4120.3900000000003</v>
      </c>
      <c r="M990" s="306">
        <v>4161.84</v>
      </c>
      <c r="N990" s="306">
        <v>4141.5600000000004</v>
      </c>
      <c r="O990" s="306">
        <v>4126.8100000000004</v>
      </c>
      <c r="P990" s="306">
        <v>4098.71</v>
      </c>
      <c r="Q990" s="404"/>
      <c r="R990" s="404"/>
      <c r="S990" s="404"/>
      <c r="T990" s="404"/>
      <c r="U990" s="404"/>
      <c r="V990" s="407"/>
      <c r="W990" s="404"/>
      <c r="X990" s="408"/>
      <c r="Y990" s="268"/>
      <c r="Z990" s="267"/>
      <c r="AA990" s="267"/>
      <c r="AB990" s="267"/>
      <c r="AC990" s="267"/>
      <c r="AD990" s="268"/>
      <c r="AE990" s="269"/>
    </row>
    <row r="991" spans="1:31" ht="57.75" thickBot="1">
      <c r="A991" s="393"/>
      <c r="B991" s="414"/>
      <c r="C991" s="414" t="s">
        <v>197</v>
      </c>
      <c r="D991" s="415">
        <f t="shared" ref="D991:P991" si="325">IF(((D989="")*AND(D990="")),"",(D989-D990)*2)</f>
        <v>5328.86</v>
      </c>
      <c r="E991" s="415">
        <f t="shared" si="325"/>
        <v>5378.3600000000006</v>
      </c>
      <c r="F991" s="415">
        <f t="shared" si="325"/>
        <v>5307.1200000000008</v>
      </c>
      <c r="G991" s="415">
        <f t="shared" si="325"/>
        <v>5378.32</v>
      </c>
      <c r="H991" s="415">
        <f t="shared" si="325"/>
        <v>5409.5</v>
      </c>
      <c r="I991" s="415">
        <f t="shared" si="325"/>
        <v>5431.3600000000006</v>
      </c>
      <c r="J991" s="415">
        <f t="shared" si="325"/>
        <v>5382.66</v>
      </c>
      <c r="K991" s="415">
        <f t="shared" si="325"/>
        <v>5408.7000000000007</v>
      </c>
      <c r="L991" s="415">
        <f t="shared" si="325"/>
        <v>5319.0199999999986</v>
      </c>
      <c r="M991" s="415">
        <f t="shared" si="325"/>
        <v>5406.7199999999993</v>
      </c>
      <c r="N991" s="415">
        <f t="shared" si="325"/>
        <v>5417.4599999999991</v>
      </c>
      <c r="O991" s="415">
        <f t="shared" si="325"/>
        <v>5368.4599999999991</v>
      </c>
      <c r="P991" s="415">
        <f t="shared" si="325"/>
        <v>5407.02</v>
      </c>
      <c r="Q991" s="414"/>
      <c r="R991" s="414"/>
      <c r="S991" s="414"/>
      <c r="T991" s="414"/>
      <c r="U991" s="414"/>
      <c r="V991" s="416"/>
      <c r="W991" s="414"/>
      <c r="X991" s="417"/>
      <c r="Y991" s="268"/>
      <c r="Z991" s="267"/>
      <c r="AA991" s="267"/>
      <c r="AB991" s="267"/>
      <c r="AC991" s="267"/>
      <c r="AD991" s="268"/>
      <c r="AE991" s="269"/>
    </row>
    <row r="992" spans="1:31" ht="15">
      <c r="A992" s="344">
        <v>43795</v>
      </c>
      <c r="B992" s="395" t="s">
        <v>202</v>
      </c>
      <c r="C992" s="396" t="s">
        <v>199</v>
      </c>
      <c r="D992" s="418">
        <v>3889.55</v>
      </c>
      <c r="E992" s="418">
        <v>4045.25</v>
      </c>
      <c r="F992" s="418">
        <v>4060.63</v>
      </c>
      <c r="G992" s="418">
        <v>4026.95</v>
      </c>
      <c r="H992" s="418">
        <v>3838.7</v>
      </c>
      <c r="I992" s="418">
        <v>3703.37</v>
      </c>
      <c r="J992" s="418">
        <v>4028.63</v>
      </c>
      <c r="K992" s="418">
        <v>4063.93</v>
      </c>
      <c r="L992" s="418">
        <v>3888.02</v>
      </c>
      <c r="M992" s="398"/>
      <c r="N992" s="398"/>
      <c r="O992" s="398"/>
      <c r="P992" s="398"/>
      <c r="Q992" s="395">
        <f>IF((L993=""),"",MAX(D994:L994))</f>
        <v>6911.76</v>
      </c>
      <c r="R992" s="395">
        <f>IF(L993="","",MIN(D994:L994))</f>
        <v>6287.73</v>
      </c>
      <c r="S992" s="399">
        <f>IF((L994=""),"",AVERAGE(D994:L994))</f>
        <v>6490.6366666666663</v>
      </c>
      <c r="T992" s="400">
        <f>IF((L993=""),"",(Q992-R992)/(Q992+R992)*100)</f>
        <v>4.7276826604664324</v>
      </c>
      <c r="U992" s="395">
        <f>STDEV(D994:P994)</f>
        <v>227.1708709320032</v>
      </c>
      <c r="V992" s="401" t="str">
        <f>IF(L993="","",IF(T992&lt;9.8,IF(S992&gt;5100,IF(S992&lt;8300,"Pass","Fail"),"Fail"),"Fail"))</f>
        <v>Pass</v>
      </c>
      <c r="W992" s="395">
        <v>1428</v>
      </c>
      <c r="X992" s="402"/>
      <c r="Y992" s="268"/>
      <c r="Z992" s="267">
        <v>4955</v>
      </c>
      <c r="AA992" s="267">
        <v>9645</v>
      </c>
      <c r="AB992" s="267">
        <v>5100</v>
      </c>
      <c r="AC992" s="267">
        <v>8300</v>
      </c>
      <c r="AD992" s="305">
        <v>10</v>
      </c>
      <c r="AE992" s="305">
        <v>9.8000000000000007</v>
      </c>
    </row>
    <row r="993" spans="1:31" ht="15">
      <c r="A993" s="390"/>
      <c r="B993" s="404"/>
      <c r="C993" s="405" t="s">
        <v>198</v>
      </c>
      <c r="D993" s="418">
        <v>1614.22</v>
      </c>
      <c r="E993" s="418">
        <v>1949.34</v>
      </c>
      <c r="F993" s="418">
        <v>1942.47</v>
      </c>
      <c r="G993" s="418">
        <v>1903.87</v>
      </c>
      <c r="H993" s="418">
        <v>1534.78</v>
      </c>
      <c r="I993" s="418">
        <v>1524.96</v>
      </c>
      <c r="J993" s="418">
        <v>1921.65</v>
      </c>
      <c r="K993" s="418">
        <v>1942.22</v>
      </c>
      <c r="L993" s="418">
        <v>1739.61</v>
      </c>
      <c r="M993" s="406"/>
      <c r="N993" s="406"/>
      <c r="O993" s="406"/>
      <c r="P993" s="406"/>
      <c r="Q993" s="404"/>
      <c r="R993" s="404"/>
      <c r="S993" s="404"/>
      <c r="T993" s="404"/>
      <c r="U993" s="404"/>
      <c r="V993" s="407"/>
      <c r="W993" s="404"/>
      <c r="X993" s="408"/>
      <c r="Y993" s="268"/>
      <c r="Z993" s="267"/>
      <c r="AA993" s="267"/>
      <c r="AB993" s="267"/>
      <c r="AC993" s="267"/>
      <c r="AD993" s="268"/>
      <c r="AE993" s="269"/>
    </row>
    <row r="994" spans="1:31" ht="57.75" thickBot="1">
      <c r="A994" s="390"/>
      <c r="B994" s="404"/>
      <c r="C994" s="409" t="s">
        <v>197</v>
      </c>
      <c r="D994" s="410">
        <f t="shared" ref="D994:L994" si="326">IF(((D992="")*AND(D993="")),"",(D992-D993)*3)</f>
        <v>6825.99</v>
      </c>
      <c r="E994" s="410">
        <f t="shared" si="326"/>
        <v>6287.73</v>
      </c>
      <c r="F994" s="410">
        <f t="shared" si="326"/>
        <v>6354.48</v>
      </c>
      <c r="G994" s="410">
        <f t="shared" si="326"/>
        <v>6369.24</v>
      </c>
      <c r="H994" s="410">
        <f t="shared" si="326"/>
        <v>6911.76</v>
      </c>
      <c r="I994" s="410">
        <f t="shared" si="326"/>
        <v>6535.23</v>
      </c>
      <c r="J994" s="410">
        <f t="shared" si="326"/>
        <v>6320.9400000000005</v>
      </c>
      <c r="K994" s="410">
        <f t="shared" si="326"/>
        <v>6365.13</v>
      </c>
      <c r="L994" s="410">
        <f t="shared" si="326"/>
        <v>6445.23</v>
      </c>
      <c r="M994" s="410"/>
      <c r="N994" s="410"/>
      <c r="O994" s="410"/>
      <c r="P994" s="410" t="str">
        <f>IF(((P992="")*AND(P993="")),"",(P992-P993)*2)</f>
        <v/>
      </c>
      <c r="Q994" s="404"/>
      <c r="R994" s="404"/>
      <c r="S994" s="404"/>
      <c r="T994" s="404"/>
      <c r="U994" s="404"/>
      <c r="V994" s="407"/>
      <c r="W994" s="404"/>
      <c r="X994" s="417"/>
      <c r="Y994" s="268"/>
      <c r="Z994" s="267"/>
      <c r="AA994" s="267"/>
      <c r="AB994" s="267"/>
      <c r="AC994" s="267"/>
      <c r="AD994" s="268"/>
      <c r="AE994" s="269"/>
    </row>
    <row r="995" spans="1:31" ht="15">
      <c r="A995" s="344">
        <v>43795</v>
      </c>
      <c r="B995" s="409" t="s">
        <v>200</v>
      </c>
      <c r="C995" s="409" t="s">
        <v>199</v>
      </c>
      <c r="D995" s="418">
        <v>4050.94</v>
      </c>
      <c r="E995" s="418">
        <v>4093.93</v>
      </c>
      <c r="F995" s="418">
        <v>4059.05</v>
      </c>
      <c r="G995" s="418">
        <v>4097.18</v>
      </c>
      <c r="H995" s="418">
        <v>4018.48</v>
      </c>
      <c r="I995" s="418">
        <v>4027</v>
      </c>
      <c r="J995" s="418">
        <v>4165.53</v>
      </c>
      <c r="K995" s="418">
        <v>4167.45</v>
      </c>
      <c r="L995" s="418">
        <v>4131.13</v>
      </c>
      <c r="M995" s="418">
        <v>4172.93</v>
      </c>
      <c r="N995" s="418">
        <v>4152.1400000000003</v>
      </c>
      <c r="O995" s="418">
        <v>4137.59</v>
      </c>
      <c r="P995" s="418">
        <v>4109.21</v>
      </c>
      <c r="Q995" s="409">
        <f>IF((L996=""),"",MAX(D997:P997))</f>
        <v>5490.7800000000007</v>
      </c>
      <c r="R995" s="409">
        <f>IF(L996="","",MIN(D997:L997))</f>
        <v>5369.3600000000006</v>
      </c>
      <c r="S995" s="400">
        <f>IF((P997=""),"",AVERAGE(D997:P997))</f>
        <v>5422.5276923076926</v>
      </c>
      <c r="T995" s="412">
        <f>IF((L996=""),"",(Q995-R995)/(Q995+R995)*100)</f>
        <v>1.1180334691817975</v>
      </c>
      <c r="U995" s="409">
        <f>STDEV(D997:P997)</f>
        <v>44.75302115573426</v>
      </c>
      <c r="V995" s="413" t="str">
        <f>IF(P996="","",IF(T995&lt;2.7,IF(S995&gt;5150,IF(S995&lt;5600,"Pass","Fail"),"Fail"),"Fail"))</f>
        <v>Pass</v>
      </c>
      <c r="W995" s="409">
        <v>1428</v>
      </c>
      <c r="X995" s="402"/>
      <c r="Y995" s="268"/>
      <c r="Z995" s="321">
        <v>4470</v>
      </c>
      <c r="AA995" s="321">
        <v>6020</v>
      </c>
      <c r="AB995" s="321">
        <v>5150</v>
      </c>
      <c r="AC995" s="321">
        <v>5600</v>
      </c>
      <c r="AD995" s="305">
        <v>10</v>
      </c>
      <c r="AE995" s="322">
        <v>2.7</v>
      </c>
    </row>
    <row r="996" spans="1:31" ht="15">
      <c r="A996" s="390"/>
      <c r="B996" s="404"/>
      <c r="C996" s="404" t="s">
        <v>198</v>
      </c>
      <c r="D996" s="418">
        <v>1359.13</v>
      </c>
      <c r="E996" s="418">
        <v>1375.94</v>
      </c>
      <c r="F996" s="418">
        <v>1374.37</v>
      </c>
      <c r="G996" s="418">
        <v>1381.44</v>
      </c>
      <c r="H996" s="418">
        <v>1292.6500000000001</v>
      </c>
      <c r="I996" s="418">
        <v>1281.6099999999999</v>
      </c>
      <c r="J996" s="418">
        <v>1445.57</v>
      </c>
      <c r="K996" s="418">
        <v>1429.55</v>
      </c>
      <c r="L996" s="418">
        <v>1440.25</v>
      </c>
      <c r="M996" s="418">
        <v>1440.25</v>
      </c>
      <c r="N996" s="418">
        <v>1445.57</v>
      </c>
      <c r="O996" s="418">
        <v>1429.55</v>
      </c>
      <c r="P996" s="418">
        <v>1440.25</v>
      </c>
      <c r="Q996" s="404"/>
      <c r="R996" s="404"/>
      <c r="S996" s="404"/>
      <c r="T996" s="404"/>
      <c r="U996" s="404"/>
      <c r="V996" s="407"/>
      <c r="W996" s="404"/>
      <c r="X996" s="408"/>
      <c r="Y996" s="268"/>
      <c r="Z996" s="267"/>
      <c r="AA996" s="267"/>
      <c r="AB996" s="267"/>
      <c r="AC996" s="267"/>
      <c r="AD996" s="268"/>
      <c r="AE996" s="269"/>
    </row>
    <row r="997" spans="1:31" ht="57.75" thickBot="1">
      <c r="A997" s="393"/>
      <c r="B997" s="414"/>
      <c r="C997" s="414" t="s">
        <v>197</v>
      </c>
      <c r="D997" s="415">
        <f t="shared" ref="D997:P997" si="327">IF(((D995="")*AND(D996="")),"",(D995-D996)*2)</f>
        <v>5383.62</v>
      </c>
      <c r="E997" s="415">
        <f t="shared" si="327"/>
        <v>5435.98</v>
      </c>
      <c r="F997" s="415">
        <f t="shared" si="327"/>
        <v>5369.3600000000006</v>
      </c>
      <c r="G997" s="415">
        <f t="shared" si="327"/>
        <v>5431.4800000000005</v>
      </c>
      <c r="H997" s="415">
        <f t="shared" si="327"/>
        <v>5451.66</v>
      </c>
      <c r="I997" s="415">
        <f t="shared" si="327"/>
        <v>5490.7800000000007</v>
      </c>
      <c r="J997" s="415">
        <f t="shared" si="327"/>
        <v>5439.92</v>
      </c>
      <c r="K997" s="415">
        <f t="shared" si="327"/>
        <v>5475.7999999999993</v>
      </c>
      <c r="L997" s="415">
        <f t="shared" si="327"/>
        <v>5381.76</v>
      </c>
      <c r="M997" s="415">
        <f t="shared" si="327"/>
        <v>5465.3600000000006</v>
      </c>
      <c r="N997" s="415">
        <f t="shared" si="327"/>
        <v>5413.1400000000012</v>
      </c>
      <c r="O997" s="415">
        <f t="shared" si="327"/>
        <v>5416.08</v>
      </c>
      <c r="P997" s="415">
        <f t="shared" si="327"/>
        <v>5337.92</v>
      </c>
      <c r="Q997" s="414"/>
      <c r="R997" s="414"/>
      <c r="S997" s="414"/>
      <c r="T997" s="414"/>
      <c r="U997" s="414"/>
      <c r="V997" s="416"/>
      <c r="W997" s="414"/>
      <c r="X997" s="417"/>
      <c r="Y997" s="268"/>
      <c r="Z997" s="267"/>
      <c r="AA997" s="267"/>
      <c r="AB997" s="267"/>
      <c r="AC997" s="267"/>
      <c r="AD997" s="268"/>
      <c r="AE997" s="269"/>
    </row>
    <row r="998" spans="1:31" ht="15">
      <c r="A998" s="344">
        <v>43801</v>
      </c>
      <c r="B998" s="395" t="s">
        <v>202</v>
      </c>
      <c r="C998" s="396" t="s">
        <v>199</v>
      </c>
      <c r="D998" s="306">
        <v>6227.38</v>
      </c>
      <c r="E998" s="306">
        <v>6276.7</v>
      </c>
      <c r="F998" s="306">
        <v>6302.15</v>
      </c>
      <c r="G998" s="306">
        <v>6266.97</v>
      </c>
      <c r="H998" s="306">
        <v>6216.27</v>
      </c>
      <c r="I998" s="306">
        <v>6161.43</v>
      </c>
      <c r="J998" s="306">
        <v>6268.02</v>
      </c>
      <c r="K998" s="306">
        <v>6281.3</v>
      </c>
      <c r="L998" s="306">
        <v>6199.42</v>
      </c>
      <c r="M998" s="398"/>
      <c r="N998" s="398"/>
      <c r="O998" s="398"/>
      <c r="P998" s="398"/>
      <c r="Q998" s="395">
        <f>IF((L999=""),"",MAX(D1000:L1000))</f>
        <v>7269.33</v>
      </c>
      <c r="R998" s="395">
        <f>IF(L999="","",MIN(D1000:L1000))</f>
        <v>6495.8100000000013</v>
      </c>
      <c r="S998" s="399">
        <f>IF((L1000=""),"",AVERAGE(D1000:L1000))</f>
        <v>6767.0099999999993</v>
      </c>
      <c r="T998" s="400">
        <f>IF((L999=""),"",(Q998-R998)/(Q998+R998)*100)</f>
        <v>5.6194125159642301</v>
      </c>
      <c r="U998" s="395">
        <f>STDEV(D1000:P1000)</f>
        <v>292.66298228507696</v>
      </c>
      <c r="V998" s="401" t="str">
        <f>IF(L999="","",IF(T998&lt;9.8,IF(S998&gt;5100,IF(S998&lt;8300,"Pass","Fail"),"Fail"),"Fail"))</f>
        <v>Pass</v>
      </c>
      <c r="W998" s="395">
        <v>1159</v>
      </c>
      <c r="X998" s="402" t="s">
        <v>412</v>
      </c>
      <c r="Y998" s="268"/>
      <c r="Z998" s="267">
        <v>4955</v>
      </c>
      <c r="AA998" s="267">
        <v>9645</v>
      </c>
      <c r="AB998" s="267">
        <v>5100</v>
      </c>
      <c r="AC998" s="267">
        <v>8300</v>
      </c>
      <c r="AD998" s="305">
        <v>10</v>
      </c>
      <c r="AE998" s="305">
        <v>9.8000000000000007</v>
      </c>
    </row>
    <row r="999" spans="1:31" ht="15">
      <c r="A999" s="390"/>
      <c r="B999" s="404"/>
      <c r="C999" s="405" t="s">
        <v>198</v>
      </c>
      <c r="D999" s="306">
        <v>3884.98</v>
      </c>
      <c r="E999" s="306">
        <v>4103.55</v>
      </c>
      <c r="F999" s="306">
        <v>4112.8900000000003</v>
      </c>
      <c r="G999" s="306">
        <v>4071.34</v>
      </c>
      <c r="H999" s="306">
        <v>3851.75</v>
      </c>
      <c r="I999" s="306">
        <v>3738.32</v>
      </c>
      <c r="J999" s="306">
        <v>4087.22</v>
      </c>
      <c r="K999" s="306">
        <v>4116.03</v>
      </c>
      <c r="L999" s="306">
        <v>3932.53</v>
      </c>
      <c r="M999" s="406"/>
      <c r="N999" s="406"/>
      <c r="O999" s="406"/>
      <c r="P999" s="406"/>
      <c r="Q999" s="404"/>
      <c r="R999" s="404"/>
      <c r="S999" s="404"/>
      <c r="T999" s="404"/>
      <c r="U999" s="404"/>
      <c r="V999" s="407"/>
      <c r="W999" s="404"/>
      <c r="X999" s="408"/>
      <c r="Y999" s="268"/>
      <c r="Z999" s="267"/>
      <c r="AA999" s="267"/>
      <c r="AB999" s="267"/>
      <c r="AC999" s="267"/>
      <c r="AD999" s="268"/>
      <c r="AE999" s="269"/>
    </row>
    <row r="1000" spans="1:31" ht="57.75" thickBot="1">
      <c r="A1000" s="390"/>
      <c r="B1000" s="404"/>
      <c r="C1000" s="409" t="s">
        <v>197</v>
      </c>
      <c r="D1000" s="410">
        <f t="shared" ref="D1000:L1000" si="328">IF(((D998="")*AND(D999="")),"",(D998-D999)*3)</f>
        <v>7027.2000000000007</v>
      </c>
      <c r="E1000" s="410">
        <f t="shared" si="328"/>
        <v>6519.4499999999989</v>
      </c>
      <c r="F1000" s="410">
        <f t="shared" si="328"/>
        <v>6567.7799999999979</v>
      </c>
      <c r="G1000" s="410">
        <f t="shared" si="328"/>
        <v>6586.89</v>
      </c>
      <c r="H1000" s="410">
        <f t="shared" si="328"/>
        <v>7093.5600000000013</v>
      </c>
      <c r="I1000" s="410">
        <f t="shared" si="328"/>
        <v>7269.33</v>
      </c>
      <c r="J1000" s="410">
        <f t="shared" si="328"/>
        <v>6542.4000000000015</v>
      </c>
      <c r="K1000" s="410">
        <f t="shared" si="328"/>
        <v>6495.8100000000013</v>
      </c>
      <c r="L1000" s="410">
        <f t="shared" si="328"/>
        <v>6800.67</v>
      </c>
      <c r="M1000" s="410"/>
      <c r="N1000" s="410"/>
      <c r="O1000" s="410"/>
      <c r="P1000" s="410" t="str">
        <f>IF(((P998="")*AND(P999="")),"",(P998-P999)*2)</f>
        <v/>
      </c>
      <c r="Q1000" s="404"/>
      <c r="R1000" s="404"/>
      <c r="S1000" s="404"/>
      <c r="T1000" s="404"/>
      <c r="U1000" s="404"/>
      <c r="V1000" s="407"/>
      <c r="W1000" s="404"/>
      <c r="X1000" s="417"/>
      <c r="Y1000" s="268"/>
      <c r="Z1000" s="267"/>
      <c r="AA1000" s="267"/>
      <c r="AB1000" s="267"/>
      <c r="AC1000" s="267"/>
      <c r="AD1000" s="268"/>
      <c r="AE1000" s="269"/>
    </row>
    <row r="1001" spans="1:31" ht="15">
      <c r="A1001" s="344">
        <v>43801</v>
      </c>
      <c r="B1001" s="409" t="s">
        <v>200</v>
      </c>
      <c r="C1001" s="409" t="s">
        <v>199</v>
      </c>
      <c r="D1001" s="306">
        <v>6704.13</v>
      </c>
      <c r="E1001" s="306">
        <v>6773.77</v>
      </c>
      <c r="F1001" s="306">
        <v>6703.58</v>
      </c>
      <c r="G1001" s="306">
        <v>6773.62</v>
      </c>
      <c r="H1001" s="306">
        <v>6718.63</v>
      </c>
      <c r="I1001" s="306">
        <v>6734.99</v>
      </c>
      <c r="J1001" s="306">
        <v>6845.55</v>
      </c>
      <c r="K1001" s="306">
        <v>6862.7</v>
      </c>
      <c r="L1001" s="306">
        <v>6782.9</v>
      </c>
      <c r="M1001" s="306">
        <v>6867.05</v>
      </c>
      <c r="N1001" s="306">
        <v>6858.3</v>
      </c>
      <c r="O1001" s="306">
        <v>6815.48</v>
      </c>
      <c r="P1001" s="306">
        <v>6809.79</v>
      </c>
      <c r="Q1001" s="409">
        <f>IF((L1002=""),"",MAX(D1003:P1003))</f>
        <v>5429.74</v>
      </c>
      <c r="R1001" s="409">
        <f>IF(L1002="","",MIN(D1003:L1003))</f>
        <v>5313.0199999999995</v>
      </c>
      <c r="S1001" s="400">
        <f>IF((P1003=""),"",AVERAGE(D1003:P1003))</f>
        <v>5379.2000000000007</v>
      </c>
      <c r="T1001" s="412">
        <f>IF((L1002=""),"",(Q1001-R1001)/(Q1001+R1001)*100)</f>
        <v>1.0864991864288158</v>
      </c>
      <c r="U1001" s="409">
        <f>STDEV(D1003:P1003)</f>
        <v>36.66290223092782</v>
      </c>
      <c r="V1001" s="413" t="str">
        <f>IF(P1002="","",IF(T1001&lt;2.7,IF(S1001&gt;5150,IF(S1001&lt;5600,"Pass","Fail"),"Fail"),"Fail"))</f>
        <v>Pass</v>
      </c>
      <c r="W1001" s="409">
        <v>1159</v>
      </c>
      <c r="X1001" s="402" t="s">
        <v>412</v>
      </c>
      <c r="Y1001" s="268"/>
      <c r="Z1001" s="321">
        <v>4470</v>
      </c>
      <c r="AA1001" s="321">
        <v>6020</v>
      </c>
      <c r="AB1001" s="321">
        <v>5150</v>
      </c>
      <c r="AC1001" s="321">
        <v>5600</v>
      </c>
      <c r="AD1001" s="305">
        <v>10</v>
      </c>
      <c r="AE1001" s="322">
        <v>2.7</v>
      </c>
    </row>
    <row r="1002" spans="1:31" ht="15">
      <c r="A1002" s="390"/>
      <c r="B1002" s="404"/>
      <c r="C1002" s="404" t="s">
        <v>198</v>
      </c>
      <c r="D1002" s="306">
        <v>4035.62</v>
      </c>
      <c r="E1002" s="306">
        <v>4081.21</v>
      </c>
      <c r="F1002" s="306">
        <v>4047.07</v>
      </c>
      <c r="G1002" s="306">
        <v>4084.8</v>
      </c>
      <c r="H1002" s="306">
        <v>4013.78</v>
      </c>
      <c r="I1002" s="306">
        <v>4020.12</v>
      </c>
      <c r="J1002" s="306">
        <v>4156.91</v>
      </c>
      <c r="K1002" s="306">
        <v>4161.1400000000003</v>
      </c>
      <c r="L1002" s="306">
        <v>4122.7</v>
      </c>
      <c r="M1002" s="306">
        <v>4168.3</v>
      </c>
      <c r="N1002" s="306">
        <v>4149.93</v>
      </c>
      <c r="O1002" s="306">
        <v>4134.01</v>
      </c>
      <c r="P1002" s="306">
        <v>4110.1000000000004</v>
      </c>
      <c r="Q1002" s="404"/>
      <c r="R1002" s="404"/>
      <c r="S1002" s="404"/>
      <c r="T1002" s="404"/>
      <c r="U1002" s="404"/>
      <c r="V1002" s="407"/>
      <c r="W1002" s="404"/>
      <c r="X1002" s="408"/>
      <c r="Y1002" s="268"/>
      <c r="Z1002" s="267"/>
      <c r="AA1002" s="267"/>
      <c r="AB1002" s="267"/>
      <c r="AC1002" s="267"/>
      <c r="AD1002" s="268"/>
      <c r="AE1002" s="269"/>
    </row>
    <row r="1003" spans="1:31" ht="57.75" thickBot="1">
      <c r="A1003" s="393"/>
      <c r="B1003" s="414"/>
      <c r="C1003" s="414" t="s">
        <v>197</v>
      </c>
      <c r="D1003" s="415">
        <f t="shared" ref="D1003:P1003" si="329">IF(((D1001="")*AND(D1002="")),"",(D1001-D1002)*2)</f>
        <v>5337.02</v>
      </c>
      <c r="E1003" s="415">
        <f t="shared" si="329"/>
        <v>5385.1200000000008</v>
      </c>
      <c r="F1003" s="415">
        <f t="shared" si="329"/>
        <v>5313.0199999999995</v>
      </c>
      <c r="G1003" s="415">
        <f t="shared" si="329"/>
        <v>5377.6399999999994</v>
      </c>
      <c r="H1003" s="415">
        <f t="shared" si="329"/>
        <v>5409.7</v>
      </c>
      <c r="I1003" s="415">
        <f t="shared" si="329"/>
        <v>5429.74</v>
      </c>
      <c r="J1003" s="415">
        <f t="shared" si="329"/>
        <v>5377.2800000000007</v>
      </c>
      <c r="K1003" s="415">
        <f t="shared" si="329"/>
        <v>5403.119999999999</v>
      </c>
      <c r="L1003" s="415">
        <f t="shared" si="329"/>
        <v>5320.4</v>
      </c>
      <c r="M1003" s="415">
        <f t="shared" si="329"/>
        <v>5397.5</v>
      </c>
      <c r="N1003" s="415">
        <f t="shared" si="329"/>
        <v>5416.74</v>
      </c>
      <c r="O1003" s="415">
        <f t="shared" si="329"/>
        <v>5362.9399999999987</v>
      </c>
      <c r="P1003" s="415">
        <f t="shared" si="329"/>
        <v>5399.3799999999992</v>
      </c>
      <c r="Q1003" s="414"/>
      <c r="R1003" s="414"/>
      <c r="S1003" s="414"/>
      <c r="T1003" s="414"/>
      <c r="U1003" s="414"/>
      <c r="V1003" s="416"/>
      <c r="W1003" s="414"/>
      <c r="X1003" s="417"/>
      <c r="Y1003" s="268"/>
      <c r="Z1003" s="267"/>
      <c r="AA1003" s="267"/>
      <c r="AB1003" s="267"/>
      <c r="AC1003" s="267"/>
      <c r="AD1003" s="268"/>
      <c r="AE1003" s="269"/>
    </row>
    <row r="1004" spans="1:31" ht="15">
      <c r="A1004" s="344">
        <v>43805</v>
      </c>
      <c r="B1004" s="395" t="s">
        <v>202</v>
      </c>
      <c r="C1004" s="396" t="s">
        <v>199</v>
      </c>
      <c r="D1004" s="306">
        <v>6369.06</v>
      </c>
      <c r="E1004" s="306">
        <v>6387.55</v>
      </c>
      <c r="F1004" s="306">
        <v>6357.69</v>
      </c>
      <c r="G1004" s="306">
        <v>6383.36</v>
      </c>
      <c r="H1004" s="306">
        <v>6311.76</v>
      </c>
      <c r="I1004" s="306">
        <v>6160.56</v>
      </c>
      <c r="J1004" s="306">
        <v>6382.76</v>
      </c>
      <c r="K1004" s="306">
        <v>6361.04</v>
      </c>
      <c r="L1004" s="306">
        <v>6345.14</v>
      </c>
      <c r="M1004" s="398"/>
      <c r="N1004" s="398"/>
      <c r="O1004" s="398"/>
      <c r="P1004" s="398"/>
      <c r="Q1004" s="395">
        <f>IF((L1005=""),"",MAX(D1006:L1006))</f>
        <v>7537.5300000000007</v>
      </c>
      <c r="R1004" s="395">
        <f>IF(L1005="","",MIN(D1006:L1006))</f>
        <v>6843.4199999999983</v>
      </c>
      <c r="S1004" s="399">
        <f>IF((L1006=""),"",AVERAGE(D1006:L1006))</f>
        <v>7136.05</v>
      </c>
      <c r="T1004" s="400">
        <f>IF((L1005=""),"",(Q1004-R1004)/(Q1004+R1004)*100)</f>
        <v>4.8265935143366923</v>
      </c>
      <c r="U1004" s="395">
        <f>STDEV(D1006:P1006)</f>
        <v>255.91468436765362</v>
      </c>
      <c r="V1004" s="401" t="str">
        <f>IF(L1005="","",IF(T1004&lt;9.8,IF(S1004&gt;5100,IF(S1004&lt;8300,"Pass","Fail"),"Fail"),"Fail"))</f>
        <v>Pass</v>
      </c>
      <c r="W1004" s="395">
        <v>1159</v>
      </c>
      <c r="X1004" s="402" t="s">
        <v>415</v>
      </c>
      <c r="Y1004" s="268"/>
      <c r="Z1004" s="267">
        <v>4955</v>
      </c>
      <c r="AA1004" s="267">
        <v>9645</v>
      </c>
      <c r="AB1004" s="267">
        <v>5100</v>
      </c>
      <c r="AC1004" s="267">
        <v>8300</v>
      </c>
      <c r="AD1004" s="305">
        <v>10</v>
      </c>
      <c r="AE1004" s="305">
        <v>9.8000000000000007</v>
      </c>
    </row>
    <row r="1005" spans="1:31" ht="15">
      <c r="A1005" s="390"/>
      <c r="B1005" s="404"/>
      <c r="C1005" s="405" t="s">
        <v>198</v>
      </c>
      <c r="D1005" s="306">
        <v>3856.55</v>
      </c>
      <c r="E1005" s="306">
        <v>4063.14</v>
      </c>
      <c r="F1005" s="306">
        <v>4076.55</v>
      </c>
      <c r="G1005" s="306">
        <v>4037.08</v>
      </c>
      <c r="H1005" s="306">
        <v>3828.16</v>
      </c>
      <c r="I1005" s="306">
        <v>3744.91</v>
      </c>
      <c r="J1005" s="306">
        <v>4053.28</v>
      </c>
      <c r="K1005" s="306">
        <v>4078.02</v>
      </c>
      <c r="L1005" s="306">
        <v>3913.08</v>
      </c>
      <c r="M1005" s="406"/>
      <c r="N1005" s="406"/>
      <c r="O1005" s="406"/>
      <c r="P1005" s="406"/>
      <c r="Q1005" s="404"/>
      <c r="R1005" s="404"/>
      <c r="S1005" s="404"/>
      <c r="T1005" s="404"/>
      <c r="U1005" s="404"/>
      <c r="V1005" s="407"/>
      <c r="W1005" s="404"/>
      <c r="X1005" s="408"/>
      <c r="Y1005" s="268"/>
      <c r="Z1005" s="267"/>
      <c r="AA1005" s="267"/>
      <c r="AB1005" s="267"/>
      <c r="AC1005" s="267"/>
      <c r="AD1005" s="268"/>
      <c r="AE1005" s="269"/>
    </row>
    <row r="1006" spans="1:31" ht="57.75" thickBot="1">
      <c r="A1006" s="390"/>
      <c r="B1006" s="404"/>
      <c r="C1006" s="409" t="s">
        <v>197</v>
      </c>
      <c r="D1006" s="410">
        <f t="shared" ref="D1006:L1006" si="330">IF(((D1004="")*AND(D1005="")),"",(D1004-D1005)*3)</f>
        <v>7537.5300000000007</v>
      </c>
      <c r="E1006" s="410">
        <f t="shared" si="330"/>
        <v>6973.2300000000014</v>
      </c>
      <c r="F1006" s="410">
        <f t="shared" si="330"/>
        <v>6843.4199999999983</v>
      </c>
      <c r="G1006" s="410">
        <f t="shared" si="330"/>
        <v>7038.8399999999992</v>
      </c>
      <c r="H1006" s="410">
        <f t="shared" si="330"/>
        <v>7450.8000000000011</v>
      </c>
      <c r="I1006" s="410">
        <f t="shared" si="330"/>
        <v>7246.9500000000016</v>
      </c>
      <c r="J1006" s="410">
        <f t="shared" si="330"/>
        <v>6988.4400000000005</v>
      </c>
      <c r="K1006" s="410">
        <f t="shared" si="330"/>
        <v>6849.0599999999995</v>
      </c>
      <c r="L1006" s="410">
        <f t="shared" si="330"/>
        <v>7296.1800000000012</v>
      </c>
      <c r="M1006" s="410"/>
      <c r="N1006" s="410"/>
      <c r="O1006" s="410"/>
      <c r="P1006" s="410" t="str">
        <f>IF(((P1004="")*AND(P1005="")),"",(P1004-P1005)*2)</f>
        <v/>
      </c>
      <c r="Q1006" s="404"/>
      <c r="R1006" s="404"/>
      <c r="S1006" s="404"/>
      <c r="T1006" s="404"/>
      <c r="U1006" s="404"/>
      <c r="V1006" s="407"/>
      <c r="W1006" s="404"/>
      <c r="X1006" s="417"/>
      <c r="Y1006" s="268"/>
      <c r="Z1006" s="267"/>
      <c r="AA1006" s="267"/>
      <c r="AB1006" s="267"/>
      <c r="AC1006" s="267"/>
      <c r="AD1006" s="268"/>
      <c r="AE1006" s="269"/>
    </row>
    <row r="1007" spans="1:31" ht="15">
      <c r="A1007" s="344">
        <v>43805</v>
      </c>
      <c r="B1007" s="409" t="s">
        <v>200</v>
      </c>
      <c r="C1007" s="409" t="s">
        <v>199</v>
      </c>
      <c r="D1007" s="306">
        <v>6711.23</v>
      </c>
      <c r="E1007" s="306">
        <v>6780.32</v>
      </c>
      <c r="F1007" s="306">
        <v>6708.76</v>
      </c>
      <c r="G1007" s="306">
        <v>6778.47</v>
      </c>
      <c r="H1007" s="306">
        <v>6721.82</v>
      </c>
      <c r="I1007" s="306">
        <v>6738.37</v>
      </c>
      <c r="J1007" s="306">
        <v>6848.39</v>
      </c>
      <c r="K1007" s="306">
        <v>6864.5</v>
      </c>
      <c r="L1007" s="306">
        <v>6784.47</v>
      </c>
      <c r="M1007" s="306">
        <v>6867.01</v>
      </c>
      <c r="N1007" s="306">
        <v>6856.03</v>
      </c>
      <c r="O1007" s="306">
        <v>6813.18</v>
      </c>
      <c r="P1007" s="306">
        <v>6804.78</v>
      </c>
      <c r="Q1007" s="409">
        <f>IF((L1008=""),"",MAX(D1009:P1009))</f>
        <v>5427.1799999999994</v>
      </c>
      <c r="R1007" s="409">
        <f>IF(L1008="","",MIN(D1009:L1009))</f>
        <v>5306.76</v>
      </c>
      <c r="S1007" s="400">
        <f>IF((P1009=""),"",AVERAGE(D1009:P1009))</f>
        <v>5376.5492307692293</v>
      </c>
      <c r="T1007" s="412">
        <f>IF((L1008=""),"",(Q1007-R1007)/(Q1007+R1007)*100)</f>
        <v>1.1218620562440182</v>
      </c>
      <c r="U1007" s="409">
        <f>STDEV(D1009:P1009)</f>
        <v>39.857239924161483</v>
      </c>
      <c r="V1007" s="413" t="str">
        <f>IF(P1008="","",IF(T1007&lt;2.7,IF(S1007&gt;5150,IF(S1007&lt;5600,"Pass","Fail"),"Fail"),"Fail"))</f>
        <v>Pass</v>
      </c>
      <c r="W1007" s="409">
        <v>1159</v>
      </c>
      <c r="X1007" s="402" t="s">
        <v>415</v>
      </c>
      <c r="Y1007" s="268"/>
      <c r="Z1007" s="321">
        <v>4470</v>
      </c>
      <c r="AA1007" s="321">
        <v>6020</v>
      </c>
      <c r="AB1007" s="321">
        <v>5150</v>
      </c>
      <c r="AC1007" s="321">
        <v>5600</v>
      </c>
      <c r="AD1007" s="305">
        <v>10</v>
      </c>
      <c r="AE1007" s="322">
        <v>2.7</v>
      </c>
    </row>
    <row r="1008" spans="1:31" ht="15">
      <c r="A1008" s="390"/>
      <c r="B1008" s="404"/>
      <c r="C1008" s="404" t="s">
        <v>198</v>
      </c>
      <c r="D1008" s="306">
        <v>4051.19</v>
      </c>
      <c r="E1008" s="306">
        <v>4097.72</v>
      </c>
      <c r="F1008" s="306">
        <v>4055.38</v>
      </c>
      <c r="G1008" s="306">
        <v>4091.79</v>
      </c>
      <c r="H1008" s="306">
        <v>4024.24</v>
      </c>
      <c r="I1008" s="306">
        <v>4024.78</v>
      </c>
      <c r="J1008" s="306">
        <v>4156.83</v>
      </c>
      <c r="K1008" s="306">
        <v>4160.45</v>
      </c>
      <c r="L1008" s="306">
        <v>4125.95</v>
      </c>
      <c r="M1008" s="306">
        <v>4163.05</v>
      </c>
      <c r="N1008" s="306">
        <v>4148.43</v>
      </c>
      <c r="O1008" s="306">
        <v>4128.08</v>
      </c>
      <c r="P1008" s="306">
        <v>4101.87</v>
      </c>
      <c r="Q1008" s="404"/>
      <c r="R1008" s="404"/>
      <c r="S1008" s="404"/>
      <c r="T1008" s="404"/>
      <c r="U1008" s="404"/>
      <c r="V1008" s="407"/>
      <c r="W1008" s="404"/>
      <c r="X1008" s="408"/>
      <c r="Y1008" s="268"/>
      <c r="Z1008" s="267"/>
      <c r="AA1008" s="267"/>
      <c r="AB1008" s="267"/>
      <c r="AC1008" s="267"/>
      <c r="AD1008" s="268"/>
      <c r="AE1008" s="269"/>
    </row>
    <row r="1009" spans="1:31" ht="57.75" thickBot="1">
      <c r="A1009" s="393"/>
      <c r="B1009" s="414"/>
      <c r="C1009" s="414" t="s">
        <v>197</v>
      </c>
      <c r="D1009" s="415">
        <f t="shared" ref="D1009:P1009" si="331">IF(((D1007="")*AND(D1008="")),"",(D1007-D1008)*2)</f>
        <v>5320.079999999999</v>
      </c>
      <c r="E1009" s="415">
        <f t="shared" si="331"/>
        <v>5365.1999999999989</v>
      </c>
      <c r="F1009" s="415">
        <f t="shared" si="331"/>
        <v>5306.76</v>
      </c>
      <c r="G1009" s="415">
        <f t="shared" si="331"/>
        <v>5373.3600000000006</v>
      </c>
      <c r="H1009" s="415">
        <f t="shared" si="331"/>
        <v>5395.16</v>
      </c>
      <c r="I1009" s="415">
        <f t="shared" si="331"/>
        <v>5427.1799999999994</v>
      </c>
      <c r="J1009" s="415">
        <f t="shared" si="331"/>
        <v>5383.1200000000008</v>
      </c>
      <c r="K1009" s="415">
        <f t="shared" si="331"/>
        <v>5408.1</v>
      </c>
      <c r="L1009" s="415">
        <f t="shared" si="331"/>
        <v>5317.0400000000009</v>
      </c>
      <c r="M1009" s="415">
        <f t="shared" si="331"/>
        <v>5407.92</v>
      </c>
      <c r="N1009" s="415">
        <f t="shared" si="331"/>
        <v>5415.1999999999989</v>
      </c>
      <c r="O1009" s="415">
        <f t="shared" si="331"/>
        <v>5370.2000000000007</v>
      </c>
      <c r="P1009" s="415">
        <f t="shared" si="331"/>
        <v>5405.82</v>
      </c>
      <c r="Q1009" s="414"/>
      <c r="R1009" s="414"/>
      <c r="S1009" s="414"/>
      <c r="T1009" s="414"/>
      <c r="U1009" s="414"/>
      <c r="V1009" s="416"/>
      <c r="W1009" s="414"/>
      <c r="X1009" s="417"/>
      <c r="Y1009" s="268"/>
      <c r="Z1009" s="267"/>
      <c r="AA1009" s="267"/>
      <c r="AB1009" s="267"/>
      <c r="AC1009" s="267"/>
      <c r="AD1009" s="268"/>
      <c r="AE1009" s="269"/>
    </row>
    <row r="1010" spans="1:31" ht="15">
      <c r="A1010" s="344">
        <v>43809</v>
      </c>
      <c r="B1010" s="395" t="s">
        <v>202</v>
      </c>
      <c r="C1010" s="396" t="s">
        <v>199</v>
      </c>
      <c r="D1010" s="306">
        <v>6158.57</v>
      </c>
      <c r="E1010" s="306">
        <v>6224.72</v>
      </c>
      <c r="F1010" s="306">
        <v>6261.68</v>
      </c>
      <c r="G1010" s="306">
        <v>6203.93</v>
      </c>
      <c r="H1010" s="306">
        <v>6187.05</v>
      </c>
      <c r="I1010" s="306">
        <v>6142.61</v>
      </c>
      <c r="J1010" s="306">
        <v>6217.2</v>
      </c>
      <c r="K1010" s="306">
        <v>6238.23</v>
      </c>
      <c r="L1010" s="306">
        <v>6158.47</v>
      </c>
      <c r="M1010" s="398"/>
      <c r="N1010" s="398"/>
      <c r="O1010" s="398"/>
      <c r="P1010" s="398"/>
      <c r="Q1010" s="395">
        <f>IF((L1011=""),"",MAX(D1012:L1012))</f>
        <v>7234.0499999999984</v>
      </c>
      <c r="R1010" s="395">
        <f>IF(L1011="","",MIN(D1012:L1012))</f>
        <v>6527.7299999999977</v>
      </c>
      <c r="S1010" s="399">
        <f>IF((L1012=""),"",AVERAGE(D1012:L1012))</f>
        <v>6765.79</v>
      </c>
      <c r="T1010" s="400">
        <f>IF((L1011=""),"",(Q1010-R1010)/(Q1010+R1010)*100)</f>
        <v>5.1324755954535011</v>
      </c>
      <c r="U1010" s="395">
        <f>STDEV(D1012:P1012)</f>
        <v>278.54478710793063</v>
      </c>
      <c r="V1010" s="401" t="str">
        <f>IF(L1011="","",IF(T1010&lt;9.8,IF(S1010&gt;5100,IF(S1010&lt;8300,"Pass","Fail"),"Fail"),"Fail"))</f>
        <v>Pass</v>
      </c>
      <c r="W1010" s="395">
        <v>1340</v>
      </c>
      <c r="X1010" s="402" t="s">
        <v>418</v>
      </c>
      <c r="Y1010" s="268"/>
      <c r="Z1010" s="267">
        <v>4955</v>
      </c>
      <c r="AA1010" s="267">
        <v>9645</v>
      </c>
      <c r="AB1010" s="267">
        <v>5100</v>
      </c>
      <c r="AC1010" s="267">
        <v>8300</v>
      </c>
      <c r="AD1010" s="305">
        <v>10</v>
      </c>
      <c r="AE1010" s="305">
        <v>9.8000000000000007</v>
      </c>
    </row>
    <row r="1011" spans="1:31" ht="15">
      <c r="A1011" s="390"/>
      <c r="B1011" s="404"/>
      <c r="C1011" s="405" t="s">
        <v>198</v>
      </c>
      <c r="D1011" s="306">
        <v>3832.48</v>
      </c>
      <c r="E1011" s="306">
        <v>4041.99</v>
      </c>
      <c r="F1011" s="306">
        <v>4061.83</v>
      </c>
      <c r="G1011" s="306">
        <v>4019.07</v>
      </c>
      <c r="H1011" s="306">
        <v>3810.94</v>
      </c>
      <c r="I1011" s="306">
        <v>3731.26</v>
      </c>
      <c r="J1011" s="306">
        <v>4035.33</v>
      </c>
      <c r="K1011" s="306">
        <v>4062.32</v>
      </c>
      <c r="L1011" s="306">
        <v>3899.87</v>
      </c>
      <c r="M1011" s="406"/>
      <c r="N1011" s="406"/>
      <c r="O1011" s="406"/>
      <c r="P1011" s="406"/>
      <c r="Q1011" s="404"/>
      <c r="R1011" s="404"/>
      <c r="S1011" s="404"/>
      <c r="T1011" s="404"/>
      <c r="U1011" s="404"/>
      <c r="V1011" s="407"/>
      <c r="W1011" s="404"/>
      <c r="X1011" s="408"/>
      <c r="Y1011" s="268"/>
      <c r="Z1011" s="267"/>
      <c r="AA1011" s="267"/>
      <c r="AB1011" s="267"/>
      <c r="AC1011" s="267"/>
      <c r="AD1011" s="268"/>
      <c r="AE1011" s="269"/>
    </row>
    <row r="1012" spans="1:31" ht="57.75" thickBot="1">
      <c r="A1012" s="390"/>
      <c r="B1012" s="404"/>
      <c r="C1012" s="409" t="s">
        <v>197</v>
      </c>
      <c r="D1012" s="410">
        <f t="shared" ref="D1012:L1012" si="332">IF(((D1010="")*AND(D1011="")),"",(D1010-D1011)*3)</f>
        <v>6978.2699999999986</v>
      </c>
      <c r="E1012" s="410">
        <f t="shared" si="332"/>
        <v>6548.1900000000014</v>
      </c>
      <c r="F1012" s="410">
        <f t="shared" si="332"/>
        <v>6599.5500000000011</v>
      </c>
      <c r="G1012" s="410">
        <f t="shared" si="332"/>
        <v>6554.58</v>
      </c>
      <c r="H1012" s="410">
        <f t="shared" si="332"/>
        <v>7128.33</v>
      </c>
      <c r="I1012" s="410">
        <f t="shared" si="332"/>
        <v>7234.0499999999984</v>
      </c>
      <c r="J1012" s="410">
        <f t="shared" si="332"/>
        <v>6545.61</v>
      </c>
      <c r="K1012" s="410">
        <f t="shared" si="332"/>
        <v>6527.7299999999977</v>
      </c>
      <c r="L1012" s="410">
        <f t="shared" si="332"/>
        <v>6775.8000000000011</v>
      </c>
      <c r="M1012" s="410"/>
      <c r="N1012" s="410"/>
      <c r="O1012" s="410"/>
      <c r="P1012" s="410" t="str">
        <f>IF(((P1010="")*AND(P1011="")),"",(P1010-P1011)*2)</f>
        <v/>
      </c>
      <c r="Q1012" s="404"/>
      <c r="R1012" s="404"/>
      <c r="S1012" s="404"/>
      <c r="T1012" s="404"/>
      <c r="U1012" s="404"/>
      <c r="V1012" s="407"/>
      <c r="W1012" s="404"/>
      <c r="X1012" s="417"/>
      <c r="Y1012" s="268"/>
      <c r="Z1012" s="267"/>
      <c r="AA1012" s="267"/>
      <c r="AB1012" s="267"/>
      <c r="AC1012" s="267"/>
      <c r="AD1012" s="268"/>
      <c r="AE1012" s="269"/>
    </row>
    <row r="1013" spans="1:31" ht="15">
      <c r="A1013" s="344">
        <v>43809</v>
      </c>
      <c r="B1013" s="409" t="s">
        <v>200</v>
      </c>
      <c r="C1013" s="409" t="s">
        <v>199</v>
      </c>
      <c r="D1013" s="306">
        <v>6701.29</v>
      </c>
      <c r="E1013" s="306">
        <v>6769.02</v>
      </c>
      <c r="F1013" s="306">
        <v>6702.69</v>
      </c>
      <c r="G1013" s="306">
        <v>6769.12</v>
      </c>
      <c r="H1013" s="306">
        <v>6712.92</v>
      </c>
      <c r="I1013" s="306">
        <v>6729.32</v>
      </c>
      <c r="J1013" s="306">
        <v>6841.95</v>
      </c>
      <c r="K1013" s="306">
        <v>6860.56</v>
      </c>
      <c r="L1013" s="306">
        <v>6784.27</v>
      </c>
      <c r="M1013" s="306">
        <v>6863.52</v>
      </c>
      <c r="N1013" s="306">
        <v>6852.33</v>
      </c>
      <c r="O1013" s="306">
        <v>6815.31</v>
      </c>
      <c r="P1013" s="306">
        <v>6806.1</v>
      </c>
      <c r="Q1013" s="409">
        <f>IF((L1014=""),"",MAX(D1015:P1015))</f>
        <v>5433.2999999999993</v>
      </c>
      <c r="R1013" s="409">
        <f>IF(L1014="","",MIN(D1015:L1015))</f>
        <v>5318.6599999999989</v>
      </c>
      <c r="S1013" s="400">
        <f>IF((P1015=""),"",AVERAGE(D1015:P1015))</f>
        <v>5384.6153846153848</v>
      </c>
      <c r="T1013" s="412">
        <f>IF((L1014=""),"",(Q1013-R1013)/(Q1013+R1013)*100)</f>
        <v>1.0662242047031456</v>
      </c>
      <c r="U1013" s="409">
        <f>STDEV(D1015:P1015)</f>
        <v>35.682018023845586</v>
      </c>
      <c r="V1013" s="413" t="str">
        <f>IF(P1014="","",IF(T1013&lt;2.7,IF(S1013&gt;5150,IF(S1013&lt;5600,"Pass","Fail"),"Fail"),"Fail"))</f>
        <v>Pass</v>
      </c>
      <c r="W1013" s="409">
        <v>1340</v>
      </c>
      <c r="X1013" s="402" t="s">
        <v>418</v>
      </c>
      <c r="Y1013" s="268"/>
      <c r="Z1013" s="321">
        <v>4470</v>
      </c>
      <c r="AA1013" s="321">
        <v>6020</v>
      </c>
      <c r="AB1013" s="321">
        <v>5150</v>
      </c>
      <c r="AC1013" s="321">
        <v>5600</v>
      </c>
      <c r="AD1013" s="305">
        <v>10</v>
      </c>
      <c r="AE1013" s="322">
        <v>2.7</v>
      </c>
    </row>
    <row r="1014" spans="1:31" ht="15">
      <c r="A1014" s="390"/>
      <c r="B1014" s="404"/>
      <c r="C1014" s="404" t="s">
        <v>198</v>
      </c>
      <c r="D1014" s="306">
        <v>4030.32</v>
      </c>
      <c r="E1014" s="306">
        <v>4076.85</v>
      </c>
      <c r="F1014" s="306">
        <v>4043.36</v>
      </c>
      <c r="G1014" s="306">
        <v>4075.46</v>
      </c>
      <c r="H1014" s="306">
        <v>4013.03</v>
      </c>
      <c r="I1014" s="306">
        <v>4012.67</v>
      </c>
      <c r="J1014" s="306">
        <v>4145.72</v>
      </c>
      <c r="K1014" s="306">
        <v>4152.93</v>
      </c>
      <c r="L1014" s="306">
        <v>4123.28</v>
      </c>
      <c r="M1014" s="306">
        <v>4158.54</v>
      </c>
      <c r="N1014" s="306">
        <v>4146.43</v>
      </c>
      <c r="O1014" s="306">
        <v>4122.99</v>
      </c>
      <c r="P1014" s="306">
        <v>4106.82</v>
      </c>
      <c r="Q1014" s="404"/>
      <c r="R1014" s="404"/>
      <c r="S1014" s="404"/>
      <c r="T1014" s="404"/>
      <c r="U1014" s="404"/>
      <c r="V1014" s="407"/>
      <c r="W1014" s="404"/>
      <c r="X1014" s="408"/>
      <c r="Y1014" s="268"/>
      <c r="Z1014" s="267"/>
      <c r="AA1014" s="267"/>
      <c r="AB1014" s="267"/>
      <c r="AC1014" s="267"/>
      <c r="AD1014" s="268"/>
      <c r="AE1014" s="269"/>
    </row>
    <row r="1015" spans="1:31" ht="57.75" thickBot="1">
      <c r="A1015" s="393"/>
      <c r="B1015" s="414"/>
      <c r="C1015" s="414" t="s">
        <v>197</v>
      </c>
      <c r="D1015" s="415">
        <f t="shared" ref="D1015:P1015" si="333">IF(((D1013="")*AND(D1014="")),"",(D1013-D1014)*2)</f>
        <v>5341.94</v>
      </c>
      <c r="E1015" s="415">
        <f t="shared" si="333"/>
        <v>5384.3400000000011</v>
      </c>
      <c r="F1015" s="415">
        <f t="shared" si="333"/>
        <v>5318.6599999999989</v>
      </c>
      <c r="G1015" s="415">
        <f t="shared" si="333"/>
        <v>5387.32</v>
      </c>
      <c r="H1015" s="415">
        <f t="shared" si="333"/>
        <v>5399.78</v>
      </c>
      <c r="I1015" s="415">
        <f t="shared" si="333"/>
        <v>5433.2999999999993</v>
      </c>
      <c r="J1015" s="415">
        <f t="shared" si="333"/>
        <v>5392.4599999999991</v>
      </c>
      <c r="K1015" s="415">
        <f t="shared" si="333"/>
        <v>5415.26</v>
      </c>
      <c r="L1015" s="415">
        <f t="shared" si="333"/>
        <v>5321.9800000000014</v>
      </c>
      <c r="M1015" s="415">
        <f t="shared" si="333"/>
        <v>5409.9600000000009</v>
      </c>
      <c r="N1015" s="415">
        <f t="shared" si="333"/>
        <v>5411.7999999999993</v>
      </c>
      <c r="O1015" s="415">
        <f t="shared" si="333"/>
        <v>5384.6400000000012</v>
      </c>
      <c r="P1015" s="415">
        <f t="shared" si="333"/>
        <v>5398.5600000000013</v>
      </c>
      <c r="Q1015" s="414"/>
      <c r="R1015" s="414"/>
      <c r="S1015" s="414"/>
      <c r="T1015" s="414"/>
      <c r="U1015" s="414"/>
      <c r="V1015" s="416"/>
      <c r="W1015" s="414"/>
      <c r="X1015" s="417"/>
      <c r="Y1015" s="268"/>
      <c r="Z1015" s="267"/>
      <c r="AA1015" s="267"/>
      <c r="AB1015" s="267"/>
      <c r="AC1015" s="267"/>
      <c r="AD1015" s="268"/>
      <c r="AE1015" s="269"/>
    </row>
    <row r="1016" spans="1:31" ht="15">
      <c r="A1016" s="344">
        <v>43814</v>
      </c>
      <c r="B1016" s="395" t="s">
        <v>202</v>
      </c>
      <c r="C1016" s="396" t="s">
        <v>199</v>
      </c>
      <c r="D1016" s="306">
        <v>3838.1</v>
      </c>
      <c r="E1016" s="306">
        <v>4014.86</v>
      </c>
      <c r="F1016" s="306">
        <v>4033.87</v>
      </c>
      <c r="G1016" s="306">
        <v>3998.82</v>
      </c>
      <c r="H1016" s="306">
        <v>3818.8</v>
      </c>
      <c r="I1016" s="306">
        <v>3737.24</v>
      </c>
      <c r="J1016" s="306">
        <v>4007.06</v>
      </c>
      <c r="K1016" s="306">
        <v>4030.59</v>
      </c>
      <c r="L1016" s="306">
        <v>3894.9</v>
      </c>
      <c r="M1016" s="398"/>
      <c r="N1016" s="398"/>
      <c r="O1016" s="398"/>
      <c r="P1016" s="398"/>
      <c r="Q1016" s="395">
        <f>IF((L1017=""),"",MAX(D1018:L1018))</f>
        <v>6992.25</v>
      </c>
      <c r="R1016" s="395">
        <f>IF(L1017="","",MIN(D1018:L1018))</f>
        <v>6233.7000000000007</v>
      </c>
      <c r="S1016" s="399">
        <f>IF((L1018=""),"",AVERAGE(D1018:L1018))</f>
        <v>6514.1733333333332</v>
      </c>
      <c r="T1016" s="400">
        <f>IF((L1017=""),"",(Q1016-R1016)/(Q1016+R1016)*100)</f>
        <v>5.7353157996211932</v>
      </c>
      <c r="U1016" s="395">
        <f>STDEV(D1018:P1018)</f>
        <v>301.08478515196566</v>
      </c>
      <c r="V1016" s="401" t="str">
        <f>IF(L1017="","",IF(T1016&lt;9.8,IF(S1016&gt;5100,IF(S1016&lt;8300,"Pass","Fail"),"Fail"),"Fail"))</f>
        <v>Pass</v>
      </c>
      <c r="W1016" s="395">
        <v>1428</v>
      </c>
      <c r="X1016" s="402" t="s">
        <v>421</v>
      </c>
      <c r="Y1016" s="268"/>
      <c r="Z1016" s="267">
        <v>4955</v>
      </c>
      <c r="AA1016" s="267">
        <v>9645</v>
      </c>
      <c r="AB1016" s="267">
        <v>5100</v>
      </c>
      <c r="AC1016" s="267">
        <v>8300</v>
      </c>
      <c r="AD1016" s="305">
        <v>10</v>
      </c>
      <c r="AE1016" s="305">
        <v>9.8000000000000007</v>
      </c>
    </row>
    <row r="1017" spans="1:31" ht="15">
      <c r="A1017" s="390"/>
      <c r="B1017" s="404"/>
      <c r="C1017" s="405" t="s">
        <v>198</v>
      </c>
      <c r="D1017" s="306">
        <v>1507.35</v>
      </c>
      <c r="E1017" s="306">
        <v>1936.96</v>
      </c>
      <c r="F1017" s="306">
        <v>1939.76</v>
      </c>
      <c r="G1017" s="306">
        <v>1894.76</v>
      </c>
      <c r="H1017" s="306">
        <v>1574.54</v>
      </c>
      <c r="I1017" s="306">
        <v>1432.31</v>
      </c>
      <c r="J1017" s="306">
        <v>1915.68</v>
      </c>
      <c r="K1017" s="306">
        <v>1934.3</v>
      </c>
      <c r="L1017" s="306">
        <v>1696.06</v>
      </c>
      <c r="M1017" s="406"/>
      <c r="N1017" s="406"/>
      <c r="O1017" s="406"/>
      <c r="P1017" s="406"/>
      <c r="Q1017" s="404"/>
      <c r="R1017" s="404"/>
      <c r="S1017" s="404"/>
      <c r="T1017" s="404"/>
      <c r="U1017" s="404"/>
      <c r="V1017" s="407"/>
      <c r="W1017" s="404"/>
      <c r="X1017" s="408"/>
      <c r="Y1017" s="268"/>
      <c r="Z1017" s="267"/>
      <c r="AA1017" s="267"/>
      <c r="AB1017" s="267"/>
      <c r="AC1017" s="267"/>
      <c r="AD1017" s="268"/>
      <c r="AE1017" s="269"/>
    </row>
    <row r="1018" spans="1:31" ht="57.75" thickBot="1">
      <c r="A1018" s="390"/>
      <c r="B1018" s="404"/>
      <c r="C1018" s="409" t="s">
        <v>197</v>
      </c>
      <c r="D1018" s="410">
        <f t="shared" ref="D1018:L1018" si="334">IF(((D1016="")*AND(D1017="")),"",(D1016-D1017)*3)</f>
        <v>6992.25</v>
      </c>
      <c r="E1018" s="410">
        <f t="shared" si="334"/>
        <v>6233.7000000000007</v>
      </c>
      <c r="F1018" s="410">
        <f t="shared" si="334"/>
        <v>6282.329999999999</v>
      </c>
      <c r="G1018" s="410">
        <f t="shared" si="334"/>
        <v>6312.1800000000012</v>
      </c>
      <c r="H1018" s="410">
        <f t="shared" si="334"/>
        <v>6732.7800000000007</v>
      </c>
      <c r="I1018" s="410">
        <f t="shared" si="334"/>
        <v>6914.7899999999991</v>
      </c>
      <c r="J1018" s="410">
        <f t="shared" si="334"/>
        <v>6274.14</v>
      </c>
      <c r="K1018" s="410">
        <f t="shared" si="334"/>
        <v>6288.87</v>
      </c>
      <c r="L1018" s="410">
        <f t="shared" si="334"/>
        <v>6596.52</v>
      </c>
      <c r="M1018" s="410"/>
      <c r="N1018" s="410"/>
      <c r="O1018" s="410"/>
      <c r="P1018" s="410" t="str">
        <f>IF(((P1016="")*AND(P1017="")),"",(P1016-P1017)*2)</f>
        <v/>
      </c>
      <c r="Q1018" s="404"/>
      <c r="R1018" s="404"/>
      <c r="S1018" s="404"/>
      <c r="T1018" s="404"/>
      <c r="U1018" s="404"/>
      <c r="V1018" s="407"/>
      <c r="W1018" s="404"/>
      <c r="X1018" s="417"/>
      <c r="Y1018" s="268"/>
      <c r="Z1018" s="267"/>
      <c r="AA1018" s="267"/>
      <c r="AB1018" s="267"/>
      <c r="AC1018" s="267"/>
      <c r="AD1018" s="268"/>
      <c r="AE1018" s="269"/>
    </row>
    <row r="1019" spans="1:31" ht="15">
      <c r="A1019" s="344">
        <v>43814</v>
      </c>
      <c r="B1019" s="409" t="s">
        <v>200</v>
      </c>
      <c r="C1019" s="409" t="s">
        <v>199</v>
      </c>
      <c r="D1019" s="306">
        <v>6698.68</v>
      </c>
      <c r="E1019" s="306">
        <v>6768.3</v>
      </c>
      <c r="F1019" s="306">
        <v>6697.99</v>
      </c>
      <c r="G1019" s="306">
        <v>6767.28</v>
      </c>
      <c r="H1019" s="306">
        <v>6713.19</v>
      </c>
      <c r="I1019" s="306">
        <v>6730.64</v>
      </c>
      <c r="J1019" s="306">
        <v>6840.65</v>
      </c>
      <c r="K1019" s="306">
        <v>6854.65</v>
      </c>
      <c r="L1019" s="306">
        <v>6778.12</v>
      </c>
      <c r="M1019" s="306">
        <v>6860.06</v>
      </c>
      <c r="N1019" s="306">
        <v>6851.51</v>
      </c>
      <c r="O1019" s="306">
        <v>6809.82</v>
      </c>
      <c r="P1019" s="306">
        <v>6803.63</v>
      </c>
      <c r="Q1019" s="409">
        <f>IF((L1020=""),"",MAX(D1021:P1021))</f>
        <v>5421.68</v>
      </c>
      <c r="R1019" s="409">
        <f>IF(L1020="","",MIN(D1021:L1021))</f>
        <v>5303.8799999999992</v>
      </c>
      <c r="S1019" s="400">
        <f>IF((P1021=""),"",AVERAGE(D1021:P1021))</f>
        <v>5369.0230769230757</v>
      </c>
      <c r="T1019" s="412">
        <f>IF((L1020=""),"",(Q1019-R1019)/(Q1019+R1019)*100)</f>
        <v>1.0983109506636586</v>
      </c>
      <c r="U1019" s="409">
        <f>STDEV(D1021:P1021)</f>
        <v>36.739508113490253</v>
      </c>
      <c r="V1019" s="413" t="str">
        <f>IF(P1020="","",IF(T1019&lt;2.7,IF(S1019&gt;5150,IF(S1019&lt;5600,"Pass","Fail"),"Fail"),"Fail"))</f>
        <v>Pass</v>
      </c>
      <c r="W1019" s="409">
        <v>1428</v>
      </c>
      <c r="X1019" s="402" t="s">
        <v>421</v>
      </c>
      <c r="Y1019" s="268"/>
      <c r="Z1019" s="321">
        <v>4470</v>
      </c>
      <c r="AA1019" s="321">
        <v>6020</v>
      </c>
      <c r="AB1019" s="321">
        <v>5150</v>
      </c>
      <c r="AC1019" s="321">
        <v>5600</v>
      </c>
      <c r="AD1019" s="305">
        <v>10</v>
      </c>
      <c r="AE1019" s="322">
        <v>2.7</v>
      </c>
    </row>
    <row r="1020" spans="1:31" ht="15">
      <c r="A1020" s="390"/>
      <c r="B1020" s="404"/>
      <c r="C1020" s="404" t="s">
        <v>198</v>
      </c>
      <c r="D1020" s="306">
        <v>4038.46</v>
      </c>
      <c r="E1020" s="306">
        <v>4087.41</v>
      </c>
      <c r="F1020" s="306">
        <v>4046.05</v>
      </c>
      <c r="G1020" s="306">
        <v>4081.69</v>
      </c>
      <c r="H1020" s="306">
        <v>4020.28</v>
      </c>
      <c r="I1020" s="306">
        <v>4019.8</v>
      </c>
      <c r="J1020" s="306">
        <v>4151.6899999999996</v>
      </c>
      <c r="K1020" s="306">
        <v>4151.22</v>
      </c>
      <c r="L1020" s="306">
        <v>4121.37</v>
      </c>
      <c r="M1020" s="306">
        <v>4162.51</v>
      </c>
      <c r="N1020" s="306">
        <v>4152.88</v>
      </c>
      <c r="O1020" s="306">
        <v>4131.45</v>
      </c>
      <c r="P1020" s="306">
        <v>4111.0600000000004</v>
      </c>
      <c r="Q1020" s="404"/>
      <c r="R1020" s="404"/>
      <c r="S1020" s="404"/>
      <c r="T1020" s="404"/>
      <c r="U1020" s="404"/>
      <c r="V1020" s="407"/>
      <c r="W1020" s="404"/>
      <c r="X1020" s="408"/>
      <c r="Y1020" s="268"/>
      <c r="Z1020" s="267"/>
      <c r="AA1020" s="267"/>
      <c r="AB1020" s="267"/>
      <c r="AC1020" s="267"/>
      <c r="AD1020" s="268"/>
      <c r="AE1020" s="269"/>
    </row>
    <row r="1021" spans="1:31" ht="57.75" thickBot="1">
      <c r="A1021" s="393"/>
      <c r="B1021" s="414"/>
      <c r="C1021" s="414" t="s">
        <v>197</v>
      </c>
      <c r="D1021" s="415">
        <f t="shared" ref="D1021:P1021" si="335">IF(((D1019="")*AND(D1020="")),"",(D1019-D1020)*2)</f>
        <v>5320.4400000000005</v>
      </c>
      <c r="E1021" s="415">
        <f t="shared" si="335"/>
        <v>5361.7800000000007</v>
      </c>
      <c r="F1021" s="415">
        <f t="shared" si="335"/>
        <v>5303.8799999999992</v>
      </c>
      <c r="G1021" s="415">
        <f t="shared" si="335"/>
        <v>5371.1799999999994</v>
      </c>
      <c r="H1021" s="415">
        <f t="shared" si="335"/>
        <v>5385.8199999999988</v>
      </c>
      <c r="I1021" s="415">
        <f t="shared" si="335"/>
        <v>5421.68</v>
      </c>
      <c r="J1021" s="415">
        <f t="shared" si="335"/>
        <v>5377.92</v>
      </c>
      <c r="K1021" s="415">
        <f t="shared" si="335"/>
        <v>5406.8599999999988</v>
      </c>
      <c r="L1021" s="415">
        <f t="shared" si="335"/>
        <v>5313.5</v>
      </c>
      <c r="M1021" s="415">
        <f t="shared" si="335"/>
        <v>5395.1</v>
      </c>
      <c r="N1021" s="415">
        <f t="shared" si="335"/>
        <v>5397.26</v>
      </c>
      <c r="O1021" s="415">
        <f t="shared" si="335"/>
        <v>5356.74</v>
      </c>
      <c r="P1021" s="415">
        <f t="shared" si="335"/>
        <v>5385.1399999999994</v>
      </c>
      <c r="Q1021" s="414"/>
      <c r="R1021" s="414"/>
      <c r="S1021" s="414"/>
      <c r="T1021" s="414"/>
      <c r="U1021" s="414"/>
      <c r="V1021" s="416"/>
      <c r="W1021" s="414"/>
      <c r="X1021" s="417"/>
      <c r="Y1021" s="268"/>
      <c r="Z1021" s="267"/>
      <c r="AA1021" s="267"/>
      <c r="AB1021" s="267"/>
      <c r="AC1021" s="267"/>
      <c r="AD1021" s="268"/>
      <c r="AE1021" s="269"/>
    </row>
    <row r="1022" spans="1:31" ht="15">
      <c r="A1022" s="344">
        <v>43818</v>
      </c>
      <c r="B1022" s="395" t="s">
        <v>202</v>
      </c>
      <c r="C1022" s="396" t="s">
        <v>199</v>
      </c>
      <c r="D1022" s="306">
        <v>6176.05</v>
      </c>
      <c r="E1022" s="306">
        <v>6223.36</v>
      </c>
      <c r="F1022" s="306">
        <v>6268.11</v>
      </c>
      <c r="G1022" s="306">
        <v>6209.57</v>
      </c>
      <c r="H1022" s="306">
        <v>6181.64</v>
      </c>
      <c r="I1022" s="306">
        <v>6151.41</v>
      </c>
      <c r="J1022" s="306">
        <v>6228.95</v>
      </c>
      <c r="K1022" s="306">
        <v>6244.7</v>
      </c>
      <c r="L1022" s="306">
        <v>6169.78</v>
      </c>
      <c r="M1022" s="398"/>
      <c r="N1022" s="398"/>
      <c r="O1022" s="398"/>
      <c r="P1022" s="398"/>
      <c r="Q1022" s="395">
        <f>IF((L1023=""),"",MAX(D1024:L1024))</f>
        <v>7075.7100000000009</v>
      </c>
      <c r="R1022" s="395">
        <f>IF(L1023="","",MIN(D1024:L1024))</f>
        <v>6380.1600000000008</v>
      </c>
      <c r="S1022" s="399">
        <f>IF((L1024=""),"",AVERAGE(D1024:L1024))</f>
        <v>6643.3233333333337</v>
      </c>
      <c r="T1022" s="400">
        <f>IF((L1023=""),"",(Q1022-R1022)/(Q1022+R1022)*100)</f>
        <v>5.1691194995195406</v>
      </c>
      <c r="U1022" s="395">
        <f>STDEV(D1024:P1024)</f>
        <v>228.81825429801552</v>
      </c>
      <c r="V1022" s="401" t="str">
        <f>IF(L1023="","",IF(T1022&lt;9.8,IF(S1022&gt;5100,IF(S1022&lt;8300,"Pass","Fail"),"Fail"),"Fail"))</f>
        <v>Pass</v>
      </c>
      <c r="W1022" s="395" t="s">
        <v>58</v>
      </c>
      <c r="X1022" s="402"/>
      <c r="Y1022" s="268"/>
      <c r="Z1022" s="267">
        <v>4955</v>
      </c>
      <c r="AA1022" s="267">
        <v>9645</v>
      </c>
      <c r="AB1022" s="267">
        <v>5100</v>
      </c>
      <c r="AC1022" s="267">
        <v>8300</v>
      </c>
      <c r="AD1022" s="305">
        <v>10</v>
      </c>
      <c r="AE1022" s="305">
        <v>9.8000000000000007</v>
      </c>
    </row>
    <row r="1023" spans="1:31" ht="15">
      <c r="A1023" s="390"/>
      <c r="B1023" s="404"/>
      <c r="C1023" s="405" t="s">
        <v>198</v>
      </c>
      <c r="D1023" s="306">
        <v>3937.11</v>
      </c>
      <c r="E1023" s="306">
        <v>4092.84</v>
      </c>
      <c r="F1023" s="306">
        <v>4073.95</v>
      </c>
      <c r="G1023" s="306">
        <v>4034.41</v>
      </c>
      <c r="H1023" s="306">
        <v>3823.07</v>
      </c>
      <c r="I1023" s="306">
        <v>3849.35</v>
      </c>
      <c r="J1023" s="306">
        <v>4042.59</v>
      </c>
      <c r="K1023" s="306">
        <v>4117.9799999999996</v>
      </c>
      <c r="L1023" s="306">
        <v>3952.3</v>
      </c>
      <c r="M1023" s="406"/>
      <c r="N1023" s="406"/>
      <c r="O1023" s="406"/>
      <c r="P1023" s="406"/>
      <c r="Q1023" s="404"/>
      <c r="R1023" s="404"/>
      <c r="S1023" s="404"/>
      <c r="T1023" s="404"/>
      <c r="U1023" s="404"/>
      <c r="V1023" s="407"/>
      <c r="W1023" s="404"/>
      <c r="X1023" s="408"/>
      <c r="Y1023" s="268"/>
      <c r="Z1023" s="267"/>
      <c r="AA1023" s="267"/>
      <c r="AB1023" s="267"/>
      <c r="AC1023" s="267"/>
      <c r="AD1023" s="268"/>
      <c r="AE1023" s="269"/>
    </row>
    <row r="1024" spans="1:31" ht="57.75" thickBot="1">
      <c r="A1024" s="390"/>
      <c r="B1024" s="404"/>
      <c r="C1024" s="409" t="s">
        <v>197</v>
      </c>
      <c r="D1024" s="410">
        <f t="shared" ref="D1024:L1024" si="336">IF(((D1022="")*AND(D1023="")),"",(D1022-D1023)*3)</f>
        <v>6716.82</v>
      </c>
      <c r="E1024" s="410">
        <f t="shared" si="336"/>
        <v>6391.5599999999986</v>
      </c>
      <c r="F1024" s="410">
        <f t="shared" si="336"/>
        <v>6582.48</v>
      </c>
      <c r="G1024" s="410">
        <f t="shared" si="336"/>
        <v>6525.48</v>
      </c>
      <c r="H1024" s="410">
        <f t="shared" si="336"/>
        <v>7075.7100000000009</v>
      </c>
      <c r="I1024" s="410">
        <f t="shared" si="336"/>
        <v>6906.18</v>
      </c>
      <c r="J1024" s="410">
        <f t="shared" si="336"/>
        <v>6559.079999999999</v>
      </c>
      <c r="K1024" s="410">
        <f t="shared" si="336"/>
        <v>6380.1600000000008</v>
      </c>
      <c r="L1024" s="410">
        <f t="shared" si="336"/>
        <v>6652.4399999999987</v>
      </c>
      <c r="M1024" s="410"/>
      <c r="N1024" s="410"/>
      <c r="O1024" s="410"/>
      <c r="P1024" s="410" t="str">
        <f>IF(((P1022="")*AND(P1023="")),"",(P1022-P1023)*2)</f>
        <v/>
      </c>
      <c r="Q1024" s="404"/>
      <c r="R1024" s="404"/>
      <c r="S1024" s="404"/>
      <c r="T1024" s="404"/>
      <c r="U1024" s="404"/>
      <c r="V1024" s="407"/>
      <c r="W1024" s="404"/>
      <c r="X1024" s="417"/>
      <c r="Y1024" s="268"/>
      <c r="Z1024" s="267"/>
      <c r="AA1024" s="267"/>
      <c r="AB1024" s="267"/>
      <c r="AC1024" s="267"/>
      <c r="AD1024" s="268"/>
      <c r="AE1024" s="269"/>
    </row>
    <row r="1025" spans="1:31" ht="15">
      <c r="A1025" s="344">
        <v>43818</v>
      </c>
      <c r="B1025" s="409" t="s">
        <v>200</v>
      </c>
      <c r="C1025" s="409" t="s">
        <v>199</v>
      </c>
      <c r="D1025" s="306">
        <v>6695.53</v>
      </c>
      <c r="E1025" s="306">
        <v>6764.98</v>
      </c>
      <c r="F1025" s="306">
        <v>6696.08</v>
      </c>
      <c r="G1025" s="306">
        <v>6765.29</v>
      </c>
      <c r="H1025" s="306">
        <v>6708.86</v>
      </c>
      <c r="I1025" s="306">
        <v>6726.49</v>
      </c>
      <c r="J1025" s="306">
        <v>6837.72</v>
      </c>
      <c r="K1025" s="306">
        <v>6851.8</v>
      </c>
      <c r="L1025" s="306">
        <v>6776.61</v>
      </c>
      <c r="M1025" s="306">
        <v>6856.29</v>
      </c>
      <c r="N1025" s="306">
        <v>6846.2</v>
      </c>
      <c r="O1025" s="306">
        <v>6806.78</v>
      </c>
      <c r="P1025" s="306">
        <v>6799.36</v>
      </c>
      <c r="Q1025" s="409">
        <f>IF((L1026=""),"",MAX(D1027:P1027))</f>
        <v>5419.24</v>
      </c>
      <c r="R1025" s="409">
        <f>IF(L1026="","",MIN(D1027:L1027))</f>
        <v>5301.5</v>
      </c>
      <c r="S1025" s="400">
        <f>IF((P1027=""),"",AVERAGE(D1027:P1027))</f>
        <v>5362.747692307692</v>
      </c>
      <c r="T1025" s="412">
        <f>IF((L1026=""),"",(Q1025-R1025)/(Q1025+R1025)*100)</f>
        <v>1.0982450838281665</v>
      </c>
      <c r="U1025" s="409">
        <f>STDEV(D1027:P1027)</f>
        <v>44.130015135842328</v>
      </c>
      <c r="V1025" s="413" t="str">
        <f>IF(P1026="","",IF(T1025&lt;2.7,IF(S1025&gt;5150,IF(S1025&lt;5600,"Pass","Fail"),"Fail"),"Fail"))</f>
        <v>Pass</v>
      </c>
      <c r="W1025" s="409" t="s">
        <v>58</v>
      </c>
      <c r="X1025" s="402"/>
      <c r="Y1025" s="268"/>
      <c r="Z1025" s="321">
        <v>4470</v>
      </c>
      <c r="AA1025" s="321">
        <v>6020</v>
      </c>
      <c r="AB1025" s="321">
        <v>5150</v>
      </c>
      <c r="AC1025" s="321">
        <v>5600</v>
      </c>
      <c r="AD1025" s="305">
        <v>10</v>
      </c>
      <c r="AE1025" s="322">
        <v>2.7</v>
      </c>
    </row>
    <row r="1026" spans="1:31" ht="15">
      <c r="A1026" s="390"/>
      <c r="B1026" s="404"/>
      <c r="C1026" s="404" t="s">
        <v>198</v>
      </c>
      <c r="D1026" s="306">
        <v>4044.25</v>
      </c>
      <c r="E1026" s="306">
        <v>4107.82</v>
      </c>
      <c r="F1026" s="306">
        <v>4045.33</v>
      </c>
      <c r="G1026" s="306">
        <v>4078.86</v>
      </c>
      <c r="H1026" s="306">
        <v>4033.78</v>
      </c>
      <c r="I1026" s="306">
        <v>4016.87</v>
      </c>
      <c r="J1026" s="306">
        <v>4146.03</v>
      </c>
      <c r="K1026" s="306">
        <v>4149.79</v>
      </c>
      <c r="L1026" s="306">
        <v>4120.7</v>
      </c>
      <c r="M1026" s="306">
        <v>4156.1400000000003</v>
      </c>
      <c r="N1026" s="306">
        <v>4139.6899999999996</v>
      </c>
      <c r="O1026" s="306">
        <v>4134.34</v>
      </c>
      <c r="P1026" s="306">
        <v>4100.53</v>
      </c>
      <c r="Q1026" s="404"/>
      <c r="R1026" s="404"/>
      <c r="S1026" s="404"/>
      <c r="T1026" s="404"/>
      <c r="U1026" s="404"/>
      <c r="V1026" s="407"/>
      <c r="W1026" s="404"/>
      <c r="X1026" s="408"/>
      <c r="Y1026" s="268"/>
      <c r="Z1026" s="267"/>
      <c r="AA1026" s="267"/>
      <c r="AB1026" s="267"/>
      <c r="AC1026" s="267"/>
      <c r="AD1026" s="268"/>
      <c r="AE1026" s="269"/>
    </row>
    <row r="1027" spans="1:31" ht="57.75" thickBot="1">
      <c r="A1027" s="393"/>
      <c r="B1027" s="414"/>
      <c r="C1027" s="414" t="s">
        <v>197</v>
      </c>
      <c r="D1027" s="415">
        <f t="shared" ref="D1027:P1027" si="337">IF(((D1025="")*AND(D1026="")),"",(D1025-D1026)*2)</f>
        <v>5302.5599999999995</v>
      </c>
      <c r="E1027" s="415">
        <f t="shared" si="337"/>
        <v>5314.32</v>
      </c>
      <c r="F1027" s="415">
        <f t="shared" si="337"/>
        <v>5301.5</v>
      </c>
      <c r="G1027" s="415">
        <f t="shared" si="337"/>
        <v>5372.86</v>
      </c>
      <c r="H1027" s="415">
        <f t="shared" si="337"/>
        <v>5350.1599999999989</v>
      </c>
      <c r="I1027" s="415">
        <f t="shared" si="337"/>
        <v>5419.24</v>
      </c>
      <c r="J1027" s="415">
        <f t="shared" si="337"/>
        <v>5383.380000000001</v>
      </c>
      <c r="K1027" s="415">
        <f t="shared" si="337"/>
        <v>5404.02</v>
      </c>
      <c r="L1027" s="415">
        <f t="shared" si="337"/>
        <v>5311.82</v>
      </c>
      <c r="M1027" s="415">
        <f t="shared" si="337"/>
        <v>5400.2999999999993</v>
      </c>
      <c r="N1027" s="415">
        <f t="shared" si="337"/>
        <v>5413.02</v>
      </c>
      <c r="O1027" s="415">
        <f t="shared" si="337"/>
        <v>5344.8799999999992</v>
      </c>
      <c r="P1027" s="415">
        <f t="shared" si="337"/>
        <v>5397.66</v>
      </c>
      <c r="Q1027" s="414"/>
      <c r="R1027" s="414"/>
      <c r="S1027" s="414"/>
      <c r="T1027" s="414"/>
      <c r="U1027" s="414"/>
      <c r="V1027" s="416"/>
      <c r="W1027" s="414"/>
      <c r="X1027" s="417"/>
      <c r="Y1027" s="268"/>
      <c r="Z1027" s="267"/>
      <c r="AA1027" s="267"/>
      <c r="AB1027" s="267"/>
      <c r="AC1027" s="267"/>
      <c r="AD1027" s="268"/>
      <c r="AE1027" s="269"/>
    </row>
    <row r="1028" spans="1:31" ht="15">
      <c r="A1028" s="344">
        <v>43820</v>
      </c>
      <c r="B1028" s="395" t="s">
        <v>202</v>
      </c>
      <c r="C1028" s="396" t="s">
        <v>199</v>
      </c>
      <c r="D1028" s="306">
        <v>6184.33</v>
      </c>
      <c r="E1028" s="306">
        <v>6223.51</v>
      </c>
      <c r="F1028" s="306">
        <v>6250.62</v>
      </c>
      <c r="G1028" s="306">
        <v>6202.91</v>
      </c>
      <c r="H1028" s="306">
        <v>6175.2</v>
      </c>
      <c r="I1028" s="306">
        <v>6144.84</v>
      </c>
      <c r="J1028" s="306">
        <v>6225.73</v>
      </c>
      <c r="K1028" s="306">
        <v>6242.33</v>
      </c>
      <c r="L1028" s="306">
        <v>6174.99</v>
      </c>
      <c r="M1028" s="398"/>
      <c r="N1028" s="398"/>
      <c r="O1028" s="398"/>
      <c r="P1028" s="398"/>
      <c r="Q1028" s="395">
        <f>IF((L1029=""),"",MAX(D1030:L1030))</f>
        <v>7552.32</v>
      </c>
      <c r="R1028" s="395">
        <f>IF(L1029="","",MIN(D1030:L1030))</f>
        <v>6972.39</v>
      </c>
      <c r="S1028" s="399">
        <f>IF((L1030=""),"",AVERAGE(D1030:L1030))</f>
        <v>7201.96</v>
      </c>
      <c r="T1028" s="400">
        <f>IF((L1029=""),"",(Q1028-R1028)/(Q1028+R1028)*100)</f>
        <v>3.9927131075250344</v>
      </c>
      <c r="U1028" s="395">
        <f>STDEV(D1030:P1030)</f>
        <v>235.4558213338436</v>
      </c>
      <c r="V1028" s="401" t="str">
        <f>IF(L1029="","",IF(T1028&lt;9.8,IF(S1028&gt;5100,IF(S1028&lt;8300,"Pass","Fail"),"Fail"),"Fail"))</f>
        <v>Pass</v>
      </c>
      <c r="W1028" s="395">
        <v>1159</v>
      </c>
      <c r="X1028" s="402"/>
      <c r="Y1028" s="268"/>
      <c r="Z1028" s="267">
        <v>4955</v>
      </c>
      <c r="AA1028" s="267">
        <v>9645</v>
      </c>
      <c r="AB1028" s="267">
        <v>5100</v>
      </c>
      <c r="AC1028" s="267">
        <v>8300</v>
      </c>
      <c r="AD1028" s="305">
        <v>10</v>
      </c>
      <c r="AE1028" s="305">
        <v>9.8000000000000007</v>
      </c>
    </row>
    <row r="1029" spans="1:31" ht="15">
      <c r="A1029" s="390"/>
      <c r="B1029" s="404"/>
      <c r="C1029" s="405" t="s">
        <v>198</v>
      </c>
      <c r="D1029" s="306">
        <v>3683.84</v>
      </c>
      <c r="E1029" s="306">
        <v>3883.42</v>
      </c>
      <c r="F1029" s="306">
        <v>3899.99</v>
      </c>
      <c r="G1029" s="306">
        <v>3869.47</v>
      </c>
      <c r="H1029" s="306">
        <v>3700.56</v>
      </c>
      <c r="I1029" s="306">
        <v>3627.4</v>
      </c>
      <c r="J1029" s="306">
        <v>3881.93</v>
      </c>
      <c r="K1029" s="306">
        <v>3918.2</v>
      </c>
      <c r="L1029" s="306">
        <v>3753.77</v>
      </c>
      <c r="M1029" s="406"/>
      <c r="N1029" s="406"/>
      <c r="O1029" s="406"/>
      <c r="P1029" s="406"/>
      <c r="Q1029" s="404"/>
      <c r="R1029" s="404"/>
      <c r="S1029" s="404"/>
      <c r="T1029" s="404"/>
      <c r="U1029" s="404"/>
      <c r="V1029" s="407"/>
      <c r="W1029" s="404"/>
      <c r="X1029" s="408"/>
      <c r="Y1029" s="268"/>
      <c r="Z1029" s="267"/>
      <c r="AA1029" s="267"/>
      <c r="AB1029" s="267"/>
      <c r="AC1029" s="267"/>
      <c r="AD1029" s="268"/>
      <c r="AE1029" s="269"/>
    </row>
    <row r="1030" spans="1:31" ht="57.75" thickBot="1">
      <c r="A1030" s="390"/>
      <c r="B1030" s="404"/>
      <c r="C1030" s="409" t="s">
        <v>197</v>
      </c>
      <c r="D1030" s="410">
        <f t="shared" ref="D1030:L1030" si="338">IF(((D1028="")*AND(D1029="")),"",(D1028-D1029)*3)</f>
        <v>7501.4699999999993</v>
      </c>
      <c r="E1030" s="410">
        <f t="shared" si="338"/>
        <v>7020.27</v>
      </c>
      <c r="F1030" s="410">
        <f t="shared" si="338"/>
        <v>7051.89</v>
      </c>
      <c r="G1030" s="410">
        <f t="shared" si="338"/>
        <v>7000.32</v>
      </c>
      <c r="H1030" s="410">
        <f t="shared" si="338"/>
        <v>7423.92</v>
      </c>
      <c r="I1030" s="410">
        <f t="shared" si="338"/>
        <v>7552.32</v>
      </c>
      <c r="J1030" s="410">
        <f t="shared" si="338"/>
        <v>7031.4</v>
      </c>
      <c r="K1030" s="410">
        <f t="shared" si="338"/>
        <v>6972.39</v>
      </c>
      <c r="L1030" s="410">
        <f t="shared" si="338"/>
        <v>7263.66</v>
      </c>
      <c r="M1030" s="410"/>
      <c r="N1030" s="410"/>
      <c r="O1030" s="410"/>
      <c r="P1030" s="410" t="str">
        <f>IF(((P1028="")*AND(P1029="")),"",(P1028-P1029)*2)</f>
        <v/>
      </c>
      <c r="Q1030" s="404"/>
      <c r="R1030" s="404"/>
      <c r="S1030" s="404"/>
      <c r="T1030" s="404"/>
      <c r="U1030" s="404"/>
      <c r="V1030" s="407"/>
      <c r="W1030" s="404"/>
      <c r="X1030" s="417"/>
      <c r="Y1030" s="268"/>
      <c r="Z1030" s="267"/>
      <c r="AA1030" s="267"/>
      <c r="AB1030" s="267"/>
      <c r="AC1030" s="267"/>
      <c r="AD1030" s="268"/>
      <c r="AE1030" s="269"/>
    </row>
    <row r="1031" spans="1:31" ht="15">
      <c r="A1031" s="344">
        <v>43820</v>
      </c>
      <c r="B1031" s="409" t="s">
        <v>200</v>
      </c>
      <c r="C1031" s="409" t="s">
        <v>199</v>
      </c>
      <c r="D1031" s="306">
        <v>6696.27</v>
      </c>
      <c r="E1031" s="306">
        <v>6764.77</v>
      </c>
      <c r="F1031" s="306">
        <v>6697.84</v>
      </c>
      <c r="G1031" s="306">
        <v>6766.45</v>
      </c>
      <c r="H1031" s="306">
        <v>6709.48</v>
      </c>
      <c r="I1031" s="306">
        <v>6727.76</v>
      </c>
      <c r="J1031" s="306">
        <v>6839.43</v>
      </c>
      <c r="K1031" s="306">
        <v>6854.15</v>
      </c>
      <c r="L1031" s="306">
        <v>6778.38</v>
      </c>
      <c r="M1031" s="306">
        <v>6858.04</v>
      </c>
      <c r="N1031" s="306">
        <v>6846.22</v>
      </c>
      <c r="O1031" s="306">
        <v>6807.51</v>
      </c>
      <c r="P1031" s="306">
        <v>6800.16</v>
      </c>
      <c r="Q1031" s="409">
        <f>IF((L1032=""),"",MAX(D1033:P1033))</f>
        <v>5640.4999999999991</v>
      </c>
      <c r="R1031" s="409">
        <f>IF(L1032="","",MIN(D1033:L1033))</f>
        <v>5466.9800000000005</v>
      </c>
      <c r="S1031" s="400">
        <f>IF((P1033=""),"",AVERAGE(D1033:P1033))</f>
        <v>5555.9769230769243</v>
      </c>
      <c r="T1031" s="412">
        <f>IF((L1032=""),"",(Q1031-R1031)/(Q1031+R1031)*100)</f>
        <v>1.5621905238631861</v>
      </c>
      <c r="U1031" s="409">
        <f>STDEV(D1033:P1033)</f>
        <v>57.83848248703007</v>
      </c>
      <c r="V1031" s="413" t="str">
        <f>IF(P1032="","",IF(T1031&lt;2.7,IF(S1031&gt;5150,IF(S1031&lt;5600,"Pass","Fail"),"Fail"),"Fail"))</f>
        <v>Pass</v>
      </c>
      <c r="W1031" s="409">
        <v>1159</v>
      </c>
      <c r="X1031" s="402"/>
      <c r="Y1031" s="268"/>
      <c r="Z1031" s="321">
        <v>4470</v>
      </c>
      <c r="AA1031" s="321">
        <v>6020</v>
      </c>
      <c r="AB1031" s="321">
        <v>5150</v>
      </c>
      <c r="AC1031" s="321">
        <v>5600</v>
      </c>
      <c r="AD1031" s="305">
        <v>10</v>
      </c>
      <c r="AE1031" s="322">
        <v>2.7</v>
      </c>
    </row>
    <row r="1032" spans="1:31" ht="15">
      <c r="A1032" s="390"/>
      <c r="B1032" s="404"/>
      <c r="C1032" s="404" t="s">
        <v>198</v>
      </c>
      <c r="D1032" s="306">
        <v>3962.78</v>
      </c>
      <c r="E1032" s="306">
        <v>4020.99</v>
      </c>
      <c r="F1032" s="306">
        <v>3948.95</v>
      </c>
      <c r="G1032" s="306">
        <v>3967.76</v>
      </c>
      <c r="H1032" s="306">
        <v>3959.02</v>
      </c>
      <c r="I1032" s="306">
        <v>3930.3</v>
      </c>
      <c r="J1032" s="306">
        <v>4030.99</v>
      </c>
      <c r="K1032" s="306">
        <v>4033.9</v>
      </c>
      <c r="L1032" s="306">
        <v>4019.55</v>
      </c>
      <c r="M1032" s="306">
        <v>4042.97</v>
      </c>
      <c r="N1032" s="306">
        <v>4069.02</v>
      </c>
      <c r="O1032" s="306">
        <v>4028.12</v>
      </c>
      <c r="P1032" s="306">
        <v>4018.26</v>
      </c>
      <c r="Q1032" s="404"/>
      <c r="R1032" s="404"/>
      <c r="S1032" s="404"/>
      <c r="T1032" s="404"/>
      <c r="U1032" s="404"/>
      <c r="V1032" s="407"/>
      <c r="W1032" s="404"/>
      <c r="X1032" s="408"/>
      <c r="Y1032" s="268"/>
      <c r="Z1032" s="267"/>
      <c r="AA1032" s="267"/>
      <c r="AB1032" s="267"/>
      <c r="AC1032" s="267"/>
      <c r="AD1032" s="268"/>
      <c r="AE1032" s="269"/>
    </row>
    <row r="1033" spans="1:31" ht="57.75" thickBot="1">
      <c r="A1033" s="393"/>
      <c r="B1033" s="414"/>
      <c r="C1033" s="414" t="s">
        <v>197</v>
      </c>
      <c r="D1033" s="415">
        <f t="shared" ref="D1033:P1033" si="339">IF(((D1031="")*AND(D1032="")),"",(D1031-D1032)*2)</f>
        <v>5466.9800000000005</v>
      </c>
      <c r="E1033" s="415">
        <f t="shared" si="339"/>
        <v>5487.5600000000013</v>
      </c>
      <c r="F1033" s="415">
        <f t="shared" si="339"/>
        <v>5497.7800000000007</v>
      </c>
      <c r="G1033" s="415">
        <f t="shared" si="339"/>
        <v>5597.3799999999992</v>
      </c>
      <c r="H1033" s="415">
        <f t="shared" si="339"/>
        <v>5500.9199999999992</v>
      </c>
      <c r="I1033" s="415">
        <f t="shared" si="339"/>
        <v>5594.92</v>
      </c>
      <c r="J1033" s="415">
        <f t="shared" si="339"/>
        <v>5616.880000000001</v>
      </c>
      <c r="K1033" s="415">
        <f t="shared" si="339"/>
        <v>5640.4999999999991</v>
      </c>
      <c r="L1033" s="415">
        <f t="shared" si="339"/>
        <v>5517.66</v>
      </c>
      <c r="M1033" s="415">
        <f t="shared" si="339"/>
        <v>5630.14</v>
      </c>
      <c r="N1033" s="415">
        <f t="shared" si="339"/>
        <v>5554.4000000000005</v>
      </c>
      <c r="O1033" s="415">
        <f t="shared" si="339"/>
        <v>5558.7800000000007</v>
      </c>
      <c r="P1033" s="415">
        <f t="shared" si="339"/>
        <v>5563.7999999999993</v>
      </c>
      <c r="Q1033" s="414"/>
      <c r="R1033" s="414"/>
      <c r="S1033" s="414"/>
      <c r="T1033" s="414"/>
      <c r="U1033" s="414"/>
      <c r="V1033" s="416"/>
      <c r="W1033" s="414"/>
      <c r="X1033" s="417"/>
      <c r="Y1033" s="268"/>
      <c r="Z1033" s="267"/>
      <c r="AA1033" s="267"/>
      <c r="AB1033" s="267"/>
      <c r="AC1033" s="267"/>
      <c r="AD1033" s="268"/>
      <c r="AE1033" s="269"/>
    </row>
    <row r="1034" spans="1:31" ht="15">
      <c r="A1034" s="344">
        <v>43824</v>
      </c>
      <c r="B1034" s="395" t="s">
        <v>202</v>
      </c>
      <c r="C1034" s="396" t="s">
        <v>199</v>
      </c>
      <c r="D1034" s="306">
        <v>3689.91</v>
      </c>
      <c r="E1034" s="306">
        <v>3860.98</v>
      </c>
      <c r="F1034" s="306">
        <v>3869.73</v>
      </c>
      <c r="G1034" s="306">
        <v>3841.87</v>
      </c>
      <c r="H1034" s="306">
        <v>3698.63</v>
      </c>
      <c r="I1034" s="306">
        <v>3627.03</v>
      </c>
      <c r="J1034" s="306">
        <v>3851.91</v>
      </c>
      <c r="K1034" s="306">
        <v>3882.04</v>
      </c>
      <c r="L1034" s="306">
        <v>3745.13</v>
      </c>
      <c r="M1034" s="398"/>
      <c r="N1034" s="398"/>
      <c r="O1034" s="398"/>
      <c r="P1034" s="398"/>
      <c r="Q1034" s="395">
        <f>IF((L1035=""),"",MAX(D1036:L1036))</f>
        <v>7304.670000000001</v>
      </c>
      <c r="R1034" s="395">
        <f>IF(L1035="","",MIN(D1036:L1036))</f>
        <v>6559.6800000000012</v>
      </c>
      <c r="S1034" s="399">
        <f>IF((L1036=""),"",AVERAGE(D1036:L1036))</f>
        <v>6845.7099999999991</v>
      </c>
      <c r="T1034" s="400">
        <f>IF((L1035=""),"",(Q1034-R1034)/(Q1034+R1034)*100)</f>
        <v>5.3734217615683368</v>
      </c>
      <c r="U1034" s="395">
        <f>STDEV(D1036:P1036)</f>
        <v>198.85789147031059</v>
      </c>
      <c r="V1034" s="401" t="str">
        <f>IF(L1035="","",IF(T1034&lt;9.8,IF(S1034&gt;5100,IF(S1034&lt;8300,"Pass","Fail"),"Fail"),"Fail"))</f>
        <v>Pass</v>
      </c>
      <c r="W1034" s="395">
        <v>1428</v>
      </c>
      <c r="X1034" s="402" t="s">
        <v>439</v>
      </c>
      <c r="Y1034" s="268"/>
      <c r="Z1034" s="267">
        <v>4955</v>
      </c>
      <c r="AA1034" s="267">
        <v>9645</v>
      </c>
      <c r="AB1034" s="267">
        <v>5100</v>
      </c>
      <c r="AC1034" s="267">
        <v>8300</v>
      </c>
      <c r="AD1034" s="305">
        <v>10</v>
      </c>
      <c r="AE1034" s="305">
        <v>9.8000000000000007</v>
      </c>
    </row>
    <row r="1035" spans="1:31" ht="15">
      <c r="A1035" s="390"/>
      <c r="B1035" s="404"/>
      <c r="C1035" s="405" t="s">
        <v>198</v>
      </c>
      <c r="D1035" s="306">
        <v>1383.46</v>
      </c>
      <c r="E1035" s="306">
        <v>1599.36</v>
      </c>
      <c r="F1035" s="306">
        <v>1604.07</v>
      </c>
      <c r="G1035" s="306">
        <v>1556.49</v>
      </c>
      <c r="H1035" s="306">
        <v>1420.94</v>
      </c>
      <c r="I1035" s="306">
        <v>1192.1400000000001</v>
      </c>
      <c r="J1035" s="306">
        <v>1579.46</v>
      </c>
      <c r="K1035" s="306">
        <v>1635.61</v>
      </c>
      <c r="L1035" s="306">
        <v>1558.57</v>
      </c>
      <c r="M1035" s="406"/>
      <c r="N1035" s="406"/>
      <c r="O1035" s="406"/>
      <c r="P1035" s="406"/>
      <c r="Q1035" s="404"/>
      <c r="R1035" s="404"/>
      <c r="S1035" s="404"/>
      <c r="T1035" s="404"/>
      <c r="U1035" s="404"/>
      <c r="V1035" s="407"/>
      <c r="W1035" s="404"/>
      <c r="X1035" s="408"/>
      <c r="Y1035" s="268"/>
      <c r="Z1035" s="267"/>
      <c r="AA1035" s="267"/>
      <c r="AB1035" s="267"/>
      <c r="AC1035" s="267"/>
      <c r="AD1035" s="268"/>
      <c r="AE1035" s="269"/>
    </row>
    <row r="1036" spans="1:31" ht="57.75" thickBot="1">
      <c r="A1036" s="390"/>
      <c r="B1036" s="404"/>
      <c r="C1036" s="409" t="s">
        <v>197</v>
      </c>
      <c r="D1036" s="410">
        <f t="shared" ref="D1036:L1036" si="340">IF(((D1034="")*AND(D1035="")),"",(D1034-D1035)*3)</f>
        <v>6919.3499999999995</v>
      </c>
      <c r="E1036" s="410">
        <f t="shared" si="340"/>
        <v>6784.86</v>
      </c>
      <c r="F1036" s="410">
        <f t="shared" si="340"/>
        <v>6796.98</v>
      </c>
      <c r="G1036" s="410">
        <f t="shared" si="340"/>
        <v>6856.14</v>
      </c>
      <c r="H1036" s="410">
        <f t="shared" si="340"/>
        <v>6833.07</v>
      </c>
      <c r="I1036" s="410">
        <f t="shared" si="340"/>
        <v>7304.670000000001</v>
      </c>
      <c r="J1036" s="410">
        <f t="shared" si="340"/>
        <v>6817.3499999999995</v>
      </c>
      <c r="K1036" s="410">
        <f t="shared" si="340"/>
        <v>6739.2900000000009</v>
      </c>
      <c r="L1036" s="410">
        <f t="shared" si="340"/>
        <v>6559.6800000000012</v>
      </c>
      <c r="M1036" s="410"/>
      <c r="N1036" s="410"/>
      <c r="O1036" s="410"/>
      <c r="P1036" s="410" t="str">
        <f>IF(((P1034="")*AND(P1035="")),"",(P1034-P1035)*2)</f>
        <v/>
      </c>
      <c r="Q1036" s="404"/>
      <c r="R1036" s="404"/>
      <c r="S1036" s="404"/>
      <c r="T1036" s="404"/>
      <c r="U1036" s="404"/>
      <c r="V1036" s="407"/>
      <c r="W1036" s="404"/>
      <c r="X1036" s="417"/>
      <c r="Y1036" s="268"/>
      <c r="Z1036" s="267"/>
      <c r="AA1036" s="267"/>
      <c r="AB1036" s="267"/>
      <c r="AC1036" s="267"/>
      <c r="AD1036" s="268"/>
      <c r="AE1036" s="269"/>
    </row>
    <row r="1037" spans="1:31" ht="15">
      <c r="A1037" s="344">
        <v>43824</v>
      </c>
      <c r="B1037" s="409" t="s">
        <v>200</v>
      </c>
      <c r="C1037" s="409" t="s">
        <v>199</v>
      </c>
      <c r="D1037" s="306">
        <v>3973.69</v>
      </c>
      <c r="E1037" s="306">
        <v>4032.16</v>
      </c>
      <c r="F1037" s="306">
        <v>3959.66</v>
      </c>
      <c r="G1037" s="306">
        <v>3978.59</v>
      </c>
      <c r="H1037" s="306">
        <v>3969.83</v>
      </c>
      <c r="I1037" s="306">
        <v>3940.88</v>
      </c>
      <c r="J1037" s="306">
        <v>4042.39</v>
      </c>
      <c r="K1037" s="306">
        <v>4045.12</v>
      </c>
      <c r="L1037" s="306">
        <v>4030.86</v>
      </c>
      <c r="M1037" s="306">
        <v>4054.51</v>
      </c>
      <c r="N1037" s="306">
        <v>4080.2</v>
      </c>
      <c r="O1037" s="306">
        <v>4039.53</v>
      </c>
      <c r="P1037" s="306">
        <v>4029.36</v>
      </c>
      <c r="Q1037" s="409">
        <f>IF((L1038=""),"",MAX(D1039:P1039))</f>
        <v>5548</v>
      </c>
      <c r="R1037" s="409">
        <f>IF(L1038="","",MIN(D1039:L1039))</f>
        <v>5385.5599999999995</v>
      </c>
      <c r="S1037" s="400">
        <f>IF((P1039=""),"",AVERAGE(D1039:P1039))</f>
        <v>5454.6876923076925</v>
      </c>
      <c r="T1037" s="412">
        <f>IF((L1038=""),"",(Q1037-R1037)/(Q1037+R1037)*100)</f>
        <v>1.4857009062007298</v>
      </c>
      <c r="U1037" s="409">
        <f>STDEV(D1039:P1039)</f>
        <v>47.034757742392053</v>
      </c>
      <c r="V1037" s="413" t="str">
        <f>IF(P1038="","",IF(T1037&lt;2.7,IF(S1037&gt;5150,IF(S1037&lt;5600,"Pass","Fail"),"Fail"),"Fail"))</f>
        <v>Pass</v>
      </c>
      <c r="W1037" s="409">
        <v>1428</v>
      </c>
      <c r="X1037" s="402" t="s">
        <v>439</v>
      </c>
      <c r="Y1037" s="268"/>
      <c r="Z1037" s="321">
        <v>4470</v>
      </c>
      <c r="AA1037" s="321">
        <v>6020</v>
      </c>
      <c r="AB1037" s="321">
        <v>5150</v>
      </c>
      <c r="AC1037" s="321">
        <v>5600</v>
      </c>
      <c r="AD1037" s="305">
        <v>10</v>
      </c>
      <c r="AE1037" s="322">
        <v>2.7</v>
      </c>
    </row>
    <row r="1038" spans="1:31" ht="15">
      <c r="A1038" s="390"/>
      <c r="B1038" s="404"/>
      <c r="C1038" s="404" t="s">
        <v>198</v>
      </c>
      <c r="D1038" s="306">
        <v>1269.58</v>
      </c>
      <c r="E1038" s="306">
        <v>1311.89</v>
      </c>
      <c r="F1038" s="306">
        <v>1266.8800000000001</v>
      </c>
      <c r="G1038" s="306">
        <v>1242.3499999999999</v>
      </c>
      <c r="H1038" s="306">
        <v>1218.3</v>
      </c>
      <c r="I1038" s="306">
        <v>1166.8800000000001</v>
      </c>
      <c r="J1038" s="306">
        <v>1313.56</v>
      </c>
      <c r="K1038" s="306">
        <v>1293.6500000000001</v>
      </c>
      <c r="L1038" s="306">
        <v>1337.94</v>
      </c>
      <c r="M1038" s="306">
        <v>1321.35</v>
      </c>
      <c r="N1038" s="306">
        <v>1347.89</v>
      </c>
      <c r="O1038" s="306">
        <v>1325.18</v>
      </c>
      <c r="P1038" s="306">
        <v>1305.8599999999999</v>
      </c>
      <c r="Q1038" s="404"/>
      <c r="R1038" s="404"/>
      <c r="S1038" s="404"/>
      <c r="T1038" s="404"/>
      <c r="U1038" s="404"/>
      <c r="V1038" s="407"/>
      <c r="W1038" s="404"/>
      <c r="X1038" s="408"/>
      <c r="Y1038" s="268"/>
      <c r="Z1038" s="267"/>
      <c r="AA1038" s="267"/>
      <c r="AB1038" s="267"/>
      <c r="AC1038" s="267"/>
      <c r="AD1038" s="268"/>
      <c r="AE1038" s="269"/>
    </row>
    <row r="1039" spans="1:31" ht="57.75" thickBot="1">
      <c r="A1039" s="393"/>
      <c r="B1039" s="414"/>
      <c r="C1039" s="414" t="s">
        <v>197</v>
      </c>
      <c r="D1039" s="415">
        <f t="shared" ref="D1039:P1039" si="341">IF(((D1037="")*AND(D1038="")),"",(D1037-D1038)*2)</f>
        <v>5408.22</v>
      </c>
      <c r="E1039" s="415">
        <f t="shared" si="341"/>
        <v>5440.5399999999991</v>
      </c>
      <c r="F1039" s="415">
        <f t="shared" si="341"/>
        <v>5385.5599999999995</v>
      </c>
      <c r="G1039" s="415">
        <f t="shared" si="341"/>
        <v>5472.4800000000005</v>
      </c>
      <c r="H1039" s="415">
        <f t="shared" si="341"/>
        <v>5503.0599999999995</v>
      </c>
      <c r="I1039" s="415">
        <f t="shared" si="341"/>
        <v>5548</v>
      </c>
      <c r="J1039" s="415">
        <f t="shared" si="341"/>
        <v>5457.66</v>
      </c>
      <c r="K1039" s="415">
        <f t="shared" si="341"/>
        <v>5502.94</v>
      </c>
      <c r="L1039" s="415">
        <f t="shared" si="341"/>
        <v>5385.84</v>
      </c>
      <c r="M1039" s="415">
        <f t="shared" si="341"/>
        <v>5466.3200000000006</v>
      </c>
      <c r="N1039" s="415">
        <f t="shared" si="341"/>
        <v>5464.619999999999</v>
      </c>
      <c r="O1039" s="415">
        <f t="shared" si="341"/>
        <v>5428.7000000000007</v>
      </c>
      <c r="P1039" s="415">
        <f t="shared" si="341"/>
        <v>5447</v>
      </c>
      <c r="Q1039" s="414"/>
      <c r="R1039" s="414"/>
      <c r="S1039" s="414"/>
      <c r="T1039" s="414"/>
      <c r="U1039" s="414"/>
      <c r="V1039" s="416"/>
      <c r="W1039" s="414"/>
      <c r="X1039" s="417"/>
      <c r="Y1039" s="268"/>
      <c r="Z1039" s="267"/>
      <c r="AA1039" s="267"/>
      <c r="AB1039" s="267"/>
      <c r="AC1039" s="267"/>
      <c r="AD1039" s="268"/>
      <c r="AE1039" s="269"/>
    </row>
    <row r="1040" spans="1:31" ht="15">
      <c r="A1040" s="344">
        <v>43832</v>
      </c>
      <c r="B1040" s="395" t="s">
        <v>202</v>
      </c>
      <c r="C1040" s="396" t="s">
        <v>199</v>
      </c>
      <c r="D1040" s="306">
        <v>6156.72</v>
      </c>
      <c r="E1040" s="306">
        <v>6228.74</v>
      </c>
      <c r="F1040" s="306">
        <v>6267.62</v>
      </c>
      <c r="G1040" s="306">
        <v>6202.56</v>
      </c>
      <c r="H1040" s="306">
        <v>6187.86</v>
      </c>
      <c r="I1040" s="306">
        <v>6161.51</v>
      </c>
      <c r="J1040" s="306">
        <v>6229.38</v>
      </c>
      <c r="K1040" s="306">
        <v>6248.96</v>
      </c>
      <c r="L1040" s="306">
        <v>6166.77</v>
      </c>
      <c r="M1040" s="398"/>
      <c r="N1040" s="398"/>
      <c r="O1040" s="398"/>
      <c r="P1040" s="398"/>
      <c r="Q1040" s="395">
        <f>IF((L1041=""),"",MAX(D1042:L1042))</f>
        <v>7379.6100000000006</v>
      </c>
      <c r="R1040" s="395">
        <f>IF(L1041="","",MIN(D1042:L1042))</f>
        <v>6660.420000000001</v>
      </c>
      <c r="S1040" s="399">
        <f>IF((L1042=""),"",AVERAGE(D1042:L1042))</f>
        <v>6912.6633333333339</v>
      </c>
      <c r="T1040" s="400">
        <f>IF((L1041=""),"",(Q1040-R1040)/(Q1040+R1040)*100)</f>
        <v>5.1224249520834322</v>
      </c>
      <c r="U1040" s="395">
        <f>STDEV(D1042:P1042)</f>
        <v>284.42418902054186</v>
      </c>
      <c r="V1040" s="401" t="str">
        <f>IF(L1041="","",IF(T1040&lt;9.8,IF(S1040&gt;5100,IF(S1040&lt;8300,"Pass","Fail"),"Fail"),"Fail"))</f>
        <v>Pass</v>
      </c>
      <c r="W1040" s="395">
        <v>102</v>
      </c>
      <c r="X1040" s="402" t="s">
        <v>447</v>
      </c>
      <c r="Y1040" s="268"/>
      <c r="Z1040" s="267">
        <v>4955</v>
      </c>
      <c r="AA1040" s="267">
        <v>9645</v>
      </c>
      <c r="AB1040" s="267">
        <v>5100</v>
      </c>
      <c r="AC1040" s="267">
        <v>8300</v>
      </c>
      <c r="AD1040" s="305">
        <v>10</v>
      </c>
      <c r="AE1040" s="305">
        <v>9.8000000000000007</v>
      </c>
    </row>
    <row r="1041" spans="1:31" ht="15">
      <c r="A1041" s="390"/>
      <c r="B1041" s="404"/>
      <c r="C1041" s="405" t="s">
        <v>198</v>
      </c>
      <c r="D1041" s="306">
        <v>3761.12</v>
      </c>
      <c r="E1041" s="306">
        <v>3998.68</v>
      </c>
      <c r="F1041" s="306">
        <v>4021.76</v>
      </c>
      <c r="G1041" s="306">
        <v>3982.42</v>
      </c>
      <c r="H1041" s="306">
        <v>3776.8</v>
      </c>
      <c r="I1041" s="306">
        <v>3701.64</v>
      </c>
      <c r="J1041" s="306">
        <v>3998.52</v>
      </c>
      <c r="K1041" s="306">
        <v>4024.22</v>
      </c>
      <c r="L1041" s="306">
        <v>3846.97</v>
      </c>
      <c r="M1041" s="406"/>
      <c r="N1041" s="406"/>
      <c r="O1041" s="406"/>
      <c r="P1041" s="406"/>
      <c r="Q1041" s="404"/>
      <c r="R1041" s="404"/>
      <c r="S1041" s="404"/>
      <c r="T1041" s="404"/>
      <c r="U1041" s="404"/>
      <c r="V1041" s="407"/>
      <c r="W1041" s="404"/>
      <c r="X1041" s="408"/>
      <c r="Y1041" s="268"/>
      <c r="Z1041" s="267"/>
      <c r="AA1041" s="267"/>
      <c r="AB1041" s="267"/>
      <c r="AC1041" s="267"/>
      <c r="AD1041" s="268"/>
      <c r="AE1041" s="269"/>
    </row>
    <row r="1042" spans="1:31" ht="57.75" thickBot="1">
      <c r="A1042" s="390"/>
      <c r="B1042" s="404"/>
      <c r="C1042" s="409" t="s">
        <v>197</v>
      </c>
      <c r="D1042" s="410">
        <f t="shared" ref="D1042:L1042" si="342">IF(((D1040="")*AND(D1041="")),"",(D1040-D1041)*3)</f>
        <v>7186.8000000000011</v>
      </c>
      <c r="E1042" s="410">
        <f t="shared" si="342"/>
        <v>6690.18</v>
      </c>
      <c r="F1042" s="410">
        <f t="shared" si="342"/>
        <v>6737.579999999999</v>
      </c>
      <c r="G1042" s="410">
        <f t="shared" si="342"/>
        <v>6660.420000000001</v>
      </c>
      <c r="H1042" s="410">
        <f t="shared" si="342"/>
        <v>7233.1799999999985</v>
      </c>
      <c r="I1042" s="410">
        <f t="shared" si="342"/>
        <v>7379.6100000000006</v>
      </c>
      <c r="J1042" s="410">
        <f t="shared" si="342"/>
        <v>6692.58</v>
      </c>
      <c r="K1042" s="410">
        <f t="shared" si="342"/>
        <v>6674.2200000000012</v>
      </c>
      <c r="L1042" s="410">
        <f t="shared" si="342"/>
        <v>6959.4000000000015</v>
      </c>
      <c r="M1042" s="410"/>
      <c r="N1042" s="410"/>
      <c r="O1042" s="410"/>
      <c r="P1042" s="410" t="str">
        <f>IF(((P1040="")*AND(P1041="")),"",(P1040-P1041)*2)</f>
        <v/>
      </c>
      <c r="Q1042" s="404"/>
      <c r="R1042" s="404"/>
      <c r="S1042" s="404"/>
      <c r="T1042" s="404"/>
      <c r="U1042" s="404"/>
      <c r="V1042" s="407"/>
      <c r="W1042" s="404"/>
      <c r="X1042" s="417"/>
      <c r="Y1042" s="268"/>
      <c r="Z1042" s="267"/>
      <c r="AA1042" s="267"/>
      <c r="AB1042" s="267"/>
      <c r="AC1042" s="267"/>
      <c r="AD1042" s="268"/>
      <c r="AE1042" s="269"/>
    </row>
    <row r="1043" spans="1:31" ht="15">
      <c r="A1043" s="344">
        <v>43832</v>
      </c>
      <c r="B1043" s="409" t="s">
        <v>200</v>
      </c>
      <c r="C1043" s="409" t="s">
        <v>199</v>
      </c>
      <c r="D1043" s="306">
        <v>6706.52</v>
      </c>
      <c r="E1043" s="306">
        <v>6772.62</v>
      </c>
      <c r="F1043" s="306">
        <v>6704.22</v>
      </c>
      <c r="G1043" s="306">
        <v>6777.42</v>
      </c>
      <c r="H1043" s="306">
        <v>6712.83</v>
      </c>
      <c r="I1043" s="306">
        <v>6733.55</v>
      </c>
      <c r="J1043" s="306">
        <v>6846.53</v>
      </c>
      <c r="K1043" s="306">
        <v>6860.39</v>
      </c>
      <c r="L1043" s="306">
        <v>6780.29</v>
      </c>
      <c r="M1043" s="306">
        <v>6863.42</v>
      </c>
      <c r="N1043" s="306">
        <v>6848.57</v>
      </c>
      <c r="O1043" s="306">
        <v>6809.95</v>
      </c>
      <c r="P1043" s="306">
        <v>6800.9</v>
      </c>
      <c r="Q1043" s="409">
        <f>IF((L1044=""),"",MAX(D1045:P1045))</f>
        <v>5475.14</v>
      </c>
      <c r="R1043" s="409">
        <f>IF(L1044="","",MIN(D1045:L1045))</f>
        <v>5362.52</v>
      </c>
      <c r="S1043" s="400">
        <f>IF((P1045=""),"",AVERAGE(D1045:P1045))</f>
        <v>5425.2523076923062</v>
      </c>
      <c r="T1043" s="412">
        <f>IF((L1044=""),"",(Q1043-R1043)/(Q1043+R1043)*100)</f>
        <v>1.0391542085653165</v>
      </c>
      <c r="U1043" s="409">
        <f>STDEV(D1045:P1045)</f>
        <v>35.474693833454864</v>
      </c>
      <c r="V1043" s="413" t="str">
        <f>IF(P1044="","",IF(T1043&lt;2.7,IF(S1043&gt;5150,IF(S1043&lt;5600,"Pass","Fail"),"Fail"),"Fail"))</f>
        <v>Pass</v>
      </c>
      <c r="W1043" s="409">
        <v>102</v>
      </c>
      <c r="X1043" s="402" t="s">
        <v>447</v>
      </c>
      <c r="Y1043" s="268"/>
      <c r="Z1043" s="321">
        <v>4470</v>
      </c>
      <c r="AA1043" s="321">
        <v>6020</v>
      </c>
      <c r="AB1043" s="321">
        <v>5150</v>
      </c>
      <c r="AC1043" s="321">
        <v>5600</v>
      </c>
      <c r="AD1043" s="305">
        <v>10</v>
      </c>
      <c r="AE1043" s="322">
        <v>2.7</v>
      </c>
    </row>
    <row r="1044" spans="1:31" ht="15">
      <c r="A1044" s="390"/>
      <c r="B1044" s="404"/>
      <c r="C1044" s="404" t="s">
        <v>198</v>
      </c>
      <c r="D1044" s="306">
        <v>4014.8</v>
      </c>
      <c r="E1044" s="306">
        <v>4065.84</v>
      </c>
      <c r="F1044" s="306">
        <v>4022.96</v>
      </c>
      <c r="G1044" s="306">
        <v>4061.61</v>
      </c>
      <c r="H1044" s="306">
        <v>3994.74</v>
      </c>
      <c r="I1044" s="306">
        <v>3995.98</v>
      </c>
      <c r="J1044" s="306">
        <v>4127.25</v>
      </c>
      <c r="K1044" s="306">
        <v>4127.4799999999996</v>
      </c>
      <c r="L1044" s="306">
        <v>4095.85</v>
      </c>
      <c r="M1044" s="306">
        <v>4135.5600000000004</v>
      </c>
      <c r="N1044" s="306">
        <v>4126.32</v>
      </c>
      <c r="O1044" s="306">
        <v>4103.3</v>
      </c>
      <c r="P1044" s="306">
        <v>4081.38</v>
      </c>
      <c r="Q1044" s="404"/>
      <c r="R1044" s="404"/>
      <c r="S1044" s="404"/>
      <c r="T1044" s="404"/>
      <c r="U1044" s="404"/>
      <c r="V1044" s="407"/>
      <c r="W1044" s="404"/>
      <c r="X1044" s="408"/>
      <c r="Y1044" s="268"/>
      <c r="Z1044" s="267"/>
      <c r="AA1044" s="267"/>
      <c r="AB1044" s="267"/>
      <c r="AC1044" s="267"/>
      <c r="AD1044" s="268"/>
      <c r="AE1044" s="269"/>
    </row>
    <row r="1045" spans="1:31" ht="57.75" thickBot="1">
      <c r="A1045" s="393"/>
      <c r="B1045" s="414"/>
      <c r="C1045" s="414" t="s">
        <v>197</v>
      </c>
      <c r="D1045" s="415">
        <f t="shared" ref="D1045:P1045" si="343">IF(((D1043="")*AND(D1044="")),"",(D1043-D1044)*2)</f>
        <v>5383.4400000000005</v>
      </c>
      <c r="E1045" s="415">
        <f t="shared" si="343"/>
        <v>5413.5599999999995</v>
      </c>
      <c r="F1045" s="415">
        <f t="shared" si="343"/>
        <v>5362.52</v>
      </c>
      <c r="G1045" s="415">
        <f t="shared" si="343"/>
        <v>5431.62</v>
      </c>
      <c r="H1045" s="415">
        <f t="shared" si="343"/>
        <v>5436.18</v>
      </c>
      <c r="I1045" s="415">
        <f t="shared" si="343"/>
        <v>5475.14</v>
      </c>
      <c r="J1045" s="415">
        <f t="shared" si="343"/>
        <v>5438.5599999999995</v>
      </c>
      <c r="K1045" s="415">
        <f t="shared" si="343"/>
        <v>5465.8200000000015</v>
      </c>
      <c r="L1045" s="415">
        <f t="shared" si="343"/>
        <v>5368.88</v>
      </c>
      <c r="M1045" s="415">
        <f t="shared" si="343"/>
        <v>5455.7199999999993</v>
      </c>
      <c r="N1045" s="415">
        <f t="shared" si="343"/>
        <v>5444.5</v>
      </c>
      <c r="O1045" s="415">
        <f t="shared" si="343"/>
        <v>5413.2999999999993</v>
      </c>
      <c r="P1045" s="415">
        <f t="shared" si="343"/>
        <v>5439.0399999999991</v>
      </c>
      <c r="Q1045" s="414"/>
      <c r="R1045" s="414"/>
      <c r="S1045" s="414"/>
      <c r="T1045" s="414"/>
      <c r="U1045" s="414"/>
      <c r="V1045" s="416"/>
      <c r="W1045" s="414"/>
      <c r="X1045" s="417"/>
      <c r="Y1045" s="268"/>
      <c r="Z1045" s="267"/>
      <c r="AA1045" s="267"/>
      <c r="AB1045" s="267"/>
      <c r="AC1045" s="267"/>
      <c r="AD1045" s="268"/>
      <c r="AE1045" s="269"/>
    </row>
    <row r="1046" spans="1:31" ht="15">
      <c r="A1046" s="344">
        <v>43838</v>
      </c>
      <c r="B1046" s="395" t="s">
        <v>202</v>
      </c>
      <c r="C1046" s="396" t="s">
        <v>199</v>
      </c>
      <c r="D1046" s="306">
        <v>6189.27</v>
      </c>
      <c r="E1046" s="306">
        <v>6215.93</v>
      </c>
      <c r="F1046" s="306">
        <v>6254.64</v>
      </c>
      <c r="G1046" s="306">
        <v>6195.15</v>
      </c>
      <c r="H1046" s="306">
        <v>6188.2</v>
      </c>
      <c r="I1046" s="306">
        <v>6170.3</v>
      </c>
      <c r="J1046" s="306">
        <v>6217.68</v>
      </c>
      <c r="K1046" s="306">
        <v>6235.25</v>
      </c>
      <c r="L1046" s="306">
        <v>6185.01</v>
      </c>
      <c r="M1046" s="398"/>
      <c r="N1046" s="398"/>
      <c r="O1046" s="398"/>
      <c r="P1046" s="398"/>
      <c r="Q1046" s="395">
        <f>IF((L1047=""),"",MAX(D1048:L1048))</f>
        <v>7421.85</v>
      </c>
      <c r="R1046" s="395">
        <f>IF(L1047="","",MIN(D1048:L1048))</f>
        <v>6698.0099999999984</v>
      </c>
      <c r="S1046" s="399">
        <f>IF((L1048=""),"",AVERAGE(D1048:L1048))</f>
        <v>6955.1499999999987</v>
      </c>
      <c r="T1046" s="400">
        <f>IF((L1047=""),"",(Q1046-R1046)/(Q1046+R1046)*100)</f>
        <v>5.1263964373584585</v>
      </c>
      <c r="U1046" s="395">
        <f>STDEV(D1048:P1048)</f>
        <v>297.68904464227785</v>
      </c>
      <c r="V1046" s="401" t="str">
        <f>IF(L1047="","",IF(T1046&lt;9.8,IF(S1046&gt;5100,IF(S1046&lt;8300,"Pass","Fail"),"Fail"),"Fail"))</f>
        <v>Pass</v>
      </c>
      <c r="W1046" s="419" t="s">
        <v>176</v>
      </c>
      <c r="X1046" s="402" t="s">
        <v>449</v>
      </c>
      <c r="Y1046" s="268"/>
      <c r="Z1046" s="267">
        <v>4955</v>
      </c>
      <c r="AA1046" s="267">
        <v>9645</v>
      </c>
      <c r="AB1046" s="267">
        <v>5100</v>
      </c>
      <c r="AC1046" s="267">
        <v>8300</v>
      </c>
      <c r="AD1046" s="305">
        <v>10</v>
      </c>
      <c r="AE1046" s="305">
        <v>9.8000000000000007</v>
      </c>
    </row>
    <row r="1047" spans="1:31" ht="15">
      <c r="A1047" s="390"/>
      <c r="B1047" s="404"/>
      <c r="C1047" s="405" t="s">
        <v>198</v>
      </c>
      <c r="D1047" s="306">
        <v>3762.18</v>
      </c>
      <c r="E1047" s="306">
        <v>3977.4</v>
      </c>
      <c r="F1047" s="306">
        <v>4001.96</v>
      </c>
      <c r="G1047" s="306">
        <v>3962.48</v>
      </c>
      <c r="H1047" s="306">
        <v>3766.89</v>
      </c>
      <c r="I1047" s="306">
        <v>3696.35</v>
      </c>
      <c r="J1047" s="306">
        <v>3977.6</v>
      </c>
      <c r="K1047" s="306">
        <v>4001.93</v>
      </c>
      <c r="L1047" s="306">
        <v>3839.19</v>
      </c>
      <c r="M1047" s="406"/>
      <c r="N1047" s="406"/>
      <c r="O1047" s="406"/>
      <c r="P1047" s="406"/>
      <c r="Q1047" s="404"/>
      <c r="R1047" s="404"/>
      <c r="S1047" s="404"/>
      <c r="T1047" s="404"/>
      <c r="U1047" s="404"/>
      <c r="V1047" s="407"/>
      <c r="W1047" s="404"/>
      <c r="X1047" s="408"/>
      <c r="Y1047" s="268"/>
      <c r="Z1047" s="267"/>
      <c r="AA1047" s="267"/>
      <c r="AB1047" s="267"/>
      <c r="AC1047" s="267"/>
      <c r="AD1047" s="268"/>
      <c r="AE1047" s="269"/>
    </row>
    <row r="1048" spans="1:31" ht="57.75" thickBot="1">
      <c r="A1048" s="390"/>
      <c r="B1048" s="404"/>
      <c r="C1048" s="409" t="s">
        <v>197</v>
      </c>
      <c r="D1048" s="410">
        <f t="shared" ref="D1048:L1048" si="344">IF(((D1046="")*AND(D1047="")),"",(D1046-D1047)*3)</f>
        <v>7281.2700000000023</v>
      </c>
      <c r="E1048" s="410">
        <f t="shared" si="344"/>
        <v>6715.59</v>
      </c>
      <c r="F1048" s="410">
        <f t="shared" si="344"/>
        <v>6758.0400000000009</v>
      </c>
      <c r="G1048" s="410">
        <f t="shared" si="344"/>
        <v>6698.0099999999984</v>
      </c>
      <c r="H1048" s="410">
        <f t="shared" si="344"/>
        <v>7263.93</v>
      </c>
      <c r="I1048" s="410">
        <f t="shared" si="344"/>
        <v>7421.85</v>
      </c>
      <c r="J1048" s="410">
        <f t="shared" si="344"/>
        <v>6720.2400000000016</v>
      </c>
      <c r="K1048" s="410">
        <f t="shared" si="344"/>
        <v>6699.9600000000009</v>
      </c>
      <c r="L1048" s="410">
        <f t="shared" si="344"/>
        <v>7037.4600000000009</v>
      </c>
      <c r="M1048" s="410"/>
      <c r="N1048" s="410"/>
      <c r="O1048" s="410"/>
      <c r="P1048" s="410" t="str">
        <f>IF(((P1046="")*AND(P1047="")),"",(P1046-P1047)*2)</f>
        <v/>
      </c>
      <c r="Q1048" s="404"/>
      <c r="R1048" s="404"/>
      <c r="S1048" s="404"/>
      <c r="T1048" s="404"/>
      <c r="U1048" s="404"/>
      <c r="V1048" s="407"/>
      <c r="W1048" s="404"/>
      <c r="X1048" s="417"/>
      <c r="Y1048" s="268"/>
      <c r="Z1048" s="267"/>
      <c r="AA1048" s="267"/>
      <c r="AB1048" s="267"/>
      <c r="AC1048" s="267"/>
      <c r="AD1048" s="268"/>
      <c r="AE1048" s="269"/>
    </row>
    <row r="1049" spans="1:31" ht="15">
      <c r="A1049" s="344">
        <v>43838</v>
      </c>
      <c r="B1049" s="409" t="s">
        <v>200</v>
      </c>
      <c r="C1049" s="409" t="s">
        <v>199</v>
      </c>
      <c r="D1049" s="306">
        <v>6708.84</v>
      </c>
      <c r="E1049" s="306">
        <v>6778.5</v>
      </c>
      <c r="F1049" s="306">
        <v>6708.21</v>
      </c>
      <c r="G1049" s="306">
        <v>6775.32</v>
      </c>
      <c r="H1049" s="306">
        <v>6722.28</v>
      </c>
      <c r="I1049" s="306">
        <v>6739.99</v>
      </c>
      <c r="J1049" s="306">
        <v>6847.38</v>
      </c>
      <c r="K1049" s="306">
        <v>6861.1</v>
      </c>
      <c r="L1049" s="306">
        <v>6789.01</v>
      </c>
      <c r="M1049" s="306">
        <v>6866.62</v>
      </c>
      <c r="N1049" s="306">
        <v>6858.3</v>
      </c>
      <c r="O1049" s="306">
        <v>6818.79</v>
      </c>
      <c r="P1049" s="306">
        <v>6812.42</v>
      </c>
      <c r="Q1049" s="409">
        <f>IF((L1050=""),"",MAX(D1051:P1051))</f>
        <v>5461.6799999999994</v>
      </c>
      <c r="R1049" s="409">
        <f>IF(L1050="","",MIN(D1051:L1051))</f>
        <v>5358.62</v>
      </c>
      <c r="S1049" s="400">
        <f>IF((P1051=""),"",AVERAGE(D1051:P1051))</f>
        <v>5412.5584615384614</v>
      </c>
      <c r="T1049" s="412">
        <f>IF((L1050=""),"",(Q1049-R1049)/(Q1049+R1049)*100)</f>
        <v>0.95246897036126066</v>
      </c>
      <c r="U1049" s="409">
        <f>STDEV(D1051:P1051)</f>
        <v>32.307542423436637</v>
      </c>
      <c r="V1049" s="413" t="str">
        <f>IF(P1050="","",IF(T1049&lt;2.7,IF(S1049&gt;5150,IF(S1049&lt;5600,"Pass","Fail"),"Fail"),"Fail"))</f>
        <v>Pass</v>
      </c>
      <c r="W1049" s="421" t="s">
        <v>176</v>
      </c>
      <c r="X1049" s="402" t="s">
        <v>449</v>
      </c>
      <c r="Y1049" s="268"/>
      <c r="Z1049" s="321">
        <v>4470</v>
      </c>
      <c r="AA1049" s="321">
        <v>6020</v>
      </c>
      <c r="AB1049" s="321">
        <v>5150</v>
      </c>
      <c r="AC1049" s="321">
        <v>5600</v>
      </c>
      <c r="AD1049" s="305">
        <v>10</v>
      </c>
      <c r="AE1049" s="322">
        <v>2.7</v>
      </c>
    </row>
    <row r="1050" spans="1:31" ht="15">
      <c r="A1050" s="390"/>
      <c r="B1050" s="404"/>
      <c r="C1050" s="404" t="s">
        <v>198</v>
      </c>
      <c r="D1050" s="306">
        <v>4021.94</v>
      </c>
      <c r="E1050" s="306">
        <v>4076.69</v>
      </c>
      <c r="F1050" s="306">
        <v>4028.9</v>
      </c>
      <c r="G1050" s="306">
        <v>4060.7</v>
      </c>
      <c r="H1050" s="306">
        <v>4013.37</v>
      </c>
      <c r="I1050" s="306">
        <v>4009.15</v>
      </c>
      <c r="J1050" s="306">
        <v>4132.76</v>
      </c>
      <c r="K1050" s="306">
        <v>4135.03</v>
      </c>
      <c r="L1050" s="306">
        <v>4107.03</v>
      </c>
      <c r="M1050" s="306">
        <v>4147.21</v>
      </c>
      <c r="N1050" s="306">
        <v>4147.29</v>
      </c>
      <c r="O1050" s="306">
        <v>4121.2700000000004</v>
      </c>
      <c r="P1050" s="306">
        <v>4103.79</v>
      </c>
      <c r="Q1050" s="404"/>
      <c r="R1050" s="404"/>
      <c r="S1050" s="404"/>
      <c r="T1050" s="404"/>
      <c r="U1050" s="404"/>
      <c r="V1050" s="407"/>
      <c r="W1050" s="404"/>
      <c r="X1050" s="408"/>
      <c r="Y1050" s="268"/>
      <c r="Z1050" s="267"/>
      <c r="AA1050" s="267"/>
      <c r="AB1050" s="267"/>
      <c r="AC1050" s="267"/>
      <c r="AD1050" s="268"/>
      <c r="AE1050" s="269"/>
    </row>
    <row r="1051" spans="1:31" ht="57.75" thickBot="1">
      <c r="A1051" s="393"/>
      <c r="B1051" s="414"/>
      <c r="C1051" s="414" t="s">
        <v>197</v>
      </c>
      <c r="D1051" s="415">
        <f t="shared" ref="D1051:P1051" si="345">IF(((D1049="")*AND(D1050="")),"",(D1049-D1050)*2)</f>
        <v>5373.8</v>
      </c>
      <c r="E1051" s="415">
        <f t="shared" si="345"/>
        <v>5403.62</v>
      </c>
      <c r="F1051" s="415">
        <f t="shared" si="345"/>
        <v>5358.62</v>
      </c>
      <c r="G1051" s="415">
        <f t="shared" si="345"/>
        <v>5429.24</v>
      </c>
      <c r="H1051" s="415">
        <f t="shared" si="345"/>
        <v>5417.82</v>
      </c>
      <c r="I1051" s="415">
        <f t="shared" si="345"/>
        <v>5461.6799999999994</v>
      </c>
      <c r="J1051" s="415">
        <f t="shared" si="345"/>
        <v>5429.24</v>
      </c>
      <c r="K1051" s="415">
        <f t="shared" si="345"/>
        <v>5452.1400000000012</v>
      </c>
      <c r="L1051" s="415">
        <f t="shared" si="345"/>
        <v>5363.9600000000009</v>
      </c>
      <c r="M1051" s="415">
        <f t="shared" si="345"/>
        <v>5438.82</v>
      </c>
      <c r="N1051" s="415">
        <f t="shared" si="345"/>
        <v>5422.02</v>
      </c>
      <c r="O1051" s="415">
        <f t="shared" si="345"/>
        <v>5395.0399999999991</v>
      </c>
      <c r="P1051" s="415">
        <f t="shared" si="345"/>
        <v>5417.26</v>
      </c>
      <c r="Q1051" s="414"/>
      <c r="R1051" s="414"/>
      <c r="S1051" s="414"/>
      <c r="T1051" s="414"/>
      <c r="U1051" s="414"/>
      <c r="V1051" s="416"/>
      <c r="W1051" s="414"/>
      <c r="X1051" s="417"/>
      <c r="Y1051" s="268"/>
      <c r="Z1051" s="267"/>
      <c r="AA1051" s="267"/>
      <c r="AB1051" s="267"/>
      <c r="AC1051" s="267"/>
      <c r="AD1051" s="268"/>
      <c r="AE1051" s="269"/>
    </row>
    <row r="1052" spans="1:31" ht="15">
      <c r="A1052" s="344">
        <v>43843</v>
      </c>
      <c r="B1052" s="395" t="s">
        <v>202</v>
      </c>
      <c r="C1052" s="396" t="s">
        <v>199</v>
      </c>
      <c r="D1052" s="306">
        <v>6195.32</v>
      </c>
      <c r="E1052" s="306">
        <v>6203.63</v>
      </c>
      <c r="F1052" s="306">
        <v>6241.55</v>
      </c>
      <c r="G1052" s="306">
        <v>6193.11</v>
      </c>
      <c r="H1052" s="306">
        <v>6194.29</v>
      </c>
      <c r="I1052" s="306">
        <v>6142.76</v>
      </c>
      <c r="J1052" s="306">
        <v>6206.49</v>
      </c>
      <c r="K1052" s="306">
        <v>6224.83</v>
      </c>
      <c r="L1052" s="306">
        <v>6183.23</v>
      </c>
      <c r="M1052" s="398"/>
      <c r="N1052" s="398"/>
      <c r="O1052" s="398"/>
      <c r="P1052" s="398"/>
      <c r="Q1052" s="395">
        <f>IF((L1053=""),"",MAX(D1054:L1054))</f>
        <v>7382.2800000000007</v>
      </c>
      <c r="R1052" s="395">
        <f>IF(L1053="","",MIN(D1054:L1054))</f>
        <v>6649.5299999999988</v>
      </c>
      <c r="S1052" s="399">
        <f>IF((L1054=""),"",AVERAGE(D1054:L1054))</f>
        <v>6913.24</v>
      </c>
      <c r="T1052" s="400">
        <f>IF((L1053=""),"",(Q1052-R1052)/(Q1052+R1052)*100)</f>
        <v>5.2220632976073782</v>
      </c>
      <c r="U1052" s="395">
        <f>STDEV(D1054:P1054)</f>
        <v>298.11842822946568</v>
      </c>
      <c r="V1052" s="401" t="str">
        <f>IF(L1053="","",IF(T1052&lt;9.8,IF(S1052&gt;5100,IF(S1052&lt;8300,"Pass","Fail"),"Fail"),"Fail"))</f>
        <v>Pass</v>
      </c>
      <c r="W1052" s="395">
        <v>1159</v>
      </c>
      <c r="X1052" s="402" t="s">
        <v>452</v>
      </c>
      <c r="Y1052" s="268"/>
      <c r="Z1052" s="267">
        <v>4955</v>
      </c>
      <c r="AA1052" s="267">
        <v>9645</v>
      </c>
      <c r="AB1052" s="267">
        <v>5100</v>
      </c>
      <c r="AC1052" s="267">
        <v>8300</v>
      </c>
      <c r="AD1052" s="305">
        <v>10</v>
      </c>
      <c r="AE1052" s="305">
        <v>9.8000000000000007</v>
      </c>
    </row>
    <row r="1053" spans="1:31" ht="15">
      <c r="A1053" s="390"/>
      <c r="B1053" s="404"/>
      <c r="C1053" s="405" t="s">
        <v>198</v>
      </c>
      <c r="D1053" s="306">
        <v>3785.25</v>
      </c>
      <c r="E1053" s="306">
        <v>3980.83</v>
      </c>
      <c r="F1053" s="306">
        <v>4006.6</v>
      </c>
      <c r="G1053" s="306">
        <v>3971.03</v>
      </c>
      <c r="H1053" s="306">
        <v>3789.7</v>
      </c>
      <c r="I1053" s="306">
        <v>3682</v>
      </c>
      <c r="J1053" s="306">
        <v>3979.65</v>
      </c>
      <c r="K1053" s="306">
        <v>4008.32</v>
      </c>
      <c r="L1053" s="306">
        <v>3842.11</v>
      </c>
      <c r="M1053" s="406"/>
      <c r="N1053" s="406"/>
      <c r="O1053" s="406"/>
      <c r="P1053" s="406"/>
      <c r="Q1053" s="404"/>
      <c r="R1053" s="404"/>
      <c r="S1053" s="404"/>
      <c r="T1053" s="404"/>
      <c r="U1053" s="404"/>
      <c r="V1053" s="407"/>
      <c r="W1053" s="404"/>
      <c r="X1053" s="408"/>
      <c r="Y1053" s="268"/>
      <c r="Z1053" s="267"/>
      <c r="AA1053" s="267"/>
      <c r="AB1053" s="267"/>
      <c r="AC1053" s="267"/>
      <c r="AD1053" s="268"/>
      <c r="AE1053" s="269"/>
    </row>
    <row r="1054" spans="1:31" ht="57.75" thickBot="1">
      <c r="A1054" s="390"/>
      <c r="B1054" s="404"/>
      <c r="C1054" s="409" t="s">
        <v>197</v>
      </c>
      <c r="D1054" s="410">
        <f t="shared" ref="D1054:L1054" si="346">IF(((D1052="")*AND(D1053="")),"",(D1052-D1053)*3)</f>
        <v>7230.2099999999991</v>
      </c>
      <c r="E1054" s="410">
        <f t="shared" si="346"/>
        <v>6668.4000000000005</v>
      </c>
      <c r="F1054" s="410">
        <f t="shared" si="346"/>
        <v>6704.85</v>
      </c>
      <c r="G1054" s="410">
        <f t="shared" si="346"/>
        <v>6666.239999999998</v>
      </c>
      <c r="H1054" s="410">
        <f t="shared" si="346"/>
        <v>7213.77</v>
      </c>
      <c r="I1054" s="410">
        <f t="shared" si="346"/>
        <v>7382.2800000000007</v>
      </c>
      <c r="J1054" s="410">
        <f t="shared" si="346"/>
        <v>6680.5199999999986</v>
      </c>
      <c r="K1054" s="410">
        <f t="shared" si="346"/>
        <v>6649.5299999999988</v>
      </c>
      <c r="L1054" s="410">
        <f t="shared" si="346"/>
        <v>7023.3599999999988</v>
      </c>
      <c r="M1054" s="410"/>
      <c r="N1054" s="410"/>
      <c r="O1054" s="410"/>
      <c r="P1054" s="410" t="str">
        <f>IF(((P1052="")*AND(P1053="")),"",(P1052-P1053)*2)</f>
        <v/>
      </c>
      <c r="Q1054" s="404"/>
      <c r="R1054" s="404"/>
      <c r="S1054" s="404"/>
      <c r="T1054" s="404"/>
      <c r="U1054" s="404"/>
      <c r="V1054" s="407"/>
      <c r="W1054" s="404"/>
      <c r="X1054" s="417"/>
      <c r="Y1054" s="268"/>
      <c r="Z1054" s="267"/>
      <c r="AA1054" s="267"/>
      <c r="AB1054" s="267"/>
      <c r="AC1054" s="267"/>
      <c r="AD1054" s="268"/>
      <c r="AE1054" s="269"/>
    </row>
    <row r="1055" spans="1:31" ht="15">
      <c r="A1055" s="344">
        <v>43843</v>
      </c>
      <c r="B1055" s="409" t="s">
        <v>200</v>
      </c>
      <c r="C1055" s="409" t="s">
        <v>199</v>
      </c>
      <c r="D1055" s="306">
        <v>6699.73</v>
      </c>
      <c r="E1055" s="306">
        <v>6768.07</v>
      </c>
      <c r="F1055" s="306">
        <v>6702.91</v>
      </c>
      <c r="G1055" s="306">
        <v>6770.14</v>
      </c>
      <c r="H1055" s="306">
        <v>6714.2</v>
      </c>
      <c r="I1055" s="306">
        <v>6732.91</v>
      </c>
      <c r="J1055" s="306">
        <v>6843.61</v>
      </c>
      <c r="K1055" s="306">
        <v>6859.34</v>
      </c>
      <c r="L1055" s="306">
        <v>6785.09</v>
      </c>
      <c r="M1055" s="306">
        <v>6863.82</v>
      </c>
      <c r="N1055" s="306">
        <v>6852.68</v>
      </c>
      <c r="O1055" s="306">
        <v>6814.45</v>
      </c>
      <c r="P1055" s="306">
        <v>6808.62</v>
      </c>
      <c r="Q1055" s="409">
        <f>IF((L1056=""),"",MAX(D1057:P1057))</f>
        <v>5469.62</v>
      </c>
      <c r="R1055" s="409">
        <f>IF(L1056="","",MIN(D1057:L1057))</f>
        <v>5362.7999999999993</v>
      </c>
      <c r="S1055" s="400">
        <f>IF((P1057=""),"",AVERAGE(D1057:P1057))</f>
        <v>5418.1984615384608</v>
      </c>
      <c r="T1055" s="412">
        <f>IF((L1056=""),"",(Q1055-R1055)/(Q1055+R1055)*100)</f>
        <v>0.98611390621856088</v>
      </c>
      <c r="U1055" s="409">
        <f>STDEV(D1057:P1057)</f>
        <v>32.973226979463711</v>
      </c>
      <c r="V1055" s="413" t="str">
        <f>IF(P1056="","",IF(T1055&lt;2.7,IF(S1055&gt;5150,IF(S1055&lt;5600,"Pass","Fail"),"Fail"),"Fail"))</f>
        <v>Pass</v>
      </c>
      <c r="W1055" s="409">
        <v>1159</v>
      </c>
      <c r="X1055" s="402" t="s">
        <v>452</v>
      </c>
      <c r="Y1055" s="268"/>
      <c r="Z1055" s="321">
        <v>4470</v>
      </c>
      <c r="AA1055" s="321">
        <v>6020</v>
      </c>
      <c r="AB1055" s="321">
        <v>5150</v>
      </c>
      <c r="AC1055" s="321">
        <v>5600</v>
      </c>
      <c r="AD1055" s="305">
        <v>10</v>
      </c>
      <c r="AE1055" s="322">
        <v>2.7</v>
      </c>
    </row>
    <row r="1056" spans="1:31" ht="15">
      <c r="A1056" s="390"/>
      <c r="B1056" s="404"/>
      <c r="C1056" s="404" t="s">
        <v>198</v>
      </c>
      <c r="D1056" s="306">
        <v>4009.19</v>
      </c>
      <c r="E1056" s="306">
        <v>4062.13</v>
      </c>
      <c r="F1056" s="306">
        <v>4021.51</v>
      </c>
      <c r="G1056" s="306">
        <v>4054.85</v>
      </c>
      <c r="H1056" s="306">
        <v>3998.84</v>
      </c>
      <c r="I1056" s="306">
        <v>3998.1</v>
      </c>
      <c r="J1056" s="306">
        <v>4129.1899999999996</v>
      </c>
      <c r="K1056" s="306">
        <v>4129.38</v>
      </c>
      <c r="L1056" s="306">
        <v>4101.13</v>
      </c>
      <c r="M1056" s="306">
        <v>4143.6000000000004</v>
      </c>
      <c r="N1056" s="306">
        <v>4135.6099999999997</v>
      </c>
      <c r="O1056" s="306">
        <v>4116.09</v>
      </c>
      <c r="P1056" s="306">
        <v>4097.66</v>
      </c>
      <c r="Q1056" s="404"/>
      <c r="R1056" s="404"/>
      <c r="S1056" s="404"/>
      <c r="T1056" s="404"/>
      <c r="U1056" s="404"/>
      <c r="V1056" s="407"/>
      <c r="W1056" s="404"/>
      <c r="X1056" s="408"/>
      <c r="Y1056" s="268"/>
      <c r="Z1056" s="267"/>
      <c r="AA1056" s="267"/>
      <c r="AB1056" s="267"/>
      <c r="AC1056" s="267"/>
      <c r="AD1056" s="268"/>
      <c r="AE1056" s="269"/>
    </row>
    <row r="1057" spans="1:31" ht="57.75" thickBot="1">
      <c r="A1057" s="393"/>
      <c r="B1057" s="414"/>
      <c r="C1057" s="414" t="s">
        <v>197</v>
      </c>
      <c r="D1057" s="415">
        <f t="shared" ref="D1057:P1057" si="347">IF(((D1055="")*AND(D1056="")),"",(D1055-D1056)*2)</f>
        <v>5381.079999999999</v>
      </c>
      <c r="E1057" s="415">
        <f t="shared" si="347"/>
        <v>5411.8799999999992</v>
      </c>
      <c r="F1057" s="415">
        <f t="shared" si="347"/>
        <v>5362.7999999999993</v>
      </c>
      <c r="G1057" s="415">
        <f t="shared" si="347"/>
        <v>5430.5800000000008</v>
      </c>
      <c r="H1057" s="415">
        <f t="shared" si="347"/>
        <v>5430.7199999999993</v>
      </c>
      <c r="I1057" s="415">
        <f t="shared" si="347"/>
        <v>5469.62</v>
      </c>
      <c r="J1057" s="415">
        <f t="shared" si="347"/>
        <v>5428.84</v>
      </c>
      <c r="K1057" s="415">
        <f t="shared" si="347"/>
        <v>5459.92</v>
      </c>
      <c r="L1057" s="415">
        <f t="shared" si="347"/>
        <v>5367.92</v>
      </c>
      <c r="M1057" s="415">
        <f t="shared" si="347"/>
        <v>5440.4399999999987</v>
      </c>
      <c r="N1057" s="415">
        <f t="shared" si="347"/>
        <v>5434.1400000000012</v>
      </c>
      <c r="O1057" s="415">
        <f t="shared" si="347"/>
        <v>5396.7199999999993</v>
      </c>
      <c r="P1057" s="415">
        <f t="shared" si="347"/>
        <v>5421.92</v>
      </c>
      <c r="Q1057" s="414"/>
      <c r="R1057" s="414"/>
      <c r="S1057" s="414"/>
      <c r="T1057" s="414"/>
      <c r="U1057" s="414"/>
      <c r="V1057" s="416"/>
      <c r="W1057" s="414"/>
      <c r="X1057" s="417"/>
      <c r="Y1057" s="268"/>
      <c r="Z1057" s="267"/>
      <c r="AA1057" s="267"/>
      <c r="AB1057" s="267"/>
      <c r="AC1057" s="267"/>
      <c r="AD1057" s="268"/>
      <c r="AE1057" s="269"/>
    </row>
    <row r="1058" spans="1:31" ht="15">
      <c r="A1058" s="344">
        <v>43847</v>
      </c>
      <c r="B1058" s="395" t="s">
        <v>202</v>
      </c>
      <c r="C1058" s="396" t="s">
        <v>199</v>
      </c>
      <c r="D1058" s="306">
        <v>6195.32</v>
      </c>
      <c r="E1058" s="306">
        <v>6203.63</v>
      </c>
      <c r="F1058" s="306">
        <v>6241.55</v>
      </c>
      <c r="G1058" s="306">
        <v>6193.11</v>
      </c>
      <c r="H1058" s="306">
        <v>6194.29</v>
      </c>
      <c r="I1058" s="306">
        <v>6142.76</v>
      </c>
      <c r="J1058" s="306">
        <v>6206.49</v>
      </c>
      <c r="K1058" s="306">
        <v>6224.83</v>
      </c>
      <c r="L1058" s="306">
        <v>6183.23</v>
      </c>
      <c r="M1058" s="398"/>
      <c r="N1058" s="398"/>
      <c r="O1058" s="398"/>
      <c r="P1058" s="398"/>
      <c r="Q1058" s="395">
        <f>IF((L1059=""),"",MAX(D1060:L1060))</f>
        <v>7303.6200000000008</v>
      </c>
      <c r="R1058" s="395">
        <f>IF(L1059="","",MIN(D1060:L1060))</f>
        <v>6583.619999999999</v>
      </c>
      <c r="S1058" s="399">
        <f>IF((L1060=""),"",AVERAGE(D1060:L1060))</f>
        <v>6802.7799999999988</v>
      </c>
      <c r="T1058" s="400">
        <f>IF((L1059=""),"",(Q1058-R1058)/(Q1058+R1058)*100)</f>
        <v>5.1846155175542572</v>
      </c>
      <c r="U1058" s="395">
        <f>STDEV(D1060:P1060)</f>
        <v>255.36662761607775</v>
      </c>
      <c r="V1058" s="401" t="str">
        <f>IF(L1059="","",IF(T1058&lt;9.8,IF(S1058&gt;5100,IF(S1058&lt;8300,"Pass","Fail"),"Fail"),"Fail"))</f>
        <v>Pass</v>
      </c>
      <c r="W1058" s="395"/>
      <c r="X1058" s="402" t="s">
        <v>453</v>
      </c>
      <c r="Y1058" s="268"/>
      <c r="Z1058" s="267">
        <v>4955</v>
      </c>
      <c r="AA1058" s="267">
        <v>9645</v>
      </c>
      <c r="AB1058" s="267">
        <v>5100</v>
      </c>
      <c r="AC1058" s="267">
        <v>8300</v>
      </c>
      <c r="AD1058" s="305">
        <v>10</v>
      </c>
      <c r="AE1058" s="305">
        <v>9.8000000000000007</v>
      </c>
    </row>
    <row r="1059" spans="1:31" ht="15">
      <c r="A1059" s="390"/>
      <c r="B1059" s="404"/>
      <c r="C1059" s="405" t="s">
        <v>198</v>
      </c>
      <c r="D1059" s="418">
        <v>3864.16</v>
      </c>
      <c r="E1059" s="418">
        <v>4002.91</v>
      </c>
      <c r="F1059" s="418">
        <v>4032.6</v>
      </c>
      <c r="G1059" s="418">
        <v>3998.57</v>
      </c>
      <c r="H1059" s="418">
        <v>3868.33</v>
      </c>
      <c r="I1059" s="418">
        <v>3708.22</v>
      </c>
      <c r="J1059" s="418">
        <v>3999.9</v>
      </c>
      <c r="K1059" s="418">
        <v>4023.12</v>
      </c>
      <c r="L1059" s="418">
        <v>3879.06</v>
      </c>
      <c r="M1059" s="406"/>
      <c r="N1059" s="406"/>
      <c r="O1059" s="406"/>
      <c r="P1059" s="406"/>
      <c r="Q1059" s="404"/>
      <c r="R1059" s="404"/>
      <c r="S1059" s="404"/>
      <c r="T1059" s="404"/>
      <c r="U1059" s="404"/>
      <c r="V1059" s="407"/>
      <c r="W1059" s="404"/>
      <c r="X1059" s="408"/>
      <c r="Y1059" s="268"/>
      <c r="Z1059" s="267"/>
      <c r="AA1059" s="267"/>
      <c r="AB1059" s="267"/>
      <c r="AC1059" s="267"/>
      <c r="AD1059" s="268"/>
      <c r="AE1059" s="269"/>
    </row>
    <row r="1060" spans="1:31" ht="57.75" thickBot="1">
      <c r="A1060" s="390"/>
      <c r="B1060" s="404"/>
      <c r="C1060" s="409" t="s">
        <v>197</v>
      </c>
      <c r="D1060" s="410">
        <f t="shared" ref="D1060:L1060" si="348">IF(((D1058="")*AND(D1059="")),"",(D1058-D1059)*3)</f>
        <v>6993.48</v>
      </c>
      <c r="E1060" s="410">
        <f t="shared" si="348"/>
        <v>6602.1600000000008</v>
      </c>
      <c r="F1060" s="410">
        <f t="shared" si="348"/>
        <v>6626.85</v>
      </c>
      <c r="G1060" s="410">
        <f t="shared" si="348"/>
        <v>6583.619999999999</v>
      </c>
      <c r="H1060" s="410">
        <f t="shared" si="348"/>
        <v>6977.88</v>
      </c>
      <c r="I1060" s="410">
        <f t="shared" si="348"/>
        <v>7303.6200000000008</v>
      </c>
      <c r="J1060" s="410">
        <f t="shared" si="348"/>
        <v>6619.7699999999986</v>
      </c>
      <c r="K1060" s="410">
        <f t="shared" si="348"/>
        <v>6605.13</v>
      </c>
      <c r="L1060" s="410">
        <f t="shared" si="348"/>
        <v>6912.5099999999984</v>
      </c>
      <c r="M1060" s="410"/>
      <c r="N1060" s="410"/>
      <c r="O1060" s="410"/>
      <c r="P1060" s="410" t="str">
        <f>IF(((P1058="")*AND(P1059="")),"",(P1058-P1059)*2)</f>
        <v/>
      </c>
      <c r="Q1060" s="404"/>
      <c r="R1060" s="404"/>
      <c r="S1060" s="404"/>
      <c r="T1060" s="404"/>
      <c r="U1060" s="404"/>
      <c r="V1060" s="407"/>
      <c r="W1060" s="404"/>
      <c r="X1060" s="417"/>
      <c r="Y1060" s="268"/>
      <c r="Z1060" s="267"/>
      <c r="AA1060" s="267"/>
      <c r="AB1060" s="267"/>
      <c r="AC1060" s="267"/>
      <c r="AD1060" s="268"/>
      <c r="AE1060" s="269"/>
    </row>
    <row r="1061" spans="1:31" ht="15">
      <c r="A1061" s="344">
        <v>43847</v>
      </c>
      <c r="B1061" s="409" t="s">
        <v>200</v>
      </c>
      <c r="C1061" s="409" t="s">
        <v>199</v>
      </c>
      <c r="D1061" s="418">
        <v>6725.16</v>
      </c>
      <c r="E1061" s="418">
        <v>6766.87</v>
      </c>
      <c r="F1061" s="418">
        <v>6708.95</v>
      </c>
      <c r="G1061" s="418">
        <v>6757.63</v>
      </c>
      <c r="H1061" s="418">
        <v>6737.54</v>
      </c>
      <c r="I1061" s="418">
        <v>6750.07</v>
      </c>
      <c r="J1061" s="418">
        <v>6827.51</v>
      </c>
      <c r="K1061" s="418">
        <v>6848.64</v>
      </c>
      <c r="L1061" s="418">
        <v>6779.24</v>
      </c>
      <c r="M1061" s="418">
        <v>6890.43</v>
      </c>
      <c r="N1061" s="418">
        <v>6854.94</v>
      </c>
      <c r="O1061" s="418">
        <v>6830.25</v>
      </c>
      <c r="P1061" s="418">
        <v>6802.03</v>
      </c>
      <c r="Q1061" s="409">
        <f>IF((L1062=""),"",MAX(D1063:P1063))</f>
        <v>5530.42</v>
      </c>
      <c r="R1061" s="409">
        <f>IF(L1062="","",MIN(D1063:L1063))</f>
        <v>5426.9599999999991</v>
      </c>
      <c r="S1061" s="400">
        <f>IF((P1063=""),"",AVERAGE(D1063:P1063))</f>
        <v>5483.6676923076921</v>
      </c>
      <c r="T1061" s="412">
        <f>IF((L1062=""),"",(Q1061-R1061)/(Q1061+R1061)*100)</f>
        <v>0.94420381514560003</v>
      </c>
      <c r="U1061" s="409">
        <f>STDEV(D1063:P1063)</f>
        <v>30.911821404949137</v>
      </c>
      <c r="V1061" s="413" t="str">
        <f>IF(P1062="","",IF(T1061&lt;2.7,IF(S1061&gt;5150,IF(S1061&lt;5600,"Pass","Fail"),"Fail"),"Fail"))</f>
        <v>Pass</v>
      </c>
      <c r="W1061" s="409"/>
      <c r="X1061" s="402" t="s">
        <v>453</v>
      </c>
      <c r="Y1061" s="268"/>
      <c r="Z1061" s="321">
        <v>4470</v>
      </c>
      <c r="AA1061" s="321">
        <v>6020</v>
      </c>
      <c r="AB1061" s="321">
        <v>5150</v>
      </c>
      <c r="AC1061" s="321">
        <v>5600</v>
      </c>
      <c r="AD1061" s="305">
        <v>10</v>
      </c>
      <c r="AE1061" s="322">
        <v>2.7</v>
      </c>
    </row>
    <row r="1062" spans="1:31" ht="15">
      <c r="A1062" s="390"/>
      <c r="B1062" s="404"/>
      <c r="C1062" s="404" t="s">
        <v>198</v>
      </c>
      <c r="D1062" s="418">
        <v>3990.9</v>
      </c>
      <c r="E1062" s="418">
        <v>4016.43</v>
      </c>
      <c r="F1062" s="418">
        <v>3988.3</v>
      </c>
      <c r="G1062" s="418">
        <v>4011.06</v>
      </c>
      <c r="H1062" s="418">
        <v>3972.33</v>
      </c>
      <c r="I1062" s="418">
        <v>3988.59</v>
      </c>
      <c r="J1062" s="418">
        <v>4076.21</v>
      </c>
      <c r="K1062" s="418">
        <v>4110.3500000000004</v>
      </c>
      <c r="L1062" s="418">
        <v>4065.76</v>
      </c>
      <c r="M1062" s="418">
        <v>4145.0200000000004</v>
      </c>
      <c r="N1062" s="418">
        <v>4103.66</v>
      </c>
      <c r="O1062" s="418">
        <v>4106.3999999999996</v>
      </c>
      <c r="P1062" s="418">
        <v>4060.41</v>
      </c>
      <c r="Q1062" s="404"/>
      <c r="R1062" s="404"/>
      <c r="S1062" s="404"/>
      <c r="T1062" s="404"/>
      <c r="U1062" s="404"/>
      <c r="V1062" s="407"/>
      <c r="W1062" s="404"/>
      <c r="X1062" s="408"/>
      <c r="Y1062" s="268"/>
      <c r="Z1062" s="267"/>
      <c r="AA1062" s="267"/>
      <c r="AB1062" s="267"/>
      <c r="AC1062" s="267"/>
      <c r="AD1062" s="268"/>
      <c r="AE1062" s="269"/>
    </row>
    <row r="1063" spans="1:31" ht="57.75" thickBot="1">
      <c r="A1063" s="393"/>
      <c r="B1063" s="414"/>
      <c r="C1063" s="414" t="s">
        <v>197</v>
      </c>
      <c r="D1063" s="415">
        <f t="shared" ref="D1063:P1063" si="349">IF(((D1061="")*AND(D1062="")),"",(D1061-D1062)*2)</f>
        <v>5468.5199999999995</v>
      </c>
      <c r="E1063" s="415">
        <f t="shared" si="349"/>
        <v>5500.88</v>
      </c>
      <c r="F1063" s="415">
        <f t="shared" si="349"/>
        <v>5441.2999999999993</v>
      </c>
      <c r="G1063" s="415">
        <f t="shared" si="349"/>
        <v>5493.14</v>
      </c>
      <c r="H1063" s="415">
        <f t="shared" si="349"/>
        <v>5530.42</v>
      </c>
      <c r="I1063" s="415">
        <f t="shared" si="349"/>
        <v>5522.9599999999991</v>
      </c>
      <c r="J1063" s="415">
        <f t="shared" si="349"/>
        <v>5502.6</v>
      </c>
      <c r="K1063" s="415">
        <f t="shared" si="349"/>
        <v>5476.58</v>
      </c>
      <c r="L1063" s="415">
        <f t="shared" si="349"/>
        <v>5426.9599999999991</v>
      </c>
      <c r="M1063" s="415">
        <f t="shared" si="349"/>
        <v>5490.82</v>
      </c>
      <c r="N1063" s="415">
        <f t="shared" si="349"/>
        <v>5502.5599999999995</v>
      </c>
      <c r="O1063" s="415">
        <f t="shared" si="349"/>
        <v>5447.7000000000007</v>
      </c>
      <c r="P1063" s="415">
        <f t="shared" si="349"/>
        <v>5483.24</v>
      </c>
      <c r="Q1063" s="414"/>
      <c r="R1063" s="414"/>
      <c r="S1063" s="414"/>
      <c r="T1063" s="414"/>
      <c r="U1063" s="414"/>
      <c r="V1063" s="416"/>
      <c r="W1063" s="414"/>
      <c r="X1063" s="417"/>
      <c r="Y1063" s="268"/>
      <c r="Z1063" s="267"/>
      <c r="AA1063" s="267"/>
      <c r="AB1063" s="267"/>
      <c r="AC1063" s="267"/>
      <c r="AD1063" s="268"/>
      <c r="AE1063" s="269"/>
    </row>
    <row r="1064" spans="1:31" ht="15">
      <c r="A1064" s="344">
        <v>43859</v>
      </c>
      <c r="B1064" s="395" t="s">
        <v>202</v>
      </c>
      <c r="C1064" s="396" t="s">
        <v>199</v>
      </c>
      <c r="D1064" s="306">
        <v>3839.38</v>
      </c>
      <c r="E1064" s="306">
        <v>4006.27</v>
      </c>
      <c r="F1064" s="306">
        <v>4045.11</v>
      </c>
      <c r="G1064" s="306">
        <v>4000.59</v>
      </c>
      <c r="H1064" s="306">
        <v>3843.43</v>
      </c>
      <c r="I1064" s="306">
        <v>3677.72</v>
      </c>
      <c r="J1064" s="306">
        <v>3999.21</v>
      </c>
      <c r="K1064" s="306">
        <v>4032.1</v>
      </c>
      <c r="L1064" s="306">
        <v>3858.04</v>
      </c>
      <c r="M1064" s="398"/>
      <c r="N1064" s="398"/>
      <c r="O1064" s="398"/>
      <c r="P1064" s="398"/>
      <c r="Q1064" s="395">
        <f>IF((L1065=""),"",MAX(D1066:L1066))</f>
        <v>6907.83</v>
      </c>
      <c r="R1064" s="395">
        <f>IF(L1065="","",MIN(D1066:L1066))</f>
        <v>6328.079999999999</v>
      </c>
      <c r="S1064" s="399">
        <f>IF((L1066=""),"",AVERAGE(D1066:L1066))</f>
        <v>6584.0299999999988</v>
      </c>
      <c r="T1064" s="400">
        <f>IF((L1065=""),"",(Q1064-R1064)/(Q1064+R1064)*100)</f>
        <v>4.3801295113067473</v>
      </c>
      <c r="U1064" s="395">
        <f>STDEV(D1066:P1066)</f>
        <v>254.7679547156709</v>
      </c>
      <c r="V1064" s="401" t="str">
        <f>IF(L1065="","",IF(T1064&lt;9.8,IF(S1064&gt;5100,IF(S1064&lt;8300,"Pass","Fail"),"Fail"),"Fail"))</f>
        <v>Pass</v>
      </c>
      <c r="W1064" s="395" t="s">
        <v>454</v>
      </c>
      <c r="X1064" s="402" t="s">
        <v>456</v>
      </c>
      <c r="Y1064" s="268"/>
      <c r="Z1064" s="267">
        <v>4955</v>
      </c>
      <c r="AA1064" s="267">
        <v>9645</v>
      </c>
      <c r="AB1064" s="267">
        <v>5100</v>
      </c>
      <c r="AC1064" s="267">
        <v>8300</v>
      </c>
      <c r="AD1064" s="305">
        <v>10</v>
      </c>
      <c r="AE1064" s="305">
        <v>9.8000000000000007</v>
      </c>
    </row>
    <row r="1065" spans="1:31" ht="15">
      <c r="A1065" s="390"/>
      <c r="B1065" s="404"/>
      <c r="C1065" s="405" t="s">
        <v>198</v>
      </c>
      <c r="D1065" s="306">
        <v>1536.77</v>
      </c>
      <c r="E1065" s="306">
        <v>1896.91</v>
      </c>
      <c r="F1065" s="306">
        <v>1916.7</v>
      </c>
      <c r="G1065" s="306">
        <v>1868.24</v>
      </c>
      <c r="H1065" s="306">
        <v>1541.29</v>
      </c>
      <c r="I1065" s="306">
        <v>1413.58</v>
      </c>
      <c r="J1065" s="306">
        <v>1876.56</v>
      </c>
      <c r="K1065" s="306">
        <v>1903.7</v>
      </c>
      <c r="L1065" s="306">
        <v>1596.01</v>
      </c>
      <c r="M1065" s="406"/>
      <c r="N1065" s="406"/>
      <c r="O1065" s="406"/>
      <c r="P1065" s="406"/>
      <c r="Q1065" s="404"/>
      <c r="R1065" s="404"/>
      <c r="S1065" s="404"/>
      <c r="T1065" s="404"/>
      <c r="U1065" s="404"/>
      <c r="V1065" s="407"/>
      <c r="W1065" s="404"/>
      <c r="X1065" s="408"/>
      <c r="Y1065" s="268"/>
      <c r="Z1065" s="267"/>
      <c r="AA1065" s="267"/>
      <c r="AB1065" s="267"/>
      <c r="AC1065" s="267"/>
      <c r="AD1065" s="268"/>
      <c r="AE1065" s="269"/>
    </row>
    <row r="1066" spans="1:31" ht="57.75" thickBot="1">
      <c r="A1066" s="390"/>
      <c r="B1066" s="404"/>
      <c r="C1066" s="409" t="s">
        <v>197</v>
      </c>
      <c r="D1066" s="410">
        <f t="shared" ref="D1066:L1066" si="350">IF(((D1064="")*AND(D1065="")),"",(D1064-D1065)*3)</f>
        <v>6907.83</v>
      </c>
      <c r="E1066" s="410">
        <f t="shared" si="350"/>
        <v>6328.079999999999</v>
      </c>
      <c r="F1066" s="410">
        <f t="shared" si="350"/>
        <v>6385.23</v>
      </c>
      <c r="G1066" s="410">
        <f t="shared" si="350"/>
        <v>6397.0500000000011</v>
      </c>
      <c r="H1066" s="410">
        <f t="shared" si="350"/>
        <v>6906.42</v>
      </c>
      <c r="I1066" s="410">
        <f t="shared" si="350"/>
        <v>6792.42</v>
      </c>
      <c r="J1066" s="410">
        <f t="shared" si="350"/>
        <v>6367.9500000000007</v>
      </c>
      <c r="K1066" s="410">
        <f t="shared" si="350"/>
        <v>6385.1999999999989</v>
      </c>
      <c r="L1066" s="410">
        <f t="shared" si="350"/>
        <v>6786.0899999999992</v>
      </c>
      <c r="M1066" s="410"/>
      <c r="N1066" s="410"/>
      <c r="O1066" s="410"/>
      <c r="P1066" s="410" t="str">
        <f>IF(((P1064="")*AND(P1065="")),"",(P1064-P1065)*2)</f>
        <v/>
      </c>
      <c r="Q1066" s="404"/>
      <c r="R1066" s="404"/>
      <c r="S1066" s="404"/>
      <c r="T1066" s="404"/>
      <c r="U1066" s="404"/>
      <c r="V1066" s="407"/>
      <c r="W1066" s="404"/>
      <c r="X1066" s="417"/>
      <c r="Y1066" s="268"/>
      <c r="Z1066" s="267"/>
      <c r="AA1066" s="267"/>
      <c r="AB1066" s="267"/>
      <c r="AC1066" s="267"/>
      <c r="AD1066" s="268"/>
      <c r="AE1066" s="269"/>
    </row>
    <row r="1067" spans="1:31" ht="15">
      <c r="A1067" s="344">
        <v>43859</v>
      </c>
      <c r="B1067" s="409" t="s">
        <v>200</v>
      </c>
      <c r="C1067" s="409" t="s">
        <v>199</v>
      </c>
      <c r="D1067" s="306">
        <v>4021.11</v>
      </c>
      <c r="E1067" s="306">
        <v>4072.27</v>
      </c>
      <c r="F1067" s="306">
        <v>4043.11</v>
      </c>
      <c r="G1067" s="306">
        <v>4085.97</v>
      </c>
      <c r="H1067" s="306">
        <v>4008.05</v>
      </c>
      <c r="I1067" s="306">
        <v>4022.56</v>
      </c>
      <c r="J1067" s="306">
        <v>4163.62</v>
      </c>
      <c r="K1067" s="306">
        <v>4165.0200000000004</v>
      </c>
      <c r="L1067" s="306">
        <v>4124.1099999999997</v>
      </c>
      <c r="M1067" s="306">
        <v>4175.3500000000004</v>
      </c>
      <c r="N1067" s="306">
        <v>4148.8100000000004</v>
      </c>
      <c r="O1067" s="306">
        <v>4140.8100000000004</v>
      </c>
      <c r="P1067" s="306">
        <v>4115.66</v>
      </c>
      <c r="Q1067" s="409">
        <f>IF((L1068=""),"",MAX(D1069:P1069))</f>
        <v>5504.7400000000007</v>
      </c>
      <c r="R1067" s="409">
        <f>IF(L1068="","",MIN(D1069:L1069))</f>
        <v>5420.8599999999988</v>
      </c>
      <c r="S1067" s="400">
        <f>IF((P1069=""),"",AVERAGE(D1069:P1069))</f>
        <v>5467.2430769230768</v>
      </c>
      <c r="T1067" s="412">
        <f>IF((L1068=""),"",(Q1067-R1067)/(Q1067+R1067)*100)</f>
        <v>0.76773815625688235</v>
      </c>
      <c r="U1067" s="409">
        <f>STDEV(D1069:P1069)</f>
        <v>25.275111402612119</v>
      </c>
      <c r="V1067" s="413" t="str">
        <f>IF(P1068="","",IF(T1067&lt;2.7,IF(S1067&gt;5150,IF(S1067&lt;5600,"Pass","Fail"),"Fail"),"Fail"))</f>
        <v>Pass</v>
      </c>
      <c r="W1067" s="409" t="s">
        <v>454</v>
      </c>
      <c r="X1067" s="402" t="s">
        <v>456</v>
      </c>
      <c r="Y1067" s="268"/>
      <c r="Z1067" s="321">
        <v>4470</v>
      </c>
      <c r="AA1067" s="321">
        <v>6020</v>
      </c>
      <c r="AB1067" s="321">
        <v>5150</v>
      </c>
      <c r="AC1067" s="321">
        <v>5600</v>
      </c>
      <c r="AD1067" s="305">
        <v>10</v>
      </c>
      <c r="AE1067" s="322">
        <v>2.7</v>
      </c>
    </row>
    <row r="1068" spans="1:31" ht="15">
      <c r="A1068" s="390"/>
      <c r="B1068" s="404"/>
      <c r="C1068" s="404" t="s">
        <v>198</v>
      </c>
      <c r="D1068" s="306">
        <v>1295.31</v>
      </c>
      <c r="E1068" s="306">
        <v>1337.94</v>
      </c>
      <c r="F1068" s="306">
        <v>1330.08</v>
      </c>
      <c r="G1068" s="306">
        <v>1348.93</v>
      </c>
      <c r="H1068" s="306">
        <v>1278.47</v>
      </c>
      <c r="I1068" s="306">
        <v>1274.0899999999999</v>
      </c>
      <c r="J1068" s="306">
        <v>1431.33</v>
      </c>
      <c r="K1068" s="306">
        <v>1412.65</v>
      </c>
      <c r="L1068" s="306">
        <v>1413.68</v>
      </c>
      <c r="M1068" s="306">
        <v>1437.34</v>
      </c>
      <c r="N1068" s="306">
        <v>1403.78</v>
      </c>
      <c r="O1068" s="306">
        <v>1413.7</v>
      </c>
      <c r="P1068" s="306">
        <v>1372.07</v>
      </c>
      <c r="Q1068" s="404"/>
      <c r="R1068" s="404"/>
      <c r="S1068" s="404"/>
      <c r="T1068" s="404"/>
      <c r="U1068" s="404"/>
      <c r="V1068" s="407"/>
      <c r="W1068" s="404"/>
      <c r="X1068" s="408"/>
      <c r="Y1068" s="268"/>
      <c r="Z1068" s="267"/>
      <c r="AA1068" s="267"/>
      <c r="AB1068" s="267"/>
      <c r="AC1068" s="267"/>
      <c r="AD1068" s="268"/>
      <c r="AE1068" s="269"/>
    </row>
    <row r="1069" spans="1:31" ht="57.75" thickBot="1">
      <c r="A1069" s="393"/>
      <c r="B1069" s="414"/>
      <c r="C1069" s="414" t="s">
        <v>197</v>
      </c>
      <c r="D1069" s="415">
        <f t="shared" ref="D1069:P1069" si="351">IF(((D1067="")*AND(D1068="")),"",(D1067-D1068)*2)</f>
        <v>5451.6</v>
      </c>
      <c r="E1069" s="415">
        <f t="shared" si="351"/>
        <v>5468.66</v>
      </c>
      <c r="F1069" s="415">
        <f t="shared" si="351"/>
        <v>5426.06</v>
      </c>
      <c r="G1069" s="415">
        <f t="shared" si="351"/>
        <v>5474.08</v>
      </c>
      <c r="H1069" s="415">
        <f t="shared" si="351"/>
        <v>5459.16</v>
      </c>
      <c r="I1069" s="415">
        <f t="shared" si="351"/>
        <v>5496.9400000000005</v>
      </c>
      <c r="J1069" s="415">
        <f t="shared" si="351"/>
        <v>5464.58</v>
      </c>
      <c r="K1069" s="415">
        <f t="shared" si="351"/>
        <v>5504.7400000000007</v>
      </c>
      <c r="L1069" s="415">
        <f t="shared" si="351"/>
        <v>5420.8599999999988</v>
      </c>
      <c r="M1069" s="415">
        <f t="shared" si="351"/>
        <v>5476.02</v>
      </c>
      <c r="N1069" s="415">
        <f t="shared" si="351"/>
        <v>5490.0600000000013</v>
      </c>
      <c r="O1069" s="415">
        <f t="shared" si="351"/>
        <v>5454.2200000000012</v>
      </c>
      <c r="P1069" s="415">
        <f t="shared" si="351"/>
        <v>5487.18</v>
      </c>
      <c r="Q1069" s="414"/>
      <c r="R1069" s="414"/>
      <c r="S1069" s="414"/>
      <c r="T1069" s="414"/>
      <c r="U1069" s="414"/>
      <c r="V1069" s="416"/>
      <c r="W1069" s="414"/>
      <c r="X1069" s="417"/>
      <c r="Y1069" s="268"/>
      <c r="Z1069" s="267"/>
      <c r="AA1069" s="267"/>
      <c r="AB1069" s="267"/>
      <c r="AC1069" s="267"/>
      <c r="AD1069" s="268"/>
      <c r="AE1069" s="269"/>
    </row>
    <row r="1070" spans="1:31" ht="15">
      <c r="A1070" s="344">
        <v>43864</v>
      </c>
      <c r="B1070" s="395" t="s">
        <v>202</v>
      </c>
      <c r="C1070" s="396" t="s">
        <v>199</v>
      </c>
      <c r="D1070" s="306">
        <v>6111.14</v>
      </c>
      <c r="E1070" s="306">
        <v>6131.79</v>
      </c>
      <c r="F1070" s="306">
        <v>6206.72</v>
      </c>
      <c r="G1070" s="306">
        <v>6116.07</v>
      </c>
      <c r="H1070" s="306">
        <v>6174.97</v>
      </c>
      <c r="I1070" s="306">
        <v>6136.95</v>
      </c>
      <c r="J1070" s="306">
        <v>6134.78</v>
      </c>
      <c r="K1070" s="306">
        <v>6183.4</v>
      </c>
      <c r="L1070" s="306">
        <v>6130.24</v>
      </c>
      <c r="M1070" s="398"/>
      <c r="N1070" s="398"/>
      <c r="O1070" s="398"/>
      <c r="P1070" s="398"/>
      <c r="Q1070" s="395">
        <f>IF((L1071=""),"",MAX(D1072:L1072))</f>
        <v>7255.86</v>
      </c>
      <c r="R1070" s="395">
        <f>IF(L1071="","",MIN(D1072:L1072))</f>
        <v>6386.1299999999992</v>
      </c>
      <c r="S1070" s="399">
        <f>IF((L1072=""),"",AVERAGE(D1072:L1072))</f>
        <v>6722.8933333333334</v>
      </c>
      <c r="T1070" s="400">
        <f>IF((L1071=""),"",(Q1070-R1070)/(Q1070+R1070)*100)</f>
        <v>6.3753895142864101</v>
      </c>
      <c r="U1070" s="395">
        <f>STDEV(D1072:P1072)</f>
        <v>353.1213893620656</v>
      </c>
      <c r="V1070" s="401" t="str">
        <f>IF(L1071="","",IF(T1070&lt;9.8,IF(S1070&gt;5100,IF(S1070&lt;8300,"Pass","Fail"),"Fail"),"Fail"))</f>
        <v>Pass</v>
      </c>
      <c r="W1070" s="395">
        <v>1428</v>
      </c>
      <c r="X1070" s="402" t="s">
        <v>458</v>
      </c>
      <c r="Y1070" s="268"/>
      <c r="Z1070" s="267">
        <v>4955</v>
      </c>
      <c r="AA1070" s="267">
        <v>9645</v>
      </c>
      <c r="AB1070" s="267">
        <v>5100</v>
      </c>
      <c r="AC1070" s="267">
        <v>8300</v>
      </c>
      <c r="AD1070" s="305">
        <v>10</v>
      </c>
      <c r="AE1070" s="305">
        <v>9.8000000000000007</v>
      </c>
    </row>
    <row r="1071" spans="1:31" ht="15">
      <c r="A1071" s="390"/>
      <c r="B1071" s="404"/>
      <c r="C1071" s="405" t="s">
        <v>198</v>
      </c>
      <c r="D1071" s="306">
        <v>3777.77</v>
      </c>
      <c r="E1071" s="306">
        <v>3998.35</v>
      </c>
      <c r="F1071" s="306">
        <v>4021.05</v>
      </c>
      <c r="G1071" s="306">
        <v>3986.27</v>
      </c>
      <c r="H1071" s="306">
        <v>3774.06</v>
      </c>
      <c r="I1071" s="306">
        <v>3718.33</v>
      </c>
      <c r="J1071" s="306">
        <v>4006.07</v>
      </c>
      <c r="K1071" s="306">
        <v>4012.39</v>
      </c>
      <c r="L1071" s="306">
        <v>3863.09</v>
      </c>
      <c r="M1071" s="406"/>
      <c r="N1071" s="406"/>
      <c r="O1071" s="406"/>
      <c r="P1071" s="406"/>
      <c r="Q1071" s="404"/>
      <c r="R1071" s="404"/>
      <c r="S1071" s="404"/>
      <c r="T1071" s="404"/>
      <c r="U1071" s="404"/>
      <c r="V1071" s="407"/>
      <c r="W1071" s="404"/>
      <c r="X1071" s="408"/>
      <c r="Y1071" s="268"/>
      <c r="Z1071" s="267"/>
      <c r="AA1071" s="267"/>
      <c r="AB1071" s="267"/>
      <c r="AC1071" s="267"/>
      <c r="AD1071" s="268"/>
      <c r="AE1071" s="269"/>
    </row>
    <row r="1072" spans="1:31" ht="57.75" thickBot="1">
      <c r="A1072" s="390"/>
      <c r="B1072" s="404"/>
      <c r="C1072" s="409" t="s">
        <v>197</v>
      </c>
      <c r="D1072" s="410">
        <f t="shared" ref="D1072:L1072" si="352">IF(((D1070="")*AND(D1071="")),"",(D1070-D1071)*3)</f>
        <v>7000.1100000000006</v>
      </c>
      <c r="E1072" s="410">
        <f t="shared" si="352"/>
        <v>6400.32</v>
      </c>
      <c r="F1072" s="410">
        <f t="shared" si="352"/>
        <v>6557.01</v>
      </c>
      <c r="G1072" s="410">
        <f t="shared" si="352"/>
        <v>6389.4</v>
      </c>
      <c r="H1072" s="410">
        <f t="shared" si="352"/>
        <v>7202.7300000000014</v>
      </c>
      <c r="I1072" s="410">
        <f t="shared" si="352"/>
        <v>7255.86</v>
      </c>
      <c r="J1072" s="410">
        <f t="shared" si="352"/>
        <v>6386.1299999999992</v>
      </c>
      <c r="K1072" s="410">
        <f t="shared" si="352"/>
        <v>6513.0299999999988</v>
      </c>
      <c r="L1072" s="410">
        <f t="shared" si="352"/>
        <v>6801.4499999999989</v>
      </c>
      <c r="M1072" s="410"/>
      <c r="N1072" s="410"/>
      <c r="O1072" s="410"/>
      <c r="P1072" s="410" t="str">
        <f>IF(((P1070="")*AND(P1071="")),"",(P1070-P1071)*2)</f>
        <v/>
      </c>
      <c r="Q1072" s="404"/>
      <c r="R1072" s="404"/>
      <c r="S1072" s="404"/>
      <c r="T1072" s="404"/>
      <c r="U1072" s="404"/>
      <c r="V1072" s="407"/>
      <c r="W1072" s="404"/>
      <c r="X1072" s="417"/>
      <c r="Y1072" s="268"/>
      <c r="Z1072" s="267"/>
      <c r="AA1072" s="267"/>
      <c r="AB1072" s="267"/>
      <c r="AC1072" s="267"/>
      <c r="AD1072" s="268"/>
      <c r="AE1072" s="269"/>
    </row>
    <row r="1073" spans="1:31" ht="15">
      <c r="A1073" s="344">
        <v>43864</v>
      </c>
      <c r="B1073" s="409" t="s">
        <v>200</v>
      </c>
      <c r="C1073" s="409" t="s">
        <v>199</v>
      </c>
      <c r="D1073" s="306">
        <v>6712.02</v>
      </c>
      <c r="E1073" s="306">
        <v>6779.67</v>
      </c>
      <c r="F1073" s="306">
        <v>6715.02</v>
      </c>
      <c r="G1073" s="306">
        <v>6781.95</v>
      </c>
      <c r="H1073" s="306">
        <v>6724.36</v>
      </c>
      <c r="I1073" s="306">
        <v>6742.11</v>
      </c>
      <c r="J1073" s="306">
        <v>6853.13</v>
      </c>
      <c r="K1073" s="306">
        <v>6870.97</v>
      </c>
      <c r="L1073" s="306">
        <v>6794.27</v>
      </c>
      <c r="M1073" s="306">
        <v>6873.74</v>
      </c>
      <c r="N1073" s="306">
        <v>6860.39</v>
      </c>
      <c r="O1073" s="306">
        <v>6824.31</v>
      </c>
      <c r="P1073" s="306">
        <v>6816.82</v>
      </c>
      <c r="Q1073" s="409">
        <f>IF((L1074=""),"",MAX(D1075:P1075))</f>
        <v>5552.9400000000005</v>
      </c>
      <c r="R1073" s="409">
        <f>IF(L1074="","",MIN(D1075:L1075))</f>
        <v>5370.880000000001</v>
      </c>
      <c r="S1073" s="400">
        <f>IF((P1075=""),"",AVERAGE(D1075:P1075))</f>
        <v>5465.076923076922</v>
      </c>
      <c r="T1073" s="412">
        <f>IF((L1074=""),"",(Q1073-R1073)/(Q1073+R1073)*100)</f>
        <v>1.6666331008749635</v>
      </c>
      <c r="U1073" s="409">
        <f>STDEV(D1075:P1075)</f>
        <v>50.367830239992593</v>
      </c>
      <c r="V1073" s="413" t="str">
        <f>IF(P1074="","",IF(T1073&lt;2.7,IF(S1073&gt;5150,IF(S1073&lt;5600,"Pass","Fail"),"Fail"),"Fail"))</f>
        <v>Pass</v>
      </c>
      <c r="W1073" s="409">
        <v>1428</v>
      </c>
      <c r="X1073" s="402" t="s">
        <v>458</v>
      </c>
      <c r="Y1073" s="268"/>
      <c r="Z1073" s="321">
        <v>4470</v>
      </c>
      <c r="AA1073" s="321">
        <v>6020</v>
      </c>
      <c r="AB1073" s="321">
        <v>5150</v>
      </c>
      <c r="AC1073" s="321">
        <v>5600</v>
      </c>
      <c r="AD1073" s="305">
        <v>10</v>
      </c>
      <c r="AE1073" s="322">
        <v>2.7</v>
      </c>
    </row>
    <row r="1074" spans="1:31" ht="15">
      <c r="A1074" s="390"/>
      <c r="B1074" s="404"/>
      <c r="C1074" s="404" t="s">
        <v>198</v>
      </c>
      <c r="D1074" s="306">
        <v>4026.58</v>
      </c>
      <c r="E1074" s="306">
        <v>4049.81</v>
      </c>
      <c r="F1074" s="306">
        <v>4009.69</v>
      </c>
      <c r="G1074" s="306">
        <v>4020.53</v>
      </c>
      <c r="H1074" s="306">
        <v>4001.9</v>
      </c>
      <c r="I1074" s="306">
        <v>4003.38</v>
      </c>
      <c r="J1074" s="306">
        <v>4076.66</v>
      </c>
      <c r="K1074" s="306">
        <v>4113.8500000000004</v>
      </c>
      <c r="L1074" s="306">
        <v>4081.88</v>
      </c>
      <c r="M1074" s="306">
        <v>4141.42</v>
      </c>
      <c r="N1074" s="306">
        <v>4121.2299999999996</v>
      </c>
      <c r="O1074" s="306">
        <v>4111.6400000000003</v>
      </c>
      <c r="P1074" s="306">
        <v>4067.19</v>
      </c>
      <c r="Q1074" s="404"/>
      <c r="R1074" s="404"/>
      <c r="S1074" s="404"/>
      <c r="T1074" s="404"/>
      <c r="U1074" s="404"/>
      <c r="V1074" s="407"/>
      <c r="W1074" s="404"/>
      <c r="X1074" s="408"/>
      <c r="Y1074" s="268"/>
      <c r="Z1074" s="267"/>
      <c r="AA1074" s="267"/>
      <c r="AB1074" s="267"/>
      <c r="AC1074" s="267"/>
      <c r="AD1074" s="268"/>
      <c r="AE1074" s="269"/>
    </row>
    <row r="1075" spans="1:31" ht="57.75" thickBot="1">
      <c r="A1075" s="393"/>
      <c r="B1075" s="414"/>
      <c r="C1075" s="414" t="s">
        <v>197</v>
      </c>
      <c r="D1075" s="415">
        <f t="shared" ref="D1075:P1075" si="353">IF(((D1073="")*AND(D1074="")),"",(D1073-D1074)*2)</f>
        <v>5370.880000000001</v>
      </c>
      <c r="E1075" s="415">
        <f t="shared" si="353"/>
        <v>5459.72</v>
      </c>
      <c r="F1075" s="415">
        <f t="shared" si="353"/>
        <v>5410.6600000000008</v>
      </c>
      <c r="G1075" s="415">
        <f t="shared" si="353"/>
        <v>5522.8399999999992</v>
      </c>
      <c r="H1075" s="415">
        <f t="shared" si="353"/>
        <v>5444.9199999999992</v>
      </c>
      <c r="I1075" s="415">
        <f t="shared" si="353"/>
        <v>5477.4599999999991</v>
      </c>
      <c r="J1075" s="415">
        <f t="shared" si="353"/>
        <v>5552.9400000000005</v>
      </c>
      <c r="K1075" s="415">
        <f t="shared" si="353"/>
        <v>5514.24</v>
      </c>
      <c r="L1075" s="415">
        <f t="shared" si="353"/>
        <v>5424.7800000000007</v>
      </c>
      <c r="M1075" s="415">
        <f t="shared" si="353"/>
        <v>5464.6399999999994</v>
      </c>
      <c r="N1075" s="415">
        <f t="shared" si="353"/>
        <v>5478.3200000000015</v>
      </c>
      <c r="O1075" s="415">
        <f t="shared" si="353"/>
        <v>5425.34</v>
      </c>
      <c r="P1075" s="415">
        <f t="shared" si="353"/>
        <v>5499.2599999999993</v>
      </c>
      <c r="Q1075" s="414"/>
      <c r="R1075" s="414"/>
      <c r="S1075" s="414"/>
      <c r="T1075" s="414"/>
      <c r="U1075" s="414"/>
      <c r="V1075" s="416"/>
      <c r="W1075" s="414"/>
      <c r="X1075" s="417"/>
      <c r="Y1075" s="268"/>
      <c r="Z1075" s="267"/>
      <c r="AA1075" s="267"/>
      <c r="AB1075" s="267"/>
      <c r="AC1075" s="267"/>
      <c r="AD1075" s="268"/>
      <c r="AE1075" s="269"/>
    </row>
    <row r="1076" spans="1:31" ht="15">
      <c r="A1076" s="422">
        <v>43868</v>
      </c>
      <c r="B1076" s="395" t="s">
        <v>202</v>
      </c>
      <c r="C1076" s="396" t="s">
        <v>199</v>
      </c>
      <c r="D1076" s="306">
        <v>6193.24</v>
      </c>
      <c r="E1076" s="306">
        <v>6205.99</v>
      </c>
      <c r="F1076" s="306">
        <v>6254.22</v>
      </c>
      <c r="G1076" s="306">
        <v>6214.77</v>
      </c>
      <c r="H1076" s="306">
        <v>6207.83</v>
      </c>
      <c r="I1076" s="306">
        <v>6144.49</v>
      </c>
      <c r="J1076" s="306">
        <v>6213.16</v>
      </c>
      <c r="K1076" s="306">
        <v>6228.29</v>
      </c>
      <c r="L1076" s="306">
        <v>6186.2</v>
      </c>
      <c r="M1076" s="398"/>
      <c r="N1076" s="398"/>
      <c r="O1076" s="398"/>
      <c r="P1076" s="398"/>
      <c r="Q1076" s="395">
        <f>IF((L1077=""),"",MAX(D1078:L1078))</f>
        <v>7474.0499999999993</v>
      </c>
      <c r="R1076" s="395">
        <f>IF(L1077="","",MIN(D1078:L1078))</f>
        <v>6709.17</v>
      </c>
      <c r="S1076" s="399">
        <f>IF((L1078=""),"",AVERAGE(D1078:L1078))</f>
        <v>7015.6333333333341</v>
      </c>
      <c r="T1076" s="400">
        <f>IF((L1077=""),"",(Q1076-R1076)/(Q1076+R1076)*100)</f>
        <v>5.3928515527503569</v>
      </c>
      <c r="U1076" s="395">
        <f>STDEV(D1078:P1078)</f>
        <v>261.835054710012</v>
      </c>
      <c r="V1076" s="401" t="str">
        <f>IF(L1077="","",IF(T1076&lt;9.8,IF(S1076&gt;5100,IF(S1076&lt;8300,"Pass","Fail"),"Fail"),"Fail"))</f>
        <v>Pass</v>
      </c>
      <c r="W1076" s="395">
        <v>121</v>
      </c>
      <c r="X1076" s="402" t="s">
        <v>465</v>
      </c>
      <c r="Y1076" s="268"/>
      <c r="Z1076" s="267">
        <v>4955</v>
      </c>
      <c r="AA1076" s="267">
        <v>9645</v>
      </c>
      <c r="AB1076" s="267">
        <v>5100</v>
      </c>
      <c r="AC1076" s="267">
        <v>8300</v>
      </c>
      <c r="AD1076" s="305">
        <v>10</v>
      </c>
      <c r="AE1076" s="305">
        <v>9.8000000000000007</v>
      </c>
    </row>
    <row r="1077" spans="1:31" ht="15">
      <c r="A1077" s="390"/>
      <c r="B1077" s="404"/>
      <c r="C1077" s="405" t="s">
        <v>198</v>
      </c>
      <c r="D1077" s="306">
        <v>3777.38</v>
      </c>
      <c r="E1077" s="306">
        <v>3933.16</v>
      </c>
      <c r="F1077" s="306">
        <v>3965.99</v>
      </c>
      <c r="G1077" s="306">
        <v>3931.54</v>
      </c>
      <c r="H1077" s="306">
        <v>3780.53</v>
      </c>
      <c r="I1077" s="306">
        <v>3653.14</v>
      </c>
      <c r="J1077" s="306">
        <v>3931.66</v>
      </c>
      <c r="K1077" s="306">
        <v>3991.9</v>
      </c>
      <c r="L1077" s="306">
        <v>3835.99</v>
      </c>
      <c r="M1077" s="406"/>
      <c r="N1077" s="406"/>
      <c r="O1077" s="406"/>
      <c r="P1077" s="406"/>
      <c r="Q1077" s="404"/>
      <c r="R1077" s="404"/>
      <c r="S1077" s="404"/>
      <c r="T1077" s="404"/>
      <c r="U1077" s="404"/>
      <c r="V1077" s="407"/>
      <c r="W1077" s="404"/>
      <c r="X1077" s="408"/>
      <c r="Y1077" s="268"/>
      <c r="Z1077" s="267"/>
      <c r="AA1077" s="267"/>
      <c r="AB1077" s="267"/>
      <c r="AC1077" s="267"/>
      <c r="AD1077" s="268"/>
      <c r="AE1077" s="269"/>
    </row>
    <row r="1078" spans="1:31" ht="57.75" thickBot="1">
      <c r="A1078" s="390"/>
      <c r="B1078" s="404"/>
      <c r="C1078" s="409" t="s">
        <v>197</v>
      </c>
      <c r="D1078" s="410">
        <f t="shared" ref="D1078:L1078" si="354">IF(((D1076="")*AND(D1077="")),"",(D1076-D1077)*3)</f>
        <v>7247.579999999999</v>
      </c>
      <c r="E1078" s="410">
        <f t="shared" si="354"/>
        <v>6818.49</v>
      </c>
      <c r="F1078" s="410">
        <f t="shared" si="354"/>
        <v>6864.6900000000014</v>
      </c>
      <c r="G1078" s="410">
        <f t="shared" si="354"/>
        <v>6849.6900000000014</v>
      </c>
      <c r="H1078" s="410">
        <f t="shared" si="354"/>
        <v>7281.9</v>
      </c>
      <c r="I1078" s="410">
        <f t="shared" si="354"/>
        <v>7474.0499999999993</v>
      </c>
      <c r="J1078" s="410">
        <f t="shared" si="354"/>
        <v>6844.5</v>
      </c>
      <c r="K1078" s="410">
        <f t="shared" si="354"/>
        <v>6709.17</v>
      </c>
      <c r="L1078" s="410">
        <f t="shared" si="354"/>
        <v>7050.63</v>
      </c>
      <c r="M1078" s="410"/>
      <c r="N1078" s="410"/>
      <c r="O1078" s="410"/>
      <c r="P1078" s="410" t="str">
        <f>IF(((P1076="")*AND(P1077="")),"",(P1076-P1077)*2)</f>
        <v/>
      </c>
      <c r="Q1078" s="404"/>
      <c r="R1078" s="404"/>
      <c r="S1078" s="404"/>
      <c r="T1078" s="404"/>
      <c r="U1078" s="404"/>
      <c r="V1078" s="407"/>
      <c r="W1078" s="404"/>
      <c r="X1078" s="417"/>
      <c r="Y1078" s="268"/>
      <c r="Z1078" s="267"/>
      <c r="AA1078" s="267"/>
      <c r="AB1078" s="267"/>
      <c r="AC1078" s="267"/>
      <c r="AD1078" s="268"/>
      <c r="AE1078" s="269"/>
    </row>
    <row r="1079" spans="1:31" ht="15">
      <c r="A1079" s="422">
        <v>43868</v>
      </c>
      <c r="B1079" s="409" t="s">
        <v>200</v>
      </c>
      <c r="C1079" s="409" t="s">
        <v>199</v>
      </c>
      <c r="D1079" s="306">
        <v>6707.12</v>
      </c>
      <c r="E1079" s="306">
        <v>6773.62</v>
      </c>
      <c r="F1079" s="306">
        <v>6707.55</v>
      </c>
      <c r="G1079" s="306">
        <v>6781.04</v>
      </c>
      <c r="H1079" s="306">
        <v>6715.63</v>
      </c>
      <c r="I1079" s="306">
        <v>6736.82</v>
      </c>
      <c r="J1079" s="306">
        <v>6850.84</v>
      </c>
      <c r="K1079" s="306">
        <v>6865.55</v>
      </c>
      <c r="L1079" s="306">
        <v>6784.47</v>
      </c>
      <c r="M1079" s="306">
        <v>6867.17</v>
      </c>
      <c r="N1079" s="306">
        <v>6848.9</v>
      </c>
      <c r="O1079" s="306">
        <v>6813.88</v>
      </c>
      <c r="P1079" s="306">
        <v>6803.28</v>
      </c>
      <c r="Q1079" s="409">
        <f>IF((L1080=""),"",MAX(D1081:P1081))</f>
        <v>5439.4199999999992</v>
      </c>
      <c r="R1079" s="409">
        <f>IF(L1080="","",MIN(D1081:L1081))</f>
        <v>5326.1400000000012</v>
      </c>
      <c r="S1079" s="400">
        <f>IF((P1081=""),"",AVERAGE(D1081:P1081))</f>
        <v>5392.0169230769234</v>
      </c>
      <c r="T1079" s="412">
        <f>IF((L1080=""),"",(Q1079-R1079)/(Q1079+R1079)*100)</f>
        <v>1.05224437929841</v>
      </c>
      <c r="U1079" s="409">
        <f>STDEV(D1081:P1081)</f>
        <v>37.375370541102491</v>
      </c>
      <c r="V1079" s="413" t="str">
        <f>IF(P1080="","",IF(T1079&lt;2.7,IF(S1079&gt;5150,IF(S1079&lt;5600,"Pass","Fail"),"Fail"),"Fail"))</f>
        <v>Pass</v>
      </c>
      <c r="W1079" s="409">
        <v>121</v>
      </c>
      <c r="X1079" s="402" t="s">
        <v>465</v>
      </c>
      <c r="Y1079" s="268"/>
      <c r="Z1079" s="321">
        <v>4470</v>
      </c>
      <c r="AA1079" s="321">
        <v>6020</v>
      </c>
      <c r="AB1079" s="321">
        <v>5150</v>
      </c>
      <c r="AC1079" s="321">
        <v>5600</v>
      </c>
      <c r="AD1079" s="305">
        <v>10</v>
      </c>
      <c r="AE1079" s="322">
        <v>2.7</v>
      </c>
    </row>
    <row r="1080" spans="1:31" ht="15.75">
      <c r="A1080" s="390"/>
      <c r="B1080" s="404"/>
      <c r="C1080" s="404" t="s">
        <v>198</v>
      </c>
      <c r="D1080">
        <v>4031.96</v>
      </c>
      <c r="E1080">
        <v>4081.07</v>
      </c>
      <c r="F1080">
        <v>4040.76</v>
      </c>
      <c r="G1080">
        <v>4071.7</v>
      </c>
      <c r="H1080">
        <v>4009.58</v>
      </c>
      <c r="I1080">
        <v>4017.11</v>
      </c>
      <c r="J1080">
        <v>4146.68</v>
      </c>
      <c r="K1080">
        <v>4150.51</v>
      </c>
      <c r="L1080">
        <v>4121.3999999999996</v>
      </c>
      <c r="M1080">
        <v>4154.47</v>
      </c>
      <c r="N1080">
        <v>4145.9799999999996</v>
      </c>
      <c r="O1080">
        <v>4132.09</v>
      </c>
      <c r="P1080">
        <v>4104.45</v>
      </c>
      <c r="Q1080" s="404"/>
      <c r="R1080" s="404"/>
      <c r="S1080" s="404"/>
      <c r="T1080" s="404"/>
      <c r="U1080" s="404"/>
      <c r="V1080" s="407"/>
      <c r="W1080" s="404"/>
      <c r="X1080" s="408"/>
      <c r="Y1080" s="268"/>
      <c r="Z1080" s="267"/>
      <c r="AA1080" s="267"/>
      <c r="AB1080" s="267"/>
      <c r="AC1080" s="267"/>
      <c r="AD1080" s="268"/>
      <c r="AE1080" s="269"/>
    </row>
    <row r="1081" spans="1:31" ht="57.75" thickBot="1">
      <c r="A1081" s="393"/>
      <c r="B1081" s="414"/>
      <c r="C1081" s="414" t="s">
        <v>197</v>
      </c>
      <c r="D1081" s="415">
        <f t="shared" ref="D1081:P1081" si="355">IF(((D1079="")*AND(D1080="")),"",(D1079-D1080)*2)</f>
        <v>5350.32</v>
      </c>
      <c r="E1081" s="415">
        <f t="shared" si="355"/>
        <v>5385.0999999999995</v>
      </c>
      <c r="F1081" s="415">
        <f t="shared" si="355"/>
        <v>5333.58</v>
      </c>
      <c r="G1081" s="415">
        <f t="shared" si="355"/>
        <v>5418.68</v>
      </c>
      <c r="H1081" s="415">
        <f t="shared" si="355"/>
        <v>5412.1</v>
      </c>
      <c r="I1081" s="415">
        <f t="shared" si="355"/>
        <v>5439.4199999999992</v>
      </c>
      <c r="J1081" s="415">
        <f t="shared" si="355"/>
        <v>5408.32</v>
      </c>
      <c r="K1081" s="415">
        <f t="shared" si="355"/>
        <v>5430.08</v>
      </c>
      <c r="L1081" s="415">
        <f t="shared" si="355"/>
        <v>5326.1400000000012</v>
      </c>
      <c r="M1081" s="415">
        <f t="shared" si="355"/>
        <v>5425.4</v>
      </c>
      <c r="N1081" s="415">
        <f t="shared" si="355"/>
        <v>5405.84</v>
      </c>
      <c r="O1081" s="415">
        <f t="shared" si="355"/>
        <v>5363.58</v>
      </c>
      <c r="P1081" s="415">
        <f t="shared" si="355"/>
        <v>5397.66</v>
      </c>
      <c r="Q1081" s="414"/>
      <c r="R1081" s="414"/>
      <c r="S1081" s="414"/>
      <c r="T1081" s="414"/>
      <c r="U1081" s="414"/>
      <c r="V1081" s="416"/>
      <c r="W1081" s="414"/>
      <c r="X1081" s="417" t="s">
        <v>468</v>
      </c>
      <c r="Y1081" s="268"/>
      <c r="Z1081" s="267"/>
      <c r="AA1081" s="267"/>
      <c r="AB1081" s="267"/>
      <c r="AC1081" s="267"/>
      <c r="AD1081" s="268"/>
      <c r="AE1081" s="269"/>
    </row>
    <row r="1082" spans="1:31" ht="15.75">
      <c r="A1082" s="422">
        <v>43873</v>
      </c>
      <c r="B1082" s="395" t="s">
        <v>202</v>
      </c>
      <c r="C1082" s="396" t="s">
        <v>199</v>
      </c>
      <c r="D1082">
        <v>6205.73</v>
      </c>
      <c r="E1082">
        <v>6226.81</v>
      </c>
      <c r="F1082">
        <v>6256.24</v>
      </c>
      <c r="G1082">
        <v>6212.48</v>
      </c>
      <c r="H1082">
        <v>6216.78</v>
      </c>
      <c r="I1082">
        <v>6167.56</v>
      </c>
      <c r="J1082">
        <v>6221.21</v>
      </c>
      <c r="K1082">
        <v>6241.78</v>
      </c>
      <c r="L1082">
        <v>6190.56</v>
      </c>
      <c r="M1082" s="398"/>
      <c r="N1082" s="398"/>
      <c r="O1082" s="398"/>
      <c r="P1082" s="398"/>
      <c r="Q1082" s="395">
        <f>IF((L1083=""),"",MAX(D1084:L1084))</f>
        <v>7260.630000000001</v>
      </c>
      <c r="R1082" s="395">
        <f>IF(L1083="","",MIN(D1084:L1084))</f>
        <v>6561.2400000000016</v>
      </c>
      <c r="S1082" s="399">
        <f>IF((L1084=""),"",AVERAGE(D1084:L1084))</f>
        <v>6776.98</v>
      </c>
      <c r="T1082" s="400">
        <f>IF((L1083=""),"",(Q1082-R1082)/(Q1082+R1082)*100)</f>
        <v>5.0600244395295233</v>
      </c>
      <c r="U1082" s="395">
        <f>STDEV(D1084:P1084)</f>
        <v>254.39022327915279</v>
      </c>
      <c r="V1082" s="401" t="str">
        <f>IF(L1083="","",IF(T1082&lt;9.8,IF(S1082&gt;5100,IF(S1082&lt;8300,"Pass","Fail"),"Fail"),"Fail"))</f>
        <v>Pass</v>
      </c>
      <c r="W1082" s="395">
        <v>1159</v>
      </c>
      <c r="X1082" s="402" t="s">
        <v>471</v>
      </c>
      <c r="Y1082" s="268"/>
      <c r="Z1082" s="267">
        <v>4955</v>
      </c>
      <c r="AA1082" s="267">
        <v>9645</v>
      </c>
      <c r="AB1082" s="267">
        <v>5100</v>
      </c>
      <c r="AC1082" s="267">
        <v>8300</v>
      </c>
      <c r="AD1082" s="305">
        <v>10</v>
      </c>
      <c r="AE1082" s="305">
        <v>9.8000000000000007</v>
      </c>
    </row>
    <row r="1083" spans="1:31" ht="15.75">
      <c r="A1083" s="390"/>
      <c r="B1083" s="404"/>
      <c r="C1083" s="405" t="s">
        <v>198</v>
      </c>
      <c r="D1083">
        <v>3935.95</v>
      </c>
      <c r="E1083">
        <v>4039.73</v>
      </c>
      <c r="F1083">
        <v>4045.27</v>
      </c>
      <c r="G1083">
        <v>4010.42</v>
      </c>
      <c r="H1083">
        <v>3844.34</v>
      </c>
      <c r="I1083">
        <v>3747.35</v>
      </c>
      <c r="J1083">
        <v>4018.93</v>
      </c>
      <c r="K1083">
        <v>4049.13</v>
      </c>
      <c r="L1083">
        <v>3917.09</v>
      </c>
      <c r="M1083" s="406"/>
      <c r="N1083" s="406"/>
      <c r="O1083" s="406"/>
      <c r="P1083" s="406"/>
      <c r="Q1083" s="404"/>
      <c r="R1083" s="404"/>
      <c r="S1083" s="404"/>
      <c r="T1083" s="404"/>
      <c r="U1083" s="404"/>
      <c r="V1083" s="407"/>
      <c r="W1083" s="404"/>
      <c r="X1083" s="408"/>
      <c r="Y1083" s="268"/>
      <c r="Z1083" s="267"/>
      <c r="AA1083" s="267"/>
      <c r="AB1083" s="267"/>
      <c r="AC1083" s="267"/>
      <c r="AD1083" s="268"/>
      <c r="AE1083" s="269"/>
    </row>
    <row r="1084" spans="1:31" ht="57.75" thickBot="1">
      <c r="A1084" s="390"/>
      <c r="B1084" s="404"/>
      <c r="C1084" s="409" t="s">
        <v>197</v>
      </c>
      <c r="D1084" s="410">
        <f t="shared" ref="D1084:L1084" si="356">IF(((D1082="")*AND(D1083="")),"",(D1082-D1083)*3)</f>
        <v>6809.3399999999992</v>
      </c>
      <c r="E1084" s="410">
        <f t="shared" si="356"/>
        <v>6561.2400000000016</v>
      </c>
      <c r="F1084" s="410">
        <f t="shared" si="356"/>
        <v>6632.91</v>
      </c>
      <c r="G1084" s="410">
        <f t="shared" si="356"/>
        <v>6606.1799999999985</v>
      </c>
      <c r="H1084" s="410">
        <f t="shared" si="356"/>
        <v>7117.3199999999988</v>
      </c>
      <c r="I1084" s="410">
        <f t="shared" si="356"/>
        <v>7260.630000000001</v>
      </c>
      <c r="J1084" s="410">
        <f t="shared" si="356"/>
        <v>6606.84</v>
      </c>
      <c r="K1084" s="410">
        <f t="shared" si="356"/>
        <v>6577.9499999999989</v>
      </c>
      <c r="L1084" s="410">
        <f t="shared" si="356"/>
        <v>6820.4100000000008</v>
      </c>
      <c r="M1084" s="410"/>
      <c r="N1084" s="410"/>
      <c r="O1084" s="410"/>
      <c r="P1084" s="410" t="str">
        <f>IF(((P1082="")*AND(P1083="")),"",(P1082-P1083)*2)</f>
        <v/>
      </c>
      <c r="Q1084" s="404"/>
      <c r="R1084" s="404"/>
      <c r="S1084" s="404"/>
      <c r="T1084" s="404"/>
      <c r="U1084" s="404"/>
      <c r="V1084" s="407"/>
      <c r="W1084" s="404"/>
      <c r="X1084" s="417"/>
      <c r="Y1084" s="268"/>
      <c r="Z1084" s="267"/>
      <c r="AA1084" s="267"/>
      <c r="AB1084" s="267"/>
      <c r="AC1084" s="267"/>
      <c r="AD1084" s="268"/>
      <c r="AE1084" s="269"/>
    </row>
    <row r="1085" spans="1:31" ht="15.75">
      <c r="A1085" s="422">
        <v>43873</v>
      </c>
      <c r="B1085" s="409" t="s">
        <v>200</v>
      </c>
      <c r="C1085" s="409" t="s">
        <v>199</v>
      </c>
      <c r="D1085">
        <v>6713.78</v>
      </c>
      <c r="E1085">
        <v>6779.55</v>
      </c>
      <c r="F1085">
        <v>6713.41</v>
      </c>
      <c r="G1085">
        <v>6781.23</v>
      </c>
      <c r="H1085">
        <v>6721.88</v>
      </c>
      <c r="I1085">
        <v>6739.69</v>
      </c>
      <c r="J1085">
        <v>6850.54</v>
      </c>
      <c r="K1085">
        <v>6867.69</v>
      </c>
      <c r="L1085">
        <v>6789.4</v>
      </c>
      <c r="M1085">
        <v>6869.5</v>
      </c>
      <c r="N1085">
        <v>6856.79</v>
      </c>
      <c r="O1085">
        <v>6818.95</v>
      </c>
      <c r="P1085">
        <v>6812.48</v>
      </c>
      <c r="Q1085" s="409">
        <f>IF((L1086=""),"",MAX(D1087:P1087))</f>
        <v>5458.7799999999988</v>
      </c>
      <c r="R1085" s="409">
        <f>IF(L1086="","",MIN(D1087:L1087))</f>
        <v>5328.78</v>
      </c>
      <c r="S1085" s="400">
        <f>IF((P1087=""),"",AVERAGE(D1087:P1087))</f>
        <v>5401.2599999999993</v>
      </c>
      <c r="T1085" s="412">
        <f>IF((L1086=""),"",(Q1085-R1085)/(Q1085+R1085)*100)</f>
        <v>1.2050917909147121</v>
      </c>
      <c r="U1085" s="409">
        <f>STDEV(D1087:P1087)</f>
        <v>39.515882039154882</v>
      </c>
      <c r="V1085" s="413" t="str">
        <f>IF(P1086="","",IF(T1085&lt;2.7,IF(S1085&gt;5150,IF(S1085&lt;5600,"Pass","Fail"),"Fail"),"Fail"))</f>
        <v>Pass</v>
      </c>
      <c r="W1085" s="409">
        <v>1159</v>
      </c>
      <c r="X1085" s="402"/>
      <c r="Y1085" s="268"/>
      <c r="Z1085" s="321">
        <v>4470</v>
      </c>
      <c r="AA1085" s="321">
        <v>6020</v>
      </c>
      <c r="AB1085" s="321">
        <v>5150</v>
      </c>
      <c r="AC1085" s="321">
        <v>5600</v>
      </c>
      <c r="AD1085" s="305">
        <v>10</v>
      </c>
      <c r="AE1085" s="322">
        <v>2.7</v>
      </c>
    </row>
    <row r="1086" spans="1:31" ht="15.75">
      <c r="A1086" s="390"/>
      <c r="B1086" s="404"/>
      <c r="C1086" s="404" t="s">
        <v>198</v>
      </c>
      <c r="D1086">
        <v>4038.99</v>
      </c>
      <c r="E1086">
        <v>4083.72</v>
      </c>
      <c r="F1086">
        <v>4049.02</v>
      </c>
      <c r="G1086">
        <v>4076.81</v>
      </c>
      <c r="H1086">
        <v>4011.98</v>
      </c>
      <c r="I1086">
        <v>4010.3</v>
      </c>
      <c r="J1086">
        <v>4143.63</v>
      </c>
      <c r="K1086">
        <v>4147.5600000000004</v>
      </c>
      <c r="L1086">
        <v>4118.28</v>
      </c>
      <c r="M1086">
        <v>4152.37</v>
      </c>
      <c r="N1086">
        <v>4144.96</v>
      </c>
      <c r="O1086">
        <v>4123.4399999999996</v>
      </c>
      <c r="P1086">
        <v>4105.6400000000003</v>
      </c>
      <c r="Q1086" s="404"/>
      <c r="R1086" s="404"/>
      <c r="S1086" s="404"/>
      <c r="T1086" s="404"/>
      <c r="U1086" s="404"/>
      <c r="V1086" s="407"/>
      <c r="W1086" s="404"/>
      <c r="X1086" s="408"/>
      <c r="Y1086" s="268"/>
      <c r="Z1086" s="267"/>
      <c r="AA1086" s="267"/>
      <c r="AB1086" s="267"/>
      <c r="AC1086" s="267"/>
      <c r="AD1086" s="268"/>
      <c r="AE1086" s="269"/>
    </row>
    <row r="1087" spans="1:31" ht="57.75" thickBot="1">
      <c r="A1087" s="393"/>
      <c r="B1087" s="414"/>
      <c r="C1087" s="414" t="s">
        <v>197</v>
      </c>
      <c r="D1087" s="415">
        <f t="shared" ref="D1087:P1087" si="357">IF(((D1085="")*AND(D1086="")),"",(D1085-D1086)*2)</f>
        <v>5349.58</v>
      </c>
      <c r="E1087" s="415">
        <f t="shared" si="357"/>
        <v>5391.6600000000008</v>
      </c>
      <c r="F1087" s="415">
        <f t="shared" si="357"/>
        <v>5328.78</v>
      </c>
      <c r="G1087" s="415">
        <f t="shared" si="357"/>
        <v>5408.8399999999992</v>
      </c>
      <c r="H1087" s="415">
        <f t="shared" si="357"/>
        <v>5419.8</v>
      </c>
      <c r="I1087" s="415">
        <f t="shared" si="357"/>
        <v>5458.7799999999988</v>
      </c>
      <c r="J1087" s="415">
        <f t="shared" si="357"/>
        <v>5413.82</v>
      </c>
      <c r="K1087" s="415">
        <f t="shared" si="357"/>
        <v>5440.2599999999984</v>
      </c>
      <c r="L1087" s="415">
        <f t="shared" si="357"/>
        <v>5342.24</v>
      </c>
      <c r="M1087" s="415">
        <f t="shared" si="357"/>
        <v>5434.26</v>
      </c>
      <c r="N1087" s="415">
        <f t="shared" si="357"/>
        <v>5423.66</v>
      </c>
      <c r="O1087" s="415">
        <f t="shared" si="357"/>
        <v>5391.02</v>
      </c>
      <c r="P1087" s="415">
        <f t="shared" si="357"/>
        <v>5413.6799999999985</v>
      </c>
      <c r="Q1087" s="414"/>
      <c r="R1087" s="414"/>
      <c r="S1087" s="414"/>
      <c r="T1087" s="414"/>
      <c r="U1087" s="414"/>
      <c r="V1087" s="416"/>
      <c r="W1087" s="414"/>
      <c r="X1087" s="417"/>
      <c r="Y1087" s="268"/>
      <c r="Z1087" s="267"/>
      <c r="AA1087" s="267"/>
      <c r="AB1087" s="267"/>
      <c r="AC1087" s="267"/>
      <c r="AD1087" s="268"/>
      <c r="AE1087" s="269"/>
    </row>
    <row r="1088" spans="1:31" ht="15.75">
      <c r="A1088" s="422">
        <v>43881</v>
      </c>
      <c r="B1088" s="395" t="s">
        <v>202</v>
      </c>
      <c r="C1088" s="396" t="s">
        <v>199</v>
      </c>
      <c r="D1088" s="425">
        <v>6352.3</v>
      </c>
      <c r="E1088" s="425">
        <v>6437.54</v>
      </c>
      <c r="F1088" s="425">
        <v>6465.4</v>
      </c>
      <c r="G1088" s="425">
        <v>6428.59</v>
      </c>
      <c r="H1088" s="425">
        <v>6303.42</v>
      </c>
      <c r="I1088" s="425">
        <v>6247.8</v>
      </c>
      <c r="J1088" s="425">
        <v>6424.81</v>
      </c>
      <c r="K1088" s="425">
        <v>6458.65</v>
      </c>
      <c r="L1088" s="425">
        <v>6318.82</v>
      </c>
      <c r="M1088" s="398"/>
      <c r="N1088" s="398"/>
      <c r="O1088" s="398"/>
      <c r="P1088" s="398"/>
      <c r="Q1088" s="395">
        <f>IF((L1089=""),"",MAX(D1090:L1090))</f>
        <v>7693.5599999999995</v>
      </c>
      <c r="R1088" s="395">
        <f>IF(L1089="","",MIN(D1090:L1090))</f>
        <v>7066.1699999999983</v>
      </c>
      <c r="S1088" s="399">
        <f>IF((L1090=""),"",AVERAGE(D1090:L1090))</f>
        <v>7240.0266666666657</v>
      </c>
      <c r="T1088" s="400">
        <f>IF((L1089=""),"",(Q1088-R1088)/(Q1088+R1088)*100)</f>
        <v>4.2506875125764587</v>
      </c>
      <c r="U1088" s="395">
        <f>STDEV(D1090:P1090)</f>
        <v>225.50842245914137</v>
      </c>
      <c r="V1088" s="401" t="str">
        <f>IF(L1089="","",IF(T1088&lt;9.8,IF(S1088&gt;5100,IF(S1088&lt;8300,"Pass","Fail"),"Fail"),"Fail"))</f>
        <v>Pass</v>
      </c>
      <c r="W1088" s="395">
        <v>1428</v>
      </c>
      <c r="X1088" s="402" t="s">
        <v>473</v>
      </c>
      <c r="Y1088" s="268"/>
      <c r="Z1088" s="267">
        <v>4955</v>
      </c>
      <c r="AA1088" s="267">
        <v>9645</v>
      </c>
      <c r="AB1088" s="267">
        <v>5100</v>
      </c>
      <c r="AC1088" s="267">
        <v>8300</v>
      </c>
      <c r="AD1088" s="305">
        <v>10</v>
      </c>
      <c r="AE1088" s="305">
        <v>9.8000000000000007</v>
      </c>
    </row>
    <row r="1089" spans="1:31" ht="15.75">
      <c r="A1089" s="390"/>
      <c r="B1089" s="404"/>
      <c r="C1089" s="405" t="s">
        <v>198</v>
      </c>
      <c r="D1089" s="425">
        <v>3901.94</v>
      </c>
      <c r="E1089" s="425">
        <v>4077.57</v>
      </c>
      <c r="F1089" s="425">
        <v>4080.08</v>
      </c>
      <c r="G1089" s="425">
        <v>4054.96</v>
      </c>
      <c r="H1089" s="425">
        <v>3802.44</v>
      </c>
      <c r="I1089" s="425">
        <v>3683.28</v>
      </c>
      <c r="J1089" s="425">
        <v>4055.05</v>
      </c>
      <c r="K1089" s="425">
        <v>4103.26</v>
      </c>
      <c r="L1089" s="425">
        <v>3958.67</v>
      </c>
      <c r="M1089" s="406"/>
      <c r="N1089" s="406"/>
      <c r="O1089" s="406"/>
      <c r="P1089" s="406"/>
      <c r="Q1089" s="404"/>
      <c r="R1089" s="404"/>
      <c r="S1089" s="404"/>
      <c r="T1089" s="404"/>
      <c r="U1089" s="404"/>
      <c r="V1089" s="407"/>
      <c r="W1089" s="404"/>
      <c r="X1089" s="408"/>
      <c r="Y1089" s="268"/>
      <c r="Z1089" s="267"/>
      <c r="AA1089" s="267"/>
      <c r="AB1089" s="267"/>
      <c r="AC1089" s="267"/>
      <c r="AD1089" s="268"/>
      <c r="AE1089" s="269"/>
    </row>
    <row r="1090" spans="1:31" ht="57.75" thickBot="1">
      <c r="A1090" s="390"/>
      <c r="B1090" s="404"/>
      <c r="C1090" s="409" t="s">
        <v>197</v>
      </c>
      <c r="D1090" s="410">
        <f t="shared" ref="D1090:L1090" si="358">IF(((D1088="")*AND(D1089="")),"",(D1088-D1089)*3)</f>
        <v>7351.08</v>
      </c>
      <c r="E1090" s="410">
        <f t="shared" si="358"/>
        <v>7079.91</v>
      </c>
      <c r="F1090" s="410">
        <f t="shared" si="358"/>
        <v>7155.9599999999991</v>
      </c>
      <c r="G1090" s="410">
        <f t="shared" si="358"/>
        <v>7120.89</v>
      </c>
      <c r="H1090" s="410">
        <f t="shared" si="358"/>
        <v>7502.9400000000005</v>
      </c>
      <c r="I1090" s="410">
        <f t="shared" si="358"/>
        <v>7693.5599999999995</v>
      </c>
      <c r="J1090" s="410">
        <f t="shared" si="358"/>
        <v>7109.2800000000007</v>
      </c>
      <c r="K1090" s="410">
        <f t="shared" si="358"/>
        <v>7066.1699999999983</v>
      </c>
      <c r="L1090" s="410">
        <f t="shared" si="358"/>
        <v>7080.4499999999989</v>
      </c>
      <c r="M1090" s="410"/>
      <c r="N1090" s="410"/>
      <c r="O1090" s="410"/>
      <c r="P1090" s="410" t="str">
        <f>IF(((P1088="")*AND(P1089="")),"",(P1088-P1089)*2)</f>
        <v/>
      </c>
      <c r="Q1090" s="404"/>
      <c r="R1090" s="404"/>
      <c r="S1090" s="404"/>
      <c r="T1090" s="404"/>
      <c r="U1090" s="404"/>
      <c r="V1090" s="407"/>
      <c r="W1090" s="404"/>
      <c r="X1090" s="417"/>
      <c r="Y1090" s="268"/>
      <c r="Z1090" s="267"/>
      <c r="AA1090" s="267"/>
      <c r="AB1090" s="267"/>
      <c r="AC1090" s="267"/>
      <c r="AD1090" s="268"/>
      <c r="AE1090" s="269"/>
    </row>
    <row r="1091" spans="1:31" ht="15.75">
      <c r="A1091" s="422">
        <v>43881</v>
      </c>
      <c r="B1091" s="409" t="s">
        <v>200</v>
      </c>
      <c r="C1091" s="409" t="s">
        <v>199</v>
      </c>
      <c r="D1091" s="425">
        <v>6713.98</v>
      </c>
      <c r="E1091" s="425">
        <v>6777.48</v>
      </c>
      <c r="F1091" s="425">
        <v>6711.79</v>
      </c>
      <c r="G1091" s="425">
        <v>6787.04</v>
      </c>
      <c r="H1091" s="425">
        <v>6731.48</v>
      </c>
      <c r="I1091" s="425">
        <v>6742.68</v>
      </c>
      <c r="J1091" s="425">
        <v>6853.17</v>
      </c>
      <c r="K1091" s="425">
        <v>6877.59</v>
      </c>
      <c r="L1091" s="425">
        <v>6785.39</v>
      </c>
      <c r="M1091" s="425">
        <v>6885.58</v>
      </c>
      <c r="N1091" s="425">
        <v>6857.24</v>
      </c>
      <c r="O1091" s="425">
        <v>6821.46</v>
      </c>
      <c r="P1091" s="425">
        <v>6809.98</v>
      </c>
      <c r="Q1091" s="409">
        <f>IF((L1092=""),"",MAX(D1093:P1093))</f>
        <v>5447.5800000000008</v>
      </c>
      <c r="R1091" s="409">
        <f>IF(L1092="","",MIN(D1093:L1093))</f>
        <v>5350.4400000000005</v>
      </c>
      <c r="S1091" s="400">
        <f>IF((P1093=""),"",AVERAGE(D1093:P1093))</f>
        <v>5407.250769230769</v>
      </c>
      <c r="T1091" s="412">
        <f>IF((L1092=""),"",(Q1091-R1091)/(Q1091+R1091)*100)</f>
        <v>0.89960937282946629</v>
      </c>
      <c r="U1091" s="409">
        <f>STDEV(D1093:P1093)</f>
        <v>31.552564201498217</v>
      </c>
      <c r="V1091" s="413" t="str">
        <f>IF(P1092="","",IF(T1091&lt;2.7,IF(S1091&gt;5150,IF(S1091&lt;5600,"Pass","Fail"),"Fail"),"Fail"))</f>
        <v>Pass</v>
      </c>
      <c r="W1091" s="409">
        <v>1428</v>
      </c>
      <c r="X1091" s="402" t="s">
        <v>473</v>
      </c>
      <c r="Y1091" s="268"/>
      <c r="Z1091" s="321">
        <v>4470</v>
      </c>
      <c r="AA1091" s="321">
        <v>6020</v>
      </c>
      <c r="AB1091" s="321">
        <v>5150</v>
      </c>
      <c r="AC1091" s="321">
        <v>5600</v>
      </c>
      <c r="AD1091" s="305">
        <v>10</v>
      </c>
      <c r="AE1091" s="322">
        <v>2.7</v>
      </c>
    </row>
    <row r="1092" spans="1:31" ht="15.75">
      <c r="A1092" s="390"/>
      <c r="B1092" s="404"/>
      <c r="C1092" s="404" t="s">
        <v>198</v>
      </c>
      <c r="D1092" s="425">
        <v>4024.47</v>
      </c>
      <c r="E1092" s="425">
        <v>4071.19</v>
      </c>
      <c r="F1092" s="425">
        <v>4035.55</v>
      </c>
      <c r="G1092" s="425">
        <v>4083.98</v>
      </c>
      <c r="H1092" s="425">
        <v>4011.59</v>
      </c>
      <c r="I1092" s="425">
        <v>4018.89</v>
      </c>
      <c r="J1092" s="425">
        <v>4147.13</v>
      </c>
      <c r="K1092" s="425">
        <v>4171.3100000000004</v>
      </c>
      <c r="L1092" s="425">
        <v>4110.17</v>
      </c>
      <c r="M1092" s="425">
        <v>4172.26</v>
      </c>
      <c r="N1092" s="425">
        <v>4137.8599999999997</v>
      </c>
      <c r="O1092" s="425">
        <v>4127.32</v>
      </c>
      <c r="P1092" s="425">
        <v>4096.01</v>
      </c>
      <c r="Q1092" s="404"/>
      <c r="R1092" s="404"/>
      <c r="S1092" s="404"/>
      <c r="T1092" s="404"/>
      <c r="U1092" s="404"/>
      <c r="V1092" s="407"/>
      <c r="W1092" s="404"/>
      <c r="X1092" s="408"/>
      <c r="Y1092" s="268"/>
      <c r="Z1092" s="267"/>
      <c r="AA1092" s="267"/>
      <c r="AB1092" s="267"/>
      <c r="AC1092" s="267"/>
      <c r="AD1092" s="268"/>
      <c r="AE1092" s="269"/>
    </row>
    <row r="1093" spans="1:31" ht="57.75" thickBot="1">
      <c r="A1093" s="393"/>
      <c r="B1093" s="414"/>
      <c r="C1093" s="414" t="s">
        <v>197</v>
      </c>
      <c r="D1093" s="415">
        <f t="shared" ref="D1093:P1093" si="359">IF(((D1091="")*AND(D1092="")),"",(D1091-D1092)*2)</f>
        <v>5379.0199999999995</v>
      </c>
      <c r="E1093" s="415">
        <f t="shared" si="359"/>
        <v>5412.579999999999</v>
      </c>
      <c r="F1093" s="415">
        <f t="shared" si="359"/>
        <v>5352.48</v>
      </c>
      <c r="G1093" s="415">
        <f t="shared" si="359"/>
        <v>5406.12</v>
      </c>
      <c r="H1093" s="415">
        <f t="shared" si="359"/>
        <v>5439.7799999999988</v>
      </c>
      <c r="I1093" s="415">
        <f t="shared" si="359"/>
        <v>5447.5800000000008</v>
      </c>
      <c r="J1093" s="415">
        <f t="shared" si="359"/>
        <v>5412.08</v>
      </c>
      <c r="K1093" s="415">
        <f t="shared" si="359"/>
        <v>5412.5599999999995</v>
      </c>
      <c r="L1093" s="415">
        <f t="shared" si="359"/>
        <v>5350.4400000000005</v>
      </c>
      <c r="M1093" s="415">
        <f t="shared" si="359"/>
        <v>5426.6399999999994</v>
      </c>
      <c r="N1093" s="415">
        <f t="shared" si="359"/>
        <v>5438.76</v>
      </c>
      <c r="O1093" s="415">
        <f t="shared" si="359"/>
        <v>5388.2800000000007</v>
      </c>
      <c r="P1093" s="415">
        <f t="shared" si="359"/>
        <v>5427.9399999999987</v>
      </c>
      <c r="Q1093" s="414"/>
      <c r="R1093" s="414"/>
      <c r="S1093" s="414"/>
      <c r="T1093" s="414"/>
      <c r="U1093" s="414"/>
      <c r="V1093" s="416"/>
      <c r="W1093" s="414"/>
      <c r="X1093" s="417"/>
      <c r="Y1093" s="268"/>
      <c r="Z1093" s="267"/>
      <c r="AA1093" s="267"/>
      <c r="AB1093" s="267"/>
      <c r="AC1093" s="267"/>
      <c r="AD1093" s="268"/>
      <c r="AE1093" s="269"/>
    </row>
    <row r="1094" spans="1:31" ht="15.75">
      <c r="A1094" s="344">
        <v>43888</v>
      </c>
      <c r="B1094" s="395" t="s">
        <v>202</v>
      </c>
      <c r="C1094" s="396" t="s">
        <v>199</v>
      </c>
      <c r="D1094" s="425">
        <v>6369</v>
      </c>
      <c r="E1094" s="425">
        <v>6449</v>
      </c>
      <c r="F1094" s="425">
        <v>6482</v>
      </c>
      <c r="G1094" s="425">
        <v>6450</v>
      </c>
      <c r="H1094" s="425">
        <v>6321</v>
      </c>
      <c r="I1094" s="425">
        <v>6471</v>
      </c>
      <c r="J1094" s="425">
        <v>6471</v>
      </c>
      <c r="K1094" s="425">
        <v>6288</v>
      </c>
      <c r="L1094" s="425">
        <v>6327</v>
      </c>
      <c r="M1094" s="398"/>
      <c r="N1094" s="398"/>
      <c r="O1094" s="398"/>
      <c r="P1094" s="398"/>
      <c r="Q1094" s="395">
        <f>IF((L1095=""),"",MAX(D1096:L1096))</f>
        <v>7143</v>
      </c>
      <c r="R1094" s="395">
        <f>IF(L1095="","",MIN(D1096:L1096))</f>
        <v>6933</v>
      </c>
      <c r="S1094" s="399">
        <f>IF((L1096=""),"",AVERAGE(D1096:L1096))</f>
        <v>7026.333333333333</v>
      </c>
      <c r="T1094" s="400">
        <f>IF((L1095=""),"",(Q1094-R1094)/(Q1094+R1094)*100)</f>
        <v>1.4919011082693947</v>
      </c>
      <c r="U1094" s="395">
        <f>STDEV(D1096:P1096)</f>
        <v>81.407923447291054</v>
      </c>
      <c r="V1094" s="401" t="str">
        <f>IF(L1095="","",IF(T1094&lt;9.8,IF(S1094&gt;5100,IF(S1094&lt;8300,"Pass","Fail"),"Fail"),"Fail"))</f>
        <v>Pass</v>
      </c>
      <c r="W1094" s="395">
        <v>121</v>
      </c>
      <c r="X1094" s="402"/>
      <c r="Y1094" s="268"/>
      <c r="Z1094" s="267">
        <v>4955</v>
      </c>
      <c r="AA1094" s="267">
        <v>9645</v>
      </c>
      <c r="AB1094" s="267">
        <v>5100</v>
      </c>
      <c r="AC1094" s="267">
        <v>8300</v>
      </c>
      <c r="AD1094" s="305">
        <v>10</v>
      </c>
      <c r="AE1094" s="305">
        <v>9.8000000000000007</v>
      </c>
    </row>
    <row r="1095" spans="1:31" ht="15">
      <c r="A1095" s="390"/>
      <c r="B1095" s="404"/>
      <c r="C1095" s="405" t="s">
        <v>198</v>
      </c>
      <c r="D1095" s="306">
        <v>3988</v>
      </c>
      <c r="E1095" s="306">
        <v>4132</v>
      </c>
      <c r="F1095" s="306">
        <v>4142</v>
      </c>
      <c r="G1095" s="306">
        <v>4089</v>
      </c>
      <c r="H1095" s="306">
        <v>3944</v>
      </c>
      <c r="I1095" s="306">
        <v>4118</v>
      </c>
      <c r="J1095" s="306">
        <v>4146</v>
      </c>
      <c r="K1095" s="306">
        <v>3974</v>
      </c>
      <c r="L1095" s="306">
        <v>4016</v>
      </c>
      <c r="M1095" s="406"/>
      <c r="N1095" s="406"/>
      <c r="O1095" s="406"/>
      <c r="P1095" s="406"/>
      <c r="Q1095" s="404"/>
      <c r="R1095" s="404"/>
      <c r="S1095" s="404"/>
      <c r="T1095" s="404"/>
      <c r="U1095" s="404"/>
      <c r="V1095" s="407"/>
      <c r="W1095" s="404"/>
      <c r="X1095" s="408"/>
      <c r="Y1095" s="268"/>
      <c r="Z1095" s="267"/>
      <c r="AA1095" s="267"/>
      <c r="AB1095" s="267"/>
      <c r="AC1095" s="267"/>
      <c r="AD1095" s="268"/>
      <c r="AE1095" s="269"/>
    </row>
    <row r="1096" spans="1:31" ht="57.75" thickBot="1">
      <c r="A1096" s="390"/>
      <c r="B1096" s="404"/>
      <c r="C1096" s="409" t="s">
        <v>197</v>
      </c>
      <c r="D1096" s="410">
        <f t="shared" ref="D1096:L1096" si="360">IF(((D1094="")*AND(D1095="")),"",(D1094-D1095)*3)</f>
        <v>7143</v>
      </c>
      <c r="E1096" s="410">
        <f t="shared" si="360"/>
        <v>6951</v>
      </c>
      <c r="F1096" s="410">
        <f t="shared" si="360"/>
        <v>7020</v>
      </c>
      <c r="G1096" s="410">
        <f t="shared" si="360"/>
        <v>7083</v>
      </c>
      <c r="H1096" s="410">
        <f t="shared" si="360"/>
        <v>7131</v>
      </c>
      <c r="I1096" s="410">
        <f t="shared" si="360"/>
        <v>7059</v>
      </c>
      <c r="J1096" s="410">
        <f t="shared" si="360"/>
        <v>6975</v>
      </c>
      <c r="K1096" s="410">
        <f t="shared" si="360"/>
        <v>6942</v>
      </c>
      <c r="L1096" s="410">
        <f t="shared" si="360"/>
        <v>6933</v>
      </c>
      <c r="M1096" s="410"/>
      <c r="N1096" s="410"/>
      <c r="O1096" s="410"/>
      <c r="P1096" s="410" t="str">
        <f>IF(((P1094="")*AND(P1095="")),"",(P1094-P1095)*2)</f>
        <v/>
      </c>
      <c r="Q1096" s="404"/>
      <c r="R1096" s="404"/>
      <c r="S1096" s="404"/>
      <c r="T1096" s="404"/>
      <c r="U1096" s="404"/>
      <c r="V1096" s="407"/>
      <c r="W1096" s="404"/>
      <c r="X1096" s="417"/>
      <c r="Y1096" s="268"/>
      <c r="Z1096" s="267"/>
      <c r="AA1096" s="267"/>
      <c r="AB1096" s="267"/>
      <c r="AC1096" s="267"/>
      <c r="AD1096" s="268"/>
      <c r="AE1096" s="269"/>
    </row>
    <row r="1097" spans="1:31" ht="15.75">
      <c r="A1097" s="344">
        <v>43888</v>
      </c>
      <c r="B1097" s="409" t="s">
        <v>200</v>
      </c>
      <c r="C1097" s="409" t="s">
        <v>199</v>
      </c>
      <c r="D1097" s="425">
        <v>6733</v>
      </c>
      <c r="E1097" s="425">
        <v>6789</v>
      </c>
      <c r="F1097" s="425">
        <v>6722</v>
      </c>
      <c r="G1097" s="425">
        <v>6791</v>
      </c>
      <c r="H1097" s="425">
        <v>6746</v>
      </c>
      <c r="I1097" s="425">
        <v>6758</v>
      </c>
      <c r="J1097" s="425">
        <v>6859</v>
      </c>
      <c r="K1097" s="425">
        <v>6882</v>
      </c>
      <c r="L1097" s="425">
        <v>6799</v>
      </c>
      <c r="M1097" s="425">
        <v>6901</v>
      </c>
      <c r="N1097" s="425">
        <v>6872</v>
      </c>
      <c r="O1097" s="425">
        <v>6835</v>
      </c>
      <c r="P1097" s="425">
        <v>6823</v>
      </c>
      <c r="Q1097" s="409">
        <f>IF((L1098=""),"",MAX(D1099:P1099))</f>
        <v>5456</v>
      </c>
      <c r="R1097" s="409">
        <f>IF(L1098="","",MIN(D1099:L1099))</f>
        <v>5372</v>
      </c>
      <c r="S1097" s="400">
        <f>IF((P1099=""),"",AVERAGE(D1099:P1099))</f>
        <v>5418.7692307692305</v>
      </c>
      <c r="T1097" s="412">
        <f>IF((L1098=""),"",(Q1097-R1097)/(Q1097+R1097)*100)</f>
        <v>0.77576653121536754</v>
      </c>
      <c r="U1097" s="409">
        <f>STDEV(D1099:P1099)</f>
        <v>30.227343708814033</v>
      </c>
      <c r="V1097" s="413" t="str">
        <f>IF(P1098="","",IF(T1097&lt;2.7,IF(S1097&gt;5150,IF(S1097&lt;5600,"Pass","Fail"),"Fail"),"Fail"))</f>
        <v>Pass</v>
      </c>
      <c r="W1097" s="409">
        <v>121</v>
      </c>
      <c r="X1097" s="402"/>
      <c r="Y1097" s="268"/>
      <c r="Z1097" s="321">
        <v>4470</v>
      </c>
      <c r="AA1097" s="321">
        <v>6020</v>
      </c>
      <c r="AB1097" s="321">
        <v>5150</v>
      </c>
      <c r="AC1097" s="321">
        <v>5600</v>
      </c>
      <c r="AD1097" s="305">
        <v>10</v>
      </c>
      <c r="AE1097" s="322">
        <v>2.7</v>
      </c>
    </row>
    <row r="1098" spans="1:31" ht="15">
      <c r="A1098" s="390"/>
      <c r="B1098" s="404"/>
      <c r="C1098" s="404" t="s">
        <v>198</v>
      </c>
      <c r="D1098" s="306">
        <v>4040</v>
      </c>
      <c r="E1098" s="306">
        <v>4097</v>
      </c>
      <c r="F1098" s="306">
        <v>4033</v>
      </c>
      <c r="G1098" s="306">
        <v>4075</v>
      </c>
      <c r="H1098" s="306">
        <v>4039</v>
      </c>
      <c r="I1098" s="306">
        <v>4031</v>
      </c>
      <c r="J1098" s="306">
        <v>4134</v>
      </c>
      <c r="K1098" s="306">
        <v>4160</v>
      </c>
      <c r="L1098" s="306">
        <v>4113</v>
      </c>
      <c r="M1098" s="306">
        <v>4173</v>
      </c>
      <c r="N1098" s="306">
        <v>4159</v>
      </c>
      <c r="O1098" s="306">
        <v>4129</v>
      </c>
      <c r="P1098" s="306">
        <v>4105</v>
      </c>
      <c r="Q1098" s="404"/>
      <c r="R1098" s="404"/>
      <c r="S1098" s="404"/>
      <c r="T1098" s="404"/>
      <c r="U1098" s="404"/>
      <c r="V1098" s="407"/>
      <c r="W1098" s="404"/>
      <c r="X1098" s="408"/>
      <c r="Y1098" s="268"/>
      <c r="Z1098" s="267"/>
      <c r="AA1098" s="267"/>
      <c r="AB1098" s="267"/>
      <c r="AC1098" s="267"/>
      <c r="AD1098" s="268"/>
      <c r="AE1098" s="269"/>
    </row>
    <row r="1099" spans="1:31" ht="57.75" thickBot="1">
      <c r="A1099" s="393"/>
      <c r="B1099" s="414"/>
      <c r="C1099" s="414" t="s">
        <v>197</v>
      </c>
      <c r="D1099" s="415">
        <f t="shared" ref="D1099:P1099" si="361">IF(((D1097="")*AND(D1098="")),"",(D1097-D1098)*2)</f>
        <v>5386</v>
      </c>
      <c r="E1099" s="415">
        <f t="shared" si="361"/>
        <v>5384</v>
      </c>
      <c r="F1099" s="415">
        <f t="shared" si="361"/>
        <v>5378</v>
      </c>
      <c r="G1099" s="415">
        <f t="shared" si="361"/>
        <v>5432</v>
      </c>
      <c r="H1099" s="415">
        <f t="shared" si="361"/>
        <v>5414</v>
      </c>
      <c r="I1099" s="415">
        <f t="shared" si="361"/>
        <v>5454</v>
      </c>
      <c r="J1099" s="415">
        <f t="shared" si="361"/>
        <v>5450</v>
      </c>
      <c r="K1099" s="415">
        <f t="shared" si="361"/>
        <v>5444</v>
      </c>
      <c r="L1099" s="415">
        <f t="shared" si="361"/>
        <v>5372</v>
      </c>
      <c r="M1099" s="415">
        <f t="shared" si="361"/>
        <v>5456</v>
      </c>
      <c r="N1099" s="415">
        <f t="shared" si="361"/>
        <v>5426</v>
      </c>
      <c r="O1099" s="415">
        <f t="shared" si="361"/>
        <v>5412</v>
      </c>
      <c r="P1099" s="415">
        <f t="shared" si="361"/>
        <v>5436</v>
      </c>
      <c r="Q1099" s="414"/>
      <c r="R1099" s="414"/>
      <c r="S1099" s="414"/>
      <c r="T1099" s="414"/>
      <c r="U1099" s="414"/>
      <c r="V1099" s="416"/>
      <c r="W1099" s="414"/>
      <c r="X1099" s="417"/>
      <c r="Y1099" s="268"/>
      <c r="Z1099" s="267"/>
      <c r="AA1099" s="267"/>
      <c r="AB1099" s="267"/>
      <c r="AC1099" s="267"/>
      <c r="AD1099" s="268"/>
      <c r="AE1099" s="269"/>
    </row>
    <row r="1100" spans="1:31" ht="15.75">
      <c r="A1100" s="344">
        <v>43892</v>
      </c>
      <c r="B1100" s="395" t="s">
        <v>202</v>
      </c>
      <c r="C1100" s="396" t="s">
        <v>199</v>
      </c>
      <c r="D1100" s="425">
        <v>6397</v>
      </c>
      <c r="E1100" s="425">
        <v>6437</v>
      </c>
      <c r="F1100" s="425">
        <v>6470</v>
      </c>
      <c r="G1100" s="425">
        <v>6443</v>
      </c>
      <c r="H1100" s="425">
        <v>6442</v>
      </c>
      <c r="I1100" s="425">
        <v>6454</v>
      </c>
      <c r="J1100" s="425">
        <v>6458</v>
      </c>
      <c r="K1100" s="425">
        <v>6285</v>
      </c>
      <c r="L1100" s="425">
        <v>6317</v>
      </c>
      <c r="M1100" s="398"/>
      <c r="N1100" s="398"/>
      <c r="O1100" s="398"/>
      <c r="P1100" s="398"/>
      <c r="Q1100" s="395">
        <f>IF((L1101=""),"",MAX(D1102:L1102))</f>
        <v>7080</v>
      </c>
      <c r="R1100" s="395">
        <f>IF(L1101="","",MIN(D1102:L1102))</f>
        <v>6660</v>
      </c>
      <c r="S1100" s="399">
        <f>IF((L1102=""),"",AVERAGE(D1102:L1102))</f>
        <v>6788.333333333333</v>
      </c>
      <c r="T1100" s="400">
        <f>IF((L1101=""),"",(Q1100-R1100)/(Q1100+R1100)*100)</f>
        <v>3.0567685589519651</v>
      </c>
      <c r="U1100" s="395">
        <f>STDEV(D1102:P1102)</f>
        <v>148.18738137911743</v>
      </c>
      <c r="V1100" s="401" t="str">
        <f>IF(L1101="","",IF(T1100&lt;9.8,IF(S1100&gt;5100,IF(S1100&lt;8300,"Pass","Fail"),"Fail"),"Fail"))</f>
        <v>Pass</v>
      </c>
      <c r="W1100" s="395">
        <v>1340</v>
      </c>
      <c r="X1100" s="402"/>
      <c r="Y1100" s="268"/>
      <c r="Z1100" s="267">
        <v>4955</v>
      </c>
      <c r="AA1100" s="267">
        <v>9645</v>
      </c>
      <c r="AB1100" s="267">
        <v>5100</v>
      </c>
      <c r="AC1100" s="267">
        <v>8300</v>
      </c>
      <c r="AD1100" s="305">
        <v>10</v>
      </c>
      <c r="AE1100" s="305">
        <v>9.8000000000000007</v>
      </c>
    </row>
    <row r="1101" spans="1:31" ht="15">
      <c r="A1101" s="390"/>
      <c r="B1101" s="404"/>
      <c r="C1101" s="405" t="s">
        <v>198</v>
      </c>
      <c r="D1101" s="306">
        <v>4068</v>
      </c>
      <c r="E1101" s="306">
        <v>4217</v>
      </c>
      <c r="F1101" s="306">
        <v>4235</v>
      </c>
      <c r="G1101" s="306">
        <v>4196</v>
      </c>
      <c r="H1101" s="306">
        <v>4082</v>
      </c>
      <c r="I1101" s="306">
        <v>4217</v>
      </c>
      <c r="J1101" s="306">
        <v>4233</v>
      </c>
      <c r="K1101" s="306">
        <v>4047</v>
      </c>
      <c r="L1101" s="306">
        <v>4043</v>
      </c>
      <c r="M1101" s="406"/>
      <c r="N1101" s="406"/>
      <c r="O1101" s="406"/>
      <c r="P1101" s="406"/>
      <c r="Q1101" s="404"/>
      <c r="R1101" s="404"/>
      <c r="S1101" s="404"/>
      <c r="T1101" s="404"/>
      <c r="U1101" s="404"/>
      <c r="V1101" s="407"/>
      <c r="W1101" s="404"/>
      <c r="X1101" s="408"/>
      <c r="Y1101" s="268"/>
      <c r="Z1101" s="267"/>
      <c r="AA1101" s="267"/>
      <c r="AB1101" s="267"/>
      <c r="AC1101" s="267"/>
      <c r="AD1101" s="268"/>
      <c r="AE1101" s="269"/>
    </row>
    <row r="1102" spans="1:31" ht="57.75" thickBot="1">
      <c r="A1102" s="390"/>
      <c r="B1102" s="404"/>
      <c r="C1102" s="409" t="s">
        <v>197</v>
      </c>
      <c r="D1102" s="410">
        <f t="shared" ref="D1102:L1102" si="362">IF(((D1100="")*AND(D1101="")),"",(D1100-D1101)*3)</f>
        <v>6987</v>
      </c>
      <c r="E1102" s="410">
        <f t="shared" si="362"/>
        <v>6660</v>
      </c>
      <c r="F1102" s="410">
        <f t="shared" si="362"/>
        <v>6705</v>
      </c>
      <c r="G1102" s="410">
        <f t="shared" si="362"/>
        <v>6741</v>
      </c>
      <c r="H1102" s="410">
        <f t="shared" si="362"/>
        <v>7080</v>
      </c>
      <c r="I1102" s="410">
        <f t="shared" si="362"/>
        <v>6711</v>
      </c>
      <c r="J1102" s="410">
        <f t="shared" si="362"/>
        <v>6675</v>
      </c>
      <c r="K1102" s="410">
        <f t="shared" si="362"/>
        <v>6714</v>
      </c>
      <c r="L1102" s="410">
        <f t="shared" si="362"/>
        <v>6822</v>
      </c>
      <c r="M1102" s="410"/>
      <c r="N1102" s="410"/>
      <c r="O1102" s="410"/>
      <c r="P1102" s="410" t="str">
        <f>IF(((P1100="")*AND(P1101="")),"",(P1100-P1101)*2)</f>
        <v/>
      </c>
      <c r="Q1102" s="404"/>
      <c r="R1102" s="404"/>
      <c r="S1102" s="404"/>
      <c r="T1102" s="404"/>
      <c r="U1102" s="404"/>
      <c r="V1102" s="407"/>
      <c r="W1102" s="404"/>
      <c r="X1102" s="417"/>
      <c r="Y1102" s="268"/>
      <c r="Z1102" s="267"/>
      <c r="AA1102" s="267"/>
      <c r="AB1102" s="267"/>
      <c r="AC1102" s="267"/>
      <c r="AD1102" s="268"/>
      <c r="AE1102" s="269"/>
    </row>
    <row r="1103" spans="1:31" ht="15.75">
      <c r="A1103" s="344">
        <v>43892</v>
      </c>
      <c r="B1103" s="409" t="s">
        <v>200</v>
      </c>
      <c r="C1103" s="409" t="s">
        <v>199</v>
      </c>
      <c r="D1103" s="425">
        <v>6738</v>
      </c>
      <c r="E1103" s="425">
        <v>6796</v>
      </c>
      <c r="F1103" s="425">
        <v>6722</v>
      </c>
      <c r="G1103" s="425">
        <v>6799</v>
      </c>
      <c r="H1103" s="425">
        <v>6750</v>
      </c>
      <c r="I1103" s="425">
        <v>6764</v>
      </c>
      <c r="J1103" s="425">
        <v>6864</v>
      </c>
      <c r="K1103" s="425">
        <v>6885</v>
      </c>
      <c r="L1103" s="425">
        <v>6797</v>
      </c>
      <c r="M1103" s="425">
        <v>6904</v>
      </c>
      <c r="N1103" s="425">
        <v>6875</v>
      </c>
      <c r="O1103" s="425">
        <v>6833</v>
      </c>
      <c r="P1103" s="425">
        <v>6823</v>
      </c>
      <c r="Q1103" s="409">
        <f>IF((L1104=""),"",MAX(D1105:P1105))</f>
        <v>5424</v>
      </c>
      <c r="R1103" s="409">
        <f>IF(L1104="","",MIN(D1105:L1105))</f>
        <v>5340</v>
      </c>
      <c r="S1103" s="400">
        <f>IF((P1105=""),"",AVERAGE(D1105:P1105))</f>
        <v>5388.6153846153848</v>
      </c>
      <c r="T1103" s="412">
        <f>IF((L1104=""),"",(Q1103-R1103)/(Q1103+R1103)*100)</f>
        <v>0.78037904124860646</v>
      </c>
      <c r="U1103" s="409">
        <f>STDEV(D1105:P1105)</f>
        <v>29.067560560230966</v>
      </c>
      <c r="V1103" s="413" t="str">
        <f>IF(P1104="","",IF(T1103&lt;2.7,IF(S1103&gt;5150,IF(S1103&lt;5600,"Pass","Fail"),"Fail"),"Fail"))</f>
        <v>Pass</v>
      </c>
      <c r="W1103" s="409">
        <v>1340</v>
      </c>
      <c r="X1103" s="402"/>
      <c r="Y1103" s="268"/>
      <c r="Z1103" s="321">
        <v>4470</v>
      </c>
      <c r="AA1103" s="321">
        <v>6020</v>
      </c>
      <c r="AB1103" s="321">
        <v>5150</v>
      </c>
      <c r="AC1103" s="321">
        <v>5600</v>
      </c>
      <c r="AD1103" s="305">
        <v>10</v>
      </c>
      <c r="AE1103" s="322">
        <v>2.7</v>
      </c>
    </row>
    <row r="1104" spans="1:31" ht="15">
      <c r="A1104" s="390"/>
      <c r="B1104" s="404"/>
      <c r="C1104" s="404" t="s">
        <v>198</v>
      </c>
      <c r="D1104" s="306">
        <v>4062</v>
      </c>
      <c r="E1104" s="306">
        <v>4112</v>
      </c>
      <c r="F1104" s="306">
        <v>4052</v>
      </c>
      <c r="G1104" s="306">
        <v>4100</v>
      </c>
      <c r="H1104" s="306">
        <v>4053</v>
      </c>
      <c r="I1104" s="306">
        <v>4052</v>
      </c>
      <c r="J1104" s="306">
        <v>4158</v>
      </c>
      <c r="K1104" s="306">
        <v>4181</v>
      </c>
      <c r="L1104" s="306">
        <v>4125</v>
      </c>
      <c r="M1104" s="306">
        <v>4193</v>
      </c>
      <c r="N1104" s="306">
        <v>4173</v>
      </c>
      <c r="O1104" s="306">
        <v>4143</v>
      </c>
      <c r="P1104" s="306">
        <v>4120</v>
      </c>
      <c r="Q1104" s="404"/>
      <c r="R1104" s="404"/>
      <c r="S1104" s="404"/>
      <c r="T1104" s="404"/>
      <c r="U1104" s="404"/>
      <c r="V1104" s="407"/>
      <c r="W1104" s="404"/>
      <c r="X1104" s="408"/>
      <c r="Y1104" s="268"/>
      <c r="Z1104" s="267"/>
      <c r="AA1104" s="267"/>
      <c r="AB1104" s="267"/>
      <c r="AC1104" s="267"/>
      <c r="AD1104" s="268"/>
      <c r="AE1104" s="269"/>
    </row>
    <row r="1105" spans="1:31" ht="57.75" thickBot="1">
      <c r="A1105" s="393"/>
      <c r="B1105" s="414"/>
      <c r="C1105" s="414" t="s">
        <v>197</v>
      </c>
      <c r="D1105" s="415">
        <f t="shared" ref="D1105:P1105" si="363">IF(((D1103="")*AND(D1104="")),"",(D1103-D1104)*2)</f>
        <v>5352</v>
      </c>
      <c r="E1105" s="415">
        <f t="shared" si="363"/>
        <v>5368</v>
      </c>
      <c r="F1105" s="415">
        <f t="shared" si="363"/>
        <v>5340</v>
      </c>
      <c r="G1105" s="415">
        <f t="shared" si="363"/>
        <v>5398</v>
      </c>
      <c r="H1105" s="415">
        <f t="shared" si="363"/>
        <v>5394</v>
      </c>
      <c r="I1105" s="415">
        <f t="shared" si="363"/>
        <v>5424</v>
      </c>
      <c r="J1105" s="415">
        <f t="shared" si="363"/>
        <v>5412</v>
      </c>
      <c r="K1105" s="415">
        <f t="shared" si="363"/>
        <v>5408</v>
      </c>
      <c r="L1105" s="415">
        <f t="shared" si="363"/>
        <v>5344</v>
      </c>
      <c r="M1105" s="415">
        <f t="shared" si="363"/>
        <v>5422</v>
      </c>
      <c r="N1105" s="415">
        <f t="shared" si="363"/>
        <v>5404</v>
      </c>
      <c r="O1105" s="415">
        <f t="shared" si="363"/>
        <v>5380</v>
      </c>
      <c r="P1105" s="415">
        <f t="shared" si="363"/>
        <v>5406</v>
      </c>
      <c r="Q1105" s="414"/>
      <c r="R1105" s="414"/>
      <c r="S1105" s="414"/>
      <c r="T1105" s="414"/>
      <c r="U1105" s="414"/>
      <c r="V1105" s="416"/>
      <c r="W1105" s="414"/>
      <c r="X1105" s="417"/>
      <c r="Y1105" s="268"/>
      <c r="Z1105" s="267"/>
      <c r="AA1105" s="267"/>
      <c r="AB1105" s="267"/>
      <c r="AC1105" s="267"/>
      <c r="AD1105" s="268"/>
      <c r="AE1105" s="269"/>
    </row>
    <row r="1106" spans="1:31" ht="15.75">
      <c r="A1106" s="344">
        <v>43899</v>
      </c>
      <c r="B1106" s="395" t="s">
        <v>202</v>
      </c>
      <c r="C1106" s="396" t="s">
        <v>199</v>
      </c>
      <c r="D1106">
        <v>6353.43</v>
      </c>
      <c r="E1106">
        <v>6431.4</v>
      </c>
      <c r="F1106">
        <v>6463.23</v>
      </c>
      <c r="G1106">
        <v>6431.23</v>
      </c>
      <c r="H1106">
        <v>6302.57</v>
      </c>
      <c r="I1106">
        <v>6451.51</v>
      </c>
      <c r="J1106">
        <v>6457.78</v>
      </c>
      <c r="K1106">
        <v>6279.72</v>
      </c>
      <c r="L1106">
        <v>6310.19</v>
      </c>
      <c r="M1106" s="398"/>
      <c r="N1106" s="398"/>
      <c r="O1106" s="398"/>
      <c r="P1106" s="398"/>
      <c r="Q1106" s="395">
        <f>IF((L1107=""),"",MAX(D1108:L1108))</f>
        <v>8084.3399999999992</v>
      </c>
      <c r="R1106" s="395">
        <f>IF(L1107="","",MIN(D1108:L1108))</f>
        <v>7759.9199999999983</v>
      </c>
      <c r="S1106" s="399">
        <f>IF((L1108=""),"",AVERAGE(D1108:L1108))</f>
        <v>7856.333333333333</v>
      </c>
      <c r="T1106" s="400">
        <f>IF((L1107=""),"",(Q1106-R1106)/(Q1106+R1106)*100)</f>
        <v>2.0475553922998047</v>
      </c>
      <c r="U1106" s="395">
        <f>STDEV(D1108:P1108)</f>
        <v>121.92063832667193</v>
      </c>
      <c r="V1106" s="401" t="str">
        <f>IF(L1107="","",IF(T1106&lt;9.8,IF(S1106&gt;5100,IF(S1106&lt;8300,"Pass","Fail"),"Fail"),"Fail"))</f>
        <v>Pass</v>
      </c>
      <c r="W1106" s="395" t="s">
        <v>233</v>
      </c>
      <c r="X1106" s="402"/>
      <c r="Y1106" s="268"/>
      <c r="Z1106" s="267">
        <v>4955</v>
      </c>
      <c r="AA1106" s="267">
        <v>9645</v>
      </c>
      <c r="AB1106" s="267">
        <v>5100</v>
      </c>
      <c r="AC1106" s="267">
        <v>8300</v>
      </c>
      <c r="AD1106" s="305">
        <v>10</v>
      </c>
      <c r="AE1106" s="305">
        <v>9.8000000000000007</v>
      </c>
    </row>
    <row r="1107" spans="1:31" ht="15.75">
      <c r="A1107" s="390"/>
      <c r="B1107" s="404"/>
      <c r="C1107" s="405" t="s">
        <v>198</v>
      </c>
      <c r="D1107">
        <v>3675.81</v>
      </c>
      <c r="E1107">
        <v>3844.76</v>
      </c>
      <c r="F1107">
        <v>3867.25</v>
      </c>
      <c r="G1107">
        <v>3836.38</v>
      </c>
      <c r="H1107">
        <v>3670.16</v>
      </c>
      <c r="I1107">
        <v>3851.68</v>
      </c>
      <c r="J1107">
        <v>3861.11</v>
      </c>
      <c r="K1107">
        <v>3689.5</v>
      </c>
      <c r="L1107">
        <v>3615.41</v>
      </c>
      <c r="M1107" s="406"/>
      <c r="N1107" s="406"/>
      <c r="O1107" s="406"/>
      <c r="P1107" s="406"/>
      <c r="Q1107" s="404"/>
      <c r="R1107" s="404"/>
      <c r="S1107" s="404"/>
      <c r="T1107" s="404"/>
      <c r="U1107" s="404"/>
      <c r="V1107" s="407"/>
      <c r="W1107" s="404"/>
      <c r="X1107" s="408"/>
      <c r="Y1107" s="268"/>
      <c r="Z1107" s="267"/>
      <c r="AA1107" s="267"/>
      <c r="AB1107" s="267"/>
      <c r="AC1107" s="267"/>
      <c r="AD1107" s="268"/>
      <c r="AE1107" s="269"/>
    </row>
    <row r="1108" spans="1:31" ht="57.75" thickBot="1">
      <c r="A1108" s="390"/>
      <c r="B1108" s="404"/>
      <c r="C1108" s="409" t="s">
        <v>197</v>
      </c>
      <c r="D1108" s="410">
        <f t="shared" ref="D1108:L1108" si="364">IF(((D1106="")*AND(D1107="")),"",(D1106-D1107)*3)</f>
        <v>8032.8600000000006</v>
      </c>
      <c r="E1108" s="410">
        <f t="shared" si="364"/>
        <v>7759.9199999999983</v>
      </c>
      <c r="F1108" s="410">
        <f t="shared" si="364"/>
        <v>7787.9399999999987</v>
      </c>
      <c r="G1108" s="410">
        <f t="shared" si="364"/>
        <v>7784.5499999999984</v>
      </c>
      <c r="H1108" s="410">
        <f t="shared" si="364"/>
        <v>7897.23</v>
      </c>
      <c r="I1108" s="410">
        <f t="shared" si="364"/>
        <v>7799.4900000000016</v>
      </c>
      <c r="J1108" s="410">
        <f t="shared" si="364"/>
        <v>7790.0099999999984</v>
      </c>
      <c r="K1108" s="410">
        <f t="shared" si="364"/>
        <v>7770.6600000000008</v>
      </c>
      <c r="L1108" s="410">
        <f t="shared" si="364"/>
        <v>8084.3399999999992</v>
      </c>
      <c r="M1108" s="410"/>
      <c r="N1108" s="410"/>
      <c r="O1108" s="410"/>
      <c r="P1108" s="410" t="str">
        <f>IF(((P1106="")*AND(P1107="")),"",(P1106-P1107)*2)</f>
        <v/>
      </c>
      <c r="Q1108" s="404"/>
      <c r="R1108" s="404"/>
      <c r="S1108" s="404"/>
      <c r="T1108" s="404"/>
      <c r="U1108" s="404"/>
      <c r="V1108" s="407"/>
      <c r="W1108" s="404"/>
      <c r="X1108" s="417"/>
      <c r="Y1108" s="268"/>
      <c r="Z1108" s="267"/>
      <c r="AA1108" s="267"/>
      <c r="AB1108" s="267"/>
      <c r="AC1108" s="267"/>
      <c r="AD1108" s="268"/>
      <c r="AE1108" s="269"/>
    </row>
    <row r="1109" spans="1:31" ht="15.75">
      <c r="A1109" s="344">
        <v>43899</v>
      </c>
      <c r="B1109" s="409" t="s">
        <v>200</v>
      </c>
      <c r="C1109" s="409" t="s">
        <v>199</v>
      </c>
      <c r="D1109">
        <v>6738.74</v>
      </c>
      <c r="E1109">
        <v>6796.54</v>
      </c>
      <c r="F1109">
        <v>6722.16</v>
      </c>
      <c r="G1109">
        <v>6799.66</v>
      </c>
      <c r="H1109">
        <v>6750.61</v>
      </c>
      <c r="I1109">
        <v>6764.55</v>
      </c>
      <c r="J1109">
        <v>6864.38</v>
      </c>
      <c r="K1109">
        <v>6885.96</v>
      </c>
      <c r="L1109">
        <v>6797.39</v>
      </c>
      <c r="M1109">
        <v>6904.64</v>
      </c>
      <c r="N1109">
        <v>6875.78</v>
      </c>
      <c r="O1109">
        <v>6833.41</v>
      </c>
      <c r="P1109">
        <v>6823.77</v>
      </c>
      <c r="Q1109" s="409">
        <f>IF((L1110=""),"",MAX(D1111:P1111))</f>
        <v>5712.92</v>
      </c>
      <c r="R1109" s="409">
        <f>IF(L1110="","",MIN(D1111:L1111))</f>
        <v>5556.12</v>
      </c>
      <c r="S1109" s="400">
        <f>IF((P1111=""),"",AVERAGE(D1111:P1111))</f>
        <v>5634.7692307692305</v>
      </c>
      <c r="T1109" s="412">
        <f>IF((L1110=""),"",(Q1109-R1109)/(Q1109+R1109)*100)</f>
        <v>1.3914228718684127</v>
      </c>
      <c r="U1109" s="409">
        <f>STDEV(D1111:P1111)</f>
        <v>58.942946208050721</v>
      </c>
      <c r="V1109" s="413" t="str">
        <f>IF(P1110="","",IF(T1109&lt;2.7,IF(S1109&gt;5150,IF(S1109&lt;5600,"Pass","Fail"),"Fail"),"Fail"))</f>
        <v>Fail</v>
      </c>
      <c r="W1109" s="409" t="s">
        <v>233</v>
      </c>
      <c r="X1109" s="402"/>
      <c r="Y1109" s="268" t="s">
        <v>482</v>
      </c>
      <c r="Z1109" s="321">
        <v>4470</v>
      </c>
      <c r="AA1109" s="321">
        <v>6020</v>
      </c>
      <c r="AB1109" s="321">
        <v>5150</v>
      </c>
      <c r="AC1109" s="321">
        <v>5600</v>
      </c>
      <c r="AD1109" s="305">
        <v>10</v>
      </c>
      <c r="AE1109" s="322">
        <v>2.7</v>
      </c>
    </row>
    <row r="1110" spans="1:31" ht="15.75">
      <c r="A1110" s="390"/>
      <c r="B1110" s="404"/>
      <c r="C1110" s="404" t="s">
        <v>198</v>
      </c>
      <c r="D1110">
        <v>3960.68</v>
      </c>
      <c r="E1110">
        <v>4004.75</v>
      </c>
      <c r="F1110">
        <v>3938.9</v>
      </c>
      <c r="G1110">
        <v>3950.95</v>
      </c>
      <c r="H1110">
        <v>3954.6</v>
      </c>
      <c r="I1110">
        <v>3926.21</v>
      </c>
      <c r="J1110">
        <v>4007.92</v>
      </c>
      <c r="K1110">
        <v>4031.09</v>
      </c>
      <c r="L1110">
        <v>4006.21</v>
      </c>
      <c r="M1110">
        <v>4049.51</v>
      </c>
      <c r="N1110">
        <v>4063.65</v>
      </c>
      <c r="O1110">
        <v>4022.99</v>
      </c>
      <c r="P1110">
        <v>4014.13</v>
      </c>
      <c r="Q1110" s="404"/>
      <c r="R1110" s="404"/>
      <c r="S1110" s="404"/>
      <c r="T1110" s="404"/>
      <c r="U1110" s="404"/>
      <c r="V1110" s="407"/>
      <c r="W1110" s="404"/>
      <c r="X1110" s="408"/>
      <c r="Y1110" s="268"/>
      <c r="Z1110" s="267"/>
      <c r="AA1110" s="267"/>
      <c r="AB1110" s="267"/>
      <c r="AC1110" s="267"/>
      <c r="AD1110" s="268"/>
      <c r="AE1110" s="269"/>
    </row>
    <row r="1111" spans="1:31" ht="57.75" thickBot="1">
      <c r="A1111" s="393"/>
      <c r="B1111" s="414"/>
      <c r="C1111" s="414" t="s">
        <v>197</v>
      </c>
      <c r="D1111" s="415">
        <f t="shared" ref="D1111:P1111" si="365">IF(((D1109="")*AND(D1110="")),"",(D1109-D1110)*2)</f>
        <v>5556.12</v>
      </c>
      <c r="E1111" s="415">
        <f t="shared" si="365"/>
        <v>5583.58</v>
      </c>
      <c r="F1111" s="415">
        <f t="shared" si="365"/>
        <v>5566.5199999999995</v>
      </c>
      <c r="G1111" s="415">
        <f t="shared" si="365"/>
        <v>5697.42</v>
      </c>
      <c r="H1111" s="415">
        <f t="shared" si="365"/>
        <v>5592.0199999999995</v>
      </c>
      <c r="I1111" s="415">
        <f t="shared" si="365"/>
        <v>5676.68</v>
      </c>
      <c r="J1111" s="415">
        <f t="shared" si="365"/>
        <v>5712.92</v>
      </c>
      <c r="K1111" s="415">
        <f t="shared" si="365"/>
        <v>5709.74</v>
      </c>
      <c r="L1111" s="415">
        <f t="shared" si="365"/>
        <v>5582.3600000000006</v>
      </c>
      <c r="M1111" s="415">
        <f t="shared" si="365"/>
        <v>5710.26</v>
      </c>
      <c r="N1111" s="415">
        <f t="shared" si="365"/>
        <v>5624.2599999999993</v>
      </c>
      <c r="O1111" s="415">
        <f t="shared" si="365"/>
        <v>5620.84</v>
      </c>
      <c r="P1111" s="415">
        <f t="shared" si="365"/>
        <v>5619.2800000000007</v>
      </c>
      <c r="Q1111" s="414"/>
      <c r="R1111" s="414"/>
      <c r="S1111" s="414"/>
      <c r="T1111" s="414"/>
      <c r="U1111" s="414"/>
      <c r="V1111" s="416"/>
      <c r="W1111" s="414"/>
      <c r="X1111" s="417"/>
      <c r="Y1111" s="268"/>
      <c r="Z1111" s="267"/>
      <c r="AA1111" s="267"/>
      <c r="AB1111" s="267"/>
      <c r="AC1111" s="267"/>
      <c r="AD1111" s="268"/>
      <c r="AE1111" s="269"/>
    </row>
    <row r="1112" spans="1:31" ht="15.75">
      <c r="A1112" s="344">
        <v>43899</v>
      </c>
      <c r="B1112" s="409" t="s">
        <v>200</v>
      </c>
      <c r="C1112" s="409" t="s">
        <v>199</v>
      </c>
      <c r="D1112" s="425">
        <v>6728.26</v>
      </c>
      <c r="E1112" s="425">
        <v>6782.4</v>
      </c>
      <c r="F1112" s="425">
        <v>6713.75</v>
      </c>
      <c r="G1112" s="425">
        <v>6781.54</v>
      </c>
      <c r="H1112" s="425">
        <v>6738.6</v>
      </c>
      <c r="I1112" s="425">
        <v>6749.3</v>
      </c>
      <c r="J1112" s="425">
        <v>6848.07</v>
      </c>
      <c r="K1112" s="425">
        <v>6874.74</v>
      </c>
      <c r="L1112" s="425">
        <v>6793.32</v>
      </c>
      <c r="M1112" s="425">
        <v>6893.53</v>
      </c>
      <c r="N1112" s="425">
        <v>6865.21</v>
      </c>
      <c r="O1112" s="425">
        <v>6830.02</v>
      </c>
      <c r="P1112" s="425">
        <v>6818.51</v>
      </c>
      <c r="Q1112" s="409">
        <f>IF((L1113=""),"",MAX(D1114:P1114))</f>
        <v>5707.9199999999992</v>
      </c>
      <c r="R1112" s="409">
        <f>IF(L1113="","",MIN(D1114:L1114))</f>
        <v>5566.7000000000007</v>
      </c>
      <c r="S1112" s="400">
        <f>IF((P1114=""),"",AVERAGE(D1114:P1114))</f>
        <v>5631.9723076923074</v>
      </c>
      <c r="T1112" s="412">
        <f>IF((L1113=""),"",(Q1112-R1112)/(Q1112+R1112)*100)</f>
        <v>1.2525477577071196</v>
      </c>
      <c r="U1112" s="409">
        <f>STDEV(D1114:P1114)</f>
        <v>51.344250271088342</v>
      </c>
      <c r="V1112" s="413" t="str">
        <f>IF(P1113="","",IF(T1112&lt;2.7,IF(S1112&gt;5150,IF(S1112&lt;5600,"Pass","Fail"),"Fail"),"Fail"))</f>
        <v>Fail</v>
      </c>
      <c r="W1112" s="409">
        <v>1428</v>
      </c>
      <c r="X1112" s="402"/>
      <c r="Y1112" s="268"/>
      <c r="Z1112" s="321">
        <v>4470</v>
      </c>
      <c r="AA1112" s="321">
        <v>6020</v>
      </c>
      <c r="AB1112" s="321">
        <v>5150</v>
      </c>
      <c r="AC1112" s="321">
        <v>5600</v>
      </c>
      <c r="AD1112" s="305">
        <v>10</v>
      </c>
      <c r="AE1112" s="322">
        <v>2.7</v>
      </c>
    </row>
    <row r="1113" spans="1:31" ht="15.75">
      <c r="A1113" s="390"/>
      <c r="B1113" s="404"/>
      <c r="C1113" s="404" t="s">
        <v>198</v>
      </c>
      <c r="D1113" s="425">
        <v>3944.91</v>
      </c>
      <c r="E1113" s="425">
        <v>3992.74</v>
      </c>
      <c r="F1113" s="425">
        <v>3930.13</v>
      </c>
      <c r="G1113" s="425">
        <v>3943.93</v>
      </c>
      <c r="H1113" s="425">
        <v>3944.31</v>
      </c>
      <c r="I1113" s="425">
        <v>3915.88</v>
      </c>
      <c r="J1113" s="425">
        <v>4003.01</v>
      </c>
      <c r="K1113" s="425">
        <v>4024.44</v>
      </c>
      <c r="L1113" s="425">
        <v>3996.32</v>
      </c>
      <c r="M1113" s="425">
        <v>4039.57</v>
      </c>
      <c r="N1113" s="425">
        <v>4054.46</v>
      </c>
      <c r="O1113" s="425">
        <v>4014.39</v>
      </c>
      <c r="P1113" s="425">
        <v>4005.34</v>
      </c>
      <c r="Q1113" s="404"/>
      <c r="R1113" s="404"/>
      <c r="S1113" s="404"/>
      <c r="T1113" s="404"/>
      <c r="U1113" s="404"/>
      <c r="V1113" s="407"/>
      <c r="W1113" s="404"/>
      <c r="X1113" s="408"/>
      <c r="Y1113" s="268"/>
      <c r="Z1113" s="267"/>
      <c r="AA1113" s="267"/>
      <c r="AB1113" s="267"/>
      <c r="AC1113" s="267"/>
      <c r="AD1113" s="268"/>
      <c r="AE1113" s="269"/>
    </row>
    <row r="1114" spans="1:31" ht="57.75" thickBot="1">
      <c r="A1114" s="393"/>
      <c r="B1114" s="414"/>
      <c r="C1114" s="414" t="s">
        <v>197</v>
      </c>
      <c r="D1114" s="415">
        <f t="shared" ref="D1114:P1114" si="366">IF(((D1112="")*AND(D1113="")),"",(D1112-D1113)*2)</f>
        <v>5566.7000000000007</v>
      </c>
      <c r="E1114" s="415">
        <f t="shared" si="366"/>
        <v>5579.32</v>
      </c>
      <c r="F1114" s="415">
        <f t="shared" si="366"/>
        <v>5567.24</v>
      </c>
      <c r="G1114" s="415">
        <f t="shared" si="366"/>
        <v>5675.22</v>
      </c>
      <c r="H1114" s="415">
        <f t="shared" si="366"/>
        <v>5588.5800000000008</v>
      </c>
      <c r="I1114" s="415">
        <f t="shared" si="366"/>
        <v>5666.84</v>
      </c>
      <c r="J1114" s="415">
        <f t="shared" si="366"/>
        <v>5690.119999999999</v>
      </c>
      <c r="K1114" s="415">
        <f t="shared" si="366"/>
        <v>5700.5999999999995</v>
      </c>
      <c r="L1114" s="415">
        <f t="shared" si="366"/>
        <v>5593.9999999999991</v>
      </c>
      <c r="M1114" s="415">
        <f t="shared" si="366"/>
        <v>5707.9199999999992</v>
      </c>
      <c r="N1114" s="415">
        <f t="shared" si="366"/>
        <v>5621.5</v>
      </c>
      <c r="O1114" s="415">
        <f t="shared" si="366"/>
        <v>5631.2600000000011</v>
      </c>
      <c r="P1114" s="415">
        <f t="shared" si="366"/>
        <v>5626.34</v>
      </c>
      <c r="Q1114" s="414"/>
      <c r="R1114" s="414"/>
      <c r="S1114" s="414"/>
      <c r="T1114" s="414"/>
      <c r="U1114" s="414"/>
      <c r="V1114" s="416"/>
      <c r="W1114" s="414"/>
      <c r="X1114" s="417"/>
      <c r="Y1114" s="268"/>
      <c r="Z1114" s="267"/>
      <c r="AA1114" s="267"/>
      <c r="AB1114" s="267"/>
      <c r="AC1114" s="267"/>
      <c r="AD1114" s="268"/>
      <c r="AE1114" s="269"/>
    </row>
    <row r="1115" spans="1:31" ht="15.75">
      <c r="A1115" s="344">
        <v>43899</v>
      </c>
      <c r="B1115" s="409" t="s">
        <v>200</v>
      </c>
      <c r="C1115" s="409" t="s">
        <v>199</v>
      </c>
      <c r="D1115" s="425">
        <v>3944.91</v>
      </c>
      <c r="E1115" s="425">
        <v>3992.74</v>
      </c>
      <c r="F1115" s="425">
        <v>3930.13</v>
      </c>
      <c r="G1115" s="425">
        <v>3943.93</v>
      </c>
      <c r="H1115" s="425">
        <v>3944.31</v>
      </c>
      <c r="I1115" s="425">
        <v>3915.88</v>
      </c>
      <c r="J1115" s="425">
        <v>4003.01</v>
      </c>
      <c r="K1115" s="425">
        <v>4024.44</v>
      </c>
      <c r="L1115" s="425">
        <v>3996.32</v>
      </c>
      <c r="M1115" s="425">
        <v>4039.57</v>
      </c>
      <c r="N1115" s="425">
        <v>4054.46</v>
      </c>
      <c r="O1115" s="425">
        <v>4014.39</v>
      </c>
      <c r="P1115" s="425">
        <v>4005.34</v>
      </c>
      <c r="Q1115" s="409">
        <f>IF((L1116=""),"",MAX(D1117:P1117))</f>
        <v>5721.3000000000011</v>
      </c>
      <c r="R1115" s="409">
        <f>IF(L1116="","",MIN(D1117:L1117))</f>
        <v>5494</v>
      </c>
      <c r="S1115" s="400">
        <f>IF((P1117=""),"",AVERAGE(D1117:P1117))</f>
        <v>5617.0984615384614</v>
      </c>
      <c r="T1115" s="412">
        <f>IF((L1116=""),"",(Q1115-R1115)/(Q1115+R1115)*100)</f>
        <v>2.0266956746587348</v>
      </c>
      <c r="U1115" s="409">
        <f>STDEV(D1117:P1117)</f>
        <v>72.504475016610357</v>
      </c>
      <c r="V1115" s="413" t="str">
        <f>IF(P1116="","",IF(T1115&lt;2.7,IF(S1115&gt;5150,IF(S1115&lt;5600,"Pass","Fail"),"Fail"),"Fail"))</f>
        <v>Fail</v>
      </c>
      <c r="W1115" s="409">
        <v>1428</v>
      </c>
      <c r="X1115" s="402"/>
      <c r="Y1115" s="268"/>
      <c r="Z1115" s="321">
        <v>4470</v>
      </c>
      <c r="AA1115" s="321">
        <v>6020</v>
      </c>
      <c r="AB1115" s="321">
        <v>5150</v>
      </c>
      <c r="AC1115" s="321">
        <v>5600</v>
      </c>
      <c r="AD1115" s="305">
        <v>10</v>
      </c>
      <c r="AE1115" s="322">
        <v>2.7</v>
      </c>
    </row>
    <row r="1116" spans="1:31" ht="15.75">
      <c r="A1116" s="390"/>
      <c r="B1116" s="404"/>
      <c r="C1116" s="404" t="s">
        <v>198</v>
      </c>
      <c r="D1116">
        <v>1197.9100000000001</v>
      </c>
      <c r="E1116">
        <v>1221.6300000000001</v>
      </c>
      <c r="F1116">
        <v>1155.8900000000001</v>
      </c>
      <c r="G1116">
        <v>1099.1500000000001</v>
      </c>
      <c r="H1116">
        <v>1160.45</v>
      </c>
      <c r="I1116">
        <v>1092.43</v>
      </c>
      <c r="J1116">
        <v>1142.3599999999999</v>
      </c>
      <c r="K1116">
        <v>1165.3900000000001</v>
      </c>
      <c r="L1116">
        <v>1209.72</v>
      </c>
      <c r="M1116">
        <v>1193.46</v>
      </c>
      <c r="N1116">
        <v>1255.28</v>
      </c>
      <c r="O1116">
        <v>1204.3699999999999</v>
      </c>
      <c r="P1116">
        <v>1200.25</v>
      </c>
      <c r="Q1116" s="404"/>
      <c r="R1116" s="404"/>
      <c r="S1116" s="404"/>
      <c r="T1116" s="404"/>
      <c r="U1116" s="404"/>
      <c r="V1116" s="407"/>
      <c r="W1116" s="404"/>
      <c r="X1116" s="408"/>
      <c r="Y1116" s="268"/>
      <c r="Z1116" s="267"/>
      <c r="AA1116" s="267"/>
      <c r="AB1116" s="267"/>
      <c r="AC1116" s="267"/>
      <c r="AD1116" s="268"/>
      <c r="AE1116" s="269"/>
    </row>
    <row r="1117" spans="1:31" ht="57.75" thickBot="1">
      <c r="A1117" s="393"/>
      <c r="B1117" s="414"/>
      <c r="C1117" s="414" t="s">
        <v>197</v>
      </c>
      <c r="D1117" s="415">
        <f t="shared" ref="D1117:P1117" si="367">IF(((D1115="")*AND(D1116="")),"",(D1115-D1116)*2)</f>
        <v>5494</v>
      </c>
      <c r="E1117" s="415">
        <f t="shared" si="367"/>
        <v>5542.2199999999993</v>
      </c>
      <c r="F1117" s="415">
        <f t="shared" si="367"/>
        <v>5548.48</v>
      </c>
      <c r="G1117" s="415">
        <f t="shared" si="367"/>
        <v>5689.5599999999995</v>
      </c>
      <c r="H1117" s="415">
        <f t="shared" si="367"/>
        <v>5567.7199999999993</v>
      </c>
      <c r="I1117" s="415">
        <f t="shared" si="367"/>
        <v>5646.9</v>
      </c>
      <c r="J1117" s="415">
        <f t="shared" si="367"/>
        <v>5721.3000000000011</v>
      </c>
      <c r="K1117" s="415">
        <f t="shared" si="367"/>
        <v>5718.1</v>
      </c>
      <c r="L1117" s="415">
        <f t="shared" si="367"/>
        <v>5573.2000000000007</v>
      </c>
      <c r="M1117" s="415">
        <f t="shared" si="367"/>
        <v>5692.22</v>
      </c>
      <c r="N1117" s="415">
        <f t="shared" si="367"/>
        <v>5598.3600000000006</v>
      </c>
      <c r="O1117" s="415">
        <f t="shared" si="367"/>
        <v>5620.04</v>
      </c>
      <c r="P1117" s="415">
        <f t="shared" si="367"/>
        <v>5610.18</v>
      </c>
      <c r="Q1117" s="414"/>
      <c r="R1117" s="414"/>
      <c r="S1117" s="414"/>
      <c r="T1117" s="414"/>
      <c r="U1117" s="414"/>
      <c r="V1117" s="416"/>
      <c r="W1117" s="414"/>
      <c r="X1117" s="417"/>
      <c r="Y1117" s="268"/>
      <c r="Z1117" s="267"/>
      <c r="AA1117" s="267"/>
      <c r="AB1117" s="267"/>
      <c r="AC1117" s="267"/>
      <c r="AD1117" s="268"/>
      <c r="AE1117" s="269"/>
    </row>
    <row r="1118" spans="1:31" ht="15.75">
      <c r="A1118" s="344">
        <v>43899</v>
      </c>
      <c r="B1118" s="409" t="s">
        <v>200</v>
      </c>
      <c r="C1118" s="409" t="s">
        <v>199</v>
      </c>
      <c r="D1118">
        <v>6727.11</v>
      </c>
      <c r="E1118">
        <v>6783.36</v>
      </c>
      <c r="F1118">
        <v>6713.59</v>
      </c>
      <c r="G1118">
        <v>6783.91</v>
      </c>
      <c r="H1118">
        <v>6740.81</v>
      </c>
      <c r="I1118">
        <v>6752.15</v>
      </c>
      <c r="J1118">
        <v>6850.38</v>
      </c>
      <c r="K1118">
        <v>6874.41</v>
      </c>
      <c r="L1118">
        <v>6790.68</v>
      </c>
      <c r="M1118">
        <v>6895.04</v>
      </c>
      <c r="N1118">
        <v>6868.06</v>
      </c>
      <c r="O1118">
        <v>6828.73</v>
      </c>
      <c r="P1118">
        <v>6819.29</v>
      </c>
      <c r="Q1118" s="409">
        <f>IF((L1119=""),"",MAX(D1120:P1120))</f>
        <v>5700.34</v>
      </c>
      <c r="R1118" s="409">
        <f>IF(L1119="","",MIN(D1120:L1120))</f>
        <v>5546.28</v>
      </c>
      <c r="S1118" s="400">
        <f>IF((P1120=""),"",AVERAGE(D1120:P1120))</f>
        <v>5618.8892307692304</v>
      </c>
      <c r="T1118" s="412">
        <f>IF((L1119=""),"",(Q1118-R1118)/(Q1118+R1118)*100)</f>
        <v>1.3698337811715913</v>
      </c>
      <c r="U1118" s="409">
        <f>STDEV(D1120:P1120)</f>
        <v>54.09642170266298</v>
      </c>
      <c r="V1118" s="413" t="str">
        <f>IF(P1119="","",IF(T1118&lt;2.7,IF(S1118&gt;5150,IF(S1118&lt;5600,"Pass","Fail"),"Fail"),"Fail"))</f>
        <v>Fail</v>
      </c>
      <c r="W1118" s="409">
        <v>1428</v>
      </c>
      <c r="X1118" s="402"/>
      <c r="Y1118" s="268"/>
      <c r="Z1118" s="321">
        <v>4470</v>
      </c>
      <c r="AA1118" s="321">
        <v>6020</v>
      </c>
      <c r="AB1118" s="321">
        <v>5150</v>
      </c>
      <c r="AC1118" s="321">
        <v>5600</v>
      </c>
      <c r="AD1118" s="305">
        <v>10</v>
      </c>
      <c r="AE1118" s="322">
        <v>2.7</v>
      </c>
    </row>
    <row r="1119" spans="1:31" ht="15.75">
      <c r="A1119" s="390"/>
      <c r="B1119" s="404"/>
      <c r="C1119" s="404" t="s">
        <v>198</v>
      </c>
      <c r="D1119">
        <v>3953.97</v>
      </c>
      <c r="E1119">
        <v>4005.26</v>
      </c>
      <c r="F1119">
        <v>3934.04</v>
      </c>
      <c r="G1119">
        <v>3954.4</v>
      </c>
      <c r="H1119">
        <v>3954.73</v>
      </c>
      <c r="I1119">
        <v>3925.46</v>
      </c>
      <c r="J1119">
        <v>4009.57</v>
      </c>
      <c r="K1119">
        <v>4028.92</v>
      </c>
      <c r="L1119">
        <v>3999.26</v>
      </c>
      <c r="M1119">
        <v>4044.87</v>
      </c>
      <c r="N1119">
        <v>4066.4</v>
      </c>
      <c r="O1119">
        <v>4016.28</v>
      </c>
      <c r="P1119">
        <v>4011.58</v>
      </c>
      <c r="Q1119" s="404"/>
      <c r="R1119" s="404"/>
      <c r="S1119" s="404"/>
      <c r="T1119" s="404"/>
      <c r="U1119" s="404"/>
      <c r="V1119" s="407"/>
      <c r="W1119" s="404"/>
      <c r="X1119" s="408"/>
      <c r="Y1119" s="268"/>
      <c r="Z1119" s="267"/>
      <c r="AA1119" s="267"/>
      <c r="AB1119" s="267"/>
      <c r="AC1119" s="267"/>
      <c r="AD1119" s="268"/>
      <c r="AE1119" s="269"/>
    </row>
    <row r="1120" spans="1:31" ht="57.75" thickBot="1">
      <c r="A1120" s="393"/>
      <c r="B1120" s="414"/>
      <c r="C1120" s="414" t="s">
        <v>197</v>
      </c>
      <c r="D1120" s="415">
        <f t="shared" ref="D1120:P1120" si="368">IF(((D1118="")*AND(D1119="")),"",(D1118-D1119)*2)</f>
        <v>5546.28</v>
      </c>
      <c r="E1120" s="415">
        <f t="shared" si="368"/>
        <v>5556.1999999999989</v>
      </c>
      <c r="F1120" s="415">
        <f t="shared" si="368"/>
        <v>5559.1</v>
      </c>
      <c r="G1120" s="415">
        <f t="shared" si="368"/>
        <v>5659.0199999999995</v>
      </c>
      <c r="H1120" s="415">
        <f t="shared" si="368"/>
        <v>5572.1600000000008</v>
      </c>
      <c r="I1120" s="415">
        <f t="shared" si="368"/>
        <v>5653.3799999999992</v>
      </c>
      <c r="J1120" s="415">
        <f t="shared" si="368"/>
        <v>5681.62</v>
      </c>
      <c r="K1120" s="415">
        <f t="shared" si="368"/>
        <v>5690.98</v>
      </c>
      <c r="L1120" s="415">
        <f t="shared" si="368"/>
        <v>5582.84</v>
      </c>
      <c r="M1120" s="415">
        <f t="shared" si="368"/>
        <v>5700.34</v>
      </c>
      <c r="N1120" s="415">
        <f t="shared" si="368"/>
        <v>5603.3200000000006</v>
      </c>
      <c r="O1120" s="415">
        <f t="shared" si="368"/>
        <v>5624.8999999999987</v>
      </c>
      <c r="P1120" s="415">
        <f t="shared" si="368"/>
        <v>5615.42</v>
      </c>
      <c r="Q1120" s="414"/>
      <c r="R1120" s="414"/>
      <c r="S1120" s="414"/>
      <c r="T1120" s="414"/>
      <c r="U1120" s="414"/>
      <c r="V1120" s="416"/>
      <c r="W1120" s="414"/>
      <c r="X1120" s="417"/>
      <c r="Y1120" s="268"/>
      <c r="Z1120" s="267"/>
      <c r="AA1120" s="267"/>
      <c r="AB1120" s="267"/>
      <c r="AC1120" s="267"/>
      <c r="AD1120" s="268"/>
      <c r="AE1120" s="269"/>
    </row>
    <row r="1121" spans="1:31" ht="15.75">
      <c r="A1121" s="344">
        <v>43900</v>
      </c>
      <c r="B1121" s="409" t="s">
        <v>200</v>
      </c>
      <c r="C1121" s="409" t="s">
        <v>199</v>
      </c>
      <c r="D1121">
        <v>3953.97</v>
      </c>
      <c r="E1121">
        <v>4005.26</v>
      </c>
      <c r="F1121">
        <v>3934.04</v>
      </c>
      <c r="G1121">
        <v>3954.4</v>
      </c>
      <c r="H1121">
        <v>3954.73</v>
      </c>
      <c r="I1121">
        <v>3925.46</v>
      </c>
      <c r="J1121">
        <v>4009.57</v>
      </c>
      <c r="K1121">
        <v>4028.92</v>
      </c>
      <c r="L1121">
        <v>3999.26</v>
      </c>
      <c r="M1121">
        <v>4044.87</v>
      </c>
      <c r="N1121">
        <v>4066.4</v>
      </c>
      <c r="O1121">
        <v>4016.28</v>
      </c>
      <c r="P1121">
        <v>4011.58</v>
      </c>
      <c r="Q1121" s="409">
        <f>IF((L1122=""),"",MAX(D1123:P1123))</f>
        <v>5695.9400000000005</v>
      </c>
      <c r="R1121" s="409">
        <f>IF(L1122="","",MIN(D1123:L1123))</f>
        <v>5471.6799999999994</v>
      </c>
      <c r="S1121" s="400">
        <f>IF((P1123=""),"",AVERAGE(D1123:P1123))</f>
        <v>5592.2646153846154</v>
      </c>
      <c r="T1121" s="412">
        <f>IF((L1122=""),"",(Q1121-R1121)/(Q1121+R1121)*100)</f>
        <v>2.0081270673608267</v>
      </c>
      <c r="U1121" s="409">
        <f>STDEV(D1123:P1123)</f>
        <v>71.405275787250673</v>
      </c>
      <c r="V1121" s="413" t="str">
        <f>IF(P1122="","",IF(T1121&lt;2.7,IF(S1121&gt;5150,IF(S1121&lt;5600,"Pass","Fail"),"Fail"),"Fail"))</f>
        <v>Pass</v>
      </c>
      <c r="W1121" s="409">
        <v>64</v>
      </c>
      <c r="X1121" s="402"/>
      <c r="Y1121" s="268"/>
      <c r="Z1121" s="321">
        <v>4470</v>
      </c>
      <c r="AA1121" s="321">
        <v>6020</v>
      </c>
      <c r="AB1121" s="321">
        <v>5150</v>
      </c>
      <c r="AC1121" s="321">
        <v>5600</v>
      </c>
      <c r="AD1121" s="305">
        <v>10</v>
      </c>
      <c r="AE1121" s="322">
        <v>2.7</v>
      </c>
    </row>
    <row r="1122" spans="1:31" ht="15.75">
      <c r="A1122" s="390"/>
      <c r="B1122" s="404"/>
      <c r="C1122" s="404" t="s">
        <v>198</v>
      </c>
      <c r="D1122">
        <v>1218.1300000000001</v>
      </c>
      <c r="E1122">
        <v>1247.46</v>
      </c>
      <c r="F1122">
        <v>1166.1199999999999</v>
      </c>
      <c r="G1122">
        <v>1126.67</v>
      </c>
      <c r="H1122">
        <v>1187.47</v>
      </c>
      <c r="I1122">
        <v>1117.8499999999999</v>
      </c>
      <c r="J1122">
        <v>1161.5999999999999</v>
      </c>
      <c r="K1122">
        <v>1181.6400000000001</v>
      </c>
      <c r="L1122">
        <v>1223.3699999999999</v>
      </c>
      <c r="M1122">
        <v>1209.3</v>
      </c>
      <c r="N1122">
        <v>1282.02</v>
      </c>
      <c r="O1122">
        <v>1215.6500000000001</v>
      </c>
      <c r="P1122">
        <v>1217.74</v>
      </c>
      <c r="Q1122" s="404"/>
      <c r="R1122" s="404"/>
      <c r="S1122" s="404"/>
      <c r="T1122" s="404"/>
      <c r="U1122" s="404"/>
      <c r="V1122" s="407"/>
      <c r="W1122" s="404"/>
      <c r="X1122" s="408"/>
      <c r="Y1122" s="268"/>
      <c r="Z1122" s="267"/>
      <c r="AA1122" s="267"/>
      <c r="AB1122" s="267"/>
      <c r="AC1122" s="267"/>
      <c r="AD1122" s="268"/>
      <c r="AE1122" s="269"/>
    </row>
    <row r="1123" spans="1:31" ht="57.75" thickBot="1">
      <c r="A1123" s="393"/>
      <c r="B1123" s="414"/>
      <c r="C1123" s="414" t="s">
        <v>197</v>
      </c>
      <c r="D1123" s="415">
        <f t="shared" ref="D1123:P1123" si="369">IF(((D1121="")*AND(D1122="")),"",(D1121-D1122)*2)</f>
        <v>5471.6799999999994</v>
      </c>
      <c r="E1123" s="415">
        <f t="shared" si="369"/>
        <v>5515.6</v>
      </c>
      <c r="F1123" s="415">
        <f t="shared" si="369"/>
        <v>5535.84</v>
      </c>
      <c r="G1123" s="415">
        <f t="shared" si="369"/>
        <v>5655.46</v>
      </c>
      <c r="H1123" s="415">
        <f t="shared" si="369"/>
        <v>5534.52</v>
      </c>
      <c r="I1123" s="415">
        <f t="shared" si="369"/>
        <v>5615.22</v>
      </c>
      <c r="J1123" s="415">
        <f t="shared" si="369"/>
        <v>5695.9400000000005</v>
      </c>
      <c r="K1123" s="415">
        <f t="shared" si="369"/>
        <v>5694.5599999999995</v>
      </c>
      <c r="L1123" s="415">
        <f t="shared" si="369"/>
        <v>5551.7800000000007</v>
      </c>
      <c r="M1123" s="415">
        <f t="shared" si="369"/>
        <v>5671.1399999999994</v>
      </c>
      <c r="N1123" s="415">
        <f t="shared" si="369"/>
        <v>5568.76</v>
      </c>
      <c r="O1123" s="415">
        <f t="shared" si="369"/>
        <v>5601.26</v>
      </c>
      <c r="P1123" s="415">
        <f t="shared" si="369"/>
        <v>5587.68</v>
      </c>
      <c r="Q1123" s="414"/>
      <c r="R1123" s="414"/>
      <c r="S1123" s="414"/>
      <c r="T1123" s="414"/>
      <c r="U1123" s="414"/>
      <c r="V1123" s="416"/>
      <c r="W1123" s="414"/>
      <c r="X1123" s="417"/>
      <c r="Y1123" s="268"/>
      <c r="Z1123" s="267"/>
      <c r="AA1123" s="267"/>
      <c r="AB1123" s="267"/>
      <c r="AC1123" s="267"/>
      <c r="AD1123" s="268"/>
      <c r="AE1123" s="269"/>
    </row>
    <row r="1124" spans="1:31" ht="15.75">
      <c r="A1124" s="344">
        <v>43903</v>
      </c>
      <c r="B1124" s="395" t="s">
        <v>202</v>
      </c>
      <c r="C1124" s="396" t="s">
        <v>199</v>
      </c>
      <c r="D1124" s="425">
        <v>6097.55</v>
      </c>
      <c r="E1124" s="425">
        <v>6162.16</v>
      </c>
      <c r="F1124" s="425">
        <v>6216.01</v>
      </c>
      <c r="G1124" s="425">
        <v>6159.01</v>
      </c>
      <c r="H1124" s="425">
        <v>6094.88</v>
      </c>
      <c r="I1124" s="425">
        <v>6045.62</v>
      </c>
      <c r="J1124" s="425">
        <v>6156.62</v>
      </c>
      <c r="K1124" s="425">
        <v>6192.74</v>
      </c>
      <c r="L1124" s="425">
        <v>6063.11</v>
      </c>
      <c r="M1124" s="398"/>
      <c r="N1124" s="398"/>
      <c r="O1124" s="398"/>
      <c r="P1124" s="398"/>
      <c r="Q1124" s="395">
        <f>IF((L1125=""),"",MAX(D1126:L1126))</f>
        <v>7904.37</v>
      </c>
      <c r="R1124" s="395">
        <f>IF(L1125="","",MIN(D1126:L1126))</f>
        <v>7102.86</v>
      </c>
      <c r="S1124" s="399">
        <f>IF((L1126=""),"",AVERAGE(D1126:L1126))</f>
        <v>7247.34</v>
      </c>
      <c r="T1124" s="400">
        <f>IF((L1125=""),"",(Q1124-R1124)/(Q1124+R1124)*100)</f>
        <v>5.3408257220019966</v>
      </c>
      <c r="U1124" s="395">
        <f>STDEV(D1126:P1126)</f>
        <v>252.85014366220042</v>
      </c>
      <c r="V1124" s="401" t="str">
        <f>IF(L1125="","",IF(T1124&lt;9.8,IF(S1124&gt;5100,IF(S1124&lt;8300,"Pass","Fail"),"Fail"),"Fail"))</f>
        <v>Pass</v>
      </c>
      <c r="W1124" s="395" t="s">
        <v>484</v>
      </c>
      <c r="X1124" s="402" t="s">
        <v>485</v>
      </c>
      <c r="Y1124" s="268"/>
      <c r="Z1124" s="267">
        <v>4955</v>
      </c>
      <c r="AA1124" s="267">
        <v>9645</v>
      </c>
      <c r="AB1124" s="267">
        <v>5100</v>
      </c>
      <c r="AC1124" s="267">
        <v>8300</v>
      </c>
      <c r="AD1124" s="305">
        <v>10</v>
      </c>
      <c r="AE1124" s="305">
        <v>9.8000000000000007</v>
      </c>
    </row>
    <row r="1125" spans="1:31" ht="15.75">
      <c r="A1125" s="390"/>
      <c r="B1125" s="404"/>
      <c r="C1125" s="405" t="s">
        <v>198</v>
      </c>
      <c r="D1125" s="425">
        <v>3683.83</v>
      </c>
      <c r="E1125" s="425">
        <v>3793.67</v>
      </c>
      <c r="F1125" s="425">
        <v>3816.81</v>
      </c>
      <c r="G1125" s="425">
        <v>3786.06</v>
      </c>
      <c r="H1125" s="425">
        <v>3675.31</v>
      </c>
      <c r="I1125" s="425">
        <v>3410.83</v>
      </c>
      <c r="J1125" s="425">
        <v>3789</v>
      </c>
      <c r="K1125" s="425">
        <v>3807.62</v>
      </c>
      <c r="L1125" s="425">
        <v>3682.55</v>
      </c>
      <c r="M1125" s="406"/>
      <c r="N1125" s="406"/>
      <c r="O1125" s="406"/>
      <c r="P1125" s="406"/>
      <c r="Q1125" s="404"/>
      <c r="R1125" s="404"/>
      <c r="S1125" s="404"/>
      <c r="T1125" s="404"/>
      <c r="U1125" s="404"/>
      <c r="V1125" s="407"/>
      <c r="W1125" s="404"/>
      <c r="X1125" s="408"/>
      <c r="Y1125" s="268"/>
      <c r="Z1125" s="267"/>
      <c r="AA1125" s="267"/>
      <c r="AB1125" s="267"/>
      <c r="AC1125" s="267"/>
      <c r="AD1125" s="268"/>
      <c r="AE1125" s="269"/>
    </row>
    <row r="1126" spans="1:31" ht="57.75" thickBot="1">
      <c r="A1126" s="390"/>
      <c r="B1126" s="404"/>
      <c r="C1126" s="409" t="s">
        <v>197</v>
      </c>
      <c r="D1126" s="410">
        <f t="shared" ref="D1126:L1126" si="370">IF(((D1124="")*AND(D1125="")),"",(D1124-D1125)*3)</f>
        <v>7241.1600000000008</v>
      </c>
      <c r="E1126" s="410">
        <f t="shared" si="370"/>
        <v>7105.4699999999993</v>
      </c>
      <c r="F1126" s="410">
        <f t="shared" si="370"/>
        <v>7197.6</v>
      </c>
      <c r="G1126" s="410">
        <f t="shared" si="370"/>
        <v>7118.85</v>
      </c>
      <c r="H1126" s="410">
        <f t="shared" si="370"/>
        <v>7258.7100000000009</v>
      </c>
      <c r="I1126" s="410">
        <f t="shared" si="370"/>
        <v>7904.37</v>
      </c>
      <c r="J1126" s="410">
        <f t="shared" si="370"/>
        <v>7102.86</v>
      </c>
      <c r="K1126" s="410">
        <f t="shared" si="370"/>
        <v>7155.36</v>
      </c>
      <c r="L1126" s="410">
        <f t="shared" si="370"/>
        <v>7141.6799999999985</v>
      </c>
      <c r="M1126" s="410"/>
      <c r="N1126" s="410"/>
      <c r="O1126" s="410"/>
      <c r="P1126" s="410" t="str">
        <f>IF(((P1124="")*AND(P1125="")),"",(P1124-P1125)*2)</f>
        <v/>
      </c>
      <c r="Q1126" s="404"/>
      <c r="R1126" s="404"/>
      <c r="S1126" s="404"/>
      <c r="T1126" s="404"/>
      <c r="U1126" s="404"/>
      <c r="V1126" s="407"/>
      <c r="W1126" s="404"/>
      <c r="X1126" s="417"/>
      <c r="Y1126" s="268"/>
      <c r="Z1126" s="267"/>
      <c r="AA1126" s="267"/>
      <c r="AB1126" s="267"/>
      <c r="AC1126" s="267"/>
      <c r="AD1126" s="268"/>
      <c r="AE1126" s="269"/>
    </row>
    <row r="1127" spans="1:31" ht="15.75">
      <c r="A1127" s="344">
        <v>43903</v>
      </c>
      <c r="B1127" s="409" t="s">
        <v>200</v>
      </c>
      <c r="C1127" s="409" t="s">
        <v>199</v>
      </c>
      <c r="D1127" s="425">
        <v>6719.67</v>
      </c>
      <c r="E1127" s="425">
        <v>6783.45</v>
      </c>
      <c r="F1127" s="425">
        <v>6718.08</v>
      </c>
      <c r="G1127" s="425">
        <v>6784.81</v>
      </c>
      <c r="H1127" s="425">
        <v>6725.78</v>
      </c>
      <c r="I1127" s="425">
        <v>6745.82</v>
      </c>
      <c r="J1127" s="425">
        <v>6856.57</v>
      </c>
      <c r="K1127" s="425">
        <v>6872.48</v>
      </c>
      <c r="L1127" s="425">
        <v>6797.56</v>
      </c>
      <c r="M1127" s="425">
        <v>6878.08</v>
      </c>
      <c r="N1127" s="425">
        <v>6863.1</v>
      </c>
      <c r="O1127" s="425">
        <v>6828.5</v>
      </c>
      <c r="P1127" s="425">
        <v>6818.97</v>
      </c>
      <c r="Q1127" s="409">
        <f>IF((L1128=""),"",MAX(D1129:P1129))</f>
        <v>5547.5199999999986</v>
      </c>
      <c r="R1127" s="409">
        <f>IF(L1128="","",MIN(D1129:L1129))</f>
        <v>5423.18</v>
      </c>
      <c r="S1127" s="400">
        <f>IF((P1129=""),"",AVERAGE(D1129:P1129))</f>
        <v>5476.2753846153846</v>
      </c>
      <c r="T1127" s="412">
        <f>IF((L1128=""),"",(Q1127-R1127)/(Q1127+R1127)*100)</f>
        <v>1.1333825553519679</v>
      </c>
      <c r="U1127" s="409">
        <f>STDEV(D1129:P1129)</f>
        <v>38.570985774089806</v>
      </c>
      <c r="V1127" s="413" t="str">
        <f>IF(P1128="","",IF(T1127&lt;2.7,IF(S1127&gt;5150,IF(S1127&lt;5600,"Pass","Fail"),"Fail"),"Fail"))</f>
        <v>Pass</v>
      </c>
      <c r="W1127" s="395" t="s">
        <v>484</v>
      </c>
      <c r="X1127" s="402" t="s">
        <v>485</v>
      </c>
      <c r="Y1127" s="268" t="s">
        <v>482</v>
      </c>
      <c r="Z1127" s="321">
        <v>4470</v>
      </c>
      <c r="AA1127" s="321">
        <v>6020</v>
      </c>
      <c r="AB1127" s="321">
        <v>5150</v>
      </c>
      <c r="AC1127" s="321">
        <v>5600</v>
      </c>
      <c r="AD1127" s="305">
        <v>10</v>
      </c>
      <c r="AE1127" s="322">
        <v>2.7</v>
      </c>
    </row>
    <row r="1128" spans="1:31" ht="15.75">
      <c r="A1128" s="390"/>
      <c r="B1128" s="404"/>
      <c r="C1128" s="404" t="s">
        <v>198</v>
      </c>
      <c r="D1128" s="425">
        <v>4005.58</v>
      </c>
      <c r="E1128" s="425">
        <v>4056.08</v>
      </c>
      <c r="F1128" s="425">
        <v>4006.49</v>
      </c>
      <c r="G1128" s="425">
        <v>4035.36</v>
      </c>
      <c r="H1128" s="425">
        <v>3990.62</v>
      </c>
      <c r="I1128" s="425">
        <v>3986.73</v>
      </c>
      <c r="J1128" s="425">
        <v>4105.0200000000004</v>
      </c>
      <c r="K1128" s="425">
        <v>4098.72</v>
      </c>
      <c r="L1128" s="425">
        <v>4082.09</v>
      </c>
      <c r="M1128" s="425">
        <v>4119.04</v>
      </c>
      <c r="N1128" s="425">
        <v>4127.5200000000004</v>
      </c>
      <c r="O1128" s="425">
        <v>4095.59</v>
      </c>
      <c r="P1128" s="425">
        <v>4088.24</v>
      </c>
      <c r="Q1128" s="404"/>
      <c r="R1128" s="404"/>
      <c r="S1128" s="404"/>
      <c r="T1128" s="404"/>
      <c r="U1128" s="404"/>
      <c r="V1128" s="407"/>
      <c r="W1128" s="404"/>
      <c r="X1128" s="408"/>
      <c r="Y1128" s="268"/>
      <c r="Z1128" s="267"/>
      <c r="AA1128" s="267"/>
      <c r="AB1128" s="267"/>
      <c r="AC1128" s="267"/>
      <c r="AD1128" s="268"/>
      <c r="AE1128" s="269"/>
    </row>
    <row r="1129" spans="1:31" ht="57.75" thickBot="1">
      <c r="A1129" s="393"/>
      <c r="B1129" s="414"/>
      <c r="C1129" s="414" t="s">
        <v>197</v>
      </c>
      <c r="D1129" s="415">
        <f t="shared" ref="D1129:P1129" si="371">IF(((D1127="")*AND(D1128="")),"",(D1127-D1128)*2)</f>
        <v>5428.18</v>
      </c>
      <c r="E1129" s="415">
        <f t="shared" si="371"/>
        <v>5454.74</v>
      </c>
      <c r="F1129" s="415">
        <f t="shared" si="371"/>
        <v>5423.18</v>
      </c>
      <c r="G1129" s="415">
        <f t="shared" si="371"/>
        <v>5498.9000000000005</v>
      </c>
      <c r="H1129" s="415">
        <f t="shared" si="371"/>
        <v>5470.32</v>
      </c>
      <c r="I1129" s="415">
        <f t="shared" si="371"/>
        <v>5518.1799999999994</v>
      </c>
      <c r="J1129" s="415">
        <f t="shared" si="371"/>
        <v>5503.0999999999985</v>
      </c>
      <c r="K1129" s="415">
        <f t="shared" si="371"/>
        <v>5547.5199999999986</v>
      </c>
      <c r="L1129" s="415">
        <f t="shared" si="371"/>
        <v>5430.9400000000005</v>
      </c>
      <c r="M1129" s="415">
        <f t="shared" si="371"/>
        <v>5518.08</v>
      </c>
      <c r="N1129" s="415">
        <f t="shared" si="371"/>
        <v>5471.16</v>
      </c>
      <c r="O1129" s="415">
        <f t="shared" si="371"/>
        <v>5465.82</v>
      </c>
      <c r="P1129" s="415">
        <f t="shared" si="371"/>
        <v>5461.4600000000009</v>
      </c>
      <c r="Q1129" s="414"/>
      <c r="R1129" s="414"/>
      <c r="S1129" s="414"/>
      <c r="T1129" s="414"/>
      <c r="U1129" s="414"/>
      <c r="V1129" s="416"/>
      <c r="W1129" s="414"/>
      <c r="X1129" s="417"/>
      <c r="Y1129" s="268"/>
      <c r="Z1129" s="267"/>
      <c r="AA1129" s="267"/>
      <c r="AB1129" s="267"/>
      <c r="AC1129" s="267"/>
      <c r="AD1129" s="268"/>
      <c r="AE1129" s="269"/>
    </row>
    <row r="1130" spans="1:31" ht="15.75">
      <c r="A1130" s="344">
        <v>43907</v>
      </c>
      <c r="B1130" s="395" t="s">
        <v>202</v>
      </c>
      <c r="C1130" s="396" t="s">
        <v>199</v>
      </c>
      <c r="D1130" s="425">
        <v>3681.61</v>
      </c>
      <c r="E1130" s="425">
        <v>3812.27</v>
      </c>
      <c r="F1130" s="425">
        <v>3773.14</v>
      </c>
      <c r="G1130" s="425">
        <v>3809.53</v>
      </c>
      <c r="H1130" s="425">
        <v>3682.53</v>
      </c>
      <c r="I1130" s="425">
        <v>3682.53</v>
      </c>
      <c r="J1130" s="425">
        <v>3709.95</v>
      </c>
      <c r="K1130" s="425">
        <v>3818.34</v>
      </c>
      <c r="L1130" s="425">
        <v>3701.76</v>
      </c>
      <c r="M1130" s="398"/>
      <c r="N1130" s="398"/>
      <c r="O1130" s="398"/>
      <c r="P1130" s="398"/>
      <c r="Q1130" s="395">
        <f>IF((L1131=""),"",MAX(D1132:L1132))</f>
        <v>6920.2200000000012</v>
      </c>
      <c r="R1130" s="395">
        <f>IF(L1131="","",MIN(D1132:L1132))</f>
        <v>5878.89</v>
      </c>
      <c r="S1130" s="399">
        <f>IF((L1132=""),"",AVERAGE(D1132:L1132))</f>
        <v>6355.72</v>
      </c>
      <c r="T1130" s="400">
        <f>IF((L1131=""),"",(Q1130-R1130)/(Q1130+R1130)*100)</f>
        <v>8.1359563282134513</v>
      </c>
      <c r="U1130" s="395">
        <f>STDEV(D1132:P1132)</f>
        <v>339.84720232038745</v>
      </c>
      <c r="V1130" s="401" t="str">
        <f>IF(L1131="","",IF(T1130&lt;9.8,IF(S1130&gt;5100,IF(S1130&lt;8300,"Pass","Fail"),"Fail"),"Fail"))</f>
        <v>Pass</v>
      </c>
      <c r="W1130" s="395">
        <v>1428</v>
      </c>
      <c r="X1130" s="402" t="s">
        <v>487</v>
      </c>
      <c r="Y1130" s="268"/>
      <c r="Z1130" s="267">
        <v>4955</v>
      </c>
      <c r="AA1130" s="267">
        <v>9645</v>
      </c>
      <c r="AB1130" s="267">
        <v>5100</v>
      </c>
      <c r="AC1130" s="267">
        <v>8300</v>
      </c>
      <c r="AD1130" s="305">
        <v>10</v>
      </c>
      <c r="AE1130" s="305">
        <v>9.8000000000000007</v>
      </c>
    </row>
    <row r="1131" spans="1:31" ht="15.75">
      <c r="A1131" s="390"/>
      <c r="B1131" s="404"/>
      <c r="C1131" s="405" t="s">
        <v>198</v>
      </c>
      <c r="D1131" s="425">
        <v>1501.2</v>
      </c>
      <c r="E1131" s="425">
        <v>1727.2</v>
      </c>
      <c r="F1131" s="425">
        <v>1725.2</v>
      </c>
      <c r="G1131" s="425">
        <v>1712.3</v>
      </c>
      <c r="H1131" s="425">
        <v>1468.9</v>
      </c>
      <c r="I1131" s="425">
        <v>1722.9</v>
      </c>
      <c r="J1131" s="425">
        <v>1723.5</v>
      </c>
      <c r="K1131" s="425">
        <v>1511.6</v>
      </c>
      <c r="L1131" s="425">
        <v>1511.7</v>
      </c>
      <c r="M1131" s="406"/>
      <c r="N1131" s="406"/>
      <c r="O1131" s="406"/>
      <c r="P1131" s="406"/>
      <c r="Q1131" s="404"/>
      <c r="R1131" s="404"/>
      <c r="S1131" s="404"/>
      <c r="T1131" s="404"/>
      <c r="U1131" s="404"/>
      <c r="V1131" s="407"/>
      <c r="W1131" s="404"/>
      <c r="X1131" s="408"/>
      <c r="Y1131" s="268"/>
      <c r="Z1131" s="267"/>
      <c r="AA1131" s="267"/>
      <c r="AB1131" s="267"/>
      <c r="AC1131" s="267"/>
      <c r="AD1131" s="268"/>
      <c r="AE1131" s="269"/>
    </row>
    <row r="1132" spans="1:31" ht="57.75" thickBot="1">
      <c r="A1132" s="390"/>
      <c r="B1132" s="404"/>
      <c r="C1132" s="409" t="s">
        <v>197</v>
      </c>
      <c r="D1132" s="410">
        <f t="shared" ref="D1132:L1132" si="372">IF(((D1130="")*AND(D1131="")),"",(D1130-D1131)*3)</f>
        <v>6541.23</v>
      </c>
      <c r="E1132" s="410">
        <f t="shared" si="372"/>
        <v>6255.2099999999991</v>
      </c>
      <c r="F1132" s="410">
        <f t="shared" si="372"/>
        <v>6143.82</v>
      </c>
      <c r="G1132" s="410">
        <f t="shared" si="372"/>
        <v>6291.6900000000014</v>
      </c>
      <c r="H1132" s="410">
        <f t="shared" si="372"/>
        <v>6640.89</v>
      </c>
      <c r="I1132" s="410">
        <f t="shared" si="372"/>
        <v>5878.89</v>
      </c>
      <c r="J1132" s="410">
        <f t="shared" si="372"/>
        <v>5959.3499999999995</v>
      </c>
      <c r="K1132" s="410">
        <f t="shared" si="372"/>
        <v>6920.2200000000012</v>
      </c>
      <c r="L1132" s="410">
        <f t="shared" si="372"/>
        <v>6570.1800000000012</v>
      </c>
      <c r="M1132" s="410"/>
      <c r="N1132" s="410"/>
      <c r="O1132" s="410"/>
      <c r="P1132" s="410" t="str">
        <f>IF(((P1130="")*AND(P1131="")),"",(P1130-P1131)*2)</f>
        <v/>
      </c>
      <c r="Q1132" s="404"/>
      <c r="R1132" s="404"/>
      <c r="S1132" s="404"/>
      <c r="T1132" s="404"/>
      <c r="U1132" s="404"/>
      <c r="V1132" s="407"/>
      <c r="W1132" s="404"/>
      <c r="X1132" s="417"/>
      <c r="Y1132" s="268"/>
      <c r="Z1132" s="267"/>
      <c r="AA1132" s="267"/>
      <c r="AB1132" s="267"/>
      <c r="AC1132" s="267"/>
      <c r="AD1132" s="268"/>
      <c r="AE1132" s="269"/>
    </row>
    <row r="1133" spans="1:31" ht="15.75">
      <c r="A1133" s="344">
        <v>43907</v>
      </c>
      <c r="B1133" s="409" t="s">
        <v>200</v>
      </c>
      <c r="C1133" s="409" t="s">
        <v>199</v>
      </c>
      <c r="D1133" s="425">
        <v>4008.32</v>
      </c>
      <c r="E1133" s="425">
        <v>4054.18</v>
      </c>
      <c r="F1133" s="425">
        <v>4001.66</v>
      </c>
      <c r="G1133" s="425">
        <v>4033.74</v>
      </c>
      <c r="H1133" s="425">
        <v>3992.7</v>
      </c>
      <c r="I1133" s="425">
        <v>3988.63</v>
      </c>
      <c r="J1133" s="425">
        <v>4096.93</v>
      </c>
      <c r="K1133" s="425">
        <v>4113.58</v>
      </c>
      <c r="L1133" s="425">
        <v>4076.36</v>
      </c>
      <c r="M1133" s="425">
        <v>4127.78</v>
      </c>
      <c r="N1133" s="425">
        <v>4128.0200000000004</v>
      </c>
      <c r="O1133" s="425">
        <v>4096.3900000000003</v>
      </c>
      <c r="P1133" s="425">
        <v>4082.21</v>
      </c>
      <c r="Q1133" s="409">
        <f>IF((L1134=""),"",MAX(D1135:P1135))</f>
        <v>5508.88</v>
      </c>
      <c r="R1133" s="409">
        <f>IF(L1134="","",MIN(D1135:L1135))</f>
        <v>5373.32</v>
      </c>
      <c r="S1133" s="400">
        <f>IF((P1135=""),"",AVERAGE(D1135:P1135))</f>
        <v>5437.6784615384622</v>
      </c>
      <c r="T1133" s="412">
        <f>IF((L1134=""),"",(Q1133-R1133)/(Q1133+R1133)*100)</f>
        <v>1.2457039936777525</v>
      </c>
      <c r="U1133" s="409">
        <f>STDEV(D1135:P1135)</f>
        <v>42.888157232150533</v>
      </c>
      <c r="V1133" s="413" t="str">
        <f>IF(P1134="","",IF(T1133&lt;2.7,IF(S1133&gt;5150,IF(S1133&lt;5600,"Pass","Fail"),"Fail"),"Fail"))</f>
        <v>Pass</v>
      </c>
      <c r="W1133" s="395">
        <v>1428</v>
      </c>
      <c r="X1133" s="402" t="s">
        <v>487</v>
      </c>
      <c r="Y1133" s="268" t="s">
        <v>482</v>
      </c>
      <c r="Z1133" s="321">
        <v>4470</v>
      </c>
      <c r="AA1133" s="321">
        <v>6020</v>
      </c>
      <c r="AB1133" s="321">
        <v>5150</v>
      </c>
      <c r="AC1133" s="321">
        <v>5600</v>
      </c>
      <c r="AD1133" s="305">
        <v>10</v>
      </c>
      <c r="AE1133" s="322">
        <v>2.7</v>
      </c>
    </row>
    <row r="1134" spans="1:31" ht="15.75">
      <c r="A1134" s="390"/>
      <c r="B1134" s="404"/>
      <c r="C1134" s="404" t="s">
        <v>198</v>
      </c>
      <c r="D1134" s="425">
        <v>1321.66</v>
      </c>
      <c r="E1134" s="425">
        <v>1352.84</v>
      </c>
      <c r="F1134" s="425">
        <v>1313.84</v>
      </c>
      <c r="G1134" s="425">
        <v>1304.44</v>
      </c>
      <c r="H1134" s="425">
        <v>1268.9100000000001</v>
      </c>
      <c r="I1134" s="425">
        <v>1234.19</v>
      </c>
      <c r="J1134" s="425">
        <v>1362.13</v>
      </c>
      <c r="K1134" s="425">
        <v>1370.51</v>
      </c>
      <c r="L1134" s="425">
        <v>1382.51</v>
      </c>
      <c r="M1134" s="425">
        <v>1391.66</v>
      </c>
      <c r="N1134" s="425">
        <v>1408.22</v>
      </c>
      <c r="O1134" s="425">
        <v>1383.9</v>
      </c>
      <c r="P1134" s="425">
        <v>1360.78</v>
      </c>
      <c r="Q1134" s="404"/>
      <c r="R1134" s="404"/>
      <c r="S1134" s="404"/>
      <c r="T1134" s="404"/>
      <c r="U1134" s="404"/>
      <c r="V1134" s="407"/>
      <c r="W1134" s="404"/>
      <c r="X1134" s="408"/>
      <c r="Y1134" s="268"/>
      <c r="Z1134" s="267"/>
      <c r="AA1134" s="267"/>
      <c r="AB1134" s="267"/>
      <c r="AC1134" s="267"/>
      <c r="AD1134" s="268"/>
      <c r="AE1134" s="269"/>
    </row>
    <row r="1135" spans="1:31" ht="57.75" thickBot="1">
      <c r="A1135" s="393"/>
      <c r="B1135" s="414"/>
      <c r="C1135" s="414" t="s">
        <v>197</v>
      </c>
      <c r="D1135" s="415">
        <f t="shared" ref="D1135:P1135" si="373">IF(((D1133="")*AND(D1134="")),"",(D1133-D1134)*2)</f>
        <v>5373.32</v>
      </c>
      <c r="E1135" s="415">
        <f t="shared" si="373"/>
        <v>5402.68</v>
      </c>
      <c r="F1135" s="415">
        <f t="shared" si="373"/>
        <v>5375.6399999999994</v>
      </c>
      <c r="G1135" s="415">
        <f t="shared" si="373"/>
        <v>5458.5999999999995</v>
      </c>
      <c r="H1135" s="415">
        <f t="shared" si="373"/>
        <v>5447.58</v>
      </c>
      <c r="I1135" s="415">
        <f t="shared" si="373"/>
        <v>5508.88</v>
      </c>
      <c r="J1135" s="415">
        <f t="shared" si="373"/>
        <v>5469.6</v>
      </c>
      <c r="K1135" s="415">
        <f t="shared" si="373"/>
        <v>5486.1399999999994</v>
      </c>
      <c r="L1135" s="415">
        <f t="shared" si="373"/>
        <v>5387.7000000000007</v>
      </c>
      <c r="M1135" s="415">
        <f t="shared" si="373"/>
        <v>5472.24</v>
      </c>
      <c r="N1135" s="415">
        <f t="shared" si="373"/>
        <v>5439.6</v>
      </c>
      <c r="O1135" s="415">
        <f t="shared" si="373"/>
        <v>5424.9800000000005</v>
      </c>
      <c r="P1135" s="415">
        <f t="shared" si="373"/>
        <v>5442.8600000000006</v>
      </c>
      <c r="Q1135" s="414"/>
      <c r="R1135" s="414"/>
      <c r="S1135" s="414"/>
      <c r="T1135" s="414"/>
      <c r="U1135" s="414"/>
      <c r="V1135" s="416"/>
      <c r="W1135" s="414"/>
      <c r="X1135" s="417"/>
      <c r="Y1135" s="268"/>
      <c r="Z1135" s="267"/>
      <c r="AA1135" s="267"/>
      <c r="AB1135" s="267"/>
      <c r="AC1135" s="267"/>
      <c r="AD1135" s="268"/>
      <c r="AE1135" s="269"/>
    </row>
    <row r="1136" spans="1:31" ht="15.75">
      <c r="A1136" s="123">
        <v>43949</v>
      </c>
      <c r="B1136" s="395" t="s">
        <v>202</v>
      </c>
      <c r="C1136" s="396" t="s">
        <v>199</v>
      </c>
      <c r="D1136">
        <v>6122.91</v>
      </c>
      <c r="E1136">
        <v>6264.8</v>
      </c>
      <c r="F1136">
        <v>6294.43</v>
      </c>
      <c r="G1136">
        <v>6266.64</v>
      </c>
      <c r="H1136">
        <v>6100.78</v>
      </c>
      <c r="I1136">
        <v>6090.26</v>
      </c>
      <c r="J1136">
        <v>6267.87</v>
      </c>
      <c r="K1136">
        <v>6320.64</v>
      </c>
      <c r="L1136">
        <v>6334.78</v>
      </c>
      <c r="M1136" s="398"/>
      <c r="N1136" s="398"/>
      <c r="O1136" s="398"/>
      <c r="P1136" s="398"/>
      <c r="Q1136" s="395">
        <f>IF((L1137=""),"",MAX(D1138:L1138))</f>
        <v>7536.8399999999992</v>
      </c>
      <c r="R1136" s="395">
        <f>IF(L1137="","",MIN(D1138:L1138))</f>
        <v>6628.38</v>
      </c>
      <c r="S1136" s="399">
        <f>IF((L1138=""),"",AVERAGE(D1138:L1138))</f>
        <v>7045.2699999999995</v>
      </c>
      <c r="T1136" s="400">
        <f>IF((L1137=""),"",(Q1136-R1136)/(Q1136+R1136)*100)</f>
        <v>6.4133137360379804</v>
      </c>
      <c r="U1136" s="395">
        <f>STDEV(D1138:P1138)</f>
        <v>235.96697809229531</v>
      </c>
      <c r="V1136" s="401" t="str">
        <f>IF(L1137="","",IF(T1136&lt;9.8,IF(S1136&gt;5100,IF(S1136&lt;8300,"Pass","Fail"),"Fail"),"Fail"))</f>
        <v>Pass</v>
      </c>
      <c r="W1136" s="395">
        <v>121</v>
      </c>
      <c r="X1136" s="402" t="s">
        <v>489</v>
      </c>
      <c r="Y1136" s="268"/>
      <c r="Z1136" s="267">
        <v>4955</v>
      </c>
      <c r="AA1136" s="267">
        <v>9645</v>
      </c>
      <c r="AB1136" s="267">
        <v>5100</v>
      </c>
      <c r="AC1136" s="267">
        <v>8300</v>
      </c>
      <c r="AD1136" s="305">
        <v>10</v>
      </c>
      <c r="AE1136" s="305">
        <v>9.8000000000000007</v>
      </c>
    </row>
    <row r="1137" spans="1:31" ht="15.75">
      <c r="A1137" s="390"/>
      <c r="B1137" s="404"/>
      <c r="C1137" s="405" t="s">
        <v>198</v>
      </c>
      <c r="D1137">
        <v>3746.57</v>
      </c>
      <c r="E1137">
        <v>3911.56</v>
      </c>
      <c r="F1137">
        <v>3984.44</v>
      </c>
      <c r="G1137">
        <v>3946.94</v>
      </c>
      <c r="H1137">
        <v>3752.3</v>
      </c>
      <c r="I1137">
        <v>3880.8</v>
      </c>
      <c r="J1137">
        <v>3905.11</v>
      </c>
      <c r="K1137">
        <v>3977.08</v>
      </c>
      <c r="L1137">
        <v>3822.5</v>
      </c>
      <c r="M1137" s="406"/>
      <c r="N1137" s="406"/>
      <c r="O1137" s="406"/>
      <c r="P1137" s="406"/>
      <c r="Q1137" s="404"/>
      <c r="R1137" s="404"/>
      <c r="S1137" s="404"/>
      <c r="T1137" s="404"/>
      <c r="U1137" s="404"/>
      <c r="V1137" s="407"/>
      <c r="W1137" s="404"/>
      <c r="X1137" s="408"/>
      <c r="Y1137" s="268"/>
      <c r="Z1137" s="267"/>
      <c r="AA1137" s="267"/>
      <c r="AB1137" s="267"/>
      <c r="AC1137" s="267"/>
      <c r="AD1137" s="268"/>
      <c r="AE1137" s="269"/>
    </row>
    <row r="1138" spans="1:31" ht="57.75" thickBot="1">
      <c r="A1138" s="390"/>
      <c r="B1138" s="404"/>
      <c r="C1138" s="409" t="s">
        <v>197</v>
      </c>
      <c r="D1138" s="410">
        <f t="shared" ref="D1138:L1138" si="374">IF(((D1136="")*AND(D1137="")),"",(D1136-D1137)*3)</f>
        <v>7129.0199999999986</v>
      </c>
      <c r="E1138" s="410">
        <f t="shared" si="374"/>
        <v>7059.7200000000012</v>
      </c>
      <c r="F1138" s="410">
        <f t="shared" si="374"/>
        <v>6929.9700000000012</v>
      </c>
      <c r="G1138" s="410">
        <f t="shared" si="374"/>
        <v>6959.1</v>
      </c>
      <c r="H1138" s="410">
        <f t="shared" si="374"/>
        <v>7045.4399999999987</v>
      </c>
      <c r="I1138" s="410">
        <f t="shared" si="374"/>
        <v>6628.38</v>
      </c>
      <c r="J1138" s="410">
        <f t="shared" si="374"/>
        <v>7088.2799999999988</v>
      </c>
      <c r="K1138" s="410">
        <f t="shared" si="374"/>
        <v>7030.6800000000012</v>
      </c>
      <c r="L1138" s="410">
        <f t="shared" si="374"/>
        <v>7536.8399999999992</v>
      </c>
      <c r="M1138" s="410"/>
      <c r="N1138" s="410"/>
      <c r="O1138" s="410"/>
      <c r="P1138" s="410" t="str">
        <f>IF(((P1136="")*AND(P1137="")),"",(P1136-P1137)*2)</f>
        <v/>
      </c>
      <c r="Q1138" s="404"/>
      <c r="R1138" s="404"/>
      <c r="S1138" s="404"/>
      <c r="T1138" s="404"/>
      <c r="U1138" s="404"/>
      <c r="V1138" s="407"/>
      <c r="W1138" s="404"/>
      <c r="X1138" s="417"/>
      <c r="Y1138" s="268"/>
      <c r="Z1138" s="267"/>
      <c r="AA1138" s="267"/>
      <c r="AB1138" s="267"/>
      <c r="AC1138" s="267"/>
      <c r="AD1138" s="268"/>
      <c r="AE1138" s="269"/>
    </row>
    <row r="1139" spans="1:31" ht="15.75">
      <c r="A1139" s="123">
        <v>43949</v>
      </c>
      <c r="B1139" s="409" t="s">
        <v>200</v>
      </c>
      <c r="C1139" s="409" t="s">
        <v>199</v>
      </c>
      <c r="D1139">
        <v>6523.11</v>
      </c>
      <c r="E1139">
        <v>6627.06</v>
      </c>
      <c r="F1139">
        <v>6572.35</v>
      </c>
      <c r="G1139">
        <v>6678.75</v>
      </c>
      <c r="H1139">
        <v>6522.85</v>
      </c>
      <c r="I1139">
        <v>6615.26</v>
      </c>
      <c r="J1139">
        <v>6751.15</v>
      </c>
      <c r="K1139">
        <v>6754.53</v>
      </c>
      <c r="L1139">
        <v>6666.93</v>
      </c>
      <c r="M1139">
        <v>6776.36</v>
      </c>
      <c r="N1139">
        <v>6715.7</v>
      </c>
      <c r="O1139">
        <v>6710.98</v>
      </c>
      <c r="P1139">
        <v>6683.16</v>
      </c>
      <c r="Q1139" s="409">
        <f>IF((L1140=""),"",MAX(D1141:P1141))</f>
        <v>5264.46</v>
      </c>
      <c r="R1139" s="409">
        <f>IF(L1140="","",MIN(D1141:L1141))</f>
        <v>5201.9199999999992</v>
      </c>
      <c r="S1139" s="400">
        <f>IF((P1141=""),"",AVERAGE(D1141:P1141))</f>
        <v>5234.42</v>
      </c>
      <c r="T1139" s="412">
        <f>IF((L1140=""),"",(Q1139-R1139)/(Q1139+R1139)*100)</f>
        <v>0.59753228910092004</v>
      </c>
      <c r="U1139" s="409">
        <f>STDEV(D1141:P1141)</f>
        <v>20.111610245143677</v>
      </c>
      <c r="V1139" s="413" t="str">
        <f>IF(P1140="","",IF(T1139&lt;2.7,IF(S1139&gt;5150,IF(S1139&lt;5600,"Pass","Fail"),"Fail"),"Fail"))</f>
        <v>Pass</v>
      </c>
      <c r="W1139" s="409">
        <v>121</v>
      </c>
      <c r="X1139" s="402" t="s">
        <v>489</v>
      </c>
      <c r="Y1139" s="268" t="s">
        <v>513</v>
      </c>
      <c r="Z1139" s="321">
        <v>4470</v>
      </c>
      <c r="AA1139" s="321">
        <v>6020</v>
      </c>
      <c r="AB1139" s="321">
        <v>5150</v>
      </c>
      <c r="AC1139" s="321">
        <v>5600</v>
      </c>
      <c r="AD1139" s="305">
        <v>10</v>
      </c>
      <c r="AE1139" s="322">
        <v>2.7</v>
      </c>
    </row>
    <row r="1140" spans="1:31" ht="15.75">
      <c r="A1140" s="390"/>
      <c r="B1140" s="404"/>
      <c r="C1140" s="404" t="s">
        <v>198</v>
      </c>
      <c r="D1140">
        <v>3922.15</v>
      </c>
      <c r="E1140">
        <v>4018.25</v>
      </c>
      <c r="F1140">
        <v>3969.07</v>
      </c>
      <c r="G1140">
        <v>4053.19</v>
      </c>
      <c r="H1140">
        <v>3902.28</v>
      </c>
      <c r="I1140">
        <v>3983.03</v>
      </c>
      <c r="J1140">
        <v>4124.0200000000004</v>
      </c>
      <c r="K1140">
        <v>4132.74</v>
      </c>
      <c r="L1140">
        <v>4062.03</v>
      </c>
      <c r="M1140">
        <v>4150.7</v>
      </c>
      <c r="N1140">
        <v>4097.43</v>
      </c>
      <c r="O1140">
        <v>4097.8599999999997</v>
      </c>
      <c r="P1140">
        <v>4061.71</v>
      </c>
      <c r="Q1140" s="404"/>
      <c r="R1140" s="404"/>
      <c r="S1140" s="404"/>
      <c r="T1140" s="404"/>
      <c r="U1140" s="404"/>
      <c r="V1140" s="407"/>
      <c r="W1140" s="404"/>
      <c r="X1140" s="408"/>
      <c r="Y1140" s="268"/>
      <c r="Z1140" s="267"/>
      <c r="AA1140" s="267"/>
      <c r="AB1140" s="267"/>
      <c r="AC1140" s="267"/>
      <c r="AD1140" s="268"/>
      <c r="AE1140" s="269"/>
    </row>
    <row r="1141" spans="1:31" ht="57.75" thickBot="1">
      <c r="A1141" s="393"/>
      <c r="B1141" s="414"/>
      <c r="C1141" s="414" t="s">
        <v>197</v>
      </c>
      <c r="D1141" s="415">
        <f t="shared" ref="D1141:P1141" si="375">IF(((D1139="")*AND(D1140="")),"",(D1139-D1140)*2)</f>
        <v>5201.9199999999992</v>
      </c>
      <c r="E1141" s="415">
        <f t="shared" si="375"/>
        <v>5217.6200000000008</v>
      </c>
      <c r="F1141" s="415">
        <f t="shared" si="375"/>
        <v>5206.5600000000004</v>
      </c>
      <c r="G1141" s="415">
        <f t="shared" si="375"/>
        <v>5251.12</v>
      </c>
      <c r="H1141" s="415">
        <f t="shared" si="375"/>
        <v>5241.1400000000003</v>
      </c>
      <c r="I1141" s="415">
        <f t="shared" si="375"/>
        <v>5264.46</v>
      </c>
      <c r="J1141" s="415">
        <f t="shared" si="375"/>
        <v>5254.2599999999984</v>
      </c>
      <c r="K1141" s="415">
        <f t="shared" si="375"/>
        <v>5243.58</v>
      </c>
      <c r="L1141" s="415">
        <f t="shared" si="375"/>
        <v>5209.8</v>
      </c>
      <c r="M1141" s="415">
        <f t="shared" si="375"/>
        <v>5251.32</v>
      </c>
      <c r="N1141" s="415">
        <f t="shared" si="375"/>
        <v>5236.5399999999991</v>
      </c>
      <c r="O1141" s="415">
        <f t="shared" si="375"/>
        <v>5226.24</v>
      </c>
      <c r="P1141" s="415">
        <f t="shared" si="375"/>
        <v>5242.9</v>
      </c>
      <c r="Q1141" s="414"/>
      <c r="R1141" s="414"/>
      <c r="S1141" s="414"/>
      <c r="T1141" s="414"/>
      <c r="U1141" s="414"/>
      <c r="V1141" s="416"/>
      <c r="W1141" s="414"/>
      <c r="X1141" s="417"/>
      <c r="Y1141" s="268"/>
      <c r="Z1141" s="267"/>
      <c r="AA1141" s="267"/>
      <c r="AB1141" s="267"/>
      <c r="AC1141" s="267"/>
      <c r="AD1141" s="268"/>
      <c r="AE1141" s="269"/>
    </row>
    <row r="1142" spans="1:31" ht="15.75">
      <c r="A1142" s="123">
        <v>43955</v>
      </c>
      <c r="B1142" s="395" t="s">
        <v>202</v>
      </c>
      <c r="C1142" s="396" t="s">
        <v>199</v>
      </c>
      <c r="D1142">
        <v>6206.87</v>
      </c>
      <c r="E1142">
        <v>6304.7</v>
      </c>
      <c r="F1142">
        <v>6165.63</v>
      </c>
      <c r="G1142">
        <v>6266.88</v>
      </c>
      <c r="H1142">
        <v>6169.64</v>
      </c>
      <c r="I1142">
        <v>6155.79</v>
      </c>
      <c r="J1142">
        <v>6184.76</v>
      </c>
      <c r="K1142">
        <v>6166.29</v>
      </c>
      <c r="L1142">
        <v>6111.17</v>
      </c>
      <c r="M1142" s="398"/>
      <c r="N1142" s="398"/>
      <c r="O1142" s="398"/>
      <c r="P1142" s="398"/>
      <c r="Q1142" s="395">
        <f>IF((L1143=""),"",MAX(D1144:L1144))</f>
        <v>7053.8399999999992</v>
      </c>
      <c r="R1142" s="395">
        <f>IF(L1143="","",MIN(D1144:L1144))</f>
        <v>6230.9700000000012</v>
      </c>
      <c r="S1142" s="399">
        <f>IF((L1144=""),"",AVERAGE(D1144:L1144))</f>
        <v>6573.6699999999992</v>
      </c>
      <c r="T1142" s="400">
        <f>IF((L1143=""),"",(Q1142-R1142)/(Q1142+R1142)*100)</f>
        <v>6.1940667574470236</v>
      </c>
      <c r="U1142" s="395">
        <f>STDEV(D1144:P1144)</f>
        <v>274.75634833432531</v>
      </c>
      <c r="V1142" s="401" t="str">
        <f>IF(L1143="","",IF(T1142&lt;9.8,IF(S1142&gt;5100,IF(S1142&lt;8300,"Pass","Fail"),"Fail"),"Fail"))</f>
        <v>Pass</v>
      </c>
      <c r="W1142" s="395">
        <v>1335</v>
      </c>
      <c r="X1142" s="402" t="s">
        <v>491</v>
      </c>
      <c r="Y1142" s="268"/>
      <c r="Z1142" s="267">
        <v>4955</v>
      </c>
      <c r="AA1142" s="267">
        <v>9645</v>
      </c>
      <c r="AB1142" s="267">
        <v>5100</v>
      </c>
      <c r="AC1142" s="267">
        <v>8300</v>
      </c>
      <c r="AD1142" s="305">
        <v>10</v>
      </c>
      <c r="AE1142" s="305">
        <v>9.8000000000000007</v>
      </c>
    </row>
    <row r="1143" spans="1:31" ht="15.75">
      <c r="A1143" s="390"/>
      <c r="B1143" s="404"/>
      <c r="C1143" s="405" t="s">
        <v>198</v>
      </c>
      <c r="D1143">
        <v>3947</v>
      </c>
      <c r="E1143">
        <v>4057.72</v>
      </c>
      <c r="F1143">
        <v>4088.64</v>
      </c>
      <c r="G1143">
        <v>4059.64</v>
      </c>
      <c r="H1143">
        <v>3941.25</v>
      </c>
      <c r="I1143">
        <v>3804.51</v>
      </c>
      <c r="J1143">
        <v>4065.86</v>
      </c>
      <c r="K1143">
        <v>4084.76</v>
      </c>
      <c r="L1143">
        <v>3961.34</v>
      </c>
      <c r="M1143" s="406"/>
      <c r="N1143" s="406"/>
      <c r="O1143" s="406"/>
      <c r="P1143" s="406"/>
      <c r="Q1143" s="404"/>
      <c r="R1143" s="404"/>
      <c r="S1143" s="404"/>
      <c r="T1143" s="404"/>
      <c r="U1143" s="404"/>
      <c r="V1143" s="407"/>
      <c r="W1143" s="404"/>
      <c r="X1143" s="408"/>
      <c r="Y1143" s="268"/>
      <c r="Z1143" s="267"/>
      <c r="AA1143" s="267"/>
      <c r="AB1143" s="267"/>
      <c r="AC1143" s="267"/>
      <c r="AD1143" s="268"/>
      <c r="AE1143" s="269"/>
    </row>
    <row r="1144" spans="1:31" ht="57.75" thickBot="1">
      <c r="A1144" s="390"/>
      <c r="B1144" s="404"/>
      <c r="C1144" s="409" t="s">
        <v>197</v>
      </c>
      <c r="D1144" s="410">
        <f t="shared" ref="D1144:L1144" si="376">IF(((D1142="")*AND(D1143="")),"",(D1142-D1143)*3)</f>
        <v>6779.61</v>
      </c>
      <c r="E1144" s="410">
        <f t="shared" si="376"/>
        <v>6740.9400000000005</v>
      </c>
      <c r="F1144" s="410">
        <f t="shared" si="376"/>
        <v>6230.9700000000012</v>
      </c>
      <c r="G1144" s="410">
        <f t="shared" si="376"/>
        <v>6621.7200000000012</v>
      </c>
      <c r="H1144" s="410">
        <f t="shared" si="376"/>
        <v>6685.170000000001</v>
      </c>
      <c r="I1144" s="410">
        <f t="shared" si="376"/>
        <v>7053.8399999999992</v>
      </c>
      <c r="J1144" s="410">
        <f t="shared" si="376"/>
        <v>6356.7000000000007</v>
      </c>
      <c r="K1144" s="410">
        <f t="shared" si="376"/>
        <v>6244.5899999999992</v>
      </c>
      <c r="L1144" s="410">
        <f t="shared" si="376"/>
        <v>6449.49</v>
      </c>
      <c r="M1144" s="410"/>
      <c r="N1144" s="410"/>
      <c r="O1144" s="410"/>
      <c r="P1144" s="410" t="str">
        <f>IF(((P1142="")*AND(P1143="")),"",(P1142-P1143)*2)</f>
        <v/>
      </c>
      <c r="Q1144" s="404"/>
      <c r="R1144" s="404"/>
      <c r="S1144" s="404"/>
      <c r="T1144" s="404"/>
      <c r="U1144" s="404"/>
      <c r="V1144" s="407"/>
      <c r="W1144" s="404"/>
      <c r="X1144" s="417"/>
      <c r="Y1144" s="268"/>
      <c r="Z1144" s="267"/>
      <c r="AA1144" s="267"/>
      <c r="AB1144" s="267"/>
      <c r="AC1144" s="267"/>
      <c r="AD1144" s="268"/>
      <c r="AE1144" s="269"/>
    </row>
    <row r="1145" spans="1:31" ht="15.75">
      <c r="A1145" s="123">
        <v>43955</v>
      </c>
      <c r="B1145" s="409" t="s">
        <v>200</v>
      </c>
      <c r="C1145" s="409" t="s">
        <v>199</v>
      </c>
      <c r="D1145">
        <v>6751.45</v>
      </c>
      <c r="E1145">
        <v>6811.92</v>
      </c>
      <c r="F1145">
        <v>6742.29</v>
      </c>
      <c r="G1145">
        <v>6817.82</v>
      </c>
      <c r="H1145">
        <v>6757.9</v>
      </c>
      <c r="I1145">
        <v>6775.36</v>
      </c>
      <c r="J1145">
        <v>6885.69</v>
      </c>
      <c r="K1145">
        <v>6906.17</v>
      </c>
      <c r="L1145">
        <v>6819.98</v>
      </c>
      <c r="M1145">
        <v>6914.91</v>
      </c>
      <c r="N1145">
        <v>6889.23</v>
      </c>
      <c r="O1145">
        <v>6854.71</v>
      </c>
      <c r="P1145">
        <v>6840.2</v>
      </c>
      <c r="Q1145" s="409">
        <f>IF((L1146=""),"",MAX(D1147:P1147))</f>
        <v>5423.4999999999991</v>
      </c>
      <c r="R1145" s="409">
        <f>IF(L1146="","",MIN(D1147:L1147))</f>
        <v>5323.66</v>
      </c>
      <c r="S1145" s="400">
        <f>IF((P1147=""),"",AVERAGE(D1147:P1147))</f>
        <v>5378.3030769230772</v>
      </c>
      <c r="T1145" s="412">
        <f>IF((L1146=""),"",(Q1145-R1145)/(Q1145+R1145)*100)</f>
        <v>0.92898961213938613</v>
      </c>
      <c r="U1145" s="409">
        <f>STDEV(D1147:P1147)</f>
        <v>32.272035207074019</v>
      </c>
      <c r="V1145" s="413" t="str">
        <f>IF(P1146="","",IF(T1145&lt;2.7,IF(S1145&gt;5150,IF(S1145&lt;5600,"Pass","Fail"),"Fail"),"Fail"))</f>
        <v>Pass</v>
      </c>
      <c r="W1145" s="409">
        <v>1335</v>
      </c>
      <c r="X1145" s="402" t="s">
        <v>491</v>
      </c>
      <c r="Y1145" s="268"/>
      <c r="Z1145" s="321">
        <v>4470</v>
      </c>
      <c r="AA1145" s="321">
        <v>6020</v>
      </c>
      <c r="AB1145" s="321">
        <v>5150</v>
      </c>
      <c r="AC1145" s="321">
        <v>5600</v>
      </c>
      <c r="AD1145" s="305">
        <v>10</v>
      </c>
      <c r="AE1145" s="322">
        <v>2.7</v>
      </c>
    </row>
    <row r="1146" spans="1:31" ht="15.75">
      <c r="A1146" s="390"/>
      <c r="B1146" s="404"/>
      <c r="C1146" s="404" t="s">
        <v>198</v>
      </c>
      <c r="D1146">
        <v>4080.04</v>
      </c>
      <c r="E1146">
        <v>4122.57</v>
      </c>
      <c r="F1146">
        <v>4080.46</v>
      </c>
      <c r="G1146">
        <v>4125.47</v>
      </c>
      <c r="H1146">
        <v>4052.39</v>
      </c>
      <c r="I1146">
        <v>4063.61</v>
      </c>
      <c r="J1146">
        <v>4189.32</v>
      </c>
      <c r="K1146">
        <v>4204.8500000000004</v>
      </c>
      <c r="L1146">
        <v>4157.7700000000004</v>
      </c>
      <c r="M1146">
        <v>4213.03</v>
      </c>
      <c r="N1146">
        <v>4191.8900000000003</v>
      </c>
      <c r="O1146">
        <v>4176.49</v>
      </c>
      <c r="P1146">
        <v>4150.7700000000004</v>
      </c>
      <c r="Q1146" s="404"/>
      <c r="R1146" s="404"/>
      <c r="S1146" s="404"/>
      <c r="T1146" s="404"/>
      <c r="U1146" s="404"/>
      <c r="V1146" s="407"/>
      <c r="W1146" s="404"/>
      <c r="X1146" s="408"/>
      <c r="Y1146" s="268"/>
      <c r="Z1146" s="267"/>
      <c r="AA1146" s="267"/>
      <c r="AB1146" s="267"/>
      <c r="AC1146" s="267"/>
      <c r="AD1146" s="268"/>
      <c r="AE1146" s="269"/>
    </row>
    <row r="1147" spans="1:31" ht="57.75" thickBot="1">
      <c r="A1147" s="393"/>
      <c r="B1147" s="414"/>
      <c r="C1147" s="414" t="s">
        <v>197</v>
      </c>
      <c r="D1147" s="415">
        <f t="shared" ref="D1147:P1147" si="377">IF(((D1145="")*AND(D1146="")),"",(D1145-D1146)*2)</f>
        <v>5342.82</v>
      </c>
      <c r="E1147" s="415">
        <f t="shared" si="377"/>
        <v>5378.7000000000007</v>
      </c>
      <c r="F1147" s="415">
        <f t="shared" si="377"/>
        <v>5323.66</v>
      </c>
      <c r="G1147" s="415">
        <f t="shared" si="377"/>
        <v>5384.6999999999989</v>
      </c>
      <c r="H1147" s="415">
        <f t="shared" si="377"/>
        <v>5411.0199999999995</v>
      </c>
      <c r="I1147" s="415">
        <f t="shared" si="377"/>
        <v>5423.4999999999991</v>
      </c>
      <c r="J1147" s="415">
        <f t="shared" si="377"/>
        <v>5392.74</v>
      </c>
      <c r="K1147" s="415">
        <f t="shared" si="377"/>
        <v>5402.6399999999994</v>
      </c>
      <c r="L1147" s="415">
        <f t="shared" si="377"/>
        <v>5324.4199999999983</v>
      </c>
      <c r="M1147" s="415">
        <f t="shared" si="377"/>
        <v>5403.76</v>
      </c>
      <c r="N1147" s="415">
        <f t="shared" si="377"/>
        <v>5394.6799999999985</v>
      </c>
      <c r="O1147" s="415">
        <f t="shared" si="377"/>
        <v>5356.4400000000005</v>
      </c>
      <c r="P1147" s="415">
        <f t="shared" si="377"/>
        <v>5378.8599999999988</v>
      </c>
      <c r="Q1147" s="414"/>
      <c r="R1147" s="414"/>
      <c r="S1147" s="414"/>
      <c r="T1147" s="414"/>
      <c r="U1147" s="414"/>
      <c r="V1147" s="416"/>
      <c r="W1147" s="414"/>
      <c r="X1147" s="417"/>
      <c r="Y1147" s="268"/>
      <c r="Z1147" s="267"/>
      <c r="AA1147" s="267"/>
      <c r="AB1147" s="267"/>
      <c r="AC1147" s="267"/>
      <c r="AD1147" s="268"/>
      <c r="AE1147" s="269"/>
    </row>
    <row r="1148" spans="1:31" ht="15.75">
      <c r="A1148" s="344">
        <v>43969</v>
      </c>
      <c r="B1148" s="395" t="s">
        <v>202</v>
      </c>
      <c r="C1148" s="396" t="s">
        <v>199</v>
      </c>
      <c r="D1148" s="425">
        <v>3890.83</v>
      </c>
      <c r="E1148" s="425">
        <v>4109.6499999999996</v>
      </c>
      <c r="F1148" s="425">
        <v>4129.5600000000004</v>
      </c>
      <c r="G1148" s="425">
        <v>4096.0200000000004</v>
      </c>
      <c r="H1148" s="425">
        <v>3946.25</v>
      </c>
      <c r="I1148" s="425">
        <v>3802.74</v>
      </c>
      <c r="J1148" s="425">
        <v>4096.78</v>
      </c>
      <c r="K1148" s="425">
        <v>4122.96</v>
      </c>
      <c r="L1148" s="425">
        <v>3944.68</v>
      </c>
      <c r="M1148" s="398"/>
      <c r="N1148" s="398"/>
      <c r="O1148" s="398"/>
      <c r="P1148" s="398"/>
      <c r="Q1148" s="395">
        <f>IF((L1149=""),"",MAX(D1150:L1150))</f>
        <v>7164.39</v>
      </c>
      <c r="R1148" s="395">
        <f>IF(L1149="","",MIN(D1150:L1150))</f>
        <v>6602.9699999999993</v>
      </c>
      <c r="S1148" s="399">
        <f>IF((L1150=""),"",AVERAGE(D1150:L1150))</f>
        <v>6795.3033333333333</v>
      </c>
      <c r="T1148" s="400">
        <f>IF((L1149=""),"",(Q1148-R1148)/(Q1148+R1148)*100)</f>
        <v>4.0779060037654347</v>
      </c>
      <c r="U1148" s="395">
        <f>STDEV(D1150:P1150)</f>
        <v>229.06259515685215</v>
      </c>
      <c r="V1148" s="401" t="str">
        <f>IF(L1149="","",IF(T1148&lt;9.8,IF(S1148&gt;5100,IF(S1148&lt;8300,"Pass","Fail"),"Fail"),"Fail"))</f>
        <v>Pass</v>
      </c>
      <c r="W1148" s="395">
        <v>1428</v>
      </c>
      <c r="X1148" s="402" t="s">
        <v>492</v>
      </c>
      <c r="Y1148" s="268"/>
      <c r="Z1148" s="267">
        <v>4955</v>
      </c>
      <c r="AA1148" s="267">
        <v>9645</v>
      </c>
      <c r="AB1148" s="267">
        <v>5100</v>
      </c>
      <c r="AC1148" s="267">
        <v>8300</v>
      </c>
      <c r="AD1148" s="305">
        <v>10</v>
      </c>
      <c r="AE1148" s="305">
        <v>9.8000000000000007</v>
      </c>
    </row>
    <row r="1149" spans="1:31" ht="15.75">
      <c r="A1149" s="390"/>
      <c r="B1149" s="404"/>
      <c r="C1149" s="405" t="s">
        <v>198</v>
      </c>
      <c r="D1149" s="425">
        <v>1566.36</v>
      </c>
      <c r="E1149" s="425">
        <v>1878.03</v>
      </c>
      <c r="F1149" s="425">
        <v>1924.11</v>
      </c>
      <c r="G1149" s="425">
        <v>1892.34</v>
      </c>
      <c r="H1149" s="425">
        <v>1558.12</v>
      </c>
      <c r="I1149" s="425">
        <v>1545.49</v>
      </c>
      <c r="J1149" s="425">
        <v>1894.42</v>
      </c>
      <c r="K1149" s="425">
        <v>1751</v>
      </c>
      <c r="L1149" s="425">
        <v>1743.69</v>
      </c>
      <c r="M1149" s="406"/>
      <c r="N1149" s="406"/>
      <c r="O1149" s="406"/>
      <c r="P1149" s="406"/>
      <c r="Q1149" s="404"/>
      <c r="R1149" s="404"/>
      <c r="S1149" s="404"/>
      <c r="T1149" s="404"/>
      <c r="U1149" s="404"/>
      <c r="V1149" s="407"/>
      <c r="W1149" s="404"/>
      <c r="X1149" s="408"/>
      <c r="Y1149" s="268"/>
      <c r="Z1149" s="267"/>
      <c r="AA1149" s="267"/>
      <c r="AB1149" s="267"/>
      <c r="AC1149" s="267"/>
      <c r="AD1149" s="268"/>
      <c r="AE1149" s="269"/>
    </row>
    <row r="1150" spans="1:31" ht="57.75" thickBot="1">
      <c r="A1150" s="390"/>
      <c r="B1150" s="404"/>
      <c r="C1150" s="409" t="s">
        <v>197</v>
      </c>
      <c r="D1150" s="410">
        <f t="shared" ref="D1150:L1150" si="378">IF(((D1148="")*AND(D1149="")),"",(D1148-D1149)*3)</f>
        <v>6973.4100000000008</v>
      </c>
      <c r="E1150" s="410">
        <f t="shared" si="378"/>
        <v>6694.86</v>
      </c>
      <c r="F1150" s="410">
        <f t="shared" si="378"/>
        <v>6616.3500000000022</v>
      </c>
      <c r="G1150" s="410">
        <f t="shared" si="378"/>
        <v>6611.0400000000009</v>
      </c>
      <c r="H1150" s="410">
        <f t="shared" si="378"/>
        <v>7164.39</v>
      </c>
      <c r="I1150" s="410">
        <f t="shared" si="378"/>
        <v>6771.75</v>
      </c>
      <c r="J1150" s="410">
        <f t="shared" si="378"/>
        <v>6607.079999999999</v>
      </c>
      <c r="K1150" s="410">
        <f t="shared" si="378"/>
        <v>7115.88</v>
      </c>
      <c r="L1150" s="410">
        <f t="shared" si="378"/>
        <v>6602.9699999999993</v>
      </c>
      <c r="M1150" s="410"/>
      <c r="N1150" s="410"/>
      <c r="O1150" s="410"/>
      <c r="P1150" s="410" t="str">
        <f>IF(((P1148="")*AND(P1149="")),"",(P1148-P1149)*2)</f>
        <v/>
      </c>
      <c r="Q1150" s="404"/>
      <c r="R1150" s="404"/>
      <c r="S1150" s="404"/>
      <c r="T1150" s="404"/>
      <c r="U1150" s="404"/>
      <c r="V1150" s="407"/>
      <c r="W1150" s="404"/>
      <c r="X1150" s="417"/>
      <c r="Y1150" s="268"/>
      <c r="Z1150" s="267"/>
      <c r="AA1150" s="267"/>
      <c r="AB1150" s="267"/>
      <c r="AC1150" s="267"/>
      <c r="AD1150" s="268"/>
      <c r="AE1150" s="269"/>
    </row>
    <row r="1151" spans="1:31" ht="15.75">
      <c r="A1151" s="344">
        <v>43969</v>
      </c>
      <c r="B1151" s="409" t="s">
        <v>200</v>
      </c>
      <c r="C1151" s="409" t="s">
        <v>199</v>
      </c>
      <c r="D1151" s="425">
        <v>4088.78</v>
      </c>
      <c r="E1151" s="425">
        <v>4131.68</v>
      </c>
      <c r="F1151" s="425">
        <v>4089.27</v>
      </c>
      <c r="G1151" s="425">
        <v>4134.2700000000004</v>
      </c>
      <c r="H1151" s="425">
        <v>4062.71</v>
      </c>
      <c r="I1151" s="425">
        <v>4072.06</v>
      </c>
      <c r="J1151" s="425">
        <v>4198.1000000000004</v>
      </c>
      <c r="K1151" s="425">
        <v>4214.21</v>
      </c>
      <c r="L1151" s="425">
        <v>4166.47</v>
      </c>
      <c r="M1151" s="425">
        <v>4222.21</v>
      </c>
      <c r="N1151" s="425">
        <v>4202.2</v>
      </c>
      <c r="O1151" s="425">
        <v>4185.22</v>
      </c>
      <c r="P1151" s="425">
        <v>4159.3599999999997</v>
      </c>
      <c r="Q1151" s="409">
        <f>IF((L1152=""),"",MAX(D1153:P1153))</f>
        <v>5515.02</v>
      </c>
      <c r="R1151" s="409">
        <f>IF(L1152="","",MIN(D1153:L1153))</f>
        <v>5416.4800000000005</v>
      </c>
      <c r="S1151" s="400">
        <f>IF((P1153=""),"",AVERAGE(D1153:P1153))</f>
        <v>5464.8861538461533</v>
      </c>
      <c r="T1151" s="412">
        <f>IF((L1152=""),"",(Q1151-R1151)/(Q1151+R1151)*100)</f>
        <v>0.90143164250102892</v>
      </c>
      <c r="U1151" s="409">
        <f>STDEV(D1153:P1153)</f>
        <v>29.329753249115718</v>
      </c>
      <c r="V1151" s="413" t="str">
        <f>IF(P1152="","",IF(T1151&lt;2.7,IF(S1151&gt;5150,IF(S1151&lt;5600,"Pass","Fail"),"Fail"),"Fail"))</f>
        <v>Pass</v>
      </c>
      <c r="W1151" s="409">
        <v>1428</v>
      </c>
      <c r="X1151" s="402" t="s">
        <v>492</v>
      </c>
      <c r="Y1151" s="268"/>
      <c r="Z1151" s="321">
        <v>4470</v>
      </c>
      <c r="AA1151" s="321">
        <v>6020</v>
      </c>
      <c r="AB1151" s="321">
        <v>5150</v>
      </c>
      <c r="AC1151" s="321">
        <v>5600</v>
      </c>
      <c r="AD1151" s="305">
        <v>10</v>
      </c>
      <c r="AE1151" s="322">
        <v>2.7</v>
      </c>
    </row>
    <row r="1152" spans="1:31" ht="15.75">
      <c r="A1152" s="390"/>
      <c r="B1152" s="404"/>
      <c r="C1152" s="404" t="s">
        <v>198</v>
      </c>
      <c r="D1152" s="425">
        <v>1372.1</v>
      </c>
      <c r="E1152" s="425">
        <v>1400.55</v>
      </c>
      <c r="F1152" s="425">
        <v>1379.34</v>
      </c>
      <c r="G1152" s="425">
        <v>1397.69</v>
      </c>
      <c r="H1152" s="425">
        <v>1317.23</v>
      </c>
      <c r="I1152" s="425">
        <v>1314.55</v>
      </c>
      <c r="J1152" s="425">
        <v>1459.19</v>
      </c>
      <c r="K1152" s="425">
        <v>1467.48</v>
      </c>
      <c r="L1152" s="425">
        <v>1458.23</v>
      </c>
      <c r="M1152" s="425">
        <v>1481.33</v>
      </c>
      <c r="N1152" s="425">
        <v>1468.19</v>
      </c>
      <c r="O1152" s="425">
        <v>1462.88</v>
      </c>
      <c r="P1152" s="425">
        <v>1426.02</v>
      </c>
      <c r="Q1152" s="404"/>
      <c r="R1152" s="404"/>
      <c r="S1152" s="404"/>
      <c r="T1152" s="404"/>
      <c r="U1152" s="404"/>
      <c r="V1152" s="407"/>
      <c r="W1152" s="404"/>
      <c r="X1152" s="408"/>
      <c r="Y1152" s="268"/>
      <c r="Z1152" s="267"/>
      <c r="AA1152" s="267"/>
      <c r="AB1152" s="267"/>
      <c r="AC1152" s="267"/>
      <c r="AD1152" s="268"/>
      <c r="AE1152" s="269"/>
    </row>
    <row r="1153" spans="1:31" ht="57.75" thickBot="1">
      <c r="A1153" s="393"/>
      <c r="B1153" s="414"/>
      <c r="C1153" s="414" t="s">
        <v>197</v>
      </c>
      <c r="D1153" s="415">
        <f t="shared" ref="D1153:P1153" si="379">IF(((D1151="")*AND(D1152="")),"",(D1151-D1152)*2)</f>
        <v>5433.3600000000006</v>
      </c>
      <c r="E1153" s="415">
        <f t="shared" si="379"/>
        <v>5462.26</v>
      </c>
      <c r="F1153" s="415">
        <f t="shared" si="379"/>
        <v>5419.8600000000006</v>
      </c>
      <c r="G1153" s="415">
        <f t="shared" si="379"/>
        <v>5473.1600000000008</v>
      </c>
      <c r="H1153" s="415">
        <f t="shared" si="379"/>
        <v>5490.96</v>
      </c>
      <c r="I1153" s="415">
        <f t="shared" si="379"/>
        <v>5515.02</v>
      </c>
      <c r="J1153" s="415">
        <f t="shared" si="379"/>
        <v>5477.8200000000006</v>
      </c>
      <c r="K1153" s="415">
        <f t="shared" si="379"/>
        <v>5493.46</v>
      </c>
      <c r="L1153" s="415">
        <f t="shared" si="379"/>
        <v>5416.4800000000005</v>
      </c>
      <c r="M1153" s="415">
        <f t="shared" si="379"/>
        <v>5481.76</v>
      </c>
      <c r="N1153" s="415">
        <f t="shared" si="379"/>
        <v>5468.0199999999995</v>
      </c>
      <c r="O1153" s="415">
        <f t="shared" si="379"/>
        <v>5444.68</v>
      </c>
      <c r="P1153" s="415">
        <f t="shared" si="379"/>
        <v>5466.6799999999994</v>
      </c>
      <c r="Q1153" s="414"/>
      <c r="R1153" s="414"/>
      <c r="S1153" s="414"/>
      <c r="T1153" s="414"/>
      <c r="U1153" s="414"/>
      <c r="V1153" s="416"/>
      <c r="W1153" s="414"/>
      <c r="X1153" s="417"/>
      <c r="Y1153" s="268"/>
      <c r="Z1153" s="267"/>
      <c r="AA1153" s="267"/>
      <c r="AB1153" s="267"/>
      <c r="AC1153" s="267"/>
      <c r="AD1153" s="268"/>
      <c r="AE1153" s="269"/>
    </row>
    <row r="1154" spans="1:31" ht="15.75">
      <c r="A1154" s="344">
        <v>43975</v>
      </c>
      <c r="B1154" s="395" t="s">
        <v>202</v>
      </c>
      <c r="C1154" s="396" t="s">
        <v>199</v>
      </c>
      <c r="D1154">
        <v>6214.47</v>
      </c>
      <c r="E1154">
        <v>6187.8</v>
      </c>
      <c r="F1154">
        <v>6129.3</v>
      </c>
      <c r="G1154">
        <v>6240.88</v>
      </c>
      <c r="H1154">
        <v>6170.52</v>
      </c>
      <c r="I1154">
        <v>6105.61</v>
      </c>
      <c r="J1154">
        <v>6117.13</v>
      </c>
      <c r="K1154">
        <v>6259.08</v>
      </c>
      <c r="L1154">
        <v>6102.51</v>
      </c>
      <c r="M1154" s="398"/>
      <c r="N1154" s="398"/>
      <c r="O1154" s="398"/>
      <c r="P1154" s="398"/>
      <c r="Q1154" s="395">
        <f>IF((L1155=""),"",MAX(D1156:L1156))</f>
        <v>7402.079999999999</v>
      </c>
      <c r="R1154" s="395">
        <f>IF(L1155="","",MIN(D1156:L1156))</f>
        <v>6508.5</v>
      </c>
      <c r="S1154" s="399">
        <f>IF((L1156=""),"",AVERAGE(D1156:L1156))</f>
        <v>6965.06</v>
      </c>
      <c r="T1154" s="400">
        <f>IF((L1155=""),"",(Q1154-R1154)/(Q1154+R1154)*100)</f>
        <v>6.4237436541107504</v>
      </c>
      <c r="U1154" s="395">
        <f>STDEV(D1156:P1156)</f>
        <v>314.50419730903275</v>
      </c>
      <c r="V1154" s="401" t="str">
        <f>IF(L1155="","",IF(T1154&lt;9.8,IF(S1154&gt;5100,IF(S1154&lt;8300,"Pass","Fail"),"Fail"),"Fail"))</f>
        <v>Pass</v>
      </c>
      <c r="W1154" s="395">
        <v>1534</v>
      </c>
      <c r="X1154" s="402" t="s">
        <v>493</v>
      </c>
      <c r="Y1154" s="268"/>
      <c r="Z1154" s="267">
        <v>4955</v>
      </c>
      <c r="AA1154" s="267">
        <v>9645</v>
      </c>
      <c r="AB1154" s="267">
        <v>5100</v>
      </c>
      <c r="AC1154" s="267">
        <v>8300</v>
      </c>
      <c r="AD1154" s="305">
        <v>10</v>
      </c>
      <c r="AE1154" s="305">
        <v>9.8000000000000007</v>
      </c>
    </row>
    <row r="1155" spans="1:31" ht="15.75">
      <c r="A1155" s="390"/>
      <c r="B1155" s="404"/>
      <c r="C1155" s="405" t="s">
        <v>198</v>
      </c>
      <c r="D1155">
        <v>3753.12</v>
      </c>
      <c r="E1155">
        <v>3937.75</v>
      </c>
      <c r="F1155">
        <v>3959.8</v>
      </c>
      <c r="G1155">
        <v>3933.18</v>
      </c>
      <c r="H1155">
        <v>3808.13</v>
      </c>
      <c r="I1155">
        <v>3638.25</v>
      </c>
      <c r="J1155">
        <v>3922.86</v>
      </c>
      <c r="K1155">
        <v>3912.89</v>
      </c>
      <c r="L1155">
        <v>3766.14</v>
      </c>
      <c r="M1155" s="406"/>
      <c r="N1155" s="406"/>
      <c r="O1155" s="406"/>
      <c r="P1155" s="406"/>
      <c r="Q1155" s="404"/>
      <c r="R1155" s="404"/>
      <c r="S1155" s="404"/>
      <c r="T1155" s="404"/>
      <c r="U1155" s="404"/>
      <c r="V1155" s="407"/>
      <c r="W1155" s="404"/>
      <c r="X1155" s="408"/>
      <c r="Y1155" s="268"/>
      <c r="Z1155" s="267"/>
      <c r="AA1155" s="267"/>
      <c r="AB1155" s="267"/>
      <c r="AC1155" s="267"/>
      <c r="AD1155" s="268"/>
      <c r="AE1155" s="269"/>
    </row>
    <row r="1156" spans="1:31" ht="57.75" thickBot="1">
      <c r="A1156" s="390"/>
      <c r="B1156" s="404"/>
      <c r="C1156" s="409" t="s">
        <v>197</v>
      </c>
      <c r="D1156" s="410">
        <f t="shared" ref="D1156:L1156" si="380">IF(((D1154="")*AND(D1155="")),"",(D1154-D1155)*3)</f>
        <v>7384.0500000000011</v>
      </c>
      <c r="E1156" s="410">
        <f t="shared" si="380"/>
        <v>6750.1500000000005</v>
      </c>
      <c r="F1156" s="410">
        <f t="shared" si="380"/>
        <v>6508.5</v>
      </c>
      <c r="G1156" s="410">
        <f t="shared" si="380"/>
        <v>6923.1</v>
      </c>
      <c r="H1156" s="410">
        <f t="shared" si="380"/>
        <v>7087.170000000001</v>
      </c>
      <c r="I1156" s="410">
        <f t="shared" si="380"/>
        <v>7402.079999999999</v>
      </c>
      <c r="J1156" s="410">
        <f t="shared" si="380"/>
        <v>6582.8099999999995</v>
      </c>
      <c r="K1156" s="410">
        <f t="shared" si="380"/>
        <v>7038.57</v>
      </c>
      <c r="L1156" s="410">
        <f t="shared" si="380"/>
        <v>7009.1100000000006</v>
      </c>
      <c r="M1156" s="410"/>
      <c r="N1156" s="410"/>
      <c r="O1156" s="410"/>
      <c r="P1156" s="410" t="str">
        <f>IF(((P1154="")*AND(P1155="")),"",(P1154-P1155)*2)</f>
        <v/>
      </c>
      <c r="Q1156" s="404"/>
      <c r="R1156" s="404"/>
      <c r="S1156" s="404"/>
      <c r="T1156" s="404"/>
      <c r="U1156" s="404"/>
      <c r="V1156" s="407"/>
      <c r="W1156" s="404"/>
      <c r="X1156" s="417"/>
      <c r="Y1156" s="268"/>
      <c r="Z1156" s="267"/>
      <c r="AA1156" s="267"/>
      <c r="AB1156" s="267"/>
      <c r="AC1156" s="267"/>
      <c r="AD1156" s="268"/>
      <c r="AE1156" s="269"/>
    </row>
    <row r="1157" spans="1:31" ht="15.75">
      <c r="A1157" s="344">
        <v>43975</v>
      </c>
      <c r="B1157" s="409" t="s">
        <v>200</v>
      </c>
      <c r="C1157" s="409" t="s">
        <v>199</v>
      </c>
      <c r="D1157">
        <v>6637.99</v>
      </c>
      <c r="E1157">
        <v>6753.36</v>
      </c>
      <c r="F1157">
        <v>6678.7</v>
      </c>
      <c r="G1157">
        <v>6773.37</v>
      </c>
      <c r="H1157">
        <v>6646.31</v>
      </c>
      <c r="I1157">
        <v>6719.78</v>
      </c>
      <c r="J1157">
        <v>6841.89</v>
      </c>
      <c r="K1157">
        <v>6847.26</v>
      </c>
      <c r="L1157">
        <v>6765.73</v>
      </c>
      <c r="M1157">
        <v>6862.96</v>
      </c>
      <c r="N1157">
        <v>6830.54</v>
      </c>
      <c r="O1157">
        <v>6808</v>
      </c>
      <c r="P1157">
        <v>6784.71</v>
      </c>
      <c r="Q1157" s="409">
        <f>IF((L1158=""),"",MAX(D1159:P1159))</f>
        <v>5311.8799999999992</v>
      </c>
      <c r="R1157" s="409">
        <f>IF(L1158="","",MIN(D1159:L1159))</f>
        <v>5272.5399999999991</v>
      </c>
      <c r="S1157" s="400">
        <f>IF((P1159=""),"",AVERAGE(D1159:P1159))</f>
        <v>5292.623076923076</v>
      </c>
      <c r="T1157" s="412">
        <f>IF((L1158=""),"",(Q1157-R1157)/(Q1157+R1157)*100)</f>
        <v>0.37167837255135522</v>
      </c>
      <c r="U1157" s="409">
        <f>STDEV(D1159:P1159)</f>
        <v>11.927785059082725</v>
      </c>
      <c r="V1157" s="413" t="str">
        <f>IF(P1158="","",IF(T1157&lt;2.7,IF(S1157&gt;5150,IF(S1157&lt;5600,"Pass","Fail"),"Fail"),"Fail"))</f>
        <v>Pass</v>
      </c>
      <c r="W1157" s="409">
        <v>1534</v>
      </c>
      <c r="X1157" s="402" t="s">
        <v>493</v>
      </c>
      <c r="Y1157" s="268"/>
      <c r="Z1157" s="321">
        <v>4470</v>
      </c>
      <c r="AA1157" s="321">
        <v>6020</v>
      </c>
      <c r="AB1157" s="321">
        <v>5150</v>
      </c>
      <c r="AC1157" s="321">
        <v>5600</v>
      </c>
      <c r="AD1157" s="305">
        <v>10</v>
      </c>
      <c r="AE1157" s="322">
        <v>2.7</v>
      </c>
    </row>
    <row r="1158" spans="1:31" ht="15.75">
      <c r="A1158" s="390"/>
      <c r="B1158" s="404"/>
      <c r="C1158" s="404" t="s">
        <v>198</v>
      </c>
      <c r="D1158">
        <v>3993.56</v>
      </c>
      <c r="E1158">
        <v>4117.09</v>
      </c>
      <c r="F1158">
        <v>4036.78</v>
      </c>
      <c r="G1158">
        <v>4123.41</v>
      </c>
      <c r="H1158">
        <v>3993.19</v>
      </c>
      <c r="I1158">
        <v>4063.84</v>
      </c>
      <c r="J1158">
        <v>4192.41</v>
      </c>
      <c r="K1158">
        <v>4201.43</v>
      </c>
      <c r="L1158">
        <v>4129.08</v>
      </c>
      <c r="M1158">
        <v>4218.13</v>
      </c>
      <c r="N1158">
        <v>4186.1899999999996</v>
      </c>
      <c r="O1158">
        <v>4161.45</v>
      </c>
      <c r="P1158">
        <v>4131.99</v>
      </c>
      <c r="Q1158" s="404"/>
      <c r="R1158" s="404"/>
      <c r="S1158" s="404"/>
      <c r="T1158" s="404"/>
      <c r="U1158" s="404"/>
      <c r="V1158" s="407"/>
      <c r="W1158" s="404"/>
      <c r="X1158" s="408"/>
      <c r="Y1158" s="268"/>
      <c r="Z1158" s="267"/>
      <c r="AA1158" s="267"/>
      <c r="AB1158" s="267"/>
      <c r="AC1158" s="267"/>
      <c r="AD1158" s="268"/>
      <c r="AE1158" s="269"/>
    </row>
    <row r="1159" spans="1:31" ht="57.75" thickBot="1">
      <c r="A1159" s="393"/>
      <c r="B1159" s="414"/>
      <c r="C1159" s="414" t="s">
        <v>197</v>
      </c>
      <c r="D1159" s="415">
        <f t="shared" ref="D1159:P1159" si="381">IF(((D1157="")*AND(D1158="")),"",(D1157-D1158)*2)</f>
        <v>5288.86</v>
      </c>
      <c r="E1159" s="415">
        <f t="shared" si="381"/>
        <v>5272.5399999999991</v>
      </c>
      <c r="F1159" s="415">
        <f t="shared" si="381"/>
        <v>5283.8399999999992</v>
      </c>
      <c r="G1159" s="415">
        <f t="shared" si="381"/>
        <v>5299.92</v>
      </c>
      <c r="H1159" s="415">
        <f t="shared" si="381"/>
        <v>5306.2400000000007</v>
      </c>
      <c r="I1159" s="415">
        <f t="shared" si="381"/>
        <v>5311.8799999999992</v>
      </c>
      <c r="J1159" s="415">
        <f t="shared" si="381"/>
        <v>5298.9600000000009</v>
      </c>
      <c r="K1159" s="415">
        <f t="shared" si="381"/>
        <v>5291.66</v>
      </c>
      <c r="L1159" s="415">
        <f t="shared" si="381"/>
        <v>5273.2999999999993</v>
      </c>
      <c r="M1159" s="415">
        <f t="shared" si="381"/>
        <v>5289.66</v>
      </c>
      <c r="N1159" s="415">
        <f t="shared" si="381"/>
        <v>5288.7000000000007</v>
      </c>
      <c r="O1159" s="415">
        <f t="shared" si="381"/>
        <v>5293.1</v>
      </c>
      <c r="P1159" s="415">
        <f t="shared" si="381"/>
        <v>5305.4400000000005</v>
      </c>
      <c r="Q1159" s="414"/>
      <c r="R1159" s="414"/>
      <c r="S1159" s="414"/>
      <c r="T1159" s="414"/>
      <c r="U1159" s="414"/>
      <c r="V1159" s="416"/>
      <c r="W1159" s="414"/>
      <c r="X1159" s="417"/>
      <c r="Y1159" s="268"/>
      <c r="Z1159" s="267"/>
      <c r="AA1159" s="267"/>
      <c r="AB1159" s="267"/>
      <c r="AC1159" s="267"/>
      <c r="AD1159" s="268"/>
      <c r="AE1159" s="269"/>
    </row>
    <row r="1160" spans="1:31" ht="15.75">
      <c r="A1160" s="344">
        <v>43979</v>
      </c>
      <c r="B1160" s="395" t="s">
        <v>202</v>
      </c>
      <c r="C1160" s="396" t="s">
        <v>199</v>
      </c>
      <c r="D1160" s="425">
        <v>3800.85</v>
      </c>
      <c r="E1160" s="425">
        <v>4088.73</v>
      </c>
      <c r="F1160" s="425">
        <v>3893.12</v>
      </c>
      <c r="G1160" s="425">
        <v>3900.4</v>
      </c>
      <c r="H1160" s="425">
        <v>3795.27</v>
      </c>
      <c r="I1160" s="425">
        <v>3653.57</v>
      </c>
      <c r="J1160" s="425">
        <v>3862.92</v>
      </c>
      <c r="K1160" s="425">
        <v>3929.04</v>
      </c>
      <c r="L1160" s="425">
        <v>3817.66</v>
      </c>
      <c r="M1160" s="398"/>
      <c r="N1160" s="398"/>
      <c r="O1160" s="398"/>
      <c r="P1160" s="398"/>
      <c r="Q1160" s="395">
        <f>IF((L1161=""),"",MAX(D1162:L1162))</f>
        <v>6623.88</v>
      </c>
      <c r="R1160" s="395">
        <f>IF(L1161="","",MIN(D1162:L1162))</f>
        <v>5773.6500000000005</v>
      </c>
      <c r="S1160" s="399">
        <f>IF((L1162=""),"",AVERAGE(D1162:L1162))</f>
        <v>6177.81</v>
      </c>
      <c r="T1160" s="400">
        <f>IF((L1161=""),"",(Q1160-R1160)/(Q1160+R1160)*100)</f>
        <v>6.8580596296197669</v>
      </c>
      <c r="U1160" s="395">
        <f>STDEV(D1162:P1162)</f>
        <v>288.53714206319222</v>
      </c>
      <c r="V1160" s="401" t="str">
        <f>IF(L1161="","",IF(T1160&lt;9.8,IF(S1160&gt;5100,IF(S1160&lt;8300,"Pass","Fail"),"Fail"),"Fail"))</f>
        <v>Pass</v>
      </c>
      <c r="W1160" s="395">
        <v>1428</v>
      </c>
      <c r="X1160" s="402" t="s">
        <v>494</v>
      </c>
      <c r="Y1160" s="268"/>
      <c r="Z1160" s="267">
        <v>4955</v>
      </c>
      <c r="AA1160" s="267">
        <v>9645</v>
      </c>
      <c r="AB1160" s="267">
        <v>5100</v>
      </c>
      <c r="AC1160" s="267">
        <v>8300</v>
      </c>
      <c r="AD1160" s="305">
        <v>10</v>
      </c>
      <c r="AE1160" s="305">
        <v>9.8000000000000007</v>
      </c>
    </row>
    <row r="1161" spans="1:31" ht="15.75">
      <c r="A1161" s="390"/>
      <c r="B1161" s="404"/>
      <c r="C1161" s="405" t="s">
        <v>198</v>
      </c>
      <c r="D1161" s="425">
        <v>1600.08</v>
      </c>
      <c r="E1161" s="425">
        <v>2002.84</v>
      </c>
      <c r="F1161" s="425">
        <v>1889.75</v>
      </c>
      <c r="G1161" s="425">
        <v>1907.7</v>
      </c>
      <c r="H1161" s="425">
        <v>1587.31</v>
      </c>
      <c r="I1161" s="425">
        <v>1566.4</v>
      </c>
      <c r="J1161" s="425">
        <v>1938.37</v>
      </c>
      <c r="K1161" s="425">
        <v>1934.14</v>
      </c>
      <c r="L1161" s="425">
        <v>1781.54</v>
      </c>
      <c r="M1161" s="406"/>
      <c r="N1161" s="406"/>
      <c r="O1161" s="406"/>
      <c r="P1161" s="406"/>
      <c r="Q1161" s="404"/>
      <c r="R1161" s="404"/>
      <c r="S1161" s="404"/>
      <c r="T1161" s="404"/>
      <c r="U1161" s="404"/>
      <c r="V1161" s="407"/>
      <c r="W1161" s="404"/>
      <c r="X1161" s="408"/>
      <c r="Y1161" s="268"/>
      <c r="Z1161" s="267"/>
      <c r="AA1161" s="267"/>
      <c r="AB1161" s="267"/>
      <c r="AC1161" s="267"/>
      <c r="AD1161" s="268"/>
      <c r="AE1161" s="269"/>
    </row>
    <row r="1162" spans="1:31" ht="57.75" thickBot="1">
      <c r="A1162" s="390"/>
      <c r="B1162" s="404"/>
      <c r="C1162" s="409" t="s">
        <v>197</v>
      </c>
      <c r="D1162" s="410">
        <f t="shared" ref="D1162:L1162" si="382">IF(((D1160="")*AND(D1161="")),"",(D1160-D1161)*3)</f>
        <v>6602.3099999999995</v>
      </c>
      <c r="E1162" s="410">
        <f t="shared" si="382"/>
        <v>6257.670000000001</v>
      </c>
      <c r="F1162" s="410">
        <f t="shared" si="382"/>
        <v>6010.11</v>
      </c>
      <c r="G1162" s="410">
        <f t="shared" si="382"/>
        <v>5978.1</v>
      </c>
      <c r="H1162" s="410">
        <f t="shared" si="382"/>
        <v>6623.88</v>
      </c>
      <c r="I1162" s="410">
        <f t="shared" si="382"/>
        <v>6261.51</v>
      </c>
      <c r="J1162" s="410">
        <f t="shared" si="382"/>
        <v>5773.6500000000005</v>
      </c>
      <c r="K1162" s="410">
        <f t="shared" si="382"/>
        <v>5984.7</v>
      </c>
      <c r="L1162" s="410">
        <f t="shared" si="382"/>
        <v>6108.36</v>
      </c>
      <c r="M1162" s="410"/>
      <c r="N1162" s="410"/>
      <c r="O1162" s="410"/>
      <c r="P1162" s="410" t="str">
        <f>IF(((P1160="")*AND(P1161="")),"",(P1160-P1161)*2)</f>
        <v/>
      </c>
      <c r="Q1162" s="404"/>
      <c r="R1162" s="404"/>
      <c r="S1162" s="404"/>
      <c r="T1162" s="404"/>
      <c r="U1162" s="404"/>
      <c r="V1162" s="407"/>
      <c r="W1162" s="404"/>
      <c r="X1162" s="417"/>
      <c r="Y1162" s="268"/>
      <c r="Z1162" s="267"/>
      <c r="AA1162" s="267"/>
      <c r="AB1162" s="267"/>
      <c r="AC1162" s="267"/>
      <c r="AD1162" s="268"/>
      <c r="AE1162" s="269"/>
    </row>
    <row r="1163" spans="1:31" ht="15.75">
      <c r="A1163" s="344">
        <v>43979</v>
      </c>
      <c r="B1163" s="409" t="s">
        <v>200</v>
      </c>
      <c r="C1163" s="409" t="s">
        <v>199</v>
      </c>
      <c r="D1163" s="425">
        <v>4001.88</v>
      </c>
      <c r="E1163" s="425">
        <v>4126.17</v>
      </c>
      <c r="F1163" s="425">
        <v>4046.42</v>
      </c>
      <c r="G1163" s="425">
        <v>4131.9799999999996</v>
      </c>
      <c r="H1163" s="425">
        <v>4001.19</v>
      </c>
      <c r="I1163" s="425">
        <v>4072.08</v>
      </c>
      <c r="J1163" s="425">
        <v>4201.37</v>
      </c>
      <c r="K1163" s="425">
        <v>4210.46</v>
      </c>
      <c r="L1163" s="425">
        <v>4138.79</v>
      </c>
      <c r="M1163" s="425">
        <v>4227.0600000000004</v>
      </c>
      <c r="N1163" s="425">
        <v>4194.79</v>
      </c>
      <c r="O1163" s="425">
        <v>4169.92</v>
      </c>
      <c r="P1163" s="425">
        <v>4140.6499999999996</v>
      </c>
      <c r="Q1163" s="409">
        <f>IF((L1164=""),"",MAX(D1165:P1165))</f>
        <v>5405.72</v>
      </c>
      <c r="R1163" s="409">
        <f>IF(L1164="","",MIN(D1165:L1165))</f>
        <v>5263.6200000000008</v>
      </c>
      <c r="S1163" s="400">
        <f>IF((P1165=""),"",AVERAGE(D1165:P1165))</f>
        <v>5313.2646153846154</v>
      </c>
      <c r="T1163" s="412">
        <f>IF((L1164=""),"",(Q1163-R1163)/(Q1163+R1163)*100)</f>
        <v>1.3318537041653884</v>
      </c>
      <c r="U1163" s="409">
        <f>STDEV(D1165:P1165)</f>
        <v>33.270326272246244</v>
      </c>
      <c r="V1163" s="413" t="str">
        <f>IF(P1164="","",IF(T1163&lt;2.7,IF(S1163&gt;5150,IF(S1163&lt;5600,"Pass","Fail"),"Fail"),"Fail"))</f>
        <v>Pass</v>
      </c>
      <c r="W1163" s="409">
        <v>1428</v>
      </c>
      <c r="X1163" s="402" t="s">
        <v>494</v>
      </c>
      <c r="Y1163" s="268"/>
      <c r="Z1163" s="321">
        <v>4470</v>
      </c>
      <c r="AA1163" s="321">
        <v>6020</v>
      </c>
      <c r="AB1163" s="321">
        <v>5150</v>
      </c>
      <c r="AC1163" s="321">
        <v>5600</v>
      </c>
      <c r="AD1163" s="305">
        <v>10</v>
      </c>
      <c r="AE1163" s="322">
        <v>2.7</v>
      </c>
    </row>
    <row r="1164" spans="1:31" ht="15.75">
      <c r="A1164" s="390"/>
      <c r="B1164" s="404"/>
      <c r="C1164" s="404" t="s">
        <v>198</v>
      </c>
      <c r="D1164" s="425">
        <v>1359.69</v>
      </c>
      <c r="E1164" s="425">
        <v>1494.36</v>
      </c>
      <c r="F1164" s="425">
        <v>1343.56</v>
      </c>
      <c r="G1164" s="425">
        <v>1470.99</v>
      </c>
      <c r="H1164" s="425">
        <v>1351.59</v>
      </c>
      <c r="I1164" s="425">
        <v>1409.82</v>
      </c>
      <c r="J1164" s="425">
        <v>1538.68</v>
      </c>
      <c r="K1164" s="425">
        <v>1551.33</v>
      </c>
      <c r="L1164" s="425">
        <v>1494.39</v>
      </c>
      <c r="M1164" s="425">
        <v>1570.36</v>
      </c>
      <c r="N1164" s="425">
        <v>1546.07</v>
      </c>
      <c r="O1164" s="425">
        <v>1513.59</v>
      </c>
      <c r="P1164" s="425">
        <v>1482.11</v>
      </c>
      <c r="Q1164" s="404"/>
      <c r="R1164" s="404"/>
      <c r="S1164" s="404"/>
      <c r="T1164" s="404"/>
      <c r="U1164" s="404"/>
      <c r="V1164" s="407"/>
      <c r="W1164" s="404"/>
      <c r="X1164" s="408"/>
      <c r="Y1164" s="268"/>
      <c r="Z1164" s="267"/>
      <c r="AA1164" s="267"/>
      <c r="AB1164" s="267"/>
      <c r="AC1164" s="267"/>
      <c r="AD1164" s="268"/>
      <c r="AE1164" s="269"/>
    </row>
    <row r="1165" spans="1:31" ht="57.75" thickBot="1">
      <c r="A1165" s="393"/>
      <c r="B1165" s="414"/>
      <c r="C1165" s="414" t="s">
        <v>197</v>
      </c>
      <c r="D1165" s="415">
        <f t="shared" ref="D1165:P1165" si="383">IF(((D1163="")*AND(D1164="")),"",(D1163-D1164)*2)</f>
        <v>5284.38</v>
      </c>
      <c r="E1165" s="415">
        <f t="shared" si="383"/>
        <v>5263.6200000000008</v>
      </c>
      <c r="F1165" s="415">
        <f t="shared" si="383"/>
        <v>5405.72</v>
      </c>
      <c r="G1165" s="415">
        <f t="shared" si="383"/>
        <v>5321.98</v>
      </c>
      <c r="H1165" s="415">
        <f t="shared" si="383"/>
        <v>5299.2000000000007</v>
      </c>
      <c r="I1165" s="415">
        <f t="shared" si="383"/>
        <v>5324.52</v>
      </c>
      <c r="J1165" s="415">
        <f t="shared" si="383"/>
        <v>5325.3799999999992</v>
      </c>
      <c r="K1165" s="415">
        <f t="shared" si="383"/>
        <v>5318.26</v>
      </c>
      <c r="L1165" s="415">
        <f t="shared" si="383"/>
        <v>5288.7999999999993</v>
      </c>
      <c r="M1165" s="415">
        <f t="shared" si="383"/>
        <v>5313.4000000000015</v>
      </c>
      <c r="N1165" s="415">
        <f t="shared" si="383"/>
        <v>5297.4400000000005</v>
      </c>
      <c r="O1165" s="415">
        <f t="shared" si="383"/>
        <v>5312.66</v>
      </c>
      <c r="P1165" s="415">
        <f t="shared" si="383"/>
        <v>5317.08</v>
      </c>
      <c r="Q1165" s="414"/>
      <c r="R1165" s="414"/>
      <c r="S1165" s="414"/>
      <c r="T1165" s="414"/>
      <c r="U1165" s="414"/>
      <c r="V1165" s="416"/>
      <c r="W1165" s="414"/>
      <c r="X1165" s="417"/>
      <c r="Y1165" s="268"/>
      <c r="Z1165" s="267"/>
      <c r="AA1165" s="267"/>
      <c r="AB1165" s="267"/>
      <c r="AC1165" s="267"/>
      <c r="AD1165" s="268"/>
      <c r="AE1165" s="269"/>
    </row>
    <row r="1166" spans="1:31" ht="15">
      <c r="A1166" s="344">
        <v>43836</v>
      </c>
      <c r="B1166" s="395" t="s">
        <v>202</v>
      </c>
      <c r="C1166" s="396" t="s">
        <v>199</v>
      </c>
      <c r="D1166" s="306">
        <v>6389</v>
      </c>
      <c r="E1166" s="306">
        <v>6433</v>
      </c>
      <c r="F1166" s="306">
        <v>6463</v>
      </c>
      <c r="G1166" s="306">
        <v>6433</v>
      </c>
      <c r="H1166" s="306">
        <v>6326</v>
      </c>
      <c r="I1166" s="306">
        <v>6453</v>
      </c>
      <c r="J1166" s="306">
        <v>6455</v>
      </c>
      <c r="K1166" s="306">
        <v>6293</v>
      </c>
      <c r="L1166" s="306">
        <v>6324</v>
      </c>
      <c r="M1166" s="398"/>
      <c r="N1166" s="398"/>
      <c r="O1166" s="398"/>
      <c r="P1166" s="398"/>
      <c r="Q1166" s="395">
        <f>IF((L1167=""),"",MAX(D1168:L1168))</f>
        <v>6984</v>
      </c>
      <c r="R1166" s="395">
        <f>IF(L1167="","",MIN(D1168:L1168))</f>
        <v>6627</v>
      </c>
      <c r="S1166" s="399">
        <f>IF((L1168=""),"",AVERAGE(D1168:L1168))</f>
        <v>6749.666666666667</v>
      </c>
      <c r="T1166" s="400">
        <f>IF((L1167=""),"",(Q1166-R1166)/(Q1166+R1166)*100)</f>
        <v>2.6228785541106459</v>
      </c>
      <c r="U1166" s="395">
        <f>STDEV(D1168:P1168)</f>
        <v>144.34680460612904</v>
      </c>
      <c r="V1166" s="401" t="str">
        <f>IF(L1167="","",IF(T1166&lt;9.8,IF(S1166&gt;5100,IF(S1166&lt;8300,"Pass","Fail"),"Fail"),"Fail"))</f>
        <v>Pass</v>
      </c>
      <c r="W1166" s="395">
        <v>1340</v>
      </c>
      <c r="X1166" s="402" t="s">
        <v>495</v>
      </c>
      <c r="Y1166" s="268"/>
      <c r="Z1166" s="267">
        <v>4955</v>
      </c>
      <c r="AA1166" s="267">
        <v>9645</v>
      </c>
      <c r="AB1166" s="267">
        <v>5100</v>
      </c>
      <c r="AC1166" s="267">
        <v>8300</v>
      </c>
      <c r="AD1166" s="305">
        <v>10</v>
      </c>
      <c r="AE1166" s="305">
        <v>9.8000000000000007</v>
      </c>
    </row>
    <row r="1167" spans="1:31" ht="15">
      <c r="A1167" s="390"/>
      <c r="B1167" s="404"/>
      <c r="C1167" s="405" t="s">
        <v>198</v>
      </c>
      <c r="D1167" s="306">
        <v>4061</v>
      </c>
      <c r="E1167" s="306">
        <v>4224</v>
      </c>
      <c r="F1167" s="306">
        <v>4250</v>
      </c>
      <c r="G1167" s="306">
        <v>4213</v>
      </c>
      <c r="H1167" s="306">
        <v>4038</v>
      </c>
      <c r="I1167" s="306">
        <v>4235</v>
      </c>
      <c r="J1167" s="306">
        <v>4238</v>
      </c>
      <c r="K1167" s="306">
        <v>4056</v>
      </c>
      <c r="L1167" s="306">
        <v>4005</v>
      </c>
      <c r="M1167" s="406"/>
      <c r="N1167" s="406"/>
      <c r="O1167" s="406"/>
      <c r="P1167" s="406"/>
      <c r="Q1167" s="404"/>
      <c r="R1167" s="404"/>
      <c r="S1167" s="404"/>
      <c r="T1167" s="404"/>
      <c r="U1167" s="404"/>
      <c r="V1167" s="407"/>
      <c r="W1167" s="404"/>
      <c r="X1167" s="408"/>
      <c r="Y1167" s="268"/>
      <c r="Z1167" s="267"/>
      <c r="AA1167" s="267"/>
      <c r="AB1167" s="267"/>
      <c r="AC1167" s="267"/>
      <c r="AD1167" s="268"/>
      <c r="AE1167" s="269"/>
    </row>
    <row r="1168" spans="1:31" ht="61.5" customHeight="1" thickBot="1">
      <c r="A1168" s="390"/>
      <c r="B1168" s="404"/>
      <c r="C1168" s="409" t="s">
        <v>197</v>
      </c>
      <c r="D1168" s="410">
        <f t="shared" ref="D1168:L1168" si="384">IF(((D1166="")*AND(D1167="")),"",(D1166-D1167)*3)</f>
        <v>6984</v>
      </c>
      <c r="E1168" s="410">
        <f t="shared" si="384"/>
        <v>6627</v>
      </c>
      <c r="F1168" s="410">
        <f t="shared" si="384"/>
        <v>6639</v>
      </c>
      <c r="G1168" s="410">
        <f t="shared" si="384"/>
        <v>6660</v>
      </c>
      <c r="H1168" s="410">
        <f t="shared" si="384"/>
        <v>6864</v>
      </c>
      <c r="I1168" s="410">
        <f t="shared" si="384"/>
        <v>6654</v>
      </c>
      <c r="J1168" s="410">
        <f t="shared" si="384"/>
        <v>6651</v>
      </c>
      <c r="K1168" s="410">
        <f t="shared" si="384"/>
        <v>6711</v>
      </c>
      <c r="L1168" s="410">
        <f t="shared" si="384"/>
        <v>6957</v>
      </c>
      <c r="M1168" s="410"/>
      <c r="N1168" s="410"/>
      <c r="O1168" s="410"/>
      <c r="P1168" s="410" t="str">
        <f>IF(((P1166="")*AND(P1167="")),"",(P1166-P1167)*2)</f>
        <v/>
      </c>
      <c r="Q1168" s="404"/>
      <c r="R1168" s="404"/>
      <c r="S1168" s="404"/>
      <c r="T1168" s="404"/>
      <c r="U1168" s="404"/>
      <c r="V1168" s="407"/>
      <c r="W1168" s="404"/>
      <c r="X1168" s="417"/>
      <c r="Y1168" s="268"/>
      <c r="Z1168" s="267"/>
      <c r="AA1168" s="267"/>
      <c r="AB1168" s="267"/>
      <c r="AC1168" s="267"/>
      <c r="AD1168" s="268"/>
      <c r="AE1168" s="269"/>
    </row>
    <row r="1169" spans="1:31" ht="15.75">
      <c r="A1169" s="344">
        <v>43836</v>
      </c>
      <c r="B1169" s="409" t="s">
        <v>200</v>
      </c>
      <c r="C1169" s="409" t="s">
        <v>199</v>
      </c>
      <c r="D1169">
        <v>6608.92</v>
      </c>
      <c r="E1169">
        <v>6721.54</v>
      </c>
      <c r="F1169">
        <v>6661.97</v>
      </c>
      <c r="G1169">
        <v>6723.74</v>
      </c>
      <c r="H1169">
        <v>6603.98</v>
      </c>
      <c r="I1169">
        <v>6672.76</v>
      </c>
      <c r="J1169">
        <v>6791.3</v>
      </c>
      <c r="K1169">
        <v>6808.54</v>
      </c>
      <c r="L1169">
        <v>6751.98</v>
      </c>
      <c r="M1169">
        <v>6813.99</v>
      </c>
      <c r="N1169">
        <v>6790.72</v>
      </c>
      <c r="O1169">
        <v>6784.81</v>
      </c>
      <c r="P1169">
        <v>6750.16</v>
      </c>
      <c r="Q1169" s="409">
        <f>IF((L1170=""),"",MAX(D1171:P1171))</f>
        <v>5316.9600000000009</v>
      </c>
      <c r="R1169" s="409">
        <f>IF(L1170="","",MIN(D1171:L1171))</f>
        <v>5235.3999999999996</v>
      </c>
      <c r="S1169" s="400">
        <f>IF((P1171=""),"",AVERAGE(D1171:P1171))</f>
        <v>5278.2599999999993</v>
      </c>
      <c r="T1169" s="412">
        <f>IF((L1170=""),"",(Q1169-R1169)/(Q1169+R1169)*100)</f>
        <v>0.77290767183834996</v>
      </c>
      <c r="U1169" s="409">
        <f>STDEV(D1171:P1171)</f>
        <v>30.625758222192093</v>
      </c>
      <c r="V1169" s="413" t="str">
        <f>IF(P1170="","",IF(T1169&lt;2.7,IF(S1169&gt;5150,IF(S1169&lt;5600,"Pass","Fail"),"Fail"),"Fail"))</f>
        <v>Pass</v>
      </c>
      <c r="W1169" s="409">
        <v>1340</v>
      </c>
      <c r="X1169" s="402" t="s">
        <v>495</v>
      </c>
      <c r="Y1169" s="268"/>
      <c r="Z1169" s="321">
        <v>4470</v>
      </c>
      <c r="AA1169" s="321">
        <v>6020</v>
      </c>
      <c r="AB1169" s="321">
        <v>5150</v>
      </c>
      <c r="AC1169" s="321">
        <v>5600</v>
      </c>
      <c r="AD1169" s="305">
        <v>10</v>
      </c>
      <c r="AE1169" s="322">
        <v>2.7</v>
      </c>
    </row>
    <row r="1170" spans="1:31" ht="15.75">
      <c r="A1170" s="390"/>
      <c r="B1170" s="404"/>
      <c r="C1170" s="404" t="s">
        <v>198</v>
      </c>
      <c r="D1170">
        <v>3991.03</v>
      </c>
      <c r="E1170">
        <v>4103.84</v>
      </c>
      <c r="F1170">
        <v>4039.9</v>
      </c>
      <c r="G1170">
        <v>4072.01</v>
      </c>
      <c r="H1170">
        <v>3966.27</v>
      </c>
      <c r="I1170">
        <v>4017.39</v>
      </c>
      <c r="J1170">
        <v>4132.82</v>
      </c>
      <c r="K1170">
        <v>4157.7</v>
      </c>
      <c r="L1170">
        <v>4130.74</v>
      </c>
      <c r="M1170">
        <v>4157.24</v>
      </c>
      <c r="N1170">
        <v>4155.3100000000004</v>
      </c>
      <c r="O1170">
        <v>4146.08</v>
      </c>
      <c r="P1170">
        <v>4105.3900000000003</v>
      </c>
      <c r="Q1170" s="404"/>
      <c r="R1170" s="404"/>
      <c r="S1170" s="404"/>
      <c r="T1170" s="404"/>
      <c r="U1170" s="404"/>
      <c r="V1170" s="407"/>
      <c r="W1170" s="404"/>
      <c r="X1170" s="408"/>
      <c r="Y1170" s="268"/>
      <c r="Z1170" s="267"/>
      <c r="AA1170" s="267"/>
      <c r="AB1170" s="267"/>
      <c r="AC1170" s="267"/>
      <c r="AD1170" s="268"/>
      <c r="AE1170" s="269"/>
    </row>
    <row r="1171" spans="1:31" ht="57.75" thickBot="1">
      <c r="A1171" s="393"/>
      <c r="B1171" s="414"/>
      <c r="C1171" s="414" t="s">
        <v>197</v>
      </c>
      <c r="D1171" s="415">
        <f t="shared" ref="D1171:P1171" si="385">IF(((D1169="")*AND(D1170="")),"",(D1169-D1170)*2)</f>
        <v>5235.78</v>
      </c>
      <c r="E1171" s="415">
        <f t="shared" si="385"/>
        <v>5235.3999999999996</v>
      </c>
      <c r="F1171" s="415">
        <f t="shared" si="385"/>
        <v>5244.14</v>
      </c>
      <c r="G1171" s="415">
        <f t="shared" si="385"/>
        <v>5303.4599999999991</v>
      </c>
      <c r="H1171" s="415">
        <f t="shared" si="385"/>
        <v>5275.4199999999992</v>
      </c>
      <c r="I1171" s="415">
        <f t="shared" si="385"/>
        <v>5310.7400000000007</v>
      </c>
      <c r="J1171" s="415">
        <f t="shared" si="385"/>
        <v>5316.9600000000009</v>
      </c>
      <c r="K1171" s="415">
        <f t="shared" si="385"/>
        <v>5301.68</v>
      </c>
      <c r="L1171" s="415">
        <f t="shared" si="385"/>
        <v>5242.4799999999996</v>
      </c>
      <c r="M1171" s="415">
        <f t="shared" si="385"/>
        <v>5313.5</v>
      </c>
      <c r="N1171" s="415">
        <f t="shared" si="385"/>
        <v>5270.82</v>
      </c>
      <c r="O1171" s="415">
        <f t="shared" si="385"/>
        <v>5277.4600000000009</v>
      </c>
      <c r="P1171" s="415">
        <f t="shared" si="385"/>
        <v>5289.5399999999991</v>
      </c>
      <c r="Q1171" s="414"/>
      <c r="R1171" s="414"/>
      <c r="S1171" s="414"/>
      <c r="T1171" s="414"/>
      <c r="U1171" s="414"/>
      <c r="V1171" s="416"/>
      <c r="W1171" s="414"/>
      <c r="X1171" s="417"/>
      <c r="Y1171" s="268"/>
      <c r="Z1171" s="267"/>
      <c r="AA1171" s="267"/>
      <c r="AB1171" s="267"/>
      <c r="AC1171" s="267"/>
      <c r="AD1171" s="268"/>
      <c r="AE1171" s="269"/>
    </row>
    <row r="1172" spans="1:31" ht="15.75">
      <c r="A1172" s="344">
        <v>43957</v>
      </c>
      <c r="B1172" s="395" t="s">
        <v>202</v>
      </c>
      <c r="C1172" s="396" t="s">
        <v>199</v>
      </c>
      <c r="D1172">
        <v>5913.35</v>
      </c>
      <c r="E1172">
        <v>6089.34</v>
      </c>
      <c r="F1172">
        <v>6032.7</v>
      </c>
      <c r="G1172">
        <v>6012.35</v>
      </c>
      <c r="H1172">
        <v>5906.14</v>
      </c>
      <c r="I1172">
        <v>5749.92</v>
      </c>
      <c r="J1172">
        <v>6011.58</v>
      </c>
      <c r="K1172">
        <v>6097</v>
      </c>
      <c r="L1172">
        <v>6024</v>
      </c>
      <c r="M1172" s="398"/>
      <c r="N1172" s="398"/>
      <c r="O1172" s="398"/>
      <c r="P1172" s="398"/>
      <c r="Q1172" s="395">
        <f>IF((L1173=""),"",MAX(D1174:L1174))</f>
        <v>6246.7800000000007</v>
      </c>
      <c r="R1172" s="395">
        <f>IF(L1173="","",MIN(D1174:L1174))</f>
        <v>5988.84</v>
      </c>
      <c r="S1172" s="399">
        <f>IF((L1174=""),"",AVERAGE(D1174:L1174))</f>
        <v>6078.1399999999994</v>
      </c>
      <c r="T1172" s="400">
        <f>IF((L1173=""),"",(Q1172-R1172)/(Q1172+R1172)*100)</f>
        <v>2.1081073129109966</v>
      </c>
      <c r="U1172" s="395">
        <f>STDEV(D1174:P1174)</f>
        <v>109.08586617896175</v>
      </c>
      <c r="V1172" s="401" t="str">
        <f>IF(L1173="","",IF(T1172&lt;9.8,IF(S1172&gt;5100,IF(S1172&lt;8300,"Pass","Fail"),"Fail"),"Fail"))</f>
        <v>Pass</v>
      </c>
      <c r="W1172" s="395">
        <v>1340</v>
      </c>
      <c r="X1172" s="402" t="s">
        <v>502</v>
      </c>
      <c r="Y1172" s="268"/>
      <c r="Z1172" s="267">
        <v>4955</v>
      </c>
      <c r="AA1172" s="267">
        <v>9645</v>
      </c>
      <c r="AB1172" s="267">
        <v>5100</v>
      </c>
      <c r="AC1172" s="267">
        <v>8300</v>
      </c>
      <c r="AD1172" s="305">
        <v>10</v>
      </c>
      <c r="AE1172" s="305">
        <v>9.8000000000000007</v>
      </c>
    </row>
    <row r="1173" spans="1:31" ht="15.75">
      <c r="A1173" s="390"/>
      <c r="B1173" s="404"/>
      <c r="C1173" s="405" t="s">
        <v>198</v>
      </c>
      <c r="D1173">
        <v>3917.07</v>
      </c>
      <c r="E1173">
        <v>4018.53</v>
      </c>
      <c r="F1173">
        <v>4032.85</v>
      </c>
      <c r="G1173">
        <v>4004.37</v>
      </c>
      <c r="H1173">
        <v>3907.58</v>
      </c>
      <c r="I1173">
        <v>3748.85</v>
      </c>
      <c r="J1173">
        <v>4002.86</v>
      </c>
      <c r="K1173">
        <v>4028.11</v>
      </c>
      <c r="L1173">
        <v>3941.74</v>
      </c>
      <c r="M1173" s="406"/>
      <c r="N1173" s="406"/>
      <c r="O1173" s="406"/>
      <c r="P1173" s="406"/>
      <c r="Q1173" s="404"/>
      <c r="R1173" s="404"/>
      <c r="S1173" s="404"/>
      <c r="T1173" s="404"/>
      <c r="U1173" s="404"/>
      <c r="V1173" s="407"/>
      <c r="W1173" s="404"/>
      <c r="X1173" s="408"/>
      <c r="Y1173" s="268"/>
      <c r="Z1173" s="267"/>
      <c r="AA1173" s="267"/>
      <c r="AB1173" s="267"/>
      <c r="AC1173" s="267"/>
      <c r="AD1173" s="268"/>
      <c r="AE1173" s="269"/>
    </row>
    <row r="1174" spans="1:31" ht="57.75" thickBot="1">
      <c r="A1174" s="390"/>
      <c r="B1174" s="404"/>
      <c r="C1174" s="409" t="s">
        <v>197</v>
      </c>
      <c r="D1174" s="410">
        <f t="shared" ref="D1174:L1174" si="386">IF(((D1172="")*AND(D1173="")),"",(D1172-D1173)*3)</f>
        <v>5988.84</v>
      </c>
      <c r="E1174" s="410">
        <f t="shared" si="386"/>
        <v>6212.43</v>
      </c>
      <c r="F1174" s="410">
        <f t="shared" si="386"/>
        <v>5999.5499999999993</v>
      </c>
      <c r="G1174" s="410">
        <f t="shared" si="386"/>
        <v>6023.9400000000014</v>
      </c>
      <c r="H1174" s="410">
        <f t="shared" si="386"/>
        <v>5995.6800000000012</v>
      </c>
      <c r="I1174" s="410">
        <f t="shared" si="386"/>
        <v>6003.2100000000009</v>
      </c>
      <c r="J1174" s="410">
        <f t="shared" si="386"/>
        <v>6026.16</v>
      </c>
      <c r="K1174" s="410">
        <f t="shared" si="386"/>
        <v>6206.67</v>
      </c>
      <c r="L1174" s="410">
        <f t="shared" si="386"/>
        <v>6246.7800000000007</v>
      </c>
      <c r="M1174" s="410"/>
      <c r="N1174" s="410"/>
      <c r="O1174" s="410"/>
      <c r="P1174" s="410" t="str">
        <f>IF(((P1172="")*AND(P1173="")),"",(P1172-P1173)*2)</f>
        <v/>
      </c>
      <c r="Q1174" s="404"/>
      <c r="R1174" s="404"/>
      <c r="S1174" s="404"/>
      <c r="T1174" s="404"/>
      <c r="U1174" s="404"/>
      <c r="V1174" s="407"/>
      <c r="W1174" s="404"/>
      <c r="X1174" s="417"/>
      <c r="Y1174" s="268"/>
      <c r="Z1174" s="267"/>
      <c r="AA1174" s="267"/>
      <c r="AB1174" s="267"/>
      <c r="AC1174" s="267"/>
      <c r="AD1174" s="268"/>
      <c r="AE1174" s="269"/>
    </row>
    <row r="1175" spans="1:31" ht="15.75">
      <c r="A1175" s="344">
        <v>43957</v>
      </c>
      <c r="B1175" s="409" t="s">
        <v>200</v>
      </c>
      <c r="C1175" s="409" t="s">
        <v>199</v>
      </c>
      <c r="D1175">
        <v>6630.65</v>
      </c>
      <c r="E1175">
        <v>6741.08</v>
      </c>
      <c r="F1175">
        <v>6684.66</v>
      </c>
      <c r="G1175">
        <v>6765.51</v>
      </c>
      <c r="H1175">
        <v>6611.16</v>
      </c>
      <c r="I1175">
        <v>6693.43</v>
      </c>
      <c r="J1175">
        <v>6834.95</v>
      </c>
      <c r="K1175">
        <v>6852.02</v>
      </c>
      <c r="L1175">
        <v>6775.2</v>
      </c>
      <c r="M1175">
        <v>6849.66</v>
      </c>
      <c r="N1175">
        <v>6804.01</v>
      </c>
      <c r="O1175">
        <v>6806.53</v>
      </c>
      <c r="P1175">
        <v>6762.27</v>
      </c>
      <c r="Q1175" s="409">
        <f>IF((L1176=""),"",MAX(D1177:P1177))</f>
        <v>5304.04</v>
      </c>
      <c r="R1175" s="409">
        <f>IF(L1176="","",MIN(D1177:L1177))</f>
        <v>5249.9599999999991</v>
      </c>
      <c r="S1175" s="400">
        <f>IF((P1177=""),"",AVERAGE(D1177:P1177))</f>
        <v>5273.6338461538453</v>
      </c>
      <c r="T1175" s="412">
        <f>IF((L1176=""),"",(Q1175-R1175)/(Q1175+R1175)*100)</f>
        <v>0.51241235550502973</v>
      </c>
      <c r="U1175" s="409">
        <f>STDEV(D1177:P1177)</f>
        <v>15.635240931278348</v>
      </c>
      <c r="V1175" s="413" t="str">
        <f>IF(P1176="","",IF(T1175&lt;2.7,IF(S1175&gt;5150,IF(S1175&lt;5600,"Pass","Fail"),"Fail"),"Fail"))</f>
        <v>Pass</v>
      </c>
      <c r="W1175" s="409">
        <v>1340</v>
      </c>
      <c r="X1175" s="402" t="s">
        <v>502</v>
      </c>
      <c r="Y1175" s="268"/>
      <c r="Z1175" s="321">
        <v>4470</v>
      </c>
      <c r="AA1175" s="321">
        <v>6020</v>
      </c>
      <c r="AB1175" s="321">
        <v>5150</v>
      </c>
      <c r="AC1175" s="321">
        <v>5600</v>
      </c>
      <c r="AD1175" s="305">
        <v>10</v>
      </c>
      <c r="AE1175" s="322">
        <v>2.7</v>
      </c>
    </row>
    <row r="1176" spans="1:31" ht="15.75">
      <c r="A1176" s="390"/>
      <c r="B1176" s="404"/>
      <c r="C1176" s="404" t="s">
        <v>198</v>
      </c>
      <c r="D1176">
        <v>3990.45</v>
      </c>
      <c r="E1176">
        <v>4103.57</v>
      </c>
      <c r="F1176">
        <v>4052.88</v>
      </c>
      <c r="G1176">
        <v>4127.63</v>
      </c>
      <c r="H1176">
        <v>3959.14</v>
      </c>
      <c r="I1176">
        <v>4044.28</v>
      </c>
      <c r="J1176">
        <v>4201.4799999999996</v>
      </c>
      <c r="K1176">
        <v>4223.53</v>
      </c>
      <c r="L1176">
        <v>4150.22</v>
      </c>
      <c r="M1176">
        <v>4217.3599999999997</v>
      </c>
      <c r="N1176">
        <v>4162.21</v>
      </c>
      <c r="O1176">
        <v>4176.21</v>
      </c>
      <c r="P1176">
        <v>4123.55</v>
      </c>
      <c r="Q1176" s="404"/>
      <c r="R1176" s="404"/>
      <c r="S1176" s="404"/>
      <c r="T1176" s="404"/>
      <c r="U1176" s="404"/>
      <c r="V1176" s="407"/>
      <c r="W1176" s="404"/>
      <c r="X1176" s="408"/>
      <c r="Y1176" s="268"/>
      <c r="Z1176" s="267"/>
      <c r="AA1176" s="267"/>
      <c r="AB1176" s="267"/>
      <c r="AC1176" s="267"/>
      <c r="AD1176" s="268"/>
      <c r="AE1176" s="269"/>
    </row>
    <row r="1177" spans="1:31" ht="57.75" thickBot="1">
      <c r="A1177" s="393"/>
      <c r="B1177" s="414"/>
      <c r="C1177" s="414" t="s">
        <v>197</v>
      </c>
      <c r="D1177" s="415">
        <f t="shared" ref="D1177:P1177" si="387">IF(((D1175="")*AND(D1176="")),"",(D1175-D1176)*2)</f>
        <v>5280.4</v>
      </c>
      <c r="E1177" s="415">
        <f t="shared" si="387"/>
        <v>5275.02</v>
      </c>
      <c r="F1177" s="415">
        <f t="shared" si="387"/>
        <v>5263.5599999999995</v>
      </c>
      <c r="G1177" s="415">
        <f t="shared" si="387"/>
        <v>5275.76</v>
      </c>
      <c r="H1177" s="415">
        <f t="shared" si="387"/>
        <v>5304.04</v>
      </c>
      <c r="I1177" s="415">
        <f t="shared" si="387"/>
        <v>5298.3</v>
      </c>
      <c r="J1177" s="415">
        <f t="shared" si="387"/>
        <v>5266.9400000000005</v>
      </c>
      <c r="K1177" s="415">
        <f t="shared" si="387"/>
        <v>5256.9800000000014</v>
      </c>
      <c r="L1177" s="415">
        <f t="shared" si="387"/>
        <v>5249.9599999999991</v>
      </c>
      <c r="M1177" s="415">
        <f t="shared" si="387"/>
        <v>5264.6</v>
      </c>
      <c r="N1177" s="415">
        <f t="shared" si="387"/>
        <v>5283.6</v>
      </c>
      <c r="O1177" s="415">
        <f t="shared" si="387"/>
        <v>5260.6399999999994</v>
      </c>
      <c r="P1177" s="415">
        <f t="shared" si="387"/>
        <v>5277.4400000000005</v>
      </c>
      <c r="Q1177" s="414"/>
      <c r="R1177" s="414"/>
      <c r="S1177" s="414"/>
      <c r="T1177" s="414"/>
      <c r="U1177" s="414"/>
      <c r="V1177" s="416"/>
      <c r="W1177" s="414"/>
      <c r="X1177" s="417"/>
      <c r="Y1177" s="268"/>
      <c r="Z1177" s="267"/>
      <c r="AA1177" s="267"/>
      <c r="AB1177" s="267"/>
      <c r="AC1177" s="267"/>
      <c r="AD1177" s="268"/>
      <c r="AE1177" s="269"/>
    </row>
    <row r="1178" spans="1:31" ht="15.75">
      <c r="A1178" s="344">
        <v>43993</v>
      </c>
      <c r="B1178" s="395" t="s">
        <v>202</v>
      </c>
      <c r="C1178" s="396" t="s">
        <v>199</v>
      </c>
      <c r="D1178">
        <v>3924.95</v>
      </c>
      <c r="E1178">
        <v>4015.55</v>
      </c>
      <c r="F1178">
        <v>4028.76</v>
      </c>
      <c r="G1178">
        <v>4002.82</v>
      </c>
      <c r="H1178">
        <v>3903.25</v>
      </c>
      <c r="I1178">
        <v>3748.92</v>
      </c>
      <c r="J1178">
        <v>4001.15</v>
      </c>
      <c r="K1178">
        <v>4027.27</v>
      </c>
      <c r="L1178">
        <v>3976.54</v>
      </c>
      <c r="M1178" s="398"/>
      <c r="N1178" s="398"/>
      <c r="O1178" s="398"/>
      <c r="P1178" s="398"/>
      <c r="Q1178" s="395">
        <f>IF((L1179=""),"",MAX(D1180:L1180))</f>
        <v>6092.79</v>
      </c>
      <c r="R1178" s="395">
        <f>IF(L1179="","",MIN(D1180:L1180))</f>
        <v>5738.1900000000005</v>
      </c>
      <c r="S1178" s="399">
        <f>IF((L1180=""),"",AVERAGE(D1180:L1180))</f>
        <v>5852.06</v>
      </c>
      <c r="T1178" s="400">
        <f>IF((L1179=""),"",(Q1178-R1178)/(Q1178+R1178)*100)</f>
        <v>2.9972157843221736</v>
      </c>
      <c r="U1178" s="395">
        <f>STDEV(D1180:P1180)</f>
        <v>115.56790179370772</v>
      </c>
      <c r="V1178" s="401" t="str">
        <f>IF(L1179="","",IF(T1178&lt;9.8,IF(S1178&gt;5100,IF(S1178&lt;8300,"Pass","Fail"),"Fail"),"Fail"))</f>
        <v>Pass</v>
      </c>
      <c r="W1178" s="395">
        <v>1428</v>
      </c>
      <c r="X1178" s="402" t="s">
        <v>503</v>
      </c>
      <c r="Y1178" s="268"/>
      <c r="Z1178" s="267">
        <v>4955</v>
      </c>
      <c r="AA1178" s="267">
        <v>9645</v>
      </c>
      <c r="AB1178" s="267">
        <v>5100</v>
      </c>
      <c r="AC1178" s="267">
        <v>8300</v>
      </c>
      <c r="AD1178" s="305">
        <v>10</v>
      </c>
      <c r="AE1178" s="305">
        <v>9.8000000000000007</v>
      </c>
    </row>
    <row r="1179" spans="1:31" ht="15.75">
      <c r="A1179" s="390"/>
      <c r="B1179" s="404"/>
      <c r="C1179" s="405" t="s">
        <v>198</v>
      </c>
      <c r="D1179">
        <v>1932.45</v>
      </c>
      <c r="E1179">
        <v>2102.8200000000002</v>
      </c>
      <c r="F1179">
        <v>2100.0700000000002</v>
      </c>
      <c r="G1179">
        <v>2063.86</v>
      </c>
      <c r="H1179">
        <v>1944.08</v>
      </c>
      <c r="I1179">
        <v>1717.99</v>
      </c>
      <c r="J1179">
        <v>2070.5700000000002</v>
      </c>
      <c r="K1179">
        <v>2110.02</v>
      </c>
      <c r="L1179">
        <v>2031.17</v>
      </c>
      <c r="M1179" s="406"/>
      <c r="N1179" s="406"/>
      <c r="O1179" s="406"/>
      <c r="P1179" s="406"/>
      <c r="Q1179" s="404"/>
      <c r="R1179" s="404"/>
      <c r="S1179" s="404"/>
      <c r="T1179" s="404"/>
      <c r="U1179" s="404"/>
      <c r="V1179" s="407"/>
      <c r="W1179" s="404"/>
      <c r="X1179" s="408"/>
      <c r="Y1179" s="268"/>
      <c r="Z1179" s="267"/>
      <c r="AA1179" s="267"/>
      <c r="AB1179" s="267"/>
      <c r="AC1179" s="267"/>
      <c r="AD1179" s="268"/>
      <c r="AE1179" s="269"/>
    </row>
    <row r="1180" spans="1:31" ht="57.75" thickBot="1">
      <c r="A1180" s="390"/>
      <c r="B1180" s="404"/>
      <c r="C1180" s="409" t="s">
        <v>197</v>
      </c>
      <c r="D1180" s="410">
        <f t="shared" ref="D1180:L1180" si="388">IF(((D1178="")*AND(D1179="")),"",(D1178-D1179)*3)</f>
        <v>5977.4999999999991</v>
      </c>
      <c r="E1180" s="410">
        <f t="shared" si="388"/>
        <v>5738.1900000000005</v>
      </c>
      <c r="F1180" s="410">
        <f t="shared" si="388"/>
        <v>5786.07</v>
      </c>
      <c r="G1180" s="410">
        <f t="shared" si="388"/>
        <v>5816.88</v>
      </c>
      <c r="H1180" s="410">
        <f t="shared" si="388"/>
        <v>5877.51</v>
      </c>
      <c r="I1180" s="410">
        <f t="shared" si="388"/>
        <v>6092.79</v>
      </c>
      <c r="J1180" s="410">
        <f t="shared" si="388"/>
        <v>5791.74</v>
      </c>
      <c r="K1180" s="410">
        <f t="shared" si="388"/>
        <v>5751.75</v>
      </c>
      <c r="L1180" s="410">
        <f t="shared" si="388"/>
        <v>5836.11</v>
      </c>
      <c r="M1180" s="410"/>
      <c r="N1180" s="410"/>
      <c r="O1180" s="410"/>
      <c r="P1180" s="410" t="str">
        <f>IF(((P1178="")*AND(P1179="")),"",(P1178-P1179)*2)</f>
        <v/>
      </c>
      <c r="Q1180" s="404"/>
      <c r="R1180" s="404"/>
      <c r="S1180" s="404"/>
      <c r="T1180" s="404"/>
      <c r="U1180" s="404"/>
      <c r="V1180" s="407"/>
      <c r="W1180" s="404"/>
      <c r="X1180" s="417"/>
      <c r="Y1180" s="268"/>
      <c r="Z1180" s="267"/>
      <c r="AA1180" s="267"/>
      <c r="AB1180" s="267"/>
      <c r="AC1180" s="267"/>
      <c r="AD1180" s="268"/>
      <c r="AE1180" s="269"/>
    </row>
    <row r="1181" spans="1:31" ht="15.75">
      <c r="A1181" s="344">
        <v>43993</v>
      </c>
      <c r="B1181" s="409" t="s">
        <v>200</v>
      </c>
      <c r="C1181" s="409" t="s">
        <v>199</v>
      </c>
      <c r="D1181">
        <v>4002.17</v>
      </c>
      <c r="E1181">
        <v>4116.1499999999996</v>
      </c>
      <c r="F1181">
        <v>4064.49</v>
      </c>
      <c r="G1181">
        <v>4140.13</v>
      </c>
      <c r="H1181">
        <v>3971.53</v>
      </c>
      <c r="I1181">
        <v>4056.29</v>
      </c>
      <c r="J1181">
        <v>4214.22</v>
      </c>
      <c r="K1181">
        <v>4236.2</v>
      </c>
      <c r="L1181">
        <v>4162.5600000000004</v>
      </c>
      <c r="M1181">
        <v>4230.21</v>
      </c>
      <c r="N1181">
        <v>4174.54</v>
      </c>
      <c r="O1181">
        <v>4188.63</v>
      </c>
      <c r="P1181">
        <v>4135.6000000000004</v>
      </c>
      <c r="Q1181" s="409">
        <f>IF((L1182=""),"",MAX(D1183:P1183))</f>
        <v>5353.26</v>
      </c>
      <c r="R1181" s="409">
        <f>IF(L1182="","",MIN(D1183:L1183))</f>
        <v>5302.3200000000006</v>
      </c>
      <c r="S1181" s="400">
        <f>IF((P1183=""),"",AVERAGE(D1183:P1183))</f>
        <v>5326.2615384615392</v>
      </c>
      <c r="T1181" s="412">
        <f>IF((L1182=""),"",(Q1181-R1181)/(Q1181+R1181)*100)</f>
        <v>0.47805938297117184</v>
      </c>
      <c r="U1181" s="409">
        <f>STDEV(D1183:P1183)</f>
        <v>16.726931301376585</v>
      </c>
      <c r="V1181" s="413" t="str">
        <f>IF(P1182="","",IF(T1181&lt;2.7,IF(S1181&gt;5150,IF(S1181&lt;5600,"Pass","Fail"),"Fail"),"Fail"))</f>
        <v>Pass</v>
      </c>
      <c r="W1181" s="409">
        <v>1428</v>
      </c>
      <c r="X1181" s="402" t="s">
        <v>503</v>
      </c>
      <c r="Y1181" s="268"/>
      <c r="Z1181" s="321">
        <v>4470</v>
      </c>
      <c r="AA1181" s="321">
        <v>6020</v>
      </c>
      <c r="AB1181" s="321">
        <v>5150</v>
      </c>
      <c r="AC1181" s="321">
        <v>5600</v>
      </c>
      <c r="AD1181" s="305">
        <v>10</v>
      </c>
      <c r="AE1181" s="322">
        <v>2.7</v>
      </c>
    </row>
    <row r="1182" spans="1:31" ht="15.75">
      <c r="A1182" s="390"/>
      <c r="B1182" s="404"/>
      <c r="C1182" s="404" t="s">
        <v>198</v>
      </c>
      <c r="D1182">
        <v>1345.44</v>
      </c>
      <c r="E1182">
        <v>1460.93</v>
      </c>
      <c r="F1182">
        <v>1409.69</v>
      </c>
      <c r="G1182">
        <v>1474.16</v>
      </c>
      <c r="H1182">
        <v>1296.23</v>
      </c>
      <c r="I1182">
        <v>1379.66</v>
      </c>
      <c r="J1182">
        <v>1549.59</v>
      </c>
      <c r="K1182">
        <v>1579</v>
      </c>
      <c r="L1182">
        <v>1511.4</v>
      </c>
      <c r="M1182">
        <v>1565.99</v>
      </c>
      <c r="N1182">
        <v>1503.53</v>
      </c>
      <c r="O1182">
        <v>1531.15</v>
      </c>
      <c r="P1182">
        <v>1465.25</v>
      </c>
      <c r="Q1182" s="404"/>
      <c r="R1182" s="404"/>
      <c r="S1182" s="404"/>
      <c r="T1182" s="404"/>
      <c r="U1182" s="404"/>
      <c r="V1182" s="407"/>
      <c r="W1182" s="404"/>
      <c r="X1182" s="408"/>
      <c r="Y1182" s="268"/>
      <c r="Z1182" s="267"/>
      <c r="AA1182" s="267"/>
      <c r="AB1182" s="267"/>
      <c r="AC1182" s="267"/>
      <c r="AD1182" s="268"/>
      <c r="AE1182" s="269"/>
    </row>
    <row r="1183" spans="1:31" ht="57.75" thickBot="1">
      <c r="A1183" s="393"/>
      <c r="B1183" s="414"/>
      <c r="C1183" s="414" t="s">
        <v>197</v>
      </c>
      <c r="D1183" s="415">
        <f t="shared" ref="D1183:P1183" si="389">IF(((D1181="")*AND(D1182="")),"",(D1181-D1182)*2)</f>
        <v>5313.46</v>
      </c>
      <c r="E1183" s="415">
        <f t="shared" si="389"/>
        <v>5310.4399999999987</v>
      </c>
      <c r="F1183" s="415">
        <f t="shared" si="389"/>
        <v>5309.5999999999995</v>
      </c>
      <c r="G1183" s="415">
        <f t="shared" si="389"/>
        <v>5331.9400000000005</v>
      </c>
      <c r="H1183" s="415">
        <f t="shared" si="389"/>
        <v>5350.6</v>
      </c>
      <c r="I1183" s="415">
        <f t="shared" si="389"/>
        <v>5353.26</v>
      </c>
      <c r="J1183" s="415">
        <f t="shared" si="389"/>
        <v>5329.26</v>
      </c>
      <c r="K1183" s="415">
        <f t="shared" si="389"/>
        <v>5314.4</v>
      </c>
      <c r="L1183" s="415">
        <f t="shared" si="389"/>
        <v>5302.3200000000006</v>
      </c>
      <c r="M1183" s="415">
        <f t="shared" si="389"/>
        <v>5328.4400000000005</v>
      </c>
      <c r="N1183" s="415">
        <f t="shared" si="389"/>
        <v>5342.02</v>
      </c>
      <c r="O1183" s="415">
        <f t="shared" si="389"/>
        <v>5314.96</v>
      </c>
      <c r="P1183" s="415">
        <f t="shared" si="389"/>
        <v>5340.7000000000007</v>
      </c>
      <c r="Q1183" s="414"/>
      <c r="R1183" s="414"/>
      <c r="S1183" s="414"/>
      <c r="T1183" s="414"/>
      <c r="U1183" s="414"/>
      <c r="V1183" s="416"/>
      <c r="W1183" s="414"/>
      <c r="X1183" s="417"/>
      <c r="Y1183" s="268"/>
      <c r="Z1183" s="267"/>
      <c r="AA1183" s="267"/>
      <c r="AB1183" s="267"/>
      <c r="AC1183" s="267"/>
      <c r="AD1183" s="268"/>
      <c r="AE1183" s="269"/>
    </row>
    <row r="1184" spans="1:31" ht="15.75">
      <c r="A1184" s="344">
        <v>43999</v>
      </c>
      <c r="B1184" s="395" t="s">
        <v>202</v>
      </c>
      <c r="C1184" s="396" t="s">
        <v>199</v>
      </c>
      <c r="D1184">
        <v>5911.18</v>
      </c>
      <c r="E1184">
        <v>6008.7</v>
      </c>
      <c r="F1184">
        <v>6045.05</v>
      </c>
      <c r="G1184">
        <v>6008.99</v>
      </c>
      <c r="H1184">
        <v>5901.45</v>
      </c>
      <c r="I1184">
        <v>5772.5</v>
      </c>
      <c r="J1184">
        <v>6000.99</v>
      </c>
      <c r="K1184">
        <v>6058.71</v>
      </c>
      <c r="L1184">
        <v>5913.86</v>
      </c>
      <c r="M1184" s="398"/>
      <c r="N1184" s="398"/>
      <c r="O1184" s="398"/>
      <c r="P1184" s="398"/>
      <c r="Q1184" s="395">
        <f>IF((L1185=""),"",MAX(D1186:L1186))</f>
        <v>6032.8499999999995</v>
      </c>
      <c r="R1184" s="395">
        <f>IF(L1185="","",MIN(D1186:L1186))</f>
        <v>5357.7899999999991</v>
      </c>
      <c r="S1184" s="399">
        <f>IF((L1186=""),"",AVERAGE(D1186:L1186))</f>
        <v>5892.1766666666663</v>
      </c>
      <c r="T1184" s="400">
        <f>IF((L1185=""),"",(Q1184-R1184)/(Q1184+R1184)*100)</f>
        <v>5.9264448705252768</v>
      </c>
      <c r="U1184" s="395">
        <f>STDEV(D1186:P1186)</f>
        <v>207.42871661126205</v>
      </c>
      <c r="V1184" s="401" t="str">
        <f>IF(L1185="","",IF(T1184&lt;9.8,IF(S1184&gt;5100,IF(S1184&lt;8300,"Pass","Fail"),"Fail"),"Fail"))</f>
        <v>Pass</v>
      </c>
      <c r="W1184" s="395">
        <v>1335</v>
      </c>
      <c r="X1184" s="402" t="s">
        <v>511</v>
      </c>
      <c r="Y1184" s="268" t="s">
        <v>508</v>
      </c>
      <c r="Z1184" s="267">
        <v>4955</v>
      </c>
      <c r="AA1184" s="267">
        <v>9645</v>
      </c>
      <c r="AB1184" s="267">
        <v>5100</v>
      </c>
      <c r="AC1184" s="267">
        <v>8300</v>
      </c>
      <c r="AD1184" s="305">
        <v>10</v>
      </c>
      <c r="AE1184" s="305">
        <v>9.8000000000000007</v>
      </c>
    </row>
    <row r="1185" spans="1:31" ht="15.75">
      <c r="A1185" s="390"/>
      <c r="B1185" s="404"/>
      <c r="C1185" s="405" t="s">
        <v>198</v>
      </c>
      <c r="D1185">
        <v>3945.77</v>
      </c>
      <c r="E1185">
        <v>4030.43</v>
      </c>
      <c r="F1185">
        <v>4036.28</v>
      </c>
      <c r="G1185">
        <v>4007.26</v>
      </c>
      <c r="H1185">
        <v>3913.11</v>
      </c>
      <c r="I1185">
        <v>3986.57</v>
      </c>
      <c r="J1185">
        <v>4026.72</v>
      </c>
      <c r="K1185">
        <v>4047.76</v>
      </c>
      <c r="L1185">
        <v>3951</v>
      </c>
      <c r="M1185" s="406"/>
      <c r="N1185" s="406"/>
      <c r="O1185" s="406"/>
      <c r="P1185" s="406"/>
      <c r="Q1185" s="404"/>
      <c r="R1185" s="404"/>
      <c r="S1185" s="404"/>
      <c r="T1185" s="404"/>
      <c r="U1185" s="404"/>
      <c r="V1185" s="407"/>
      <c r="W1185" s="404"/>
      <c r="X1185" s="408"/>
      <c r="Y1185" s="268"/>
      <c r="Z1185" s="267"/>
      <c r="AA1185" s="267"/>
      <c r="AB1185" s="267"/>
      <c r="AC1185" s="267"/>
      <c r="AD1185" s="268"/>
      <c r="AE1185" s="269"/>
    </row>
    <row r="1186" spans="1:31" ht="57.75" thickBot="1">
      <c r="A1186" s="390"/>
      <c r="B1186" s="404"/>
      <c r="C1186" s="409" t="s">
        <v>197</v>
      </c>
      <c r="D1186" s="410">
        <f t="shared" ref="D1186:L1186" si="390">IF(((D1184="")*AND(D1185="")),"",(D1184-D1185)*3)</f>
        <v>5896.2300000000014</v>
      </c>
      <c r="E1186" s="410">
        <f t="shared" si="390"/>
        <v>5934.8099999999995</v>
      </c>
      <c r="F1186" s="410">
        <f t="shared" si="390"/>
        <v>6026.3099999999995</v>
      </c>
      <c r="G1186" s="410">
        <f t="shared" si="390"/>
        <v>6005.1899999999987</v>
      </c>
      <c r="H1186" s="410">
        <f t="shared" si="390"/>
        <v>5965.0199999999986</v>
      </c>
      <c r="I1186" s="410">
        <f t="shared" si="390"/>
        <v>5357.7899999999991</v>
      </c>
      <c r="J1186" s="410">
        <f t="shared" si="390"/>
        <v>5922.8099999999995</v>
      </c>
      <c r="K1186" s="410">
        <f t="shared" si="390"/>
        <v>6032.8499999999995</v>
      </c>
      <c r="L1186" s="410">
        <f t="shared" si="390"/>
        <v>5888.579999999999</v>
      </c>
      <c r="M1186" s="410"/>
      <c r="N1186" s="410"/>
      <c r="O1186" s="410"/>
      <c r="P1186" s="410" t="str">
        <f>IF(((P1184="")*AND(P1185="")),"",(P1184-P1185)*2)</f>
        <v/>
      </c>
      <c r="Q1186" s="404"/>
      <c r="R1186" s="404"/>
      <c r="S1186" s="404"/>
      <c r="T1186" s="404"/>
      <c r="U1186" s="404"/>
      <c r="V1186" s="407"/>
      <c r="W1186" s="404"/>
      <c r="X1186" s="417"/>
      <c r="Y1186" s="268"/>
      <c r="Z1186" s="267"/>
      <c r="AA1186" s="267"/>
      <c r="AB1186" s="267"/>
      <c r="AC1186" s="267"/>
      <c r="AD1186" s="268"/>
      <c r="AE1186" s="269"/>
    </row>
    <row r="1187" spans="1:31" ht="15.75">
      <c r="A1187" s="344">
        <v>43999</v>
      </c>
      <c r="B1187" s="409" t="s">
        <v>200</v>
      </c>
      <c r="C1187" s="409" t="s">
        <v>199</v>
      </c>
      <c r="D1187">
        <v>6600.74</v>
      </c>
      <c r="E1187">
        <v>6733.11</v>
      </c>
      <c r="F1187">
        <v>6650.56</v>
      </c>
      <c r="G1187">
        <v>6717.74</v>
      </c>
      <c r="H1187">
        <v>6597.74</v>
      </c>
      <c r="I1187">
        <v>6666.93</v>
      </c>
      <c r="J1187">
        <v>6783.87</v>
      </c>
      <c r="K1187">
        <v>6798.13</v>
      </c>
      <c r="L1187">
        <v>6739.52</v>
      </c>
      <c r="M1187">
        <v>6803.35</v>
      </c>
      <c r="N1187">
        <v>6782.16</v>
      </c>
      <c r="O1187">
        <v>6771.12</v>
      </c>
      <c r="P1187">
        <v>6738.46</v>
      </c>
      <c r="Q1187" s="409">
        <f>IF((L1188=""),"",MAX(D1189:P1189))</f>
        <v>5351.74</v>
      </c>
      <c r="R1187" s="409">
        <f>IF(L1188="","",MIN(D1189:L1189))</f>
        <v>5233.4799999999996</v>
      </c>
      <c r="S1187" s="400">
        <f>IF((P1189=""),"",AVERAGE(D1189:P1189))</f>
        <v>5293.2969230769231</v>
      </c>
      <c r="T1187" s="412">
        <f>IF((L1188=""),"",(Q1187-R1187)/(Q1187+R1187)*100)</f>
        <v>1.117218158904588</v>
      </c>
      <c r="U1187" s="409">
        <f>STDEV(D1189:P1189)</f>
        <v>35.188374828482026</v>
      </c>
      <c r="V1187" s="413" t="str">
        <f>IF(P1188="","",IF(T1187&lt;2.7,IF(S1187&gt;5150,IF(S1187&lt;5600,"Pass","Fail"),"Fail"),"Fail"))</f>
        <v>Pass</v>
      </c>
      <c r="W1187" s="409">
        <v>1335</v>
      </c>
      <c r="X1187" s="402" t="s">
        <v>511</v>
      </c>
      <c r="Y1187" s="268"/>
      <c r="Z1187" s="321">
        <v>4470</v>
      </c>
      <c r="AA1187" s="321">
        <v>6020</v>
      </c>
      <c r="AB1187" s="321">
        <v>5150</v>
      </c>
      <c r="AC1187" s="321">
        <v>5600</v>
      </c>
      <c r="AD1187" s="305">
        <v>10</v>
      </c>
      <c r="AE1187" s="322">
        <v>2.7</v>
      </c>
    </row>
    <row r="1188" spans="1:31" ht="15.75">
      <c r="A1188" s="390"/>
      <c r="B1188" s="404"/>
      <c r="C1188" s="404" t="s">
        <v>198</v>
      </c>
      <c r="D1188">
        <v>3984</v>
      </c>
      <c r="E1188">
        <v>4092</v>
      </c>
      <c r="F1188">
        <v>4020</v>
      </c>
      <c r="G1188">
        <v>4053</v>
      </c>
      <c r="H1188">
        <v>3966</v>
      </c>
      <c r="I1188">
        <v>4010</v>
      </c>
      <c r="J1188">
        <v>4108</v>
      </c>
      <c r="K1188">
        <v>4133</v>
      </c>
      <c r="L1188">
        <v>4111</v>
      </c>
      <c r="M1188">
        <v>4140</v>
      </c>
      <c r="N1188">
        <v>4144</v>
      </c>
      <c r="O1188">
        <v>4124</v>
      </c>
      <c r="P1188">
        <v>4092</v>
      </c>
      <c r="Q1188" s="404"/>
      <c r="R1188" s="404"/>
      <c r="S1188" s="404"/>
      <c r="T1188" s="404"/>
      <c r="U1188" s="404"/>
      <c r="V1188" s="407"/>
      <c r="W1188" s="404"/>
      <c r="X1188" s="408"/>
      <c r="Y1188" s="268"/>
      <c r="Z1188" s="267"/>
      <c r="AA1188" s="267"/>
      <c r="AB1188" s="267"/>
      <c r="AC1188" s="267"/>
      <c r="AD1188" s="268"/>
      <c r="AE1188" s="269"/>
    </row>
    <row r="1189" spans="1:31" ht="57.75" thickBot="1">
      <c r="A1189" s="393"/>
      <c r="B1189" s="414"/>
      <c r="C1189" s="414" t="s">
        <v>197</v>
      </c>
      <c r="D1189" s="415">
        <f t="shared" ref="D1189" si="391">IF(((D1187="")*AND(D1188="")),"",(D1187-D1188)*2)</f>
        <v>5233.4799999999996</v>
      </c>
      <c r="E1189" s="415">
        <f t="shared" ref="E1189:P1189" si="392">IF(((E1187="")*AND(E1188="")),"",(E1187-E1188)*2)</f>
        <v>5282.2199999999993</v>
      </c>
      <c r="F1189" s="415">
        <f t="shared" si="392"/>
        <v>5261.1200000000008</v>
      </c>
      <c r="G1189" s="415">
        <f t="shared" si="392"/>
        <v>5329.48</v>
      </c>
      <c r="H1189" s="415">
        <f t="shared" si="392"/>
        <v>5263.48</v>
      </c>
      <c r="I1189" s="415">
        <f t="shared" si="392"/>
        <v>5313.8600000000006</v>
      </c>
      <c r="J1189" s="415">
        <f t="shared" si="392"/>
        <v>5351.74</v>
      </c>
      <c r="K1189" s="415">
        <f t="shared" si="392"/>
        <v>5330.26</v>
      </c>
      <c r="L1189" s="415">
        <f t="shared" si="392"/>
        <v>5257.0400000000009</v>
      </c>
      <c r="M1189" s="415">
        <f t="shared" si="392"/>
        <v>5326.7000000000007</v>
      </c>
      <c r="N1189" s="415">
        <f t="shared" si="392"/>
        <v>5276.32</v>
      </c>
      <c r="O1189" s="415">
        <f t="shared" si="392"/>
        <v>5294.24</v>
      </c>
      <c r="P1189" s="415">
        <f t="shared" si="392"/>
        <v>5292.92</v>
      </c>
      <c r="Q1189" s="414"/>
      <c r="R1189" s="414"/>
      <c r="S1189" s="414"/>
      <c r="T1189" s="414"/>
      <c r="U1189" s="414"/>
      <c r="V1189" s="416"/>
      <c r="W1189" s="414"/>
      <c r="X1189" s="417"/>
      <c r="Y1189" s="268"/>
      <c r="Z1189" s="267"/>
      <c r="AA1189" s="267"/>
      <c r="AB1189" s="267"/>
      <c r="AC1189" s="267"/>
      <c r="AD1189" s="268"/>
      <c r="AE1189" s="269"/>
    </row>
    <row r="1190" spans="1:31" ht="15.75">
      <c r="A1190" s="344">
        <v>44006</v>
      </c>
      <c r="B1190" s="409" t="s">
        <v>200</v>
      </c>
      <c r="C1190" s="409" t="s">
        <v>199</v>
      </c>
      <c r="D1190">
        <v>4204</v>
      </c>
      <c r="E1190">
        <v>4355.9799999999996</v>
      </c>
      <c r="F1190">
        <v>4230.71</v>
      </c>
      <c r="G1190">
        <v>4333.54</v>
      </c>
      <c r="H1190">
        <v>4442.83</v>
      </c>
      <c r="I1190">
        <v>4389.8900000000003</v>
      </c>
      <c r="J1190">
        <v>4391.88</v>
      </c>
      <c r="K1190">
        <v>4358.6400000000003</v>
      </c>
      <c r="L1190">
        <v>4284.0600000000004</v>
      </c>
      <c r="M1190">
        <v>4428.8100000000004</v>
      </c>
      <c r="N1190">
        <v>4454.92</v>
      </c>
      <c r="O1190">
        <v>4311</v>
      </c>
      <c r="P1190">
        <v>4441.59</v>
      </c>
      <c r="Q1190" s="409">
        <f>IF((L1191=""),"",MAX(D1192:P1192))</f>
        <v>5678.9400000000005</v>
      </c>
      <c r="R1190" s="409">
        <f>IF(L1191="","",MIN(D1192:L1192))</f>
        <v>5521.3</v>
      </c>
      <c r="S1190" s="400">
        <f>IF((P1192=""),"",AVERAGE(D1192:P1192))</f>
        <v>5612.8184615384635</v>
      </c>
      <c r="T1190" s="412">
        <f>IF((L1191=""),"",(Q1190-R1190)/(Q1190+R1190)*100)</f>
        <v>1.4074698399320043</v>
      </c>
      <c r="U1190" s="409">
        <f>STDEV(D1192:P1192)</f>
        <v>49.296035987426677</v>
      </c>
      <c r="V1190" s="413" t="str">
        <f>IF(P1191="","",IF(T1190&lt;2.7,IF(S1190&gt;5150,IF(S1190&lt;5600,"Pass","Fail"),"Fail"),"Fail"))</f>
        <v>Fail</v>
      </c>
      <c r="W1190" s="409"/>
      <c r="X1190" s="402"/>
      <c r="Y1190" s="268"/>
      <c r="Z1190" s="321">
        <v>4470</v>
      </c>
      <c r="AA1190" s="321">
        <v>6020</v>
      </c>
      <c r="AB1190" s="321">
        <v>5150</v>
      </c>
      <c r="AC1190" s="321">
        <v>5600</v>
      </c>
      <c r="AD1190" s="305">
        <v>10</v>
      </c>
      <c r="AE1190" s="322">
        <v>2.7</v>
      </c>
    </row>
    <row r="1191" spans="1:31" ht="15.75">
      <c r="A1191" s="390"/>
      <c r="B1191" s="404"/>
      <c r="C1191" s="404" t="s">
        <v>198</v>
      </c>
      <c r="D1191">
        <v>1434.12</v>
      </c>
      <c r="E1191">
        <v>1549.58</v>
      </c>
      <c r="F1191">
        <v>1470.06</v>
      </c>
      <c r="G1191">
        <v>1538.19</v>
      </c>
      <c r="H1191">
        <v>1626.68</v>
      </c>
      <c r="I1191">
        <v>1559.69</v>
      </c>
      <c r="J1191">
        <v>1580.16</v>
      </c>
      <c r="K1191">
        <v>1544.9</v>
      </c>
      <c r="L1191">
        <v>1509.3</v>
      </c>
      <c r="M1191">
        <v>1600.5</v>
      </c>
      <c r="N1191">
        <v>1615.45</v>
      </c>
      <c r="O1191">
        <v>1484.36</v>
      </c>
      <c r="P1191">
        <v>1631.54</v>
      </c>
      <c r="Q1191" s="404"/>
      <c r="R1191" s="404"/>
      <c r="S1191" s="404"/>
      <c r="T1191" s="404"/>
      <c r="U1191" s="404"/>
      <c r="V1191" s="407"/>
      <c r="W1191" s="404"/>
      <c r="X1191" s="408"/>
      <c r="Y1191" s="268"/>
      <c r="Z1191" s="267"/>
      <c r="AA1191" s="267"/>
      <c r="AB1191" s="267"/>
      <c r="AC1191" s="267"/>
      <c r="AD1191" s="268"/>
      <c r="AE1191" s="269"/>
    </row>
    <row r="1192" spans="1:31" ht="57.75" thickBot="1">
      <c r="A1192" s="393"/>
      <c r="B1192" s="414"/>
      <c r="C1192" s="414" t="s">
        <v>197</v>
      </c>
      <c r="D1192" s="415">
        <f t="shared" ref="D1192:P1192" si="393">IF(((D1190="")*AND(D1191="")),"",(D1190-D1191)*2)</f>
        <v>5539.76</v>
      </c>
      <c r="E1192" s="415">
        <f t="shared" si="393"/>
        <v>5612.7999999999993</v>
      </c>
      <c r="F1192" s="415">
        <f t="shared" si="393"/>
        <v>5521.3</v>
      </c>
      <c r="G1192" s="415">
        <f t="shared" si="393"/>
        <v>5590.7</v>
      </c>
      <c r="H1192" s="415">
        <f t="shared" si="393"/>
        <v>5632.2999999999993</v>
      </c>
      <c r="I1192" s="415">
        <f t="shared" si="393"/>
        <v>5660.4000000000005</v>
      </c>
      <c r="J1192" s="415">
        <f t="shared" si="393"/>
        <v>5623.4400000000005</v>
      </c>
      <c r="K1192" s="415">
        <f t="shared" si="393"/>
        <v>5627.4800000000005</v>
      </c>
      <c r="L1192" s="415">
        <f t="shared" si="393"/>
        <v>5549.52</v>
      </c>
      <c r="M1192" s="415">
        <f t="shared" si="393"/>
        <v>5656.6200000000008</v>
      </c>
      <c r="N1192" s="415">
        <f t="shared" si="393"/>
        <v>5678.9400000000005</v>
      </c>
      <c r="O1192" s="415">
        <f t="shared" si="393"/>
        <v>5653.2800000000007</v>
      </c>
      <c r="P1192" s="415">
        <f t="shared" si="393"/>
        <v>5620.1</v>
      </c>
      <c r="Q1192" s="414"/>
      <c r="R1192" s="414"/>
      <c r="S1192" s="414"/>
      <c r="T1192" s="414"/>
      <c r="U1192" s="414"/>
      <c r="V1192" s="416"/>
      <c r="W1192" s="414"/>
      <c r="X1192" s="417"/>
      <c r="Y1192" s="268"/>
      <c r="Z1192" s="267"/>
      <c r="AA1192" s="267"/>
      <c r="AB1192" s="267"/>
      <c r="AC1192" s="267"/>
      <c r="AD1192" s="268"/>
      <c r="AE1192" s="269"/>
    </row>
    <row r="1193" spans="1:31" ht="15.75">
      <c r="A1193" s="344">
        <v>44006</v>
      </c>
      <c r="B1193" s="395" t="s">
        <v>202</v>
      </c>
      <c r="C1193" s="396" t="s">
        <v>199</v>
      </c>
      <c r="D1193">
        <v>5911.18</v>
      </c>
      <c r="E1193">
        <v>6008.7</v>
      </c>
      <c r="F1193">
        <v>6045.05</v>
      </c>
      <c r="G1193">
        <v>6008.99</v>
      </c>
      <c r="H1193">
        <v>5901.45</v>
      </c>
      <c r="I1193">
        <v>5772.5</v>
      </c>
      <c r="J1193">
        <v>6000.99</v>
      </c>
      <c r="K1193">
        <v>6058.71</v>
      </c>
      <c r="L1193">
        <v>5913.86</v>
      </c>
      <c r="M1193" s="398"/>
      <c r="N1193" s="398"/>
      <c r="O1193" s="398"/>
      <c r="P1193" s="398"/>
      <c r="Q1193" s="395">
        <f>IF((L1194=""),"",MAX(D1195:L1195))</f>
        <v>6191.0999999999995</v>
      </c>
      <c r="R1193" s="395">
        <f>IF(L1194="","",MIN(D1195:L1195))</f>
        <v>5939.73</v>
      </c>
      <c r="S1193" s="399">
        <f>IF((L1195=""),"",AVERAGE(D1195:L1195))</f>
        <v>6115.0666666666666</v>
      </c>
      <c r="T1193" s="400">
        <f>IF((L1194=""),"",(Q1193-R1193)/(Q1193+R1193)*100)</f>
        <v>2.0721582941975112</v>
      </c>
      <c r="U1193" s="395">
        <f>STDEV(D1195:P1195)</f>
        <v>79.149738470846643</v>
      </c>
      <c r="V1193" s="401" t="str">
        <f>IF(L1194="","",IF(T1193&lt;9.8,IF(S1193&gt;5100,IF(S1193&lt;8300,"Pass","Fail"),"Fail"),"Fail"))</f>
        <v>Pass</v>
      </c>
      <c r="W1193" s="395"/>
      <c r="X1193" s="402"/>
      <c r="Y1193" s="268" t="s">
        <v>508</v>
      </c>
      <c r="Z1193" s="267">
        <v>4955</v>
      </c>
      <c r="AA1193" s="267">
        <v>9645</v>
      </c>
      <c r="AB1193" s="267">
        <v>5100</v>
      </c>
      <c r="AC1193" s="267">
        <v>8300</v>
      </c>
      <c r="AD1193" s="305">
        <v>10</v>
      </c>
      <c r="AE1193" s="305">
        <v>9.8000000000000007</v>
      </c>
    </row>
    <row r="1194" spans="1:31" ht="15.75">
      <c r="A1194" s="390"/>
      <c r="B1194" s="404"/>
      <c r="C1194" s="405" t="s">
        <v>198</v>
      </c>
      <c r="D1194">
        <v>3883.13</v>
      </c>
      <c r="E1194">
        <v>3975.71</v>
      </c>
      <c r="F1194">
        <v>3985.33</v>
      </c>
      <c r="G1194">
        <v>3951.99</v>
      </c>
      <c r="H1194">
        <v>3845.99</v>
      </c>
      <c r="I1194">
        <v>3792.59</v>
      </c>
      <c r="J1194">
        <v>3955.76</v>
      </c>
      <c r="K1194">
        <v>3995.01</v>
      </c>
      <c r="L1194">
        <v>3890.72</v>
      </c>
      <c r="M1194" s="406"/>
      <c r="N1194" s="406"/>
      <c r="O1194" s="406"/>
      <c r="P1194" s="406"/>
      <c r="Q1194" s="404"/>
      <c r="R1194" s="404"/>
      <c r="S1194" s="404"/>
      <c r="T1194" s="404"/>
      <c r="U1194" s="404"/>
      <c r="V1194" s="407"/>
      <c r="W1194" s="404"/>
      <c r="X1194" s="408"/>
      <c r="Y1194" s="268"/>
      <c r="Z1194" s="267"/>
      <c r="AA1194" s="267"/>
      <c r="AB1194" s="267"/>
      <c r="AC1194" s="267"/>
      <c r="AD1194" s="268"/>
      <c r="AE1194" s="269"/>
    </row>
    <row r="1195" spans="1:31" ht="57.75" thickBot="1">
      <c r="A1195" s="390"/>
      <c r="B1195" s="404"/>
      <c r="C1195" s="409" t="s">
        <v>197</v>
      </c>
      <c r="D1195" s="410">
        <f t="shared" ref="D1195:L1195" si="394">IF(((D1193="")*AND(D1194="")),"",(D1193-D1194)*3)</f>
        <v>6084.1500000000005</v>
      </c>
      <c r="E1195" s="410">
        <f t="shared" si="394"/>
        <v>6098.9699999999993</v>
      </c>
      <c r="F1195" s="410">
        <f t="shared" si="394"/>
        <v>6179.1600000000008</v>
      </c>
      <c r="G1195" s="410">
        <f t="shared" si="394"/>
        <v>6171</v>
      </c>
      <c r="H1195" s="410">
        <f t="shared" si="394"/>
        <v>6166.38</v>
      </c>
      <c r="I1195" s="410">
        <f t="shared" si="394"/>
        <v>5939.73</v>
      </c>
      <c r="J1195" s="410">
        <f t="shared" si="394"/>
        <v>6135.6899999999987</v>
      </c>
      <c r="K1195" s="410">
        <f t="shared" si="394"/>
        <v>6191.0999999999995</v>
      </c>
      <c r="L1195" s="410">
        <f t="shared" si="394"/>
        <v>6069.42</v>
      </c>
      <c r="M1195" s="410"/>
      <c r="N1195" s="410"/>
      <c r="O1195" s="410"/>
      <c r="P1195" s="410" t="str">
        <f>IF(((P1193="")*AND(P1194="")),"",(P1193-P1194)*2)</f>
        <v/>
      </c>
      <c r="Q1195" s="404"/>
      <c r="R1195" s="404"/>
      <c r="S1195" s="404"/>
      <c r="T1195" s="404"/>
      <c r="U1195" s="404"/>
      <c r="V1195" s="407"/>
      <c r="W1195" s="404"/>
      <c r="X1195" s="417"/>
      <c r="Y1195" s="268"/>
      <c r="Z1195" s="267"/>
      <c r="AA1195" s="267"/>
      <c r="AB1195" s="267"/>
      <c r="AC1195" s="267"/>
      <c r="AD1195" s="268"/>
      <c r="AE1195" s="269"/>
    </row>
    <row r="1196" spans="1:31" ht="15.75">
      <c r="A1196" s="344">
        <v>44006</v>
      </c>
      <c r="B1196" s="409" t="s">
        <v>200</v>
      </c>
      <c r="C1196" s="409" t="s">
        <v>199</v>
      </c>
      <c r="D1196">
        <v>4148.76</v>
      </c>
      <c r="E1196">
        <v>4230.12</v>
      </c>
      <c r="F1196">
        <v>4195.9399999999996</v>
      </c>
      <c r="G1196">
        <v>4301.9799999999996</v>
      </c>
      <c r="H1196">
        <v>4395.67</v>
      </c>
      <c r="I1196">
        <v>4357.57</v>
      </c>
      <c r="J1196">
        <v>4362.62</v>
      </c>
      <c r="K1196">
        <v>4329.8599999999997</v>
      </c>
      <c r="L1196">
        <v>4256.32</v>
      </c>
      <c r="M1196">
        <v>4404.41</v>
      </c>
      <c r="N1196">
        <v>4423.8900000000003</v>
      </c>
      <c r="O1196">
        <v>4315.0600000000004</v>
      </c>
      <c r="P1196">
        <v>4425.3500000000004</v>
      </c>
      <c r="Q1196" s="409">
        <f>IF((L1197=""),"",MAX(D1198:P1198))</f>
        <v>5687.5800000000008</v>
      </c>
      <c r="R1196" s="409">
        <f>IF(L1197="","",MIN(D1198:L1198))</f>
        <v>5510.98</v>
      </c>
      <c r="S1196" s="400">
        <f>IF((P1198=""),"",AVERAGE(D1198:P1198))</f>
        <v>5603.0492307692311</v>
      </c>
      <c r="T1196" s="412">
        <f>IF((L1197=""),"",(Q1196-R1196)/(Q1196+R1196)*100)</f>
        <v>1.5769884699461474</v>
      </c>
      <c r="U1196" s="409">
        <f>STDEV(D1198:P1198)</f>
        <v>54.96552593234491</v>
      </c>
      <c r="V1196" s="413" t="str">
        <f>IF(P1197="","",IF(T1196&lt;2.7,IF(S1196&gt;5150,IF(S1196&lt;5600,"Pass","Fail"),"Fail"),"Fail"))</f>
        <v>Fail</v>
      </c>
      <c r="W1196" s="409"/>
      <c r="X1196" s="402"/>
      <c r="Y1196" s="268"/>
      <c r="Z1196" s="321">
        <v>4470</v>
      </c>
      <c r="AA1196" s="321">
        <v>6020</v>
      </c>
      <c r="AB1196" s="321">
        <v>5150</v>
      </c>
      <c r="AC1196" s="321">
        <v>5600</v>
      </c>
      <c r="AD1196" s="305">
        <v>10</v>
      </c>
      <c r="AE1196" s="322">
        <v>2.7</v>
      </c>
    </row>
    <row r="1197" spans="1:31" ht="15.75">
      <c r="A1197" s="390"/>
      <c r="B1197" s="404"/>
      <c r="C1197" s="404" t="s">
        <v>198</v>
      </c>
      <c r="D1197">
        <v>1374.59</v>
      </c>
      <c r="E1197">
        <v>1412.94</v>
      </c>
      <c r="F1197">
        <v>1440.45</v>
      </c>
      <c r="G1197">
        <v>1518.73</v>
      </c>
      <c r="H1197">
        <v>1558.89</v>
      </c>
      <c r="I1197">
        <v>1528.4</v>
      </c>
      <c r="J1197">
        <v>1562.53</v>
      </c>
      <c r="K1197">
        <v>1526.21</v>
      </c>
      <c r="L1197">
        <v>1491.79</v>
      </c>
      <c r="M1197">
        <v>1588.45</v>
      </c>
      <c r="N1197">
        <v>1580.1</v>
      </c>
      <c r="O1197">
        <v>1527.51</v>
      </c>
      <c r="P1197">
        <v>1617.14</v>
      </c>
      <c r="Q1197" s="404"/>
      <c r="R1197" s="404"/>
      <c r="S1197" s="404"/>
      <c r="T1197" s="404"/>
      <c r="U1197" s="404"/>
      <c r="V1197" s="407"/>
      <c r="W1197" s="404"/>
      <c r="X1197" s="408"/>
      <c r="Y1197" s="268"/>
      <c r="Z1197" s="267"/>
      <c r="AA1197" s="267"/>
      <c r="AB1197" s="267"/>
      <c r="AC1197" s="267"/>
      <c r="AD1197" s="268"/>
      <c r="AE1197" s="269"/>
    </row>
    <row r="1198" spans="1:31" ht="57.75" thickBot="1">
      <c r="A1198" s="393"/>
      <c r="B1198" s="414"/>
      <c r="C1198" s="414" t="s">
        <v>197</v>
      </c>
      <c r="D1198" s="415">
        <f t="shared" ref="D1198:P1198" si="395">IF(((D1196="")*AND(D1197="")),"",(D1196-D1197)*2)</f>
        <v>5548.34</v>
      </c>
      <c r="E1198" s="415">
        <f t="shared" si="395"/>
        <v>5634.36</v>
      </c>
      <c r="F1198" s="415">
        <f t="shared" si="395"/>
        <v>5510.98</v>
      </c>
      <c r="G1198" s="415">
        <f t="shared" si="395"/>
        <v>5566.4999999999991</v>
      </c>
      <c r="H1198" s="415">
        <f t="shared" si="395"/>
        <v>5673.5599999999995</v>
      </c>
      <c r="I1198" s="415">
        <f t="shared" si="395"/>
        <v>5658.3399999999992</v>
      </c>
      <c r="J1198" s="415">
        <f t="shared" si="395"/>
        <v>5600.18</v>
      </c>
      <c r="K1198" s="415">
        <f t="shared" si="395"/>
        <v>5607.2999999999993</v>
      </c>
      <c r="L1198" s="415">
        <f t="shared" si="395"/>
        <v>5529.0599999999995</v>
      </c>
      <c r="M1198" s="415">
        <f t="shared" si="395"/>
        <v>5631.92</v>
      </c>
      <c r="N1198" s="415">
        <f t="shared" si="395"/>
        <v>5687.5800000000008</v>
      </c>
      <c r="O1198" s="415">
        <f t="shared" si="395"/>
        <v>5575.1</v>
      </c>
      <c r="P1198" s="415">
        <f t="shared" si="395"/>
        <v>5616.42</v>
      </c>
      <c r="Q1198" s="414"/>
      <c r="R1198" s="414"/>
      <c r="S1198" s="414"/>
      <c r="T1198" s="414"/>
      <c r="U1198" s="414"/>
      <c r="V1198" s="416"/>
      <c r="W1198" s="414"/>
      <c r="X1198" s="417"/>
      <c r="Y1198" s="268"/>
      <c r="Z1198" s="267"/>
      <c r="AA1198" s="267"/>
      <c r="AB1198" s="267"/>
      <c r="AC1198" s="267"/>
      <c r="AD1198" s="268"/>
      <c r="AE1198" s="269"/>
    </row>
    <row r="1199" spans="1:31" ht="15.75">
      <c r="A1199" s="344">
        <v>44006</v>
      </c>
      <c r="B1199" s="409" t="s">
        <v>200</v>
      </c>
      <c r="C1199" s="409" t="s">
        <v>199</v>
      </c>
      <c r="D1199">
        <v>4207.21</v>
      </c>
      <c r="E1199">
        <v>4287.8</v>
      </c>
      <c r="F1199">
        <v>4242.67</v>
      </c>
      <c r="G1199">
        <v>4333.13</v>
      </c>
      <c r="H1199">
        <v>4429.24</v>
      </c>
      <c r="I1199">
        <v>4385.5600000000004</v>
      </c>
      <c r="J1199">
        <v>4390.3500000000004</v>
      </c>
      <c r="K1199">
        <v>4360.63</v>
      </c>
      <c r="L1199">
        <v>4297.25</v>
      </c>
      <c r="M1199">
        <v>4422.29</v>
      </c>
      <c r="N1199">
        <v>4449.41</v>
      </c>
      <c r="O1199">
        <v>4334.84</v>
      </c>
      <c r="P1199">
        <v>4442.82</v>
      </c>
      <c r="Q1199" s="409">
        <f>IF((L1200=""),"",MAX(D1201:P1201))</f>
        <v>5675.3799999999992</v>
      </c>
      <c r="R1199" s="409">
        <f>IF(L1200="","",MIN(D1201:L1201))</f>
        <v>5507.8600000000006</v>
      </c>
      <c r="S1199" s="400">
        <f>IF((P1201=""),"",AVERAGE(D1201:P1201))</f>
        <v>5603.4446153846166</v>
      </c>
      <c r="T1199" s="412">
        <f>IF((L1200=""),"",(Q1199-R1199)/(Q1199+R1199)*100)</f>
        <v>1.4979558696763964</v>
      </c>
      <c r="U1199" s="409">
        <f>STDEV(D1201:P1201)</f>
        <v>52.681954629479634</v>
      </c>
      <c r="V1199" s="413" t="str">
        <f>IF(P1200="","",IF(T1199&lt;2.7,IF(S1199&gt;5150,IF(S1199&lt;5600,"Pass","Fail"),"Fail"),"Fail"))</f>
        <v>Fail</v>
      </c>
      <c r="W1199" s="409"/>
      <c r="X1199" s="402"/>
      <c r="Y1199" s="268"/>
      <c r="Z1199" s="321">
        <v>4470</v>
      </c>
      <c r="AA1199" s="321">
        <v>6020</v>
      </c>
      <c r="AB1199" s="321">
        <v>5150</v>
      </c>
      <c r="AC1199" s="321">
        <v>5600</v>
      </c>
      <c r="AD1199" s="305">
        <v>10</v>
      </c>
      <c r="AE1199" s="322">
        <v>2.7</v>
      </c>
    </row>
    <row r="1200" spans="1:31" ht="15.75">
      <c r="A1200" s="390"/>
      <c r="B1200" s="404"/>
      <c r="C1200" s="404" t="s">
        <v>198</v>
      </c>
      <c r="D1200">
        <v>1442.68</v>
      </c>
      <c r="E1200">
        <v>1481.41</v>
      </c>
      <c r="F1200">
        <v>1488.74</v>
      </c>
      <c r="G1200">
        <v>1541.36</v>
      </c>
      <c r="H1200">
        <v>1613.61</v>
      </c>
      <c r="I1200">
        <v>1557.18</v>
      </c>
      <c r="J1200">
        <v>1580.16</v>
      </c>
      <c r="K1200">
        <v>1547.38</v>
      </c>
      <c r="L1200">
        <v>1532</v>
      </c>
      <c r="M1200">
        <v>1594.46</v>
      </c>
      <c r="N1200">
        <v>1611.72</v>
      </c>
      <c r="O1200">
        <v>1538.66</v>
      </c>
      <c r="P1200">
        <v>1631.45</v>
      </c>
      <c r="Q1200" s="404"/>
      <c r="R1200" s="404"/>
      <c r="S1200" s="404"/>
      <c r="T1200" s="404"/>
      <c r="U1200" s="404"/>
      <c r="V1200" s="407"/>
      <c r="W1200" s="404"/>
      <c r="X1200" s="408"/>
      <c r="Y1200" s="268"/>
      <c r="Z1200" s="267"/>
      <c r="AA1200" s="267"/>
      <c r="AB1200" s="267"/>
      <c r="AC1200" s="267"/>
      <c r="AD1200" s="268"/>
      <c r="AE1200" s="269"/>
    </row>
    <row r="1201" spans="1:31" ht="57.75" thickBot="1">
      <c r="A1201" s="393"/>
      <c r="B1201" s="414"/>
      <c r="C1201" s="414" t="s">
        <v>197</v>
      </c>
      <c r="D1201" s="415">
        <f t="shared" ref="D1201:P1201" si="396">IF(((D1199="")*AND(D1200="")),"",(D1199-D1200)*2)</f>
        <v>5529.0599999999995</v>
      </c>
      <c r="E1201" s="415">
        <f t="shared" si="396"/>
        <v>5612.7800000000007</v>
      </c>
      <c r="F1201" s="415">
        <f t="shared" si="396"/>
        <v>5507.8600000000006</v>
      </c>
      <c r="G1201" s="415">
        <f t="shared" si="396"/>
        <v>5583.5400000000009</v>
      </c>
      <c r="H1201" s="415">
        <f t="shared" si="396"/>
        <v>5631.26</v>
      </c>
      <c r="I1201" s="415">
        <f t="shared" si="396"/>
        <v>5656.76</v>
      </c>
      <c r="J1201" s="415">
        <f t="shared" si="396"/>
        <v>5620.380000000001</v>
      </c>
      <c r="K1201" s="415">
        <f t="shared" si="396"/>
        <v>5626.5</v>
      </c>
      <c r="L1201" s="415">
        <f t="shared" si="396"/>
        <v>5530.5</v>
      </c>
      <c r="M1201" s="415">
        <f t="shared" si="396"/>
        <v>5655.66</v>
      </c>
      <c r="N1201" s="415">
        <f t="shared" si="396"/>
        <v>5675.3799999999992</v>
      </c>
      <c r="O1201" s="415">
        <f t="shared" si="396"/>
        <v>5592.3600000000006</v>
      </c>
      <c r="P1201" s="415">
        <f t="shared" si="396"/>
        <v>5622.74</v>
      </c>
      <c r="Q1201" s="414"/>
      <c r="R1201" s="414"/>
      <c r="S1201" s="414"/>
      <c r="T1201" s="414"/>
      <c r="U1201" s="414"/>
      <c r="V1201" s="416"/>
      <c r="W1201" s="414"/>
      <c r="X1201" s="417"/>
      <c r="Y1201" s="268"/>
      <c r="Z1201" s="267"/>
      <c r="AA1201" s="267"/>
      <c r="AB1201" s="267"/>
      <c r="AC1201" s="267"/>
      <c r="AD1201" s="268"/>
      <c r="AE1201" s="269"/>
    </row>
    <row r="1202" spans="1:31" ht="15.75">
      <c r="A1202" s="344">
        <v>44010</v>
      </c>
      <c r="B1202" s="395" t="s">
        <v>202</v>
      </c>
      <c r="C1202" s="396" t="s">
        <v>199</v>
      </c>
      <c r="D1202">
        <v>3824.95</v>
      </c>
      <c r="E1202">
        <v>4016.55</v>
      </c>
      <c r="F1202">
        <v>4028.76</v>
      </c>
      <c r="G1202">
        <v>4002.82</v>
      </c>
      <c r="H1202">
        <v>3904.25</v>
      </c>
      <c r="I1202">
        <v>3748.92</v>
      </c>
      <c r="J1202">
        <v>4001.15</v>
      </c>
      <c r="K1202">
        <v>4027.27</v>
      </c>
      <c r="L1202">
        <v>3976.54</v>
      </c>
      <c r="M1202" s="398"/>
      <c r="N1202" s="398"/>
      <c r="O1202" s="398"/>
      <c r="P1202" s="398"/>
      <c r="Q1202" s="395">
        <f>IF((L1203=""),"",MAX(D1204:L1204))</f>
        <v>6053.79</v>
      </c>
      <c r="R1202" s="395">
        <f>IF(L1203="","",MIN(D1204:L1204))</f>
        <v>5650.4999999999991</v>
      </c>
      <c r="S1202" s="399">
        <f>IF((L1204=""),"",AVERAGE(D1204:L1204))</f>
        <v>5822.7266666666665</v>
      </c>
      <c r="T1202" s="400">
        <f>IF((L1203=""),"",(Q1202-R1202)/(Q1202+R1202)*100)</f>
        <v>3.445659668378013</v>
      </c>
      <c r="U1202" s="395">
        <f>STDEV(D1204:P1204)</f>
        <v>117.9260252234504</v>
      </c>
      <c r="V1202" s="401" t="str">
        <f>IF(L1203="","",IF(T1202&lt;9.8,IF(S1202&gt;5100,IF(S1202&lt;8300,"Pass","Fail"),"Fail"),"Fail"))</f>
        <v>Pass</v>
      </c>
      <c r="W1202" s="395">
        <v>102</v>
      </c>
      <c r="X1202" s="402"/>
      <c r="Y1202" s="268"/>
      <c r="Z1202" s="267">
        <v>4955</v>
      </c>
      <c r="AA1202" s="267">
        <v>9645</v>
      </c>
      <c r="AB1202" s="267">
        <v>5100</v>
      </c>
      <c r="AC1202" s="267">
        <v>8300</v>
      </c>
      <c r="AD1202" s="305">
        <v>10</v>
      </c>
      <c r="AE1202" s="305">
        <v>9.8000000000000007</v>
      </c>
    </row>
    <row r="1203" spans="1:31" ht="15.75">
      <c r="A1203" s="390"/>
      <c r="B1203" s="404"/>
      <c r="C1203" s="405" t="s">
        <v>198</v>
      </c>
      <c r="D1203">
        <v>1941.45</v>
      </c>
      <c r="E1203">
        <v>2101.8200000000002</v>
      </c>
      <c r="F1203">
        <v>2100.0700000000002</v>
      </c>
      <c r="G1203">
        <v>2063.86</v>
      </c>
      <c r="H1203">
        <v>1944.08</v>
      </c>
      <c r="I1203">
        <v>1730.99</v>
      </c>
      <c r="J1203">
        <v>2070.5700000000002</v>
      </c>
      <c r="K1203">
        <v>2110.02</v>
      </c>
      <c r="L1203">
        <v>2000.17</v>
      </c>
      <c r="M1203" s="406"/>
      <c r="N1203" s="406"/>
      <c r="O1203" s="406"/>
      <c r="P1203" s="406"/>
      <c r="Q1203" s="404"/>
      <c r="R1203" s="404"/>
      <c r="S1203" s="404"/>
      <c r="T1203" s="404"/>
      <c r="U1203" s="404"/>
      <c r="V1203" s="407"/>
      <c r="W1203" s="404"/>
      <c r="X1203" s="408"/>
      <c r="Y1203" s="268"/>
      <c r="Z1203" s="267"/>
      <c r="AA1203" s="267"/>
      <c r="AB1203" s="267"/>
      <c r="AC1203" s="267"/>
      <c r="AD1203" s="268"/>
      <c r="AE1203" s="269"/>
    </row>
    <row r="1204" spans="1:31" ht="57.75" thickBot="1">
      <c r="A1204" s="390"/>
      <c r="B1204" s="404"/>
      <c r="C1204" s="409" t="s">
        <v>197</v>
      </c>
      <c r="D1204" s="410">
        <f t="shared" ref="D1204:L1204" si="397">IF(((D1202="")*AND(D1203="")),"",(D1202-D1203)*3)</f>
        <v>5650.4999999999991</v>
      </c>
      <c r="E1204" s="410">
        <f t="shared" si="397"/>
        <v>5744.1900000000005</v>
      </c>
      <c r="F1204" s="410">
        <f t="shared" si="397"/>
        <v>5786.07</v>
      </c>
      <c r="G1204" s="410">
        <f t="shared" si="397"/>
        <v>5816.88</v>
      </c>
      <c r="H1204" s="410">
        <f t="shared" si="397"/>
        <v>5880.51</v>
      </c>
      <c r="I1204" s="410">
        <f t="shared" si="397"/>
        <v>6053.79</v>
      </c>
      <c r="J1204" s="410">
        <f t="shared" si="397"/>
        <v>5791.74</v>
      </c>
      <c r="K1204" s="410">
        <f t="shared" si="397"/>
        <v>5751.75</v>
      </c>
      <c r="L1204" s="410">
        <f t="shared" si="397"/>
        <v>5929.11</v>
      </c>
      <c r="M1204" s="410"/>
      <c r="N1204" s="410"/>
      <c r="O1204" s="410"/>
      <c r="P1204" s="410" t="str">
        <f>IF(((P1202="")*AND(P1203="")),"",(P1202-P1203)*2)</f>
        <v/>
      </c>
      <c r="Q1204" s="404"/>
      <c r="R1204" s="404"/>
      <c r="S1204" s="404"/>
      <c r="T1204" s="404"/>
      <c r="U1204" s="404"/>
      <c r="V1204" s="407"/>
      <c r="W1204" s="404"/>
      <c r="X1204" s="417"/>
      <c r="Y1204" s="268"/>
      <c r="Z1204" s="267"/>
      <c r="AA1204" s="267"/>
      <c r="AB1204" s="267"/>
      <c r="AC1204" s="267"/>
      <c r="AD1204" s="268"/>
      <c r="AE1204" s="269"/>
    </row>
    <row r="1205" spans="1:31" ht="15.75">
      <c r="A1205" s="344">
        <v>44010</v>
      </c>
      <c r="B1205" s="409" t="s">
        <v>200</v>
      </c>
      <c r="C1205" s="409" t="s">
        <v>199</v>
      </c>
      <c r="D1205" s="425">
        <v>6739</v>
      </c>
      <c r="E1205" s="425">
        <v>6779</v>
      </c>
      <c r="F1205" s="425">
        <v>6722</v>
      </c>
      <c r="G1205" s="425">
        <v>6791</v>
      </c>
      <c r="H1205" s="425">
        <v>6746</v>
      </c>
      <c r="I1205" s="425">
        <v>6758</v>
      </c>
      <c r="J1205" s="425">
        <v>6859</v>
      </c>
      <c r="K1205" s="425">
        <v>6882</v>
      </c>
      <c r="L1205" s="425">
        <v>6799</v>
      </c>
      <c r="M1205" s="425">
        <v>6901</v>
      </c>
      <c r="N1205" s="425">
        <v>6872</v>
      </c>
      <c r="O1205" s="425">
        <v>6835</v>
      </c>
      <c r="P1205" s="425">
        <v>6823</v>
      </c>
      <c r="Q1205" s="409">
        <f>IF((L1206=""),"",MAX(D1207:P1207))</f>
        <v>5456</v>
      </c>
      <c r="R1205" s="409">
        <f>IF(L1206="","",MIN(D1207:L1207))</f>
        <v>5372</v>
      </c>
      <c r="S1205" s="400">
        <f>IF((P1207=""),"",AVERAGE(D1207:P1207))</f>
        <v>5421.2307692307695</v>
      </c>
      <c r="T1205" s="412">
        <f>IF((L1206=""),"",(Q1205-R1205)/(Q1205+R1205)*100)</f>
        <v>0.77576653121536754</v>
      </c>
      <c r="U1205" s="409">
        <f>STDEV(D1207:P1207)</f>
        <v>28.243447163736569</v>
      </c>
      <c r="V1205" s="413" t="str">
        <f>IF(P1206="","",IF(T1205&lt;2.7,IF(S1205&gt;5150,IF(S1205&lt;5600,"Pass","Fail"),"Fail"),"Fail"))</f>
        <v>Pass</v>
      </c>
      <c r="W1205" s="409">
        <v>102</v>
      </c>
      <c r="X1205" s="402"/>
      <c r="Y1205" s="268"/>
      <c r="Z1205" s="321">
        <v>4470</v>
      </c>
      <c r="AA1205" s="321">
        <v>6020</v>
      </c>
      <c r="AB1205" s="321">
        <v>5150</v>
      </c>
      <c r="AC1205" s="321">
        <v>5600</v>
      </c>
      <c r="AD1205" s="305">
        <v>10</v>
      </c>
      <c r="AE1205" s="322">
        <v>2.7</v>
      </c>
    </row>
    <row r="1206" spans="1:31" ht="15">
      <c r="A1206" s="390"/>
      <c r="B1206" s="404"/>
      <c r="C1206" s="404" t="s">
        <v>198</v>
      </c>
      <c r="D1206" s="306">
        <v>4050</v>
      </c>
      <c r="E1206" s="306">
        <v>4087</v>
      </c>
      <c r="F1206" s="306">
        <v>4023</v>
      </c>
      <c r="G1206" s="306">
        <v>4075</v>
      </c>
      <c r="H1206" s="306">
        <v>4029</v>
      </c>
      <c r="I1206" s="306">
        <v>4041</v>
      </c>
      <c r="J1206" s="306">
        <v>4134</v>
      </c>
      <c r="K1206" s="306">
        <v>4160</v>
      </c>
      <c r="L1206" s="306">
        <v>4113</v>
      </c>
      <c r="M1206" s="306">
        <v>4173</v>
      </c>
      <c r="N1206" s="306">
        <v>4159</v>
      </c>
      <c r="O1206" s="306">
        <v>4119</v>
      </c>
      <c r="P1206" s="306">
        <v>4105</v>
      </c>
      <c r="Q1206" s="404"/>
      <c r="R1206" s="404"/>
      <c r="S1206" s="404"/>
      <c r="T1206" s="404"/>
      <c r="U1206" s="404"/>
      <c r="V1206" s="407"/>
      <c r="W1206" s="404"/>
      <c r="X1206" s="408"/>
      <c r="Y1206" s="268"/>
      <c r="Z1206" s="267"/>
      <c r="AA1206" s="267"/>
      <c r="AB1206" s="267"/>
      <c r="AC1206" s="267"/>
      <c r="AD1206" s="268"/>
      <c r="AE1206" s="269"/>
    </row>
    <row r="1207" spans="1:31" ht="57.75" thickBot="1">
      <c r="A1207" s="393"/>
      <c r="B1207" s="414"/>
      <c r="C1207" s="414" t="s">
        <v>197</v>
      </c>
      <c r="D1207" s="415">
        <f t="shared" ref="D1207:P1207" si="398">IF(((D1205="")*AND(D1206="")),"",(D1205-D1206)*2)</f>
        <v>5378</v>
      </c>
      <c r="E1207" s="415">
        <f t="shared" si="398"/>
        <v>5384</v>
      </c>
      <c r="F1207" s="415">
        <f t="shared" si="398"/>
        <v>5398</v>
      </c>
      <c r="G1207" s="415">
        <f t="shared" si="398"/>
        <v>5432</v>
      </c>
      <c r="H1207" s="415">
        <f t="shared" si="398"/>
        <v>5434</v>
      </c>
      <c r="I1207" s="415">
        <f t="shared" si="398"/>
        <v>5434</v>
      </c>
      <c r="J1207" s="415">
        <f t="shared" si="398"/>
        <v>5450</v>
      </c>
      <c r="K1207" s="415">
        <f t="shared" si="398"/>
        <v>5444</v>
      </c>
      <c r="L1207" s="415">
        <f t="shared" si="398"/>
        <v>5372</v>
      </c>
      <c r="M1207" s="415">
        <f t="shared" si="398"/>
        <v>5456</v>
      </c>
      <c r="N1207" s="415">
        <f t="shared" si="398"/>
        <v>5426</v>
      </c>
      <c r="O1207" s="415">
        <f t="shared" si="398"/>
        <v>5432</v>
      </c>
      <c r="P1207" s="415">
        <f t="shared" si="398"/>
        <v>5436</v>
      </c>
      <c r="Q1207" s="414"/>
      <c r="R1207" s="414"/>
      <c r="S1207" s="414"/>
      <c r="T1207" s="414"/>
      <c r="U1207" s="414"/>
      <c r="V1207" s="416"/>
      <c r="W1207" s="414"/>
      <c r="X1207" s="417"/>
      <c r="Y1207" s="268"/>
      <c r="Z1207" s="267"/>
      <c r="AA1207" s="267"/>
      <c r="AB1207" s="267"/>
      <c r="AC1207" s="267"/>
      <c r="AD1207" s="268"/>
      <c r="AE1207" s="269"/>
    </row>
    <row r="1208" spans="1:31" ht="15.75">
      <c r="A1208" s="344">
        <v>44019</v>
      </c>
      <c r="B1208" s="409" t="s">
        <v>200</v>
      </c>
      <c r="C1208" s="409" t="s">
        <v>199</v>
      </c>
      <c r="D1208">
        <v>4097.47</v>
      </c>
      <c r="E1208">
        <v>4225.42</v>
      </c>
      <c r="F1208">
        <v>4157.72</v>
      </c>
      <c r="G1208">
        <v>4284.93</v>
      </c>
      <c r="H1208">
        <v>4268.37</v>
      </c>
      <c r="I1208">
        <v>4274.24</v>
      </c>
      <c r="J1208">
        <v>4354.62</v>
      </c>
      <c r="K1208">
        <v>4325.47</v>
      </c>
      <c r="L1208">
        <v>4234.45</v>
      </c>
      <c r="M1208">
        <v>4378.84</v>
      </c>
      <c r="N1208">
        <v>4399.33</v>
      </c>
      <c r="O1208">
        <v>4287.42</v>
      </c>
      <c r="P1208">
        <v>4332.46</v>
      </c>
      <c r="Q1208" s="409">
        <f>IF((L1209=""),"",MAX(D1210:P1210))</f>
        <v>6026.8799999999992</v>
      </c>
      <c r="R1208" s="409">
        <f>IF(L1209="","",MIN(D1210:L1210))</f>
        <v>5399.1399999999994</v>
      </c>
      <c r="S1208" s="400">
        <f>IF((P1210=""),"",AVERAGE(D1210:P1210))</f>
        <v>5576.7030769230778</v>
      </c>
      <c r="T1208" s="412">
        <f>IF((L1209=""),"",(Q1208-R1208)/(Q1208+R1208)*100)</f>
        <v>5.4939515246778825</v>
      </c>
      <c r="U1208" s="409">
        <f>STDEV(D1210:P1210)</f>
        <v>188.22554322689032</v>
      </c>
      <c r="V1208" s="413" t="str">
        <f>IF(P1209="","",IF(T1208&lt;2.7,IF(S1208&gt;5150,IF(S1208&lt;5600,"Pass","Fail"),"Fail"),"Fail"))</f>
        <v>Fail</v>
      </c>
      <c r="W1208" s="409">
        <v>74</v>
      </c>
      <c r="X1208" s="402"/>
      <c r="Y1208" s="268"/>
      <c r="Z1208" s="321">
        <v>4470</v>
      </c>
      <c r="AA1208" s="321">
        <v>6020</v>
      </c>
      <c r="AB1208" s="321">
        <v>5150</v>
      </c>
      <c r="AC1208" s="321">
        <v>5600</v>
      </c>
      <c r="AD1208" s="305">
        <v>10</v>
      </c>
      <c r="AE1208" s="322">
        <v>2.7</v>
      </c>
    </row>
    <row r="1209" spans="1:31" ht="15.75">
      <c r="A1209" s="390"/>
      <c r="B1209" s="404"/>
      <c r="C1209" s="404" t="s">
        <v>198</v>
      </c>
      <c r="D1209">
        <v>1335.5</v>
      </c>
      <c r="E1209">
        <v>1498.27</v>
      </c>
      <c r="F1209">
        <v>1452.24</v>
      </c>
      <c r="G1209">
        <v>1568.28</v>
      </c>
      <c r="H1209">
        <v>1536.51</v>
      </c>
      <c r="I1209">
        <v>1574.67</v>
      </c>
      <c r="J1209">
        <v>1592.73</v>
      </c>
      <c r="K1209">
        <v>1488.41</v>
      </c>
      <c r="L1209">
        <v>1509.8</v>
      </c>
      <c r="M1209">
        <v>1453.66</v>
      </c>
      <c r="N1209">
        <v>1385.89</v>
      </c>
      <c r="O1209">
        <v>1466.8</v>
      </c>
      <c r="P1209">
        <v>1509.41</v>
      </c>
      <c r="Q1209" s="404"/>
      <c r="R1209" s="404"/>
      <c r="S1209" s="404"/>
      <c r="T1209" s="404"/>
      <c r="U1209" s="404"/>
      <c r="V1209" s="407"/>
      <c r="W1209" s="404"/>
      <c r="X1209" s="408"/>
      <c r="Y1209" s="268"/>
      <c r="Z1209" s="267"/>
      <c r="AA1209" s="267"/>
      <c r="AB1209" s="267"/>
      <c r="AC1209" s="267"/>
      <c r="AD1209" s="268"/>
      <c r="AE1209" s="269"/>
    </row>
    <row r="1210" spans="1:31" ht="57.75" thickBot="1">
      <c r="A1210" s="393"/>
      <c r="B1210" s="414"/>
      <c r="C1210" s="414" t="s">
        <v>197</v>
      </c>
      <c r="D1210" s="415">
        <f t="shared" ref="D1210:P1210" si="399">IF(((D1208="")*AND(D1209="")),"",(D1208-D1209)*2)</f>
        <v>5523.9400000000005</v>
      </c>
      <c r="E1210" s="415">
        <f t="shared" si="399"/>
        <v>5454.3</v>
      </c>
      <c r="F1210" s="415">
        <f t="shared" si="399"/>
        <v>5410.9600000000009</v>
      </c>
      <c r="G1210" s="415">
        <f t="shared" si="399"/>
        <v>5433.3000000000011</v>
      </c>
      <c r="H1210" s="415">
        <f t="shared" si="399"/>
        <v>5463.7199999999993</v>
      </c>
      <c r="I1210" s="415">
        <f t="shared" si="399"/>
        <v>5399.1399999999994</v>
      </c>
      <c r="J1210" s="415">
        <f t="shared" si="399"/>
        <v>5523.78</v>
      </c>
      <c r="K1210" s="415">
        <f t="shared" si="399"/>
        <v>5674.1200000000008</v>
      </c>
      <c r="L1210" s="415">
        <f t="shared" si="399"/>
        <v>5449.2999999999993</v>
      </c>
      <c r="M1210" s="415">
        <f t="shared" si="399"/>
        <v>5850.3600000000006</v>
      </c>
      <c r="N1210" s="415">
        <f t="shared" si="399"/>
        <v>6026.8799999999992</v>
      </c>
      <c r="O1210" s="415">
        <f t="shared" si="399"/>
        <v>5641.24</v>
      </c>
      <c r="P1210" s="415">
        <f t="shared" si="399"/>
        <v>5646.1</v>
      </c>
      <c r="Q1210" s="414"/>
      <c r="R1210" s="414"/>
      <c r="S1210" s="414"/>
      <c r="T1210" s="414"/>
      <c r="U1210" s="414"/>
      <c r="V1210" s="416"/>
      <c r="W1210" s="414"/>
      <c r="X1210" s="417"/>
      <c r="Y1210" s="268"/>
      <c r="Z1210" s="267"/>
      <c r="AA1210" s="267"/>
      <c r="AB1210" s="267"/>
      <c r="AC1210" s="267"/>
      <c r="AD1210" s="268"/>
      <c r="AE1210" s="269"/>
    </row>
    <row r="1211" spans="1:31" ht="15.75">
      <c r="A1211" s="344">
        <v>44020</v>
      </c>
      <c r="B1211" s="395" t="s">
        <v>202</v>
      </c>
      <c r="C1211" s="396" t="s">
        <v>199</v>
      </c>
      <c r="D1211">
        <v>6003.55</v>
      </c>
      <c r="E1211">
        <v>6239.73</v>
      </c>
      <c r="F1211">
        <v>6264.71</v>
      </c>
      <c r="G1211">
        <v>6140.13</v>
      </c>
      <c r="H1211">
        <v>6262.44</v>
      </c>
      <c r="I1211">
        <v>6277.39</v>
      </c>
      <c r="J1211">
        <v>6247.99</v>
      </c>
      <c r="K1211">
        <v>6173.61</v>
      </c>
      <c r="L1211">
        <v>6161.43</v>
      </c>
      <c r="M1211" s="398"/>
      <c r="N1211" s="398"/>
      <c r="O1211" s="398"/>
      <c r="P1211" s="398"/>
      <c r="Q1211" s="395">
        <f>IF((L1212=""),"",MAX(D1213:L1213))</f>
        <v>6563.1900000000005</v>
      </c>
      <c r="R1211" s="395">
        <f>IF(L1212="","",MIN(D1213:L1213))</f>
        <v>6388.7999999999993</v>
      </c>
      <c r="S1211" s="399">
        <f>IF((L1213=""),"",AVERAGE(D1213:L1213))</f>
        <v>6467.2833333333328</v>
      </c>
      <c r="T1211" s="400">
        <f>IF((L1212=""),"",(Q1211-R1211)/(Q1211+R1211)*100)</f>
        <v>1.3464340228798914</v>
      </c>
      <c r="U1211" s="395">
        <f>STDEV(D1213:P1213)</f>
        <v>49.120280943908732</v>
      </c>
      <c r="V1211" s="401" t="str">
        <f>IF(L1212="","",IF(T1211&lt;9.8,IF(S1211&gt;5100,IF(S1211&lt;8300,"Pass","Fail"),"Fail"),"Fail"))</f>
        <v>Pass</v>
      </c>
      <c r="W1211" s="395">
        <v>121</v>
      </c>
      <c r="X1211" s="402"/>
      <c r="Y1211" s="268"/>
      <c r="Z1211" s="267">
        <v>4955</v>
      </c>
      <c r="AA1211" s="267">
        <v>9645</v>
      </c>
      <c r="AB1211" s="267">
        <v>5100</v>
      </c>
      <c r="AC1211" s="267">
        <v>8300</v>
      </c>
      <c r="AD1211" s="305">
        <v>10</v>
      </c>
      <c r="AE1211" s="305">
        <v>9.8000000000000007</v>
      </c>
    </row>
    <row r="1212" spans="1:31" ht="15.75">
      <c r="A1212" s="390"/>
      <c r="B1212" s="404"/>
      <c r="C1212" s="405" t="s">
        <v>198</v>
      </c>
      <c r="D1212">
        <v>3815.82</v>
      </c>
      <c r="E1212">
        <v>4089.29</v>
      </c>
      <c r="F1212">
        <v>4111.66</v>
      </c>
      <c r="G1212">
        <v>4010.53</v>
      </c>
      <c r="H1212">
        <v>4122.33</v>
      </c>
      <c r="I1212">
        <v>4119.87</v>
      </c>
      <c r="J1212">
        <v>4084.54</v>
      </c>
      <c r="K1212">
        <v>4019.11</v>
      </c>
      <c r="L1212">
        <v>3995.98</v>
      </c>
      <c r="M1212" s="406"/>
      <c r="N1212" s="406"/>
      <c r="O1212" s="406"/>
      <c r="P1212" s="406"/>
      <c r="Q1212" s="404"/>
      <c r="R1212" s="404"/>
      <c r="S1212" s="404"/>
      <c r="T1212" s="404"/>
      <c r="U1212" s="404"/>
      <c r="V1212" s="407"/>
      <c r="W1212" s="404"/>
      <c r="X1212" s="408"/>
      <c r="Y1212" s="268"/>
      <c r="Z1212" s="267"/>
      <c r="AA1212" s="267"/>
      <c r="AB1212" s="267"/>
      <c r="AC1212" s="267"/>
      <c r="AD1212" s="268"/>
      <c r="AE1212" s="269"/>
    </row>
    <row r="1213" spans="1:31" ht="57.75" thickBot="1">
      <c r="A1213" s="390"/>
      <c r="B1213" s="404"/>
      <c r="C1213" s="409" t="s">
        <v>197</v>
      </c>
      <c r="D1213" s="410">
        <f t="shared" ref="D1213:L1213" si="400">IF(((D1211="")*AND(D1212="")),"",(D1211-D1212)*3)</f>
        <v>6563.1900000000005</v>
      </c>
      <c r="E1213" s="410">
        <f t="shared" si="400"/>
        <v>6451.3199999999988</v>
      </c>
      <c r="F1213" s="410">
        <f t="shared" si="400"/>
        <v>6459.1500000000005</v>
      </c>
      <c r="G1213" s="410">
        <f t="shared" si="400"/>
        <v>6388.7999999999993</v>
      </c>
      <c r="H1213" s="410">
        <f t="shared" si="400"/>
        <v>6420.329999999999</v>
      </c>
      <c r="I1213" s="410">
        <f t="shared" si="400"/>
        <v>6472.5600000000013</v>
      </c>
      <c r="J1213" s="410">
        <f t="shared" si="400"/>
        <v>6490.3499999999995</v>
      </c>
      <c r="K1213" s="410">
        <f t="shared" si="400"/>
        <v>6463.4999999999982</v>
      </c>
      <c r="L1213" s="410">
        <f t="shared" si="400"/>
        <v>6496.35</v>
      </c>
      <c r="M1213" s="410"/>
      <c r="N1213" s="410"/>
      <c r="O1213" s="410"/>
      <c r="P1213" s="410" t="str">
        <f>IF(((P1211="")*AND(P1212="")),"",(P1211-P1212)*2)</f>
        <v/>
      </c>
      <c r="Q1213" s="404"/>
      <c r="R1213" s="404"/>
      <c r="S1213" s="404"/>
      <c r="T1213" s="404"/>
      <c r="U1213" s="404"/>
      <c r="V1213" s="407"/>
      <c r="W1213" s="404"/>
      <c r="X1213" s="417"/>
      <c r="Y1213" s="268"/>
      <c r="Z1213" s="267"/>
      <c r="AA1213" s="267"/>
      <c r="AB1213" s="267"/>
      <c r="AC1213" s="267"/>
      <c r="AD1213" s="268"/>
      <c r="AE1213" s="269"/>
    </row>
    <row r="1214" spans="1:31" ht="15.75">
      <c r="A1214" s="344">
        <v>44020</v>
      </c>
      <c r="B1214" s="409" t="s">
        <v>200</v>
      </c>
      <c r="C1214" s="409" t="s">
        <v>199</v>
      </c>
      <c r="D1214">
        <v>6865.38</v>
      </c>
      <c r="E1214">
        <v>6997.76</v>
      </c>
      <c r="F1214">
        <v>7053.75</v>
      </c>
      <c r="G1214">
        <v>7095.52</v>
      </c>
      <c r="H1214">
        <v>7153.77</v>
      </c>
      <c r="I1214">
        <v>7167.79</v>
      </c>
      <c r="J1214">
        <v>7079.88</v>
      </c>
      <c r="K1214">
        <v>7130.97</v>
      </c>
      <c r="L1214">
        <v>6970.74</v>
      </c>
      <c r="M1214">
        <v>6934.13</v>
      </c>
      <c r="N1214">
        <v>7012.51</v>
      </c>
      <c r="O1214">
        <v>7037.29</v>
      </c>
      <c r="P1214">
        <v>7112.41</v>
      </c>
      <c r="Q1214" s="409">
        <f>IF((L1215=""),"",MAX(D1216:P1216))</f>
        <v>5501.6200000000008</v>
      </c>
      <c r="R1214" s="409">
        <f>IF(L1215="","",MIN(D1216:L1216))</f>
        <v>5394.26</v>
      </c>
      <c r="S1214" s="400">
        <f>IF((P1216=""),"",AVERAGE(D1216:P1216))</f>
        <v>5440.4692307692321</v>
      </c>
      <c r="T1214" s="412">
        <f>IF((L1215=""),"",(Q1214-R1214)/(Q1214+R1214)*100)</f>
        <v>0.98532656380210304</v>
      </c>
      <c r="U1214" s="409">
        <f>STDEV(D1216:P1216)</f>
        <v>36.725316077843154</v>
      </c>
      <c r="V1214" s="413" t="str">
        <f>IF(P1215="","",IF(T1214&lt;2.7,IF(S1214&gt;5150,IF(S1214&lt;5600,"Pass","Fail"),"Fail"),"Fail"))</f>
        <v>Pass</v>
      </c>
      <c r="W1214" s="409">
        <v>121</v>
      </c>
      <c r="X1214" s="402"/>
      <c r="Y1214" s="268"/>
      <c r="Z1214" s="321">
        <v>4470</v>
      </c>
      <c r="AA1214" s="321">
        <v>6020</v>
      </c>
      <c r="AB1214" s="321">
        <v>5150</v>
      </c>
      <c r="AC1214" s="321">
        <v>5600</v>
      </c>
      <c r="AD1214" s="305">
        <v>10</v>
      </c>
      <c r="AE1214" s="322">
        <v>2.7</v>
      </c>
    </row>
    <row r="1215" spans="1:31" ht="15.75">
      <c r="A1215" s="390"/>
      <c r="B1215" s="404"/>
      <c r="C1215" s="404" t="s">
        <v>198</v>
      </c>
      <c r="D1215">
        <v>4168.25</v>
      </c>
      <c r="E1215">
        <v>4293.82</v>
      </c>
      <c r="F1215">
        <v>4302.9399999999996</v>
      </c>
      <c r="G1215">
        <v>4376.8999999999996</v>
      </c>
      <c r="H1215">
        <v>4418.1899999999996</v>
      </c>
      <c r="I1215">
        <v>4433.3599999999997</v>
      </c>
      <c r="J1215">
        <v>4349.4399999999996</v>
      </c>
      <c r="K1215">
        <v>4381.03</v>
      </c>
      <c r="L1215">
        <v>4268.05</v>
      </c>
      <c r="M1215">
        <v>4228.7700000000004</v>
      </c>
      <c r="N1215">
        <v>4308.99</v>
      </c>
      <c r="O1215">
        <v>4325.78</v>
      </c>
      <c r="P1215">
        <v>4393.33</v>
      </c>
      <c r="Q1215" s="404"/>
      <c r="R1215" s="404"/>
      <c r="S1215" s="404"/>
      <c r="T1215" s="404"/>
      <c r="U1215" s="404"/>
      <c r="V1215" s="407"/>
      <c r="W1215" s="404"/>
      <c r="X1215" s="408"/>
      <c r="Y1215" s="268"/>
      <c r="Z1215" s="267"/>
      <c r="AA1215" s="267"/>
      <c r="AB1215" s="267"/>
      <c r="AC1215" s="267"/>
      <c r="AD1215" s="268"/>
      <c r="AE1215" s="269"/>
    </row>
    <row r="1216" spans="1:31" ht="57.75" thickBot="1">
      <c r="A1216" s="393"/>
      <c r="B1216" s="414"/>
      <c r="C1216" s="414" t="s">
        <v>197</v>
      </c>
      <c r="D1216" s="415">
        <f t="shared" ref="D1216:P1216" si="401">IF(((D1214="")*AND(D1215="")),"",(D1214-D1215)*2)</f>
        <v>5394.26</v>
      </c>
      <c r="E1216" s="415">
        <f t="shared" si="401"/>
        <v>5407.880000000001</v>
      </c>
      <c r="F1216" s="415">
        <f t="shared" si="401"/>
        <v>5501.6200000000008</v>
      </c>
      <c r="G1216" s="415">
        <f t="shared" si="401"/>
        <v>5437.2400000000016</v>
      </c>
      <c r="H1216" s="415">
        <f t="shared" si="401"/>
        <v>5471.1600000000017</v>
      </c>
      <c r="I1216" s="415">
        <f t="shared" si="401"/>
        <v>5468.8600000000006</v>
      </c>
      <c r="J1216" s="415">
        <f t="shared" si="401"/>
        <v>5460.880000000001</v>
      </c>
      <c r="K1216" s="415">
        <f t="shared" si="401"/>
        <v>5499.880000000001</v>
      </c>
      <c r="L1216" s="415">
        <f t="shared" si="401"/>
        <v>5405.3799999999992</v>
      </c>
      <c r="M1216" s="415">
        <f t="shared" si="401"/>
        <v>5410.7199999999993</v>
      </c>
      <c r="N1216" s="415">
        <f t="shared" si="401"/>
        <v>5407.0400000000009</v>
      </c>
      <c r="O1216" s="415">
        <f t="shared" si="401"/>
        <v>5423.02</v>
      </c>
      <c r="P1216" s="415">
        <f t="shared" si="401"/>
        <v>5438.16</v>
      </c>
      <c r="Q1216" s="414"/>
      <c r="R1216" s="414"/>
      <c r="S1216" s="414"/>
      <c r="T1216" s="414"/>
      <c r="U1216" s="414"/>
      <c r="V1216" s="416"/>
      <c r="W1216" s="414"/>
      <c r="X1216" s="417"/>
      <c r="Y1216" s="268"/>
      <c r="Z1216" s="267"/>
      <c r="AA1216" s="267"/>
      <c r="AB1216" s="267"/>
      <c r="AC1216" s="267"/>
      <c r="AD1216" s="268"/>
      <c r="AE1216" s="269"/>
    </row>
    <row r="1217" spans="1:31" ht="15.75">
      <c r="A1217" s="344">
        <v>44028</v>
      </c>
      <c r="B1217" s="395" t="s">
        <v>202</v>
      </c>
      <c r="C1217" s="396" t="s">
        <v>199</v>
      </c>
      <c r="D1217">
        <v>6016.03</v>
      </c>
      <c r="E1217">
        <v>6234.81</v>
      </c>
      <c r="F1217">
        <v>6261.06</v>
      </c>
      <c r="G1217">
        <v>6131.15</v>
      </c>
      <c r="H1217">
        <v>6252.83</v>
      </c>
      <c r="I1217">
        <v>6269.75</v>
      </c>
      <c r="J1217">
        <v>6237.36</v>
      </c>
      <c r="K1217">
        <v>6172.82</v>
      </c>
      <c r="L1217">
        <v>6134.63</v>
      </c>
      <c r="M1217" s="398"/>
      <c r="N1217" s="398"/>
      <c r="O1217" s="398"/>
      <c r="P1217" s="398"/>
      <c r="Q1217" s="395">
        <f>IF((L1218=""),"",MAX(D1219:L1219))</f>
        <v>6426.4800000000014</v>
      </c>
      <c r="R1217" s="395">
        <f>IF(L1218="","",MIN(D1219:L1219))</f>
        <v>6207.7499999999982</v>
      </c>
      <c r="S1217" s="399">
        <f>IF((L1219=""),"",AVERAGE(D1219:L1219))</f>
        <v>6336.5933333333342</v>
      </c>
      <c r="T1217" s="400">
        <f>IF((L1218=""),"",(Q1217-R1217)/(Q1217+R1217)*100)</f>
        <v>1.731249154083812</v>
      </c>
      <c r="U1217" s="395">
        <f>STDEV(D1219:P1219)</f>
        <v>78.296651907930155</v>
      </c>
      <c r="V1217" s="401" t="str">
        <f>IF(L1218="","",IF(T1217&lt;9.8,IF(S1217&gt;5100,IF(S1217&lt;8300,"Pass","Fail"),"Fail"),"Fail"))</f>
        <v>Pass</v>
      </c>
      <c r="W1217" s="395">
        <v>1159</v>
      </c>
      <c r="X1217" s="402" t="s">
        <v>521</v>
      </c>
      <c r="Y1217" s="268"/>
      <c r="Z1217" s="267">
        <v>4955</v>
      </c>
      <c r="AA1217" s="267">
        <v>9645</v>
      </c>
      <c r="AB1217" s="267">
        <v>5100</v>
      </c>
      <c r="AC1217" s="267">
        <v>8300</v>
      </c>
      <c r="AD1217" s="305">
        <v>10</v>
      </c>
      <c r="AE1217" s="305">
        <v>9.8000000000000007</v>
      </c>
    </row>
    <row r="1218" spans="1:31" ht="15.75">
      <c r="A1218" s="390"/>
      <c r="B1218" s="404"/>
      <c r="C1218" s="405" t="s">
        <v>198</v>
      </c>
      <c r="D1218">
        <v>3884.97</v>
      </c>
      <c r="E1218">
        <v>4118.7</v>
      </c>
      <c r="F1218">
        <v>4143.8599999999997</v>
      </c>
      <c r="G1218">
        <v>4061.9</v>
      </c>
      <c r="H1218">
        <v>4151.33</v>
      </c>
      <c r="I1218">
        <v>4143.8999999999996</v>
      </c>
      <c r="J1218">
        <v>4103.6000000000004</v>
      </c>
      <c r="K1218">
        <v>4099.93</v>
      </c>
      <c r="L1218">
        <v>3992.47</v>
      </c>
      <c r="M1218" s="406"/>
      <c r="N1218" s="406"/>
      <c r="O1218" s="406"/>
      <c r="P1218" s="406"/>
      <c r="Q1218" s="404"/>
      <c r="R1218" s="404"/>
      <c r="S1218" s="404"/>
      <c r="T1218" s="404"/>
      <c r="U1218" s="404"/>
      <c r="V1218" s="407"/>
      <c r="W1218" s="404"/>
      <c r="X1218" s="408"/>
      <c r="Y1218" s="268"/>
      <c r="Z1218" s="267"/>
      <c r="AA1218" s="267"/>
      <c r="AB1218" s="267"/>
      <c r="AC1218" s="267"/>
      <c r="AD1218" s="268"/>
      <c r="AE1218" s="269"/>
    </row>
    <row r="1219" spans="1:31" ht="57.75" thickBot="1">
      <c r="A1219" s="390"/>
      <c r="B1219" s="404"/>
      <c r="C1219" s="409" t="s">
        <v>197</v>
      </c>
      <c r="D1219" s="410">
        <f t="shared" ref="D1219:L1219" si="402">IF(((D1217="")*AND(D1218="")),"",(D1217-D1218)*3)</f>
        <v>6393.18</v>
      </c>
      <c r="E1219" s="410">
        <f t="shared" si="402"/>
        <v>6348.3300000000017</v>
      </c>
      <c r="F1219" s="410">
        <f t="shared" si="402"/>
        <v>6351.6000000000022</v>
      </c>
      <c r="G1219" s="410">
        <f t="shared" si="402"/>
        <v>6207.7499999999982</v>
      </c>
      <c r="H1219" s="410">
        <f t="shared" si="402"/>
        <v>6304.5</v>
      </c>
      <c r="I1219" s="410">
        <f t="shared" si="402"/>
        <v>6377.5500000000011</v>
      </c>
      <c r="J1219" s="410">
        <f t="shared" si="402"/>
        <v>6401.2799999999979</v>
      </c>
      <c r="K1219" s="410">
        <f t="shared" si="402"/>
        <v>6218.6699999999983</v>
      </c>
      <c r="L1219" s="410">
        <f t="shared" si="402"/>
        <v>6426.4800000000014</v>
      </c>
      <c r="M1219" s="410"/>
      <c r="N1219" s="410"/>
      <c r="O1219" s="410"/>
      <c r="P1219" s="410" t="str">
        <f>IF(((P1217="")*AND(P1218="")),"",(P1217-P1218)*2)</f>
        <v/>
      </c>
      <c r="Q1219" s="404"/>
      <c r="R1219" s="404"/>
      <c r="S1219" s="404"/>
      <c r="T1219" s="404"/>
      <c r="U1219" s="404"/>
      <c r="V1219" s="407"/>
      <c r="W1219" s="404"/>
      <c r="X1219" s="417"/>
      <c r="Y1219" s="268"/>
      <c r="Z1219" s="267"/>
      <c r="AA1219" s="267"/>
      <c r="AB1219" s="267"/>
      <c r="AC1219" s="267"/>
      <c r="AD1219" s="268"/>
      <c r="AE1219" s="269"/>
    </row>
    <row r="1220" spans="1:31" ht="15.75">
      <c r="A1220" s="344">
        <v>44028</v>
      </c>
      <c r="B1220" s="409" t="s">
        <v>200</v>
      </c>
      <c r="C1220" s="409" t="s">
        <v>199</v>
      </c>
      <c r="D1220">
        <v>6838.01</v>
      </c>
      <c r="E1220">
        <v>7014.79</v>
      </c>
      <c r="F1220">
        <v>7057.26</v>
      </c>
      <c r="G1220">
        <v>7071.95</v>
      </c>
      <c r="H1220">
        <v>7144.98</v>
      </c>
      <c r="I1220">
        <v>7171.13</v>
      </c>
      <c r="J1220">
        <v>7056.95</v>
      </c>
      <c r="K1220">
        <v>7125.19</v>
      </c>
      <c r="L1220">
        <v>6965.75</v>
      </c>
      <c r="M1220">
        <v>6912.92</v>
      </c>
      <c r="N1220">
        <v>6976.29</v>
      </c>
      <c r="O1220">
        <v>7023.87</v>
      </c>
      <c r="P1220">
        <v>7100.96</v>
      </c>
      <c r="Q1220" s="409">
        <f>IF((L1221=""),"",MAX(D1222:P1222))</f>
        <v>5536.7199999999993</v>
      </c>
      <c r="R1220" s="409">
        <f>IF(L1221="","",MIN(D1222:L1222))</f>
        <v>5412.6400000000012</v>
      </c>
      <c r="S1220" s="400">
        <f>IF((P1222=""),"",AVERAGE(D1222:P1222))</f>
        <v>5466.5661538461536</v>
      </c>
      <c r="T1220" s="412">
        <f>IF((L1221=""),"",(Q1220-R1220)/(Q1220+R1220)*100)</f>
        <v>1.1332169186144039</v>
      </c>
      <c r="U1220" s="409">
        <f>STDEV(D1222:P1222)</f>
        <v>40.874516416818437</v>
      </c>
      <c r="V1220" s="413" t="str">
        <f>IF(P1221="","",IF(T1220&lt;2.7,IF(S1220&gt;5150,IF(S1220&lt;5600,"Pass","Fail"),"Fail"),"Fail"))</f>
        <v>Pass</v>
      </c>
      <c r="W1220" s="409">
        <v>1159</v>
      </c>
      <c r="X1220" s="402" t="s">
        <v>521</v>
      </c>
      <c r="Y1220" s="268"/>
      <c r="Z1220" s="321">
        <v>4470</v>
      </c>
      <c r="AA1220" s="321">
        <v>6020</v>
      </c>
      <c r="AB1220" s="321">
        <v>5150</v>
      </c>
      <c r="AC1220" s="321">
        <v>5600</v>
      </c>
      <c r="AD1220" s="305">
        <v>10</v>
      </c>
      <c r="AE1220" s="322">
        <v>2.7</v>
      </c>
    </row>
    <row r="1221" spans="1:31" ht="15.75">
      <c r="A1221" s="390"/>
      <c r="B1221" s="404"/>
      <c r="C1221" s="404" t="s">
        <v>198</v>
      </c>
      <c r="D1221">
        <v>4131.6899999999996</v>
      </c>
      <c r="E1221">
        <v>4299.5</v>
      </c>
      <c r="F1221">
        <v>4295.2299999999996</v>
      </c>
      <c r="G1221">
        <v>4341.74</v>
      </c>
      <c r="H1221">
        <v>4393.75</v>
      </c>
      <c r="I1221">
        <v>4422.0600000000004</v>
      </c>
      <c r="J1221">
        <v>4310.3900000000003</v>
      </c>
      <c r="K1221">
        <v>4356.83</v>
      </c>
      <c r="L1221">
        <v>4254.24</v>
      </c>
      <c r="M1221">
        <v>4190.29</v>
      </c>
      <c r="N1221">
        <v>4264.95</v>
      </c>
      <c r="O1221">
        <v>4299.4399999999996</v>
      </c>
      <c r="P1221">
        <v>4367.26</v>
      </c>
      <c r="Q1221" s="404"/>
      <c r="R1221" s="404"/>
      <c r="S1221" s="404"/>
      <c r="T1221" s="404"/>
      <c r="U1221" s="404"/>
      <c r="V1221" s="407"/>
      <c r="W1221" s="404"/>
      <c r="X1221" s="408"/>
      <c r="Y1221" s="268"/>
      <c r="Z1221" s="267"/>
      <c r="AA1221" s="267"/>
      <c r="AB1221" s="267"/>
      <c r="AC1221" s="267"/>
      <c r="AD1221" s="268"/>
      <c r="AE1221" s="269"/>
    </row>
    <row r="1222" spans="1:31" ht="57.75" thickBot="1">
      <c r="A1222" s="393"/>
      <c r="B1222" s="414"/>
      <c r="C1222" s="414" t="s">
        <v>197</v>
      </c>
      <c r="D1222" s="415">
        <f t="shared" ref="D1222:P1222" si="403">IF(((D1220="")*AND(D1221="")),"",(D1220-D1221)*2)</f>
        <v>5412.6400000000012</v>
      </c>
      <c r="E1222" s="415">
        <f t="shared" si="403"/>
        <v>5430.58</v>
      </c>
      <c r="F1222" s="415">
        <f t="shared" si="403"/>
        <v>5524.0600000000013</v>
      </c>
      <c r="G1222" s="415">
        <f t="shared" si="403"/>
        <v>5460.42</v>
      </c>
      <c r="H1222" s="415">
        <f t="shared" si="403"/>
        <v>5502.4599999999991</v>
      </c>
      <c r="I1222" s="415">
        <f t="shared" si="403"/>
        <v>5498.1399999999994</v>
      </c>
      <c r="J1222" s="415">
        <f t="shared" si="403"/>
        <v>5493.119999999999</v>
      </c>
      <c r="K1222" s="415">
        <f t="shared" si="403"/>
        <v>5536.7199999999993</v>
      </c>
      <c r="L1222" s="415">
        <f t="shared" si="403"/>
        <v>5423.02</v>
      </c>
      <c r="M1222" s="415">
        <f t="shared" si="403"/>
        <v>5445.26</v>
      </c>
      <c r="N1222" s="415">
        <f t="shared" si="403"/>
        <v>5422.68</v>
      </c>
      <c r="O1222" s="415">
        <f t="shared" si="403"/>
        <v>5448.8600000000006</v>
      </c>
      <c r="P1222" s="415">
        <f t="shared" si="403"/>
        <v>5467.4</v>
      </c>
      <c r="Q1222" s="414"/>
      <c r="R1222" s="414"/>
      <c r="S1222" s="414"/>
      <c r="T1222" s="414"/>
      <c r="U1222" s="414"/>
      <c r="V1222" s="416"/>
      <c r="W1222" s="414"/>
      <c r="X1222" s="417"/>
      <c r="Y1222" s="268"/>
      <c r="Z1222" s="267"/>
      <c r="AA1222" s="267"/>
      <c r="AB1222" s="267"/>
      <c r="AC1222" s="267"/>
      <c r="AD1222" s="268"/>
      <c r="AE1222" s="269"/>
    </row>
    <row r="1223" spans="1:31" ht="15.75">
      <c r="A1223" s="344">
        <v>44032</v>
      </c>
      <c r="B1223" s="395" t="s">
        <v>202</v>
      </c>
      <c r="C1223" s="396" t="s">
        <v>199</v>
      </c>
      <c r="D1223">
        <v>6000.4</v>
      </c>
      <c r="E1223">
        <v>6221.62</v>
      </c>
      <c r="F1223">
        <v>6245.97</v>
      </c>
      <c r="G1223">
        <v>6124.92</v>
      </c>
      <c r="H1223">
        <v>6241.27</v>
      </c>
      <c r="I1223">
        <v>6256.66</v>
      </c>
      <c r="J1223">
        <v>6226.84</v>
      </c>
      <c r="K1223">
        <v>6168.02</v>
      </c>
      <c r="L1223">
        <v>6141.3</v>
      </c>
      <c r="M1223" s="398"/>
      <c r="N1223" s="398"/>
      <c r="O1223" s="398"/>
      <c r="P1223" s="398"/>
      <c r="Q1223" s="395">
        <f>IF((L1224=""),"",MAX(D1225:L1225))</f>
        <v>6351.6299999999992</v>
      </c>
      <c r="R1223" s="395">
        <f>IF(L1224="","",MIN(D1225:L1225))</f>
        <v>6117.4800000000023</v>
      </c>
      <c r="S1223" s="399">
        <f>IF((L1225=""),"",AVERAGE(D1225:L1225))</f>
        <v>6273.3266666666668</v>
      </c>
      <c r="T1223" s="400">
        <f>IF((L1224=""),"",(Q1223-R1223)/(Q1223+R1223)*100)</f>
        <v>1.8778405194917431</v>
      </c>
      <c r="U1223" s="395">
        <f>STDEV(D1225:P1225)</f>
        <v>69.482410004293754</v>
      </c>
      <c r="V1223" s="401" t="str">
        <f>IF(L1224="","",IF(T1223&lt;9.8,IF(S1223&gt;5100,IF(S1223&lt;8300,"Pass","Fail"),"Fail"),"Fail"))</f>
        <v>Pass</v>
      </c>
      <c r="W1223" s="395">
        <v>1340</v>
      </c>
      <c r="X1223" s="402"/>
      <c r="Y1223" s="268"/>
      <c r="Z1223" s="267">
        <v>4955</v>
      </c>
      <c r="AA1223" s="267">
        <v>9645</v>
      </c>
      <c r="AB1223" s="267">
        <v>5100</v>
      </c>
      <c r="AC1223" s="267">
        <v>8300</v>
      </c>
      <c r="AD1223" s="305">
        <v>10</v>
      </c>
      <c r="AE1223" s="305">
        <v>9.8000000000000007</v>
      </c>
    </row>
    <row r="1224" spans="1:31" ht="15.75">
      <c r="A1224" s="390"/>
      <c r="B1224" s="404"/>
      <c r="C1224" s="405" t="s">
        <v>198</v>
      </c>
      <c r="D1224">
        <v>3883.19</v>
      </c>
      <c r="E1224">
        <v>4129.1099999999997</v>
      </c>
      <c r="F1224">
        <v>4146.51</v>
      </c>
      <c r="G1224">
        <v>4048.82</v>
      </c>
      <c r="H1224">
        <v>4157.82</v>
      </c>
      <c r="I1224">
        <v>4152.16</v>
      </c>
      <c r="J1224">
        <v>4117.82</v>
      </c>
      <c r="K1224">
        <v>4128.8599999999997</v>
      </c>
      <c r="L1224">
        <v>4042.73</v>
      </c>
      <c r="M1224" s="406"/>
      <c r="N1224" s="406"/>
      <c r="O1224" s="406"/>
      <c r="P1224" s="406"/>
      <c r="Q1224" s="404"/>
      <c r="R1224" s="404"/>
      <c r="S1224" s="404"/>
      <c r="T1224" s="404"/>
      <c r="U1224" s="404"/>
      <c r="V1224" s="407"/>
      <c r="W1224" s="404"/>
      <c r="X1224" s="408"/>
      <c r="Y1224" s="268"/>
      <c r="Z1224" s="267"/>
      <c r="AA1224" s="267"/>
      <c r="AB1224" s="267"/>
      <c r="AC1224" s="267"/>
      <c r="AD1224" s="268"/>
      <c r="AE1224" s="269"/>
    </row>
    <row r="1225" spans="1:31" ht="57.75" thickBot="1">
      <c r="A1225" s="390"/>
      <c r="B1225" s="404"/>
      <c r="C1225" s="409" t="s">
        <v>197</v>
      </c>
      <c r="D1225" s="410">
        <f t="shared" ref="D1225:L1225" si="404">IF(((D1223="")*AND(D1224="")),"",(D1223-D1224)*3)</f>
        <v>6351.6299999999992</v>
      </c>
      <c r="E1225" s="410">
        <f t="shared" si="404"/>
        <v>6277.5300000000007</v>
      </c>
      <c r="F1225" s="410">
        <f t="shared" si="404"/>
        <v>6298.38</v>
      </c>
      <c r="G1225" s="410">
        <f t="shared" si="404"/>
        <v>6228.2999999999993</v>
      </c>
      <c r="H1225" s="410">
        <f t="shared" si="404"/>
        <v>6250.3500000000022</v>
      </c>
      <c r="I1225" s="410">
        <f t="shared" si="404"/>
        <v>6313.5</v>
      </c>
      <c r="J1225" s="410">
        <f t="shared" si="404"/>
        <v>6327.0600000000013</v>
      </c>
      <c r="K1225" s="410">
        <f t="shared" si="404"/>
        <v>6117.4800000000023</v>
      </c>
      <c r="L1225" s="410">
        <f t="shared" si="404"/>
        <v>6295.7100000000009</v>
      </c>
      <c r="M1225" s="410"/>
      <c r="N1225" s="410"/>
      <c r="O1225" s="410"/>
      <c r="P1225" s="410" t="str">
        <f>IF(((P1223="")*AND(P1224="")),"",(P1223-P1224)*2)</f>
        <v/>
      </c>
      <c r="Q1225" s="404"/>
      <c r="R1225" s="404"/>
      <c r="S1225" s="404"/>
      <c r="T1225" s="404"/>
      <c r="U1225" s="404"/>
      <c r="V1225" s="407"/>
      <c r="W1225" s="404"/>
      <c r="X1225" s="417"/>
      <c r="Y1225" s="268"/>
      <c r="Z1225" s="267"/>
      <c r="AA1225" s="267"/>
      <c r="AB1225" s="267"/>
      <c r="AC1225" s="267"/>
      <c r="AD1225" s="268"/>
      <c r="AE1225" s="269"/>
    </row>
    <row r="1226" spans="1:31" ht="15.75">
      <c r="A1226" s="344">
        <v>44032</v>
      </c>
      <c r="B1226" s="409" t="s">
        <v>200</v>
      </c>
      <c r="C1226" s="409" t="s">
        <v>199</v>
      </c>
      <c r="D1226">
        <v>6852.7</v>
      </c>
      <c r="E1226">
        <v>7012.91</v>
      </c>
      <c r="F1226">
        <v>7062.31</v>
      </c>
      <c r="G1226">
        <v>7075.97</v>
      </c>
      <c r="H1226">
        <v>7142.78</v>
      </c>
      <c r="I1226">
        <v>7166.64</v>
      </c>
      <c r="J1226">
        <v>7056</v>
      </c>
      <c r="K1226">
        <v>7114.7</v>
      </c>
      <c r="L1226">
        <v>6978.89</v>
      </c>
      <c r="M1226">
        <v>6909.14</v>
      </c>
      <c r="N1226">
        <v>6985.24</v>
      </c>
      <c r="O1226">
        <v>7027.85</v>
      </c>
      <c r="P1226">
        <v>7102.08</v>
      </c>
      <c r="Q1226" s="409">
        <f>IF((L1227=""),"",MAX(D1228:P1228))</f>
        <v>5520.5</v>
      </c>
      <c r="R1226" s="409">
        <f>IF(L1227="","",MIN(D1228:L1228))</f>
        <v>5398.02</v>
      </c>
      <c r="S1226" s="400">
        <f>IF((P1228=""),"",AVERAGE(D1228:P1228))</f>
        <v>5453.375384615385</v>
      </c>
      <c r="T1226" s="412">
        <f>IF((L1227=""),"",(Q1226-R1226)/(Q1226+R1226)*100)</f>
        <v>1.1217637555273019</v>
      </c>
      <c r="U1226" s="409">
        <f>STDEV(D1228:P1228)</f>
        <v>40.69263336593491</v>
      </c>
      <c r="V1226" s="413" t="str">
        <f>IF(P1227="","",IF(T1226&lt;2.7,IF(S1226&gt;5150,IF(S1226&lt;5600,"Pass","Fail"),"Fail"),"Fail"))</f>
        <v>Pass</v>
      </c>
      <c r="W1226" s="409">
        <v>1340</v>
      </c>
      <c r="X1226" s="402"/>
      <c r="Y1226" s="268"/>
      <c r="Z1226" s="321">
        <v>4470</v>
      </c>
      <c r="AA1226" s="321">
        <v>6020</v>
      </c>
      <c r="AB1226" s="321">
        <v>5150</v>
      </c>
      <c r="AC1226" s="321">
        <v>5600</v>
      </c>
      <c r="AD1226" s="305">
        <v>10</v>
      </c>
      <c r="AE1226" s="322">
        <v>2.7</v>
      </c>
    </row>
    <row r="1227" spans="1:31" ht="15.75">
      <c r="A1227" s="390"/>
      <c r="B1227" s="404"/>
      <c r="C1227" s="404" t="s">
        <v>198</v>
      </c>
      <c r="D1227">
        <v>4153.6899999999996</v>
      </c>
      <c r="E1227">
        <v>4305.12</v>
      </c>
      <c r="F1227">
        <v>4303.9399999999996</v>
      </c>
      <c r="G1227">
        <v>4350.62</v>
      </c>
      <c r="H1227">
        <v>4399.1400000000003</v>
      </c>
      <c r="I1227">
        <v>4425.01</v>
      </c>
      <c r="J1227">
        <v>4316.16</v>
      </c>
      <c r="K1227">
        <v>4354.45</v>
      </c>
      <c r="L1227">
        <v>4268.8100000000004</v>
      </c>
      <c r="M1227">
        <v>4200.08</v>
      </c>
      <c r="N1227">
        <v>4277.49</v>
      </c>
      <c r="O1227">
        <v>4310.3100000000004</v>
      </c>
      <c r="P1227">
        <v>4375.45</v>
      </c>
      <c r="Q1227" s="404"/>
      <c r="R1227" s="404"/>
      <c r="S1227" s="404"/>
      <c r="T1227" s="404"/>
      <c r="U1227" s="404"/>
      <c r="V1227" s="407"/>
      <c r="W1227" s="404"/>
      <c r="X1227" s="408"/>
      <c r="Y1227" s="268"/>
      <c r="Z1227" s="267"/>
      <c r="AA1227" s="267"/>
      <c r="AB1227" s="267"/>
      <c r="AC1227" s="267"/>
      <c r="AD1227" s="268"/>
      <c r="AE1227" s="269"/>
    </row>
    <row r="1228" spans="1:31" ht="57.75" thickBot="1">
      <c r="A1228" s="393"/>
      <c r="B1228" s="414"/>
      <c r="C1228" s="414" t="s">
        <v>197</v>
      </c>
      <c r="D1228" s="415">
        <f t="shared" ref="D1228:P1228" si="405">IF(((D1226="")*AND(D1227="")),"",(D1226-D1227)*2)</f>
        <v>5398.02</v>
      </c>
      <c r="E1228" s="415">
        <f t="shared" si="405"/>
        <v>5415.58</v>
      </c>
      <c r="F1228" s="415">
        <f t="shared" si="405"/>
        <v>5516.7400000000016</v>
      </c>
      <c r="G1228" s="415">
        <f t="shared" si="405"/>
        <v>5450.7000000000007</v>
      </c>
      <c r="H1228" s="415">
        <f t="shared" si="405"/>
        <v>5487.2799999999988</v>
      </c>
      <c r="I1228" s="415">
        <f t="shared" si="405"/>
        <v>5483.26</v>
      </c>
      <c r="J1228" s="415">
        <f t="shared" si="405"/>
        <v>5479.68</v>
      </c>
      <c r="K1228" s="415">
        <f t="shared" si="405"/>
        <v>5520.5</v>
      </c>
      <c r="L1228" s="415">
        <f t="shared" si="405"/>
        <v>5420.16</v>
      </c>
      <c r="M1228" s="415">
        <f t="shared" si="405"/>
        <v>5418.1200000000008</v>
      </c>
      <c r="N1228" s="415">
        <f t="shared" si="405"/>
        <v>5415.5</v>
      </c>
      <c r="O1228" s="415">
        <f t="shared" si="405"/>
        <v>5435.08</v>
      </c>
      <c r="P1228" s="415">
        <f t="shared" si="405"/>
        <v>5453.26</v>
      </c>
      <c r="Q1228" s="414"/>
      <c r="R1228" s="414"/>
      <c r="S1228" s="414"/>
      <c r="T1228" s="414"/>
      <c r="U1228" s="414"/>
      <c r="V1228" s="416"/>
      <c r="W1228" s="414"/>
      <c r="X1228" s="417"/>
      <c r="Y1228" s="268"/>
      <c r="Z1228" s="267"/>
      <c r="AA1228" s="267"/>
      <c r="AB1228" s="267"/>
      <c r="AC1228" s="267"/>
      <c r="AD1228" s="268"/>
      <c r="AE1228" s="269"/>
    </row>
    <row r="1229" spans="1:31" ht="15.75">
      <c r="A1229" s="344">
        <v>44036</v>
      </c>
      <c r="B1229" s="395" t="s">
        <v>202</v>
      </c>
      <c r="C1229" s="396" t="s">
        <v>199</v>
      </c>
      <c r="D1229">
        <v>5996.24</v>
      </c>
      <c r="E1229">
        <v>6213.38</v>
      </c>
      <c r="F1229">
        <v>6238.35</v>
      </c>
      <c r="G1229">
        <v>6113.66</v>
      </c>
      <c r="H1229">
        <v>6231.05</v>
      </c>
      <c r="I1229">
        <v>6247.65</v>
      </c>
      <c r="J1229">
        <v>6216.18</v>
      </c>
      <c r="K1229">
        <v>6161.77</v>
      </c>
      <c r="L1229">
        <v>6119.65</v>
      </c>
      <c r="M1229" s="398"/>
      <c r="N1229" s="398"/>
      <c r="O1229" s="398"/>
      <c r="P1229" s="398"/>
      <c r="Q1229" s="395">
        <f>IF((L1230=""),"",MAX(D1231:L1231))</f>
        <v>6162.7200000000021</v>
      </c>
      <c r="R1229" s="395">
        <f>IF(L1230="","",MIN(D1231:L1231))</f>
        <v>6013.3499999999995</v>
      </c>
      <c r="S1229" s="399">
        <f>IF((L1231=""),"",AVERAGE(D1231:L1231))</f>
        <v>6116.79</v>
      </c>
      <c r="T1229" s="400">
        <f>IF((L1230=""),"",(Q1229-R1229)/(Q1229+R1229)*100)</f>
        <v>1.2267505032412149</v>
      </c>
      <c r="U1229" s="395">
        <f>STDEV(D1231:P1231)</f>
        <v>45.564637604131953</v>
      </c>
      <c r="V1229" s="401" t="str">
        <f>IF(L1230="","",IF(T1229&lt;9.8,IF(S1229&gt;5100,IF(S1229&lt;8300,"Pass","Fail"),"Fail"),"Fail"))</f>
        <v>Pass</v>
      </c>
      <c r="W1229" s="395">
        <v>1340</v>
      </c>
      <c r="X1229" s="402" t="s">
        <v>526</v>
      </c>
      <c r="Y1229" s="268"/>
      <c r="Z1229" s="267">
        <v>4955</v>
      </c>
      <c r="AA1229" s="267">
        <v>9645</v>
      </c>
      <c r="AB1229" s="267">
        <v>5100</v>
      </c>
      <c r="AC1229" s="267">
        <v>8300</v>
      </c>
      <c r="AD1229" s="305">
        <v>10</v>
      </c>
      <c r="AE1229" s="305">
        <v>9.8000000000000007</v>
      </c>
    </row>
    <row r="1230" spans="1:31" ht="15.75">
      <c r="A1230" s="390"/>
      <c r="B1230" s="404"/>
      <c r="C1230" s="405" t="s">
        <v>198</v>
      </c>
      <c r="D1230">
        <v>3944.67</v>
      </c>
      <c r="E1230">
        <v>4173.6899999999996</v>
      </c>
      <c r="F1230">
        <v>4194.87</v>
      </c>
      <c r="G1230">
        <v>4109.21</v>
      </c>
      <c r="H1230">
        <v>4198.78</v>
      </c>
      <c r="I1230">
        <v>4195.8100000000004</v>
      </c>
      <c r="J1230">
        <v>4161.9399999999996</v>
      </c>
      <c r="K1230">
        <v>4128.3100000000004</v>
      </c>
      <c r="L1230">
        <v>4080.28</v>
      </c>
      <c r="M1230" s="406"/>
      <c r="N1230" s="406"/>
      <c r="O1230" s="406"/>
      <c r="P1230" s="406"/>
      <c r="Q1230" s="404"/>
      <c r="R1230" s="404"/>
      <c r="S1230" s="404"/>
      <c r="T1230" s="404"/>
      <c r="U1230" s="404"/>
      <c r="V1230" s="407"/>
      <c r="W1230" s="404"/>
      <c r="X1230" s="408"/>
      <c r="Y1230" s="268"/>
      <c r="Z1230" s="267"/>
      <c r="AA1230" s="267"/>
      <c r="AB1230" s="267"/>
      <c r="AC1230" s="267"/>
      <c r="AD1230" s="268"/>
      <c r="AE1230" s="269"/>
    </row>
    <row r="1231" spans="1:31" ht="57.75" thickBot="1">
      <c r="A1231" s="390"/>
      <c r="B1231" s="404"/>
      <c r="C1231" s="409" t="s">
        <v>197</v>
      </c>
      <c r="D1231" s="410">
        <f t="shared" ref="D1231:L1231" si="406">IF(((D1229="")*AND(D1230="")),"",(D1229-D1230)*3)</f>
        <v>6154.7099999999991</v>
      </c>
      <c r="E1231" s="410">
        <f t="shared" si="406"/>
        <v>6119.0700000000015</v>
      </c>
      <c r="F1231" s="410">
        <f t="shared" si="406"/>
        <v>6130.4400000000014</v>
      </c>
      <c r="G1231" s="410">
        <f t="shared" si="406"/>
        <v>6013.3499999999995</v>
      </c>
      <c r="H1231" s="410">
        <f t="shared" si="406"/>
        <v>6096.8100000000013</v>
      </c>
      <c r="I1231" s="410">
        <f t="shared" si="406"/>
        <v>6155.5199999999977</v>
      </c>
      <c r="J1231" s="410">
        <f t="shared" si="406"/>
        <v>6162.7200000000021</v>
      </c>
      <c r="K1231" s="410">
        <f t="shared" si="406"/>
        <v>6100.38</v>
      </c>
      <c r="L1231" s="410">
        <f t="shared" si="406"/>
        <v>6118.1099999999988</v>
      </c>
      <c r="M1231" s="410"/>
      <c r="N1231" s="410"/>
      <c r="O1231" s="410"/>
      <c r="P1231" s="410" t="str">
        <f>IF(((P1229="")*AND(P1230="")),"",(P1229-P1230)*2)</f>
        <v/>
      </c>
      <c r="Q1231" s="404"/>
      <c r="R1231" s="404"/>
      <c r="S1231" s="404"/>
      <c r="T1231" s="404"/>
      <c r="U1231" s="404"/>
      <c r="V1231" s="407"/>
      <c r="W1231" s="404"/>
      <c r="X1231" s="417"/>
      <c r="Y1231" s="268"/>
      <c r="Z1231" s="267"/>
      <c r="AA1231" s="267"/>
      <c r="AB1231" s="267"/>
      <c r="AC1231" s="267"/>
      <c r="AD1231" s="268"/>
      <c r="AE1231" s="269"/>
    </row>
    <row r="1232" spans="1:31" ht="15.75">
      <c r="A1232" s="344">
        <v>44036</v>
      </c>
      <c r="B1232" s="409" t="s">
        <v>200</v>
      </c>
      <c r="C1232" s="409" t="s">
        <v>199</v>
      </c>
      <c r="D1232">
        <v>6838.82</v>
      </c>
      <c r="E1232">
        <v>7020.14</v>
      </c>
      <c r="F1232">
        <v>7071.1</v>
      </c>
      <c r="G1232">
        <v>7076.33</v>
      </c>
      <c r="H1232">
        <v>7151.01</v>
      </c>
      <c r="I1232">
        <v>7180.23</v>
      </c>
      <c r="J1232">
        <v>7056.82</v>
      </c>
      <c r="K1232">
        <v>7128.93</v>
      </c>
      <c r="L1232">
        <v>6973.97</v>
      </c>
      <c r="M1232">
        <v>6899.07</v>
      </c>
      <c r="N1232">
        <v>6974.36</v>
      </c>
      <c r="O1232">
        <v>7030.05</v>
      </c>
      <c r="P1232">
        <v>7107.01</v>
      </c>
      <c r="Q1232" s="409">
        <f>IF((L1233=""),"",MAX(D1234:P1234))</f>
        <v>5593.1400000000012</v>
      </c>
      <c r="R1232" s="409">
        <f>IF(L1233="","",MIN(D1234:L1234))</f>
        <v>5463.4599999999991</v>
      </c>
      <c r="S1232" s="400">
        <f>IF((P1234=""),"",AVERAGE(D1234:P1234))</f>
        <v>5522.043076923077</v>
      </c>
      <c r="T1232" s="412">
        <f>IF((L1233=""),"",(Q1232-R1232)/(Q1232+R1232)*100)</f>
        <v>1.1728741204348725</v>
      </c>
      <c r="U1232" s="409">
        <f>STDEV(D1234:P1234)</f>
        <v>43.194590592062561</v>
      </c>
      <c r="V1232" s="413" t="str">
        <f>IF(P1233="","",IF(T1232&lt;2.7,IF(S1232&gt;5150,IF(S1232&lt;5600,"Pass","Fail"),"Fail"),"Fail"))</f>
        <v>Pass</v>
      </c>
      <c r="W1232" s="409">
        <v>1340</v>
      </c>
      <c r="X1232" s="402" t="s">
        <v>526</v>
      </c>
      <c r="Y1232" s="268"/>
      <c r="Z1232" s="321">
        <v>4470</v>
      </c>
      <c r="AA1232" s="321">
        <v>6020</v>
      </c>
      <c r="AB1232" s="321">
        <v>5150</v>
      </c>
      <c r="AC1232" s="321">
        <v>5600</v>
      </c>
      <c r="AD1232" s="305">
        <v>10</v>
      </c>
      <c r="AE1232" s="322">
        <v>2.7</v>
      </c>
    </row>
    <row r="1233" spans="1:31" ht="15.75">
      <c r="A1233" s="390"/>
      <c r="B1233" s="404"/>
      <c r="C1233" s="404" t="s">
        <v>198</v>
      </c>
      <c r="D1233">
        <v>4107.09</v>
      </c>
      <c r="E1233">
        <v>4277.13</v>
      </c>
      <c r="F1233">
        <v>4278.51</v>
      </c>
      <c r="G1233">
        <v>4316.53</v>
      </c>
      <c r="H1233">
        <v>4371.37</v>
      </c>
      <c r="I1233">
        <v>4402.1499999999996</v>
      </c>
      <c r="J1233">
        <v>4281.32</v>
      </c>
      <c r="K1233">
        <v>4332.3599999999997</v>
      </c>
      <c r="L1233">
        <v>4235.47</v>
      </c>
      <c r="M1233">
        <v>4158.05</v>
      </c>
      <c r="N1233">
        <v>4231.3999999999996</v>
      </c>
      <c r="O1233">
        <v>4277.53</v>
      </c>
      <c r="P1233">
        <v>4345.6499999999996</v>
      </c>
      <c r="Q1233" s="404"/>
      <c r="R1233" s="404"/>
      <c r="S1233" s="404"/>
      <c r="T1233" s="404"/>
      <c r="U1233" s="404"/>
      <c r="V1233" s="407"/>
      <c r="W1233" s="404"/>
      <c r="X1233" s="408"/>
      <c r="Y1233" s="268"/>
      <c r="Z1233" s="267"/>
      <c r="AA1233" s="267"/>
      <c r="AB1233" s="267"/>
      <c r="AC1233" s="267"/>
      <c r="AD1233" s="268"/>
      <c r="AE1233" s="269"/>
    </row>
    <row r="1234" spans="1:31" ht="57.75" thickBot="1">
      <c r="A1234" s="393"/>
      <c r="B1234" s="414"/>
      <c r="C1234" s="414" t="s">
        <v>197</v>
      </c>
      <c r="D1234" s="415">
        <f t="shared" ref="D1234:P1234" si="407">IF(((D1232="")*AND(D1233="")),"",(D1232-D1233)*2)</f>
        <v>5463.4599999999991</v>
      </c>
      <c r="E1234" s="415">
        <f t="shared" si="407"/>
        <v>5486.02</v>
      </c>
      <c r="F1234" s="415">
        <f t="shared" si="407"/>
        <v>5585.18</v>
      </c>
      <c r="G1234" s="415">
        <f t="shared" si="407"/>
        <v>5519.6</v>
      </c>
      <c r="H1234" s="415">
        <f t="shared" si="407"/>
        <v>5559.2800000000007</v>
      </c>
      <c r="I1234" s="415">
        <f t="shared" si="407"/>
        <v>5556.16</v>
      </c>
      <c r="J1234" s="415">
        <f t="shared" si="407"/>
        <v>5551</v>
      </c>
      <c r="K1234" s="415">
        <f t="shared" si="407"/>
        <v>5593.1400000000012</v>
      </c>
      <c r="L1234" s="415">
        <f t="shared" si="407"/>
        <v>5477</v>
      </c>
      <c r="M1234" s="415">
        <f t="shared" si="407"/>
        <v>5482.0399999999991</v>
      </c>
      <c r="N1234" s="415">
        <f t="shared" si="407"/>
        <v>5485.92</v>
      </c>
      <c r="O1234" s="415">
        <f t="shared" si="407"/>
        <v>5505.0400000000009</v>
      </c>
      <c r="P1234" s="415">
        <f t="shared" si="407"/>
        <v>5522.7200000000012</v>
      </c>
      <c r="Q1234" s="414"/>
      <c r="R1234" s="414"/>
      <c r="S1234" s="414"/>
      <c r="T1234" s="414"/>
      <c r="U1234" s="414"/>
      <c r="V1234" s="416"/>
      <c r="W1234" s="414"/>
      <c r="X1234" s="417"/>
      <c r="Y1234" s="268"/>
      <c r="Z1234" s="267"/>
      <c r="AA1234" s="267"/>
      <c r="AB1234" s="267"/>
      <c r="AC1234" s="267"/>
      <c r="AD1234" s="268"/>
      <c r="AE1234" s="269"/>
    </row>
    <row r="1235" spans="1:31" ht="15.75">
      <c r="A1235" s="344">
        <v>44040</v>
      </c>
      <c r="B1235" s="395" t="s">
        <v>202</v>
      </c>
      <c r="C1235" s="396" t="s">
        <v>199</v>
      </c>
      <c r="D1235">
        <v>6001.38</v>
      </c>
      <c r="E1235">
        <v>6208.46</v>
      </c>
      <c r="F1235">
        <v>6231.39</v>
      </c>
      <c r="G1235">
        <v>6113.94</v>
      </c>
      <c r="H1235">
        <v>6227.34</v>
      </c>
      <c r="I1235">
        <v>6241.93</v>
      </c>
      <c r="J1235">
        <v>6211.4</v>
      </c>
      <c r="K1235">
        <v>6166.31</v>
      </c>
      <c r="L1235">
        <v>6124.31</v>
      </c>
      <c r="M1235" s="398"/>
      <c r="N1235" s="398"/>
      <c r="O1235" s="398"/>
      <c r="P1235" s="398"/>
      <c r="Q1235" s="395">
        <f>IF((L1236=""),"",MAX(D1237:L1237))</f>
        <v>6250.3199999999988</v>
      </c>
      <c r="R1235" s="395">
        <f>IF(L1236="","",MIN(D1237:L1237))</f>
        <v>6088.7099999999991</v>
      </c>
      <c r="S1235" s="399">
        <f>IF((L1237=""),"",AVERAGE(D1237:L1237))</f>
        <v>6188.0333333333328</v>
      </c>
      <c r="T1235" s="400">
        <f>IF((L1236=""),"",(Q1235-R1235)/(Q1235+R1235)*100)</f>
        <v>1.3097463901133208</v>
      </c>
      <c r="U1235" s="395">
        <f>STDEV(D1237:P1237)</f>
        <v>58.945329543592187</v>
      </c>
      <c r="V1235" s="401" t="str">
        <f>IF(L1236="","",IF(T1235&lt;9.8,IF(S1235&gt;5100,IF(S1235&lt;8300,"Pass","Fail"),"Fail"),"Fail"))</f>
        <v>Pass</v>
      </c>
      <c r="W1235" s="395">
        <v>1335</v>
      </c>
      <c r="X1235" s="402" t="s">
        <v>530</v>
      </c>
      <c r="Y1235" s="268"/>
      <c r="Z1235" s="267">
        <v>4955</v>
      </c>
      <c r="AA1235" s="267">
        <v>9645</v>
      </c>
      <c r="AB1235" s="267">
        <v>5100</v>
      </c>
      <c r="AC1235" s="267">
        <v>8300</v>
      </c>
      <c r="AD1235" s="305">
        <v>10</v>
      </c>
      <c r="AE1235" s="305">
        <v>9.8000000000000007</v>
      </c>
    </row>
    <row r="1236" spans="1:31" ht="15.75">
      <c r="A1236" s="390"/>
      <c r="B1236" s="404"/>
      <c r="C1236" s="405" t="s">
        <v>198</v>
      </c>
      <c r="D1236">
        <v>3940.14</v>
      </c>
      <c r="E1236">
        <v>4142.5600000000004</v>
      </c>
      <c r="F1236">
        <v>4155.25</v>
      </c>
      <c r="G1236">
        <v>4084.37</v>
      </c>
      <c r="H1236">
        <v>4166.6000000000004</v>
      </c>
      <c r="I1236">
        <v>4162.97</v>
      </c>
      <c r="J1236">
        <v>4127.96</v>
      </c>
      <c r="K1236">
        <v>4134.05</v>
      </c>
      <c r="L1236">
        <v>4048.46</v>
      </c>
      <c r="M1236" s="406"/>
      <c r="N1236" s="406"/>
      <c r="O1236" s="406"/>
      <c r="P1236" s="406"/>
      <c r="Q1236" s="404"/>
      <c r="R1236" s="404"/>
      <c r="S1236" s="404"/>
      <c r="T1236" s="404"/>
      <c r="U1236" s="404"/>
      <c r="V1236" s="407"/>
      <c r="W1236" s="404"/>
      <c r="X1236" s="408"/>
      <c r="Y1236" s="268"/>
      <c r="Z1236" s="267"/>
      <c r="AA1236" s="267"/>
      <c r="AB1236" s="267"/>
      <c r="AC1236" s="267"/>
      <c r="AD1236" s="268"/>
      <c r="AE1236" s="269"/>
    </row>
    <row r="1237" spans="1:31" ht="57.75" thickBot="1">
      <c r="A1237" s="390"/>
      <c r="B1237" s="404"/>
      <c r="C1237" s="409" t="s">
        <v>197</v>
      </c>
      <c r="D1237" s="410">
        <f t="shared" ref="D1237:L1237" si="408">IF(((D1235="")*AND(D1236="")),"",(D1235-D1236)*3)</f>
        <v>6183.7200000000012</v>
      </c>
      <c r="E1237" s="410">
        <f t="shared" si="408"/>
        <v>6197.6999999999989</v>
      </c>
      <c r="F1237" s="410">
        <f t="shared" si="408"/>
        <v>6228.420000000001</v>
      </c>
      <c r="G1237" s="410">
        <f t="shared" si="408"/>
        <v>6088.7099999999991</v>
      </c>
      <c r="H1237" s="410">
        <f t="shared" si="408"/>
        <v>6182.2199999999993</v>
      </c>
      <c r="I1237" s="410">
        <f t="shared" si="408"/>
        <v>6236.88</v>
      </c>
      <c r="J1237" s="410">
        <f t="shared" si="408"/>
        <v>6250.3199999999988</v>
      </c>
      <c r="K1237" s="410">
        <f t="shared" si="408"/>
        <v>6096.7800000000007</v>
      </c>
      <c r="L1237" s="410">
        <f t="shared" si="408"/>
        <v>6227.5500000000011</v>
      </c>
      <c r="M1237" s="410"/>
      <c r="N1237" s="410"/>
      <c r="O1237" s="410"/>
      <c r="P1237" s="410" t="str">
        <f>IF(((P1235="")*AND(P1236="")),"",(P1235-P1236)*2)</f>
        <v/>
      </c>
      <c r="Q1237" s="404"/>
      <c r="R1237" s="404"/>
      <c r="S1237" s="404"/>
      <c r="T1237" s="404"/>
      <c r="U1237" s="404"/>
      <c r="V1237" s="407"/>
      <c r="W1237" s="404"/>
      <c r="X1237" s="417"/>
      <c r="Y1237" s="268"/>
      <c r="Z1237" s="267"/>
      <c r="AA1237" s="267"/>
      <c r="AB1237" s="267"/>
      <c r="AC1237" s="267"/>
      <c r="AD1237" s="268"/>
      <c r="AE1237" s="269"/>
    </row>
    <row r="1238" spans="1:31" ht="15.75">
      <c r="A1238" s="344">
        <v>44040</v>
      </c>
      <c r="B1238" s="409" t="s">
        <v>200</v>
      </c>
      <c r="C1238" s="409" t="s">
        <v>199</v>
      </c>
      <c r="D1238">
        <v>6853.33</v>
      </c>
      <c r="E1238">
        <v>7003.81</v>
      </c>
      <c r="F1238">
        <v>7055.66</v>
      </c>
      <c r="G1238">
        <v>7081.04</v>
      </c>
      <c r="H1238">
        <v>7144.4</v>
      </c>
      <c r="I1238">
        <v>7165.52</v>
      </c>
      <c r="J1238">
        <v>7066.25</v>
      </c>
      <c r="K1238">
        <v>7121.19</v>
      </c>
      <c r="L1238">
        <v>6972.28</v>
      </c>
      <c r="M1238">
        <v>6917.19</v>
      </c>
      <c r="N1238">
        <v>6996.14</v>
      </c>
      <c r="O1238">
        <v>7026.97</v>
      </c>
      <c r="P1238">
        <v>7102.64</v>
      </c>
      <c r="Q1238" s="409">
        <f>IF((L1239=""),"",MAX(D1240:P1240))</f>
        <v>5538.92</v>
      </c>
      <c r="R1238" s="409">
        <f>IF(L1239="","",MIN(D1240:L1240))</f>
        <v>5395.9400000000005</v>
      </c>
      <c r="S1238" s="400">
        <f>IF((P1240=""),"",AVERAGE(D1240:P1240))</f>
        <v>5465.6138461538458</v>
      </c>
      <c r="T1238" s="412">
        <f>IF((L1239=""),"",(Q1238-R1238)/(Q1238+R1238)*100)</f>
        <v>1.3075613222300018</v>
      </c>
      <c r="U1238" s="409">
        <f>STDEV(D1240:P1240)</f>
        <v>45.080916424186206</v>
      </c>
      <c r="V1238" s="413" t="str">
        <f>IF(P1239="","",IF(T1238&lt;2.7,IF(S1238&gt;5150,IF(S1238&lt;5600,"Pass","Fail"),"Fail"),"Fail"))</f>
        <v>Pass</v>
      </c>
      <c r="W1238" s="409">
        <v>1335</v>
      </c>
      <c r="X1238" s="402" t="s">
        <v>530</v>
      </c>
      <c r="Y1238" s="268"/>
      <c r="Z1238" s="321">
        <v>4470</v>
      </c>
      <c r="AA1238" s="321">
        <v>6020</v>
      </c>
      <c r="AB1238" s="321">
        <v>5150</v>
      </c>
      <c r="AC1238" s="321">
        <v>5600</v>
      </c>
      <c r="AD1238" s="305">
        <v>10</v>
      </c>
      <c r="AE1238" s="322">
        <v>2.7</v>
      </c>
    </row>
    <row r="1239" spans="1:31" ht="15.75">
      <c r="A1239" s="390"/>
      <c r="B1239" s="404"/>
      <c r="C1239" s="404" t="s">
        <v>198</v>
      </c>
      <c r="D1239">
        <v>4155.3599999999997</v>
      </c>
      <c r="E1239">
        <v>4291.41</v>
      </c>
      <c r="F1239">
        <v>4292.2299999999996</v>
      </c>
      <c r="G1239">
        <v>4347.82</v>
      </c>
      <c r="H1239">
        <v>4392.42</v>
      </c>
      <c r="I1239">
        <v>4413.16</v>
      </c>
      <c r="J1239">
        <v>4319.17</v>
      </c>
      <c r="K1239">
        <v>4351.7299999999996</v>
      </c>
      <c r="L1239">
        <v>4263.46</v>
      </c>
      <c r="M1239">
        <v>4201.6400000000003</v>
      </c>
      <c r="N1239">
        <v>4280.57</v>
      </c>
      <c r="O1239">
        <v>4301.96</v>
      </c>
      <c r="P1239">
        <v>4369</v>
      </c>
      <c r="Q1239" s="404"/>
      <c r="R1239" s="404"/>
      <c r="S1239" s="404"/>
      <c r="T1239" s="404"/>
      <c r="U1239" s="404"/>
      <c r="V1239" s="407"/>
      <c r="W1239" s="404"/>
      <c r="X1239" s="408"/>
      <c r="Y1239" s="268"/>
      <c r="Z1239" s="267"/>
      <c r="AA1239" s="267"/>
      <c r="AB1239" s="267"/>
      <c r="AC1239" s="267"/>
      <c r="AD1239" s="268"/>
      <c r="AE1239" s="269"/>
    </row>
    <row r="1240" spans="1:31" ht="57.75" thickBot="1">
      <c r="A1240" s="393"/>
      <c r="B1240" s="414"/>
      <c r="C1240" s="414" t="s">
        <v>197</v>
      </c>
      <c r="D1240" s="415">
        <f t="shared" ref="D1240:P1240" si="409">IF(((D1238="")*AND(D1239="")),"",(D1238-D1239)*2)</f>
        <v>5395.9400000000005</v>
      </c>
      <c r="E1240" s="415">
        <f t="shared" si="409"/>
        <v>5424.8000000000011</v>
      </c>
      <c r="F1240" s="415">
        <f t="shared" si="409"/>
        <v>5526.8600000000006</v>
      </c>
      <c r="G1240" s="415">
        <f t="shared" si="409"/>
        <v>5466.4400000000005</v>
      </c>
      <c r="H1240" s="415">
        <f t="shared" si="409"/>
        <v>5503.9599999999991</v>
      </c>
      <c r="I1240" s="415">
        <f t="shared" si="409"/>
        <v>5504.7200000000012</v>
      </c>
      <c r="J1240" s="415">
        <f t="shared" si="409"/>
        <v>5494.16</v>
      </c>
      <c r="K1240" s="415">
        <f t="shared" si="409"/>
        <v>5538.92</v>
      </c>
      <c r="L1240" s="415">
        <f t="shared" si="409"/>
        <v>5417.6399999999994</v>
      </c>
      <c r="M1240" s="415">
        <f t="shared" si="409"/>
        <v>5431.0999999999985</v>
      </c>
      <c r="N1240" s="415">
        <f t="shared" si="409"/>
        <v>5431.1400000000012</v>
      </c>
      <c r="O1240" s="415">
        <f t="shared" si="409"/>
        <v>5450.02</v>
      </c>
      <c r="P1240" s="415">
        <f t="shared" si="409"/>
        <v>5467.2800000000007</v>
      </c>
      <c r="Q1240" s="414"/>
      <c r="R1240" s="414"/>
      <c r="S1240" s="414"/>
      <c r="T1240" s="414"/>
      <c r="U1240" s="414"/>
      <c r="V1240" s="416"/>
      <c r="W1240" s="414"/>
      <c r="X1240" s="417"/>
      <c r="Y1240" s="268"/>
      <c r="Z1240" s="267"/>
      <c r="AA1240" s="267"/>
      <c r="AB1240" s="267"/>
      <c r="AC1240" s="267"/>
      <c r="AD1240" s="268"/>
      <c r="AE1240" s="269"/>
    </row>
    <row r="1241" spans="1:31" ht="15.75">
      <c r="A1241" s="344">
        <v>44045</v>
      </c>
      <c r="B1241" s="395" t="s">
        <v>202</v>
      </c>
      <c r="C1241" s="396" t="s">
        <v>199</v>
      </c>
      <c r="D1241" s="425">
        <v>6143.7</v>
      </c>
      <c r="E1241" s="425">
        <v>6244.3</v>
      </c>
      <c r="F1241" s="425">
        <v>6262.7</v>
      </c>
      <c r="G1241" s="425">
        <v>6234.6</v>
      </c>
      <c r="H1241" s="425">
        <v>6136.2</v>
      </c>
      <c r="I1241" s="425">
        <v>6238.7</v>
      </c>
      <c r="J1241" s="425">
        <v>6253.7</v>
      </c>
      <c r="K1241" s="425">
        <v>6075.2</v>
      </c>
      <c r="L1241" s="425">
        <v>6125.03</v>
      </c>
      <c r="M1241" s="398"/>
      <c r="N1241" s="398"/>
      <c r="O1241" s="398"/>
      <c r="P1241" s="398"/>
      <c r="Q1241" s="395">
        <f>IF((L1242=""),"",MAX(D1243:L1243))</f>
        <v>6110.4000000000005</v>
      </c>
      <c r="R1241" s="395">
        <f>IF(L1242="","",MIN(D1243:L1243))</f>
        <v>5887.7999999999984</v>
      </c>
      <c r="S1241" s="399">
        <f>IF((L1243=""),"",AVERAGE(D1243:L1243))</f>
        <v>6041.1399999999994</v>
      </c>
      <c r="T1241" s="400">
        <f>IF((L1242=""),"",(Q1241-R1241)/(Q1241+R1241)*100)</f>
        <v>1.85527829174378</v>
      </c>
      <c r="U1241" s="395">
        <f>STDEV(D1243:P1243)</f>
        <v>79.227968073179696</v>
      </c>
      <c r="V1241" s="401" t="str">
        <f>IF(L1242="","",IF(T1241&lt;9.8,IF(S1241&gt;5100,IF(S1241&lt;8300,"Pass","Fail"),"Fail"),"Fail"))</f>
        <v>Pass</v>
      </c>
      <c r="W1241" s="395">
        <v>1428</v>
      </c>
      <c r="X1241" s="402" t="s">
        <v>531</v>
      </c>
      <c r="Y1241" s="268"/>
      <c r="Z1241" s="267">
        <v>4955</v>
      </c>
      <c r="AA1241" s="267">
        <v>9645</v>
      </c>
      <c r="AB1241" s="267">
        <v>5100</v>
      </c>
      <c r="AC1241" s="267">
        <v>8300</v>
      </c>
      <c r="AD1241" s="305">
        <v>10</v>
      </c>
      <c r="AE1241" s="305">
        <v>9.8000000000000007</v>
      </c>
    </row>
    <row r="1242" spans="1:31" ht="15.75">
      <c r="A1242" s="390"/>
      <c r="B1242" s="404"/>
      <c r="C1242" s="405" t="s">
        <v>198</v>
      </c>
      <c r="D1242" s="425">
        <v>4164.83</v>
      </c>
      <c r="E1242" s="425">
        <v>4235.5</v>
      </c>
      <c r="F1242" s="425">
        <v>4228.88</v>
      </c>
      <c r="G1242" s="425">
        <v>4197.8</v>
      </c>
      <c r="H1242" s="425">
        <v>4100.2</v>
      </c>
      <c r="I1242" s="425">
        <v>4210.8999999999996</v>
      </c>
      <c r="J1242" s="425">
        <v>4230.3</v>
      </c>
      <c r="K1242" s="425">
        <v>4112.6000000000004</v>
      </c>
      <c r="L1242" s="425">
        <v>4109.7</v>
      </c>
      <c r="M1242" s="406"/>
      <c r="N1242" s="406"/>
      <c r="O1242" s="406"/>
      <c r="P1242" s="406"/>
      <c r="Q1242" s="404"/>
      <c r="R1242" s="404"/>
      <c r="S1242" s="404"/>
      <c r="T1242" s="404"/>
      <c r="U1242" s="404"/>
      <c r="V1242" s="407"/>
      <c r="W1242" s="404"/>
      <c r="X1242" s="408"/>
      <c r="Y1242" s="268"/>
      <c r="Z1242" s="267"/>
      <c r="AA1242" s="267"/>
      <c r="AB1242" s="267"/>
      <c r="AC1242" s="267"/>
      <c r="AD1242" s="268"/>
      <c r="AE1242" s="269"/>
    </row>
    <row r="1243" spans="1:31" ht="57.75" thickBot="1">
      <c r="A1243" s="390"/>
      <c r="B1243" s="404"/>
      <c r="C1243" s="409" t="s">
        <v>197</v>
      </c>
      <c r="D1243" s="410">
        <f t="shared" ref="D1243:L1243" si="410">IF(((D1241="")*AND(D1242="")),"",(D1241-D1242)*3)</f>
        <v>5936.61</v>
      </c>
      <c r="E1243" s="410">
        <f t="shared" si="410"/>
        <v>6026.4000000000005</v>
      </c>
      <c r="F1243" s="410">
        <f t="shared" si="410"/>
        <v>6101.4599999999991</v>
      </c>
      <c r="G1243" s="410">
        <f t="shared" si="410"/>
        <v>6110.4000000000005</v>
      </c>
      <c r="H1243" s="410">
        <f t="shared" si="410"/>
        <v>6108</v>
      </c>
      <c r="I1243" s="410">
        <f t="shared" si="410"/>
        <v>6083.4000000000005</v>
      </c>
      <c r="J1243" s="410">
        <f t="shared" si="410"/>
        <v>6070.1999999999989</v>
      </c>
      <c r="K1243" s="410">
        <f t="shared" si="410"/>
        <v>5887.7999999999984</v>
      </c>
      <c r="L1243" s="410">
        <f t="shared" si="410"/>
        <v>6045.99</v>
      </c>
      <c r="M1243" s="410"/>
      <c r="N1243" s="410"/>
      <c r="O1243" s="410"/>
      <c r="P1243" s="410" t="str">
        <f>IF(((P1241="")*AND(P1242="")),"",(P1241-P1242)*2)</f>
        <v/>
      </c>
      <c r="Q1243" s="404"/>
      <c r="R1243" s="404"/>
      <c r="S1243" s="404"/>
      <c r="T1243" s="404"/>
      <c r="U1243" s="404"/>
      <c r="V1243" s="407"/>
      <c r="W1243" s="404"/>
      <c r="X1243" s="417"/>
      <c r="Y1243" s="268"/>
      <c r="Z1243" s="267"/>
      <c r="AA1243" s="267"/>
      <c r="AB1243" s="267"/>
      <c r="AC1243" s="267"/>
      <c r="AD1243" s="268"/>
      <c r="AE1243" s="269"/>
    </row>
    <row r="1244" spans="1:31" ht="15.75">
      <c r="A1244" s="344">
        <v>44045</v>
      </c>
      <c r="B1244" s="409" t="s">
        <v>200</v>
      </c>
      <c r="C1244" s="409" t="s">
        <v>199</v>
      </c>
      <c r="D1244" s="425">
        <v>6856.3</v>
      </c>
      <c r="E1244" s="425">
        <v>6961.8</v>
      </c>
      <c r="F1244" s="425">
        <v>6929.6</v>
      </c>
      <c r="G1244" s="425">
        <v>7021.9</v>
      </c>
      <c r="H1244" s="425">
        <v>6982.7</v>
      </c>
      <c r="I1244" s="425">
        <v>7040.09</v>
      </c>
      <c r="J1244" s="425">
        <v>7093.86</v>
      </c>
      <c r="K1244" s="425">
        <v>7083.09</v>
      </c>
      <c r="L1244" s="425">
        <v>7004.7</v>
      </c>
      <c r="M1244" s="425">
        <v>6961.8</v>
      </c>
      <c r="N1244" s="425">
        <v>7021.9</v>
      </c>
      <c r="O1244" s="425">
        <v>7040.09</v>
      </c>
      <c r="P1244" s="425">
        <v>7083.09</v>
      </c>
      <c r="Q1244" s="409">
        <f>IF((L1245=""),"",MAX(D1246:P1246))</f>
        <v>5510.7800000000007</v>
      </c>
      <c r="R1244" s="409">
        <f>IF(L1245="","",MIN(D1246:L1246))</f>
        <v>5392.2800000000007</v>
      </c>
      <c r="S1244" s="400">
        <f>IF((P1246=""),"",AVERAGE(D1246:P1246))</f>
        <v>5437.2123076923071</v>
      </c>
      <c r="T1244" s="412">
        <f>IF((L1245=""),"",(Q1244-R1244)/(Q1244+R1244)*100)</f>
        <v>1.0868508473767913</v>
      </c>
      <c r="U1244" s="409">
        <f>STDEV(D1246:P1246)</f>
        <v>36.150908276887478</v>
      </c>
      <c r="V1244" s="413" t="str">
        <f>IF(P1245="","",IF(T1244&lt;2.7,IF(S1244&gt;5150,IF(S1244&lt;5600,"Pass","Fail"),"Fail"),"Fail"))</f>
        <v>Pass</v>
      </c>
      <c r="W1244" s="409">
        <v>1428</v>
      </c>
      <c r="X1244" s="402" t="s">
        <v>531</v>
      </c>
      <c r="Y1244" s="268"/>
      <c r="Z1244" s="321">
        <v>4470</v>
      </c>
      <c r="AA1244" s="321">
        <v>6020</v>
      </c>
      <c r="AB1244" s="321">
        <v>5150</v>
      </c>
      <c r="AC1244" s="321">
        <v>5600</v>
      </c>
      <c r="AD1244" s="305">
        <v>10</v>
      </c>
      <c r="AE1244" s="322">
        <v>2.7</v>
      </c>
    </row>
    <row r="1245" spans="1:31" ht="15.75">
      <c r="A1245" s="390"/>
      <c r="B1245" s="404"/>
      <c r="C1245" s="404" t="s">
        <v>198</v>
      </c>
      <c r="D1245" s="425">
        <v>4160.16</v>
      </c>
      <c r="E1245" s="425">
        <v>4255.21</v>
      </c>
      <c r="F1245" s="425">
        <v>4224.72</v>
      </c>
      <c r="G1245" s="425">
        <v>4307.29</v>
      </c>
      <c r="H1245" s="425">
        <v>4272.45</v>
      </c>
      <c r="I1245" s="425">
        <v>4284.7299999999996</v>
      </c>
      <c r="J1245" s="425">
        <v>4370.72</v>
      </c>
      <c r="K1245" s="425">
        <v>4360.67</v>
      </c>
      <c r="L1245" s="425">
        <v>4295.28</v>
      </c>
      <c r="M1245" s="425">
        <v>4255.21</v>
      </c>
      <c r="N1245" s="425">
        <v>4307.2</v>
      </c>
      <c r="O1245" s="425">
        <v>4284.7</v>
      </c>
      <c r="P1245" s="425">
        <v>4360.7</v>
      </c>
      <c r="Q1245" s="404"/>
      <c r="R1245" s="404"/>
      <c r="S1245" s="404"/>
      <c r="T1245" s="404"/>
      <c r="U1245" s="404"/>
      <c r="V1245" s="407"/>
      <c r="W1245" s="404"/>
      <c r="X1245" s="408"/>
      <c r="Y1245" s="268"/>
      <c r="Z1245" s="267"/>
      <c r="AA1245" s="267"/>
      <c r="AB1245" s="267"/>
      <c r="AC1245" s="267"/>
      <c r="AD1245" s="268"/>
      <c r="AE1245" s="269"/>
    </row>
    <row r="1246" spans="1:31" ht="57.75" thickBot="1">
      <c r="A1246" s="393"/>
      <c r="B1246" s="414"/>
      <c r="C1246" s="414" t="s">
        <v>197</v>
      </c>
      <c r="D1246" s="415">
        <f t="shared" ref="D1246:P1246" si="411">IF(((D1244="")*AND(D1245="")),"",(D1244-D1245)*2)</f>
        <v>5392.2800000000007</v>
      </c>
      <c r="E1246" s="415">
        <f t="shared" si="411"/>
        <v>5413.18</v>
      </c>
      <c r="F1246" s="415">
        <f t="shared" si="411"/>
        <v>5409.76</v>
      </c>
      <c r="G1246" s="415">
        <f t="shared" si="411"/>
        <v>5429.2199999999993</v>
      </c>
      <c r="H1246" s="415">
        <f t="shared" si="411"/>
        <v>5420.5</v>
      </c>
      <c r="I1246" s="415">
        <f t="shared" si="411"/>
        <v>5510.7200000000012</v>
      </c>
      <c r="J1246" s="415">
        <f t="shared" si="411"/>
        <v>5446.2799999999988</v>
      </c>
      <c r="K1246" s="415">
        <f t="shared" si="411"/>
        <v>5444.84</v>
      </c>
      <c r="L1246" s="415">
        <f t="shared" si="411"/>
        <v>5418.84</v>
      </c>
      <c r="M1246" s="415">
        <f t="shared" si="411"/>
        <v>5413.18</v>
      </c>
      <c r="N1246" s="415">
        <f t="shared" si="411"/>
        <v>5429.4</v>
      </c>
      <c r="O1246" s="415">
        <f t="shared" si="411"/>
        <v>5510.7800000000007</v>
      </c>
      <c r="P1246" s="415">
        <f t="shared" si="411"/>
        <v>5444.7800000000007</v>
      </c>
      <c r="Q1246" s="414"/>
      <c r="R1246" s="414"/>
      <c r="S1246" s="414"/>
      <c r="T1246" s="414"/>
      <c r="U1246" s="414"/>
      <c r="V1246" s="416"/>
      <c r="W1246" s="414"/>
      <c r="X1246" s="417"/>
      <c r="Y1246" s="268"/>
      <c r="Z1246" s="267"/>
      <c r="AA1246" s="267"/>
      <c r="AB1246" s="267"/>
      <c r="AC1246" s="267"/>
      <c r="AD1246" s="268"/>
      <c r="AE1246" s="269"/>
    </row>
    <row r="1247" spans="1:31" ht="15.75">
      <c r="A1247" s="344">
        <v>44050</v>
      </c>
      <c r="B1247" s="395" t="s">
        <v>202</v>
      </c>
      <c r="C1247" s="396" t="s">
        <v>199</v>
      </c>
      <c r="D1247" s="425">
        <v>6421</v>
      </c>
      <c r="E1247" s="425">
        <v>6441</v>
      </c>
      <c r="F1247" s="425">
        <v>6470</v>
      </c>
      <c r="G1247" s="425">
        <v>6445</v>
      </c>
      <c r="H1247" s="425">
        <v>6367</v>
      </c>
      <c r="I1247" s="425">
        <v>6455</v>
      </c>
      <c r="J1247" s="425">
        <v>6457</v>
      </c>
      <c r="K1247" s="425">
        <v>6301</v>
      </c>
      <c r="L1247" s="425">
        <v>6333</v>
      </c>
      <c r="M1247" s="398"/>
      <c r="N1247" s="398"/>
      <c r="O1247" s="398"/>
      <c r="P1247" s="398"/>
      <c r="Q1247" s="395">
        <f>IF((L1248=""),"",MAX(D1249:L1249))</f>
        <v>6507</v>
      </c>
      <c r="R1247" s="395">
        <f>IF(L1248="","",MIN(D1249:L1249))</f>
        <v>6261</v>
      </c>
      <c r="S1247" s="399">
        <f>IF((L1249=""),"",AVERAGE(D1249:L1249))</f>
        <v>6358.666666666667</v>
      </c>
      <c r="T1247" s="400">
        <f>IF((L1248=""),"",(Q1247-R1247)/(Q1247+R1247)*100)</f>
        <v>1.9266917293233081</v>
      </c>
      <c r="U1247" s="395">
        <f>STDEV(D1249:P1249)</f>
        <v>74.141756116239918</v>
      </c>
      <c r="V1247" s="401" t="str">
        <f>IF(L1248="","",IF(T1247&lt;9.8,IF(S1247&gt;5100,IF(S1247&lt;8300,"Pass","Fail"),"Fail"),"Fail"))</f>
        <v>Pass</v>
      </c>
      <c r="W1247" s="395">
        <v>1159</v>
      </c>
      <c r="X1247" s="402"/>
      <c r="Y1247" s="268"/>
      <c r="Z1247" s="267">
        <v>4955</v>
      </c>
      <c r="AA1247" s="267">
        <v>9645</v>
      </c>
      <c r="AB1247" s="267">
        <v>5100</v>
      </c>
      <c r="AC1247" s="267">
        <v>8300</v>
      </c>
      <c r="AD1247" s="305">
        <v>10</v>
      </c>
      <c r="AE1247" s="305">
        <v>9.8000000000000007</v>
      </c>
    </row>
    <row r="1248" spans="1:31" ht="15.75">
      <c r="A1248" s="390"/>
      <c r="B1248" s="404"/>
      <c r="C1248" s="405" t="s">
        <v>198</v>
      </c>
      <c r="D1248" s="425">
        <v>4272</v>
      </c>
      <c r="E1248" s="425">
        <v>4337</v>
      </c>
      <c r="F1248" s="425">
        <v>4355</v>
      </c>
      <c r="G1248" s="425">
        <v>4326</v>
      </c>
      <c r="H1248" s="425">
        <v>4198</v>
      </c>
      <c r="I1248" s="425">
        <v>4344</v>
      </c>
      <c r="J1248" s="425">
        <v>4342</v>
      </c>
      <c r="K1248" s="425">
        <v>4214</v>
      </c>
      <c r="L1248" s="425">
        <v>4226</v>
      </c>
      <c r="M1248" s="406"/>
      <c r="N1248" s="406"/>
      <c r="O1248" s="406"/>
      <c r="P1248" s="406"/>
      <c r="Q1248" s="404"/>
      <c r="R1248" s="404"/>
      <c r="S1248" s="404"/>
      <c r="T1248" s="404"/>
      <c r="U1248" s="404"/>
      <c r="V1248" s="407"/>
      <c r="W1248" s="404"/>
      <c r="X1248" s="408"/>
      <c r="Y1248" s="268"/>
      <c r="Z1248" s="267"/>
      <c r="AA1248" s="267"/>
      <c r="AB1248" s="267"/>
      <c r="AC1248" s="267"/>
      <c r="AD1248" s="268"/>
      <c r="AE1248" s="269"/>
    </row>
    <row r="1249" spans="1:31" ht="57.75" thickBot="1">
      <c r="A1249" s="390"/>
      <c r="B1249" s="404"/>
      <c r="C1249" s="409" t="s">
        <v>197</v>
      </c>
      <c r="D1249" s="410">
        <f t="shared" ref="D1249:L1249" si="412">IF(((D1247="")*AND(D1248="")),"",(D1247-D1248)*3)</f>
        <v>6447</v>
      </c>
      <c r="E1249" s="410">
        <f t="shared" si="412"/>
        <v>6312</v>
      </c>
      <c r="F1249" s="410">
        <f t="shared" si="412"/>
        <v>6345</v>
      </c>
      <c r="G1249" s="410">
        <f t="shared" si="412"/>
        <v>6357</v>
      </c>
      <c r="H1249" s="410">
        <f t="shared" si="412"/>
        <v>6507</v>
      </c>
      <c r="I1249" s="410">
        <f t="shared" si="412"/>
        <v>6333</v>
      </c>
      <c r="J1249" s="410">
        <f t="shared" si="412"/>
        <v>6345</v>
      </c>
      <c r="K1249" s="410">
        <f t="shared" si="412"/>
        <v>6261</v>
      </c>
      <c r="L1249" s="410">
        <f t="shared" si="412"/>
        <v>6321</v>
      </c>
      <c r="M1249" s="410"/>
      <c r="N1249" s="410"/>
      <c r="O1249" s="410"/>
      <c r="P1249" s="410" t="str">
        <f>IF(((P1247="")*AND(P1248="")),"",(P1247-P1248)*2)</f>
        <v/>
      </c>
      <c r="Q1249" s="404"/>
      <c r="R1249" s="404"/>
      <c r="S1249" s="404"/>
      <c r="T1249" s="404"/>
      <c r="U1249" s="404"/>
      <c r="V1249" s="407"/>
      <c r="W1249" s="404"/>
      <c r="X1249" s="417"/>
      <c r="Y1249" s="268"/>
      <c r="Z1249" s="267"/>
      <c r="AA1249" s="267"/>
      <c r="AB1249" s="267"/>
      <c r="AC1249" s="267"/>
      <c r="AD1249" s="268"/>
      <c r="AE1249" s="269"/>
    </row>
    <row r="1250" spans="1:31" ht="15.75">
      <c r="A1250" s="344">
        <v>44050</v>
      </c>
      <c r="B1250" s="409" t="s">
        <v>200</v>
      </c>
      <c r="C1250" s="409" t="s">
        <v>199</v>
      </c>
      <c r="D1250" s="425">
        <v>6851</v>
      </c>
      <c r="E1250" s="425">
        <v>6973</v>
      </c>
      <c r="F1250" s="425">
        <v>6919</v>
      </c>
      <c r="G1250" s="425">
        <v>7024</v>
      </c>
      <c r="H1250" s="425">
        <v>7002</v>
      </c>
      <c r="I1250" s="425">
        <v>7054</v>
      </c>
      <c r="J1250" s="425">
        <v>7099</v>
      </c>
      <c r="K1250" s="425">
        <v>7083</v>
      </c>
      <c r="L1250" s="425">
        <v>6993</v>
      </c>
      <c r="M1250" s="425">
        <v>7145</v>
      </c>
      <c r="N1250" s="425">
        <v>7168</v>
      </c>
      <c r="O1250" s="425">
        <v>7064</v>
      </c>
      <c r="P1250" s="425">
        <v>7121</v>
      </c>
      <c r="Q1250" s="409">
        <f>IF((L1251=""),"",MAX(D1252:P1252))</f>
        <v>5526</v>
      </c>
      <c r="R1250" s="409">
        <f>IF(L1251="","",MIN(D1252:L1252))</f>
        <v>5400</v>
      </c>
      <c r="S1250" s="400">
        <f>IF((P1252=""),"",AVERAGE(D1252:P1252))</f>
        <v>5453.8461538461543</v>
      </c>
      <c r="T1250" s="412">
        <f>IF((L1251=""),"",(Q1250-R1250)/(Q1250+R1250)*100)</f>
        <v>1.1532125205930808</v>
      </c>
      <c r="U1250" s="409">
        <f>STDEV(D1252:P1252)</f>
        <v>42.60251587612975</v>
      </c>
      <c r="V1250" s="413" t="str">
        <f>IF(P1251="","",IF(T1250&lt;2.7,IF(S1250&gt;5150,IF(S1250&lt;5600,"Pass","Fail"),"Fail"),"Fail"))</f>
        <v>Pass</v>
      </c>
      <c r="W1250" s="409">
        <v>1159</v>
      </c>
      <c r="X1250" s="402"/>
      <c r="Y1250" s="268"/>
      <c r="Z1250" s="321">
        <v>4470</v>
      </c>
      <c r="AA1250" s="321">
        <v>6020</v>
      </c>
      <c r="AB1250" s="321">
        <v>5150</v>
      </c>
      <c r="AC1250" s="321">
        <v>5600</v>
      </c>
      <c r="AD1250" s="305">
        <v>10</v>
      </c>
      <c r="AE1250" s="322">
        <v>2.7</v>
      </c>
    </row>
    <row r="1251" spans="1:31" ht="15.75">
      <c r="A1251" s="390"/>
      <c r="B1251" s="404"/>
      <c r="C1251" s="404" t="s">
        <v>198</v>
      </c>
      <c r="D1251" s="425">
        <v>4151</v>
      </c>
      <c r="E1251" s="425">
        <v>4268</v>
      </c>
      <c r="F1251" s="425">
        <v>4213</v>
      </c>
      <c r="G1251" s="425">
        <v>4308</v>
      </c>
      <c r="H1251" s="425">
        <v>4293</v>
      </c>
      <c r="I1251" s="425">
        <v>4298</v>
      </c>
      <c r="J1251" s="425">
        <v>4373</v>
      </c>
      <c r="K1251" s="425">
        <v>4357</v>
      </c>
      <c r="L1251" s="425">
        <v>4283</v>
      </c>
      <c r="M1251" s="425">
        <v>4399</v>
      </c>
      <c r="N1251" s="425">
        <v>4422</v>
      </c>
      <c r="O1251" s="425">
        <v>4323</v>
      </c>
      <c r="P1251" s="425">
        <v>4358</v>
      </c>
      <c r="Q1251" s="404"/>
      <c r="R1251" s="404"/>
      <c r="S1251" s="404"/>
      <c r="T1251" s="404"/>
      <c r="U1251" s="404"/>
      <c r="V1251" s="407"/>
      <c r="W1251" s="404"/>
      <c r="X1251" s="408"/>
      <c r="Y1251" s="268"/>
      <c r="Z1251" s="267"/>
      <c r="AA1251" s="267"/>
      <c r="AB1251" s="267"/>
      <c r="AC1251" s="267"/>
      <c r="AD1251" s="268"/>
      <c r="AE1251" s="269"/>
    </row>
    <row r="1252" spans="1:31" ht="57.75" thickBot="1">
      <c r="A1252" s="393"/>
      <c r="B1252" s="414"/>
      <c r="C1252" s="414" t="s">
        <v>197</v>
      </c>
      <c r="D1252" s="415">
        <f t="shared" ref="D1252:P1252" si="413">IF(((D1250="")*AND(D1251="")),"",(D1250-D1251)*2)</f>
        <v>5400</v>
      </c>
      <c r="E1252" s="415">
        <f t="shared" si="413"/>
        <v>5410</v>
      </c>
      <c r="F1252" s="415">
        <f t="shared" si="413"/>
        <v>5412</v>
      </c>
      <c r="G1252" s="415">
        <f t="shared" si="413"/>
        <v>5432</v>
      </c>
      <c r="H1252" s="415">
        <f t="shared" si="413"/>
        <v>5418</v>
      </c>
      <c r="I1252" s="415">
        <f t="shared" si="413"/>
        <v>5512</v>
      </c>
      <c r="J1252" s="415">
        <f t="shared" si="413"/>
        <v>5452</v>
      </c>
      <c r="K1252" s="415">
        <f t="shared" si="413"/>
        <v>5452</v>
      </c>
      <c r="L1252" s="415">
        <f t="shared" si="413"/>
        <v>5420</v>
      </c>
      <c r="M1252" s="415">
        <f t="shared" si="413"/>
        <v>5492</v>
      </c>
      <c r="N1252" s="415">
        <f t="shared" si="413"/>
        <v>5492</v>
      </c>
      <c r="O1252" s="415">
        <f t="shared" si="413"/>
        <v>5482</v>
      </c>
      <c r="P1252" s="415">
        <f t="shared" si="413"/>
        <v>5526</v>
      </c>
      <c r="Q1252" s="414"/>
      <c r="R1252" s="414"/>
      <c r="S1252" s="414"/>
      <c r="T1252" s="414"/>
      <c r="U1252" s="414"/>
      <c r="V1252" s="416"/>
      <c r="W1252" s="414"/>
      <c r="X1252" s="417"/>
      <c r="Y1252" s="268"/>
      <c r="Z1252" s="267"/>
      <c r="AA1252" s="267"/>
      <c r="AB1252" s="267"/>
      <c r="AC1252" s="267"/>
      <c r="AD1252" s="268"/>
      <c r="AE1252" s="269"/>
    </row>
    <row r="1253" spans="1:31" ht="15.75">
      <c r="A1253" s="344">
        <v>44056</v>
      </c>
      <c r="B1253" s="395" t="s">
        <v>202</v>
      </c>
      <c r="C1253" s="396" t="s">
        <v>199</v>
      </c>
      <c r="D1253" s="425">
        <v>3916</v>
      </c>
      <c r="E1253" s="425">
        <v>3945</v>
      </c>
      <c r="F1253" s="425">
        <v>3932</v>
      </c>
      <c r="G1253" s="425">
        <v>3909</v>
      </c>
      <c r="H1253" s="425">
        <v>3860</v>
      </c>
      <c r="I1253" s="425">
        <v>3923</v>
      </c>
      <c r="J1253" s="425">
        <v>3936</v>
      </c>
      <c r="K1253" s="425">
        <v>3850</v>
      </c>
      <c r="L1253" s="425">
        <v>3839</v>
      </c>
      <c r="M1253" s="398"/>
      <c r="N1253" s="398"/>
      <c r="O1253" s="398"/>
      <c r="P1253" s="398"/>
      <c r="Q1253" s="395">
        <f>IF((L1254=""),"",MAX(D1255:L1255))</f>
        <v>6603</v>
      </c>
      <c r="R1253" s="395">
        <f>IF(L1254="","",MIN(D1255:L1255))</f>
        <v>6327</v>
      </c>
      <c r="S1253" s="399">
        <f>IF((L1255=""),"",AVERAGE(D1255:L1255))</f>
        <v>6499.333333333333</v>
      </c>
      <c r="T1253" s="400">
        <f>IF((L1254=""),"",(Q1253-R1253)/(Q1253+R1253)*100)</f>
        <v>2.1345707656612531</v>
      </c>
      <c r="U1253" s="395">
        <f>STDEV(D1255:P1255)</f>
        <v>111.83917024012652</v>
      </c>
      <c r="V1253" s="401" t="str">
        <f>IF(L1254="","",IF(T1253&lt;9.8,IF(S1253&gt;5100,IF(S1253&lt;8300,"Pass","Fail"),"Fail"),"Fail"))</f>
        <v>Pass</v>
      </c>
      <c r="W1253" s="395" t="s">
        <v>537</v>
      </c>
      <c r="X1253" s="402" t="s">
        <v>543</v>
      </c>
      <c r="Y1253" s="268" t="s">
        <v>542</v>
      </c>
      <c r="Z1253" s="267">
        <v>4955</v>
      </c>
      <c r="AA1253" s="267">
        <v>9645</v>
      </c>
      <c r="AB1253" s="267">
        <v>5100</v>
      </c>
      <c r="AC1253" s="267">
        <v>8300</v>
      </c>
      <c r="AD1253" s="305">
        <v>10</v>
      </c>
      <c r="AE1253" s="305">
        <v>9.8000000000000007</v>
      </c>
    </row>
    <row r="1254" spans="1:31" ht="15.75">
      <c r="A1254" s="390"/>
      <c r="B1254" s="404"/>
      <c r="C1254" s="405" t="s">
        <v>198</v>
      </c>
      <c r="D1254" s="425">
        <v>1766</v>
      </c>
      <c r="E1254" s="425">
        <v>1744</v>
      </c>
      <c r="F1254" s="425">
        <v>1731</v>
      </c>
      <c r="G1254" s="425">
        <v>1723</v>
      </c>
      <c r="H1254" s="425">
        <v>1716</v>
      </c>
      <c r="I1254" s="425">
        <v>1732</v>
      </c>
      <c r="J1254" s="425">
        <v>1736</v>
      </c>
      <c r="K1254" s="425">
        <v>1741</v>
      </c>
      <c r="L1254" s="425">
        <v>1723</v>
      </c>
      <c r="M1254" s="406"/>
      <c r="N1254" s="406"/>
      <c r="O1254" s="406"/>
      <c r="P1254" s="406"/>
      <c r="Q1254" s="404"/>
      <c r="R1254" s="404"/>
      <c r="S1254" s="404"/>
      <c r="T1254" s="404"/>
      <c r="U1254" s="404"/>
      <c r="V1254" s="407"/>
      <c r="W1254" s="404"/>
      <c r="X1254" s="408"/>
      <c r="Y1254" s="268"/>
      <c r="Z1254" s="267"/>
      <c r="AA1254" s="267"/>
      <c r="AB1254" s="267"/>
      <c r="AC1254" s="267"/>
      <c r="AD1254" s="268"/>
      <c r="AE1254" s="269"/>
    </row>
    <row r="1255" spans="1:31" ht="57.75" thickBot="1">
      <c r="A1255" s="390"/>
      <c r="B1255" s="404"/>
      <c r="C1255" s="409" t="s">
        <v>197</v>
      </c>
      <c r="D1255" s="410">
        <f t="shared" ref="D1255:L1255" si="414">IF(((D1253="")*AND(D1254="")),"",(D1253-D1254)*3)</f>
        <v>6450</v>
      </c>
      <c r="E1255" s="410">
        <f t="shared" si="414"/>
        <v>6603</v>
      </c>
      <c r="F1255" s="410">
        <f t="shared" si="414"/>
        <v>6603</v>
      </c>
      <c r="G1255" s="410">
        <f t="shared" si="414"/>
        <v>6558</v>
      </c>
      <c r="H1255" s="410">
        <f t="shared" si="414"/>
        <v>6432</v>
      </c>
      <c r="I1255" s="410">
        <f t="shared" si="414"/>
        <v>6573</v>
      </c>
      <c r="J1255" s="410">
        <f t="shared" si="414"/>
        <v>6600</v>
      </c>
      <c r="K1255" s="410">
        <f t="shared" si="414"/>
        <v>6327</v>
      </c>
      <c r="L1255" s="410">
        <f t="shared" si="414"/>
        <v>6348</v>
      </c>
      <c r="M1255" s="410"/>
      <c r="N1255" s="410"/>
      <c r="O1255" s="410"/>
      <c r="P1255" s="410" t="str">
        <f>IF(((P1253="")*AND(P1254="")),"",(P1253-P1254)*2)</f>
        <v/>
      </c>
      <c r="Q1255" s="404"/>
      <c r="R1255" s="404"/>
      <c r="S1255" s="404"/>
      <c r="T1255" s="404"/>
      <c r="U1255" s="404"/>
      <c r="V1255" s="407"/>
      <c r="W1255" s="404"/>
      <c r="X1255" s="417"/>
      <c r="Y1255" s="268"/>
      <c r="Z1255" s="267"/>
      <c r="AA1255" s="267"/>
      <c r="AB1255" s="267"/>
      <c r="AC1255" s="267"/>
      <c r="AD1255" s="268"/>
      <c r="AE1255" s="269"/>
    </row>
    <row r="1256" spans="1:31" ht="15.75">
      <c r="A1256" s="344">
        <v>44056</v>
      </c>
      <c r="B1256" s="409" t="s">
        <v>200</v>
      </c>
      <c r="C1256" s="409" t="s">
        <v>199</v>
      </c>
      <c r="D1256" s="425">
        <v>6818</v>
      </c>
      <c r="E1256" s="425">
        <v>6960</v>
      </c>
      <c r="F1256" s="425">
        <v>6878</v>
      </c>
      <c r="G1256" s="425">
        <v>7007</v>
      </c>
      <c r="H1256" s="425">
        <v>7005</v>
      </c>
      <c r="I1256" s="425">
        <v>7055</v>
      </c>
      <c r="J1256" s="425">
        <v>7084</v>
      </c>
      <c r="K1256" s="425">
        <v>7058</v>
      </c>
      <c r="L1256" s="425">
        <v>6951</v>
      </c>
      <c r="M1256" s="425">
        <v>7132</v>
      </c>
      <c r="N1256" s="425">
        <v>7169</v>
      </c>
      <c r="O1256" s="425">
        <v>7034</v>
      </c>
      <c r="P1256" s="425">
        <v>7111</v>
      </c>
      <c r="Q1256" s="409">
        <f>IF((L1257=""),"",MAX(D1258:P1258))</f>
        <v>5776</v>
      </c>
      <c r="R1256" s="409">
        <f>IF(L1257="","",MIN(D1258:L1258))</f>
        <v>5586</v>
      </c>
      <c r="S1256" s="400">
        <f>IF((P1258=""),"",AVERAGE(D1258:P1258))</f>
        <v>5689.6923076923076</v>
      </c>
      <c r="T1256" s="412">
        <f>IF((L1257=""),"",(Q1256-R1256)/(Q1256+R1256)*100)</f>
        <v>1.6722408026755853</v>
      </c>
      <c r="U1256" s="409">
        <f>STDEV(D1258:P1258)</f>
        <v>67.80779775142814</v>
      </c>
      <c r="V1256" s="413" t="str">
        <f>IF(P1257="","",IF(T1256&lt;2.7,IF(S1256&gt;5130,IF(S1256&lt;5770,"Pass","Fail"),"Fail"),"Fail"))</f>
        <v>Pass</v>
      </c>
      <c r="W1256" s="463" t="s">
        <v>537</v>
      </c>
      <c r="X1256" s="402" t="s">
        <v>543</v>
      </c>
      <c r="Y1256" s="268" t="s">
        <v>541</v>
      </c>
      <c r="Z1256" s="321">
        <v>4470</v>
      </c>
      <c r="AA1256" s="321">
        <v>6020</v>
      </c>
      <c r="AB1256" s="321">
        <v>5130</v>
      </c>
      <c r="AC1256" s="321">
        <v>5775</v>
      </c>
      <c r="AD1256" s="305">
        <v>10</v>
      </c>
      <c r="AE1256" s="322">
        <v>2.7</v>
      </c>
    </row>
    <row r="1257" spans="1:31" ht="15.75">
      <c r="A1257" s="390"/>
      <c r="B1257" s="404"/>
      <c r="C1257" s="404" t="s">
        <v>198</v>
      </c>
      <c r="D1257" s="425">
        <v>4024</v>
      </c>
      <c r="E1257" s="425">
        <v>4166</v>
      </c>
      <c r="F1257" s="425">
        <v>4053</v>
      </c>
      <c r="G1257" s="425">
        <v>4153</v>
      </c>
      <c r="H1257" s="425">
        <v>4212</v>
      </c>
      <c r="I1257" s="425">
        <v>4185</v>
      </c>
      <c r="J1257" s="425">
        <v>4213</v>
      </c>
      <c r="K1257" s="425">
        <v>4185</v>
      </c>
      <c r="L1257" s="425">
        <v>4118</v>
      </c>
      <c r="M1257" s="425">
        <v>4244</v>
      </c>
      <c r="N1257" s="425">
        <v>4322</v>
      </c>
      <c r="O1257" s="425">
        <v>4167</v>
      </c>
      <c r="P1257" s="425">
        <v>4237</v>
      </c>
      <c r="Q1257" s="404"/>
      <c r="R1257" s="404"/>
      <c r="S1257" s="404"/>
      <c r="T1257" s="404"/>
      <c r="U1257" s="404"/>
      <c r="V1257" s="407"/>
      <c r="W1257" s="404"/>
      <c r="X1257" s="408"/>
      <c r="Y1257" s="268"/>
      <c r="Z1257" s="267"/>
      <c r="AA1257" s="267"/>
      <c r="AB1257" s="267"/>
      <c r="AC1257" s="267"/>
      <c r="AD1257" s="268"/>
      <c r="AE1257" s="269"/>
    </row>
    <row r="1258" spans="1:31" ht="57.75" thickBot="1">
      <c r="A1258" s="393"/>
      <c r="B1258" s="414"/>
      <c r="C1258" s="414" t="s">
        <v>197</v>
      </c>
      <c r="D1258" s="415">
        <f t="shared" ref="D1258:P1258" si="415">IF(((D1256="")*AND(D1257="")),"",(D1256-D1257)*2)</f>
        <v>5588</v>
      </c>
      <c r="E1258" s="415">
        <f t="shared" si="415"/>
        <v>5588</v>
      </c>
      <c r="F1258" s="415">
        <f t="shared" si="415"/>
        <v>5650</v>
      </c>
      <c r="G1258" s="415">
        <f t="shared" si="415"/>
        <v>5708</v>
      </c>
      <c r="H1258" s="415">
        <f t="shared" si="415"/>
        <v>5586</v>
      </c>
      <c r="I1258" s="415">
        <f t="shared" si="415"/>
        <v>5740</v>
      </c>
      <c r="J1258" s="415">
        <f t="shared" si="415"/>
        <v>5742</v>
      </c>
      <c r="K1258" s="415">
        <f t="shared" si="415"/>
        <v>5746</v>
      </c>
      <c r="L1258" s="415">
        <f t="shared" si="415"/>
        <v>5666</v>
      </c>
      <c r="M1258" s="415">
        <f t="shared" si="415"/>
        <v>5776</v>
      </c>
      <c r="N1258" s="415">
        <f t="shared" si="415"/>
        <v>5694</v>
      </c>
      <c r="O1258" s="415">
        <f t="shared" si="415"/>
        <v>5734</v>
      </c>
      <c r="P1258" s="415">
        <f t="shared" si="415"/>
        <v>5748</v>
      </c>
      <c r="Q1258" s="414"/>
      <c r="R1258" s="414"/>
      <c r="S1258" s="414"/>
      <c r="T1258" s="414"/>
      <c r="U1258" s="414"/>
      <c r="V1258" s="416"/>
      <c r="W1258" s="414"/>
      <c r="X1258" s="417"/>
      <c r="Y1258" s="268"/>
      <c r="Z1258" s="267"/>
      <c r="AA1258" s="267"/>
      <c r="AB1258" s="267"/>
      <c r="AC1258" s="267"/>
      <c r="AD1258" s="268"/>
      <c r="AE1258" s="269"/>
    </row>
    <row r="1259" spans="1:31" ht="15.75">
      <c r="A1259" s="344">
        <v>44061</v>
      </c>
      <c r="B1259" s="395" t="s">
        <v>202</v>
      </c>
      <c r="C1259" s="396" t="s">
        <v>199</v>
      </c>
      <c r="D1259">
        <v>5948.7</v>
      </c>
      <c r="E1259">
        <v>6124.44</v>
      </c>
      <c r="F1259">
        <v>6127.36</v>
      </c>
      <c r="G1259">
        <v>6083.24</v>
      </c>
      <c r="H1259">
        <v>5878.01</v>
      </c>
      <c r="I1259">
        <v>6121.08</v>
      </c>
      <c r="J1259">
        <v>6114.72</v>
      </c>
      <c r="K1259">
        <v>5849.46</v>
      </c>
      <c r="L1259">
        <v>5966.22</v>
      </c>
      <c r="M1259" s="398"/>
      <c r="N1259" s="398"/>
      <c r="O1259" s="398"/>
      <c r="P1259" s="398"/>
      <c r="Q1259" s="395">
        <f>IF((L1260=""),"",MAX(D1261:L1261))</f>
        <v>6612.15</v>
      </c>
      <c r="R1259" s="395">
        <f>IF(L1260="","",MIN(D1261:L1261))</f>
        <v>6349.86</v>
      </c>
      <c r="S1259" s="399">
        <f>IF((L1261=""),"",AVERAGE(D1261:L1261))</f>
        <v>6533.5566666666673</v>
      </c>
      <c r="T1259" s="400">
        <f>IF((L1260=""),"",(Q1259-R1259)/(Q1259+R1259)*100)</f>
        <v>2.0235287582712864</v>
      </c>
      <c r="U1259" s="395">
        <f>STDEV(D1261:P1261)</f>
        <v>100.5619306696393</v>
      </c>
      <c r="V1259" s="401" t="str">
        <f>IF(L1260="","",IF(T1259&lt;9.8,IF(S1259&gt;5100,IF(S1259&lt;8300,"Pass","Fail"),"Fail"),"Fail"))</f>
        <v>Pass</v>
      </c>
      <c r="W1259" s="466">
        <v>74</v>
      </c>
      <c r="X1259" s="457" t="s">
        <v>545</v>
      </c>
      <c r="Y1259" s="268" t="s">
        <v>542</v>
      </c>
      <c r="Z1259" s="267">
        <v>4955</v>
      </c>
      <c r="AA1259" s="267">
        <v>9645</v>
      </c>
      <c r="AB1259" s="267">
        <v>5100</v>
      </c>
      <c r="AC1259" s="267">
        <v>8300</v>
      </c>
      <c r="AD1259" s="305">
        <v>10</v>
      </c>
      <c r="AE1259" s="305">
        <v>9.8000000000000007</v>
      </c>
    </row>
    <row r="1260" spans="1:31" ht="15.75">
      <c r="A1260" s="390"/>
      <c r="B1260" s="404"/>
      <c r="C1260" s="405" t="s">
        <v>198</v>
      </c>
      <c r="D1260">
        <v>3832.08</v>
      </c>
      <c r="E1260">
        <v>3939.65</v>
      </c>
      <c r="F1260">
        <v>3928.3</v>
      </c>
      <c r="G1260">
        <v>3879.19</v>
      </c>
      <c r="H1260">
        <v>3691.76</v>
      </c>
      <c r="I1260">
        <v>3924.51</v>
      </c>
      <c r="J1260">
        <v>3922.97</v>
      </c>
      <c r="K1260">
        <v>3726.48</v>
      </c>
      <c r="L1260">
        <v>3767.62</v>
      </c>
      <c r="M1260" s="406"/>
      <c r="N1260" s="406"/>
      <c r="O1260" s="406"/>
      <c r="P1260" s="406"/>
      <c r="Q1260" s="404"/>
      <c r="R1260" s="404"/>
      <c r="S1260" s="404"/>
      <c r="T1260" s="404"/>
      <c r="U1260" s="404"/>
      <c r="V1260" s="407"/>
      <c r="W1260" s="404"/>
      <c r="X1260" s="408"/>
      <c r="Y1260" s="268"/>
      <c r="Z1260" s="267"/>
      <c r="AA1260" s="267"/>
      <c r="AB1260" s="267"/>
      <c r="AC1260" s="267"/>
      <c r="AD1260" s="268"/>
      <c r="AE1260" s="269"/>
    </row>
    <row r="1261" spans="1:31" ht="57.75" thickBot="1">
      <c r="A1261" s="390"/>
      <c r="B1261" s="404"/>
      <c r="C1261" s="409" t="s">
        <v>197</v>
      </c>
      <c r="D1261" s="410">
        <f t="shared" ref="D1261:L1261" si="416">IF(((D1259="")*AND(D1260="")),"",(D1259-D1260)*3)</f>
        <v>6349.86</v>
      </c>
      <c r="E1261" s="410">
        <f t="shared" si="416"/>
        <v>6554.369999999999</v>
      </c>
      <c r="F1261" s="410">
        <f t="shared" si="416"/>
        <v>6597.1799999999985</v>
      </c>
      <c r="G1261" s="410">
        <f t="shared" si="416"/>
        <v>6612.15</v>
      </c>
      <c r="H1261" s="410">
        <f t="shared" si="416"/>
        <v>6558.75</v>
      </c>
      <c r="I1261" s="410">
        <f t="shared" si="416"/>
        <v>6589.7099999999991</v>
      </c>
      <c r="J1261" s="410">
        <f t="shared" si="416"/>
        <v>6575.2500000000018</v>
      </c>
      <c r="K1261" s="410">
        <f t="shared" si="416"/>
        <v>6368.9400000000005</v>
      </c>
      <c r="L1261" s="410">
        <f t="shared" si="416"/>
        <v>6595.8000000000011</v>
      </c>
      <c r="M1261" s="410"/>
      <c r="N1261" s="410"/>
      <c r="O1261" s="410"/>
      <c r="P1261" s="410" t="str">
        <f>IF(((P1259="")*AND(P1260="")),"",(P1259-P1260)*2)</f>
        <v/>
      </c>
      <c r="Q1261" s="404"/>
      <c r="R1261" s="404"/>
      <c r="S1261" s="404"/>
      <c r="T1261" s="404"/>
      <c r="U1261" s="404"/>
      <c r="V1261" s="407"/>
      <c r="W1261" s="404"/>
      <c r="X1261" s="417"/>
      <c r="Y1261" s="268"/>
      <c r="Z1261" s="267"/>
      <c r="AA1261" s="267"/>
      <c r="AB1261" s="267"/>
      <c r="AC1261" s="267"/>
      <c r="AD1261" s="268"/>
      <c r="AE1261" s="269"/>
    </row>
    <row r="1262" spans="1:31" ht="15.75">
      <c r="A1262" s="344">
        <v>44061</v>
      </c>
      <c r="B1262" s="409" t="s">
        <v>200</v>
      </c>
      <c r="C1262" s="409" t="s">
        <v>199</v>
      </c>
      <c r="D1262">
        <v>6872.71</v>
      </c>
      <c r="E1262">
        <v>6993.93</v>
      </c>
      <c r="F1262">
        <v>6932.59</v>
      </c>
      <c r="G1262">
        <v>7037</v>
      </c>
      <c r="H1262">
        <v>7012.58</v>
      </c>
      <c r="I1262">
        <v>7064.73</v>
      </c>
      <c r="J1262">
        <v>7107.24</v>
      </c>
      <c r="K1262">
        <v>7089.92</v>
      </c>
      <c r="L1262">
        <v>7005.99</v>
      </c>
      <c r="M1262">
        <v>7147.67</v>
      </c>
      <c r="N1262">
        <v>7164.63</v>
      </c>
      <c r="O1262">
        <v>7064.54</v>
      </c>
      <c r="P1262">
        <v>7109.74</v>
      </c>
      <c r="Q1262" s="409">
        <f>IF((L1263=""),"",MAX(D1264:P1264))</f>
        <v>5641.5999999999985</v>
      </c>
      <c r="R1262" s="409">
        <f>IF(L1263="","",MIN(D1264:L1264))</f>
        <v>5531.7000000000007</v>
      </c>
      <c r="S1262" s="400">
        <f>IF((P1264=""),"",AVERAGE(D1264:P1264))</f>
        <v>5578.5276923076926</v>
      </c>
      <c r="T1262" s="412">
        <f>IF((L1263=""),"",(Q1262-R1262)/(Q1262+R1262)*100)</f>
        <v>0.98359481979359564</v>
      </c>
      <c r="U1262" s="409">
        <f>STDEV(D1264:P1264)</f>
        <v>36.160466017036207</v>
      </c>
      <c r="V1262" s="413" t="str">
        <f>IF(P1263="","",IF(T1262&lt;2.7,IF(S1262&gt;5130,IF(S1262&lt;5770,"Pass","Fail"),"Fail"),"Fail"))</f>
        <v>Pass</v>
      </c>
      <c r="W1262" s="463">
        <v>74</v>
      </c>
      <c r="X1262" s="457" t="s">
        <v>545</v>
      </c>
      <c r="Y1262" s="268"/>
      <c r="Z1262" s="321">
        <v>4470</v>
      </c>
      <c r="AA1262" s="321">
        <v>6020</v>
      </c>
      <c r="AB1262" s="321">
        <v>5130</v>
      </c>
      <c r="AC1262" s="321">
        <v>5775</v>
      </c>
      <c r="AD1262" s="305">
        <v>10</v>
      </c>
      <c r="AE1262" s="322">
        <v>2.7</v>
      </c>
    </row>
    <row r="1263" spans="1:31" ht="15.75">
      <c r="A1263" s="390"/>
      <c r="B1263" s="404"/>
      <c r="C1263" s="404" t="s">
        <v>198</v>
      </c>
      <c r="D1263">
        <v>4106.8599999999997</v>
      </c>
      <c r="E1263">
        <v>4215.03</v>
      </c>
      <c r="F1263">
        <v>4163.54</v>
      </c>
      <c r="G1263">
        <v>4259.2</v>
      </c>
      <c r="H1263">
        <v>4231.33</v>
      </c>
      <c r="I1263">
        <v>4243.93</v>
      </c>
      <c r="J1263">
        <v>4320.71</v>
      </c>
      <c r="K1263">
        <v>4304.04</v>
      </c>
      <c r="L1263">
        <v>4235.1499999999996</v>
      </c>
      <c r="M1263">
        <v>4344.09</v>
      </c>
      <c r="N1263">
        <v>4360</v>
      </c>
      <c r="O1263">
        <v>4266.68</v>
      </c>
      <c r="P1263">
        <v>4292.28</v>
      </c>
      <c r="Q1263" s="404"/>
      <c r="R1263" s="404"/>
      <c r="S1263" s="404"/>
      <c r="T1263" s="404"/>
      <c r="U1263" s="404"/>
      <c r="V1263" s="407"/>
      <c r="W1263" s="464"/>
      <c r="X1263" s="408"/>
      <c r="Y1263" s="268"/>
      <c r="Z1263" s="267"/>
      <c r="AA1263" s="267"/>
      <c r="AB1263" s="267"/>
      <c r="AC1263" s="267"/>
      <c r="AD1263" s="268"/>
      <c r="AE1263" s="269"/>
    </row>
    <row r="1264" spans="1:31" ht="57.75" thickBot="1">
      <c r="A1264" s="393"/>
      <c r="B1264" s="414"/>
      <c r="C1264" s="414" t="s">
        <v>197</v>
      </c>
      <c r="D1264" s="415">
        <f t="shared" ref="D1264:P1264" si="417">IF(((D1262="")*AND(D1263="")),"",(D1262-D1263)*2)</f>
        <v>5531.7000000000007</v>
      </c>
      <c r="E1264" s="415">
        <f t="shared" si="417"/>
        <v>5557.8000000000011</v>
      </c>
      <c r="F1264" s="415">
        <f t="shared" si="417"/>
        <v>5538.1</v>
      </c>
      <c r="G1264" s="415">
        <f t="shared" si="417"/>
        <v>5555.6</v>
      </c>
      <c r="H1264" s="415">
        <f t="shared" si="417"/>
        <v>5562.5</v>
      </c>
      <c r="I1264" s="415">
        <f t="shared" si="417"/>
        <v>5641.5999999999985</v>
      </c>
      <c r="J1264" s="415">
        <f t="shared" si="417"/>
        <v>5573.0599999999995</v>
      </c>
      <c r="K1264" s="415">
        <f t="shared" si="417"/>
        <v>5571.76</v>
      </c>
      <c r="L1264" s="415">
        <f t="shared" si="417"/>
        <v>5541.68</v>
      </c>
      <c r="M1264" s="415">
        <f t="shared" si="417"/>
        <v>5607.16</v>
      </c>
      <c r="N1264" s="415">
        <f t="shared" si="417"/>
        <v>5609.26</v>
      </c>
      <c r="O1264" s="415">
        <f t="shared" si="417"/>
        <v>5595.7199999999993</v>
      </c>
      <c r="P1264" s="415">
        <f t="shared" si="417"/>
        <v>5634.92</v>
      </c>
      <c r="Q1264" s="414"/>
      <c r="R1264" s="414"/>
      <c r="S1264" s="414"/>
      <c r="T1264" s="414"/>
      <c r="U1264" s="414"/>
      <c r="V1264" s="416"/>
      <c r="W1264" s="465"/>
      <c r="X1264" s="417"/>
      <c r="Y1264" s="268"/>
      <c r="Z1264" s="267"/>
      <c r="AA1264" s="267"/>
      <c r="AB1264" s="267"/>
      <c r="AC1264" s="267"/>
      <c r="AD1264" s="268"/>
      <c r="AE1264" s="269"/>
    </row>
    <row r="1265" spans="1:31" ht="15.75">
      <c r="A1265" s="344">
        <v>44065</v>
      </c>
      <c r="B1265" s="395" t="s">
        <v>202</v>
      </c>
      <c r="C1265" s="396" t="s">
        <v>199</v>
      </c>
      <c r="D1265">
        <v>5947</v>
      </c>
      <c r="E1265">
        <v>6113</v>
      </c>
      <c r="F1265">
        <v>6119</v>
      </c>
      <c r="G1265">
        <v>6080</v>
      </c>
      <c r="H1265">
        <v>5904</v>
      </c>
      <c r="I1265">
        <v>6110</v>
      </c>
      <c r="J1265">
        <v>6103</v>
      </c>
      <c r="K1265">
        <v>5834</v>
      </c>
      <c r="L1265">
        <v>5960</v>
      </c>
      <c r="M1265" s="398"/>
      <c r="N1265" s="398"/>
      <c r="O1265" s="398"/>
      <c r="P1265" s="398"/>
      <c r="Q1265" s="395">
        <f>IF((L1266=""),"",MAX(D1267:L1267))</f>
        <v>6588</v>
      </c>
      <c r="R1265" s="395">
        <f>IF(L1266="","",MIN(D1267:L1267))</f>
        <v>6342</v>
      </c>
      <c r="S1265" s="399">
        <f>IF((L1267=""),"",AVERAGE(D1267:L1267))</f>
        <v>6503</v>
      </c>
      <c r="T1265" s="400">
        <f>IF((L1266=""),"",(Q1265-R1265)/(Q1265+R1265)*100)</f>
        <v>1.9025522041763343</v>
      </c>
      <c r="U1265" s="395">
        <f>STDEV(D1267:P1267)</f>
        <v>94.511904012140178</v>
      </c>
      <c r="V1265" s="401" t="str">
        <f>IF(L1266="","",IF(T1265&lt;9.8,IF(S1265&gt;5100,IF(S1265&lt;8300,"Pass","Fail"),"Fail"),"Fail"))</f>
        <v>Pass</v>
      </c>
      <c r="W1265" s="466">
        <v>1340</v>
      </c>
      <c r="X1265" s="457" t="s">
        <v>547</v>
      </c>
      <c r="Y1265" s="268" t="s">
        <v>542</v>
      </c>
      <c r="Z1265" s="267">
        <v>4955</v>
      </c>
      <c r="AA1265" s="267">
        <v>9645</v>
      </c>
      <c r="AB1265" s="267">
        <v>5100</v>
      </c>
      <c r="AC1265" s="267">
        <v>8300</v>
      </c>
      <c r="AD1265" s="305">
        <v>10</v>
      </c>
      <c r="AE1265" s="305">
        <v>9.8000000000000007</v>
      </c>
    </row>
    <row r="1266" spans="1:31" ht="15.75">
      <c r="A1266" s="390"/>
      <c r="B1266" s="404"/>
      <c r="C1266" s="405" t="s">
        <v>198</v>
      </c>
      <c r="D1266">
        <v>3833</v>
      </c>
      <c r="E1266">
        <v>3940</v>
      </c>
      <c r="F1266">
        <v>3928</v>
      </c>
      <c r="G1266">
        <v>3884</v>
      </c>
      <c r="H1266">
        <v>3739</v>
      </c>
      <c r="I1266">
        <v>3924</v>
      </c>
      <c r="J1266">
        <v>3918</v>
      </c>
      <c r="K1266">
        <v>3719</v>
      </c>
      <c r="L1266">
        <v>3776</v>
      </c>
      <c r="M1266" s="406"/>
      <c r="N1266" s="406"/>
      <c r="O1266" s="406"/>
      <c r="P1266" s="406"/>
      <c r="Q1266" s="404"/>
      <c r="R1266" s="404"/>
      <c r="S1266" s="404"/>
      <c r="T1266" s="404"/>
      <c r="U1266" s="404"/>
      <c r="V1266" s="407"/>
      <c r="W1266" s="464"/>
      <c r="X1266" s="408"/>
      <c r="Y1266" s="268"/>
      <c r="Z1266" s="267"/>
      <c r="AA1266" s="267"/>
      <c r="AB1266" s="267"/>
      <c r="AC1266" s="267"/>
      <c r="AD1266" s="268"/>
      <c r="AE1266" s="269"/>
    </row>
    <row r="1267" spans="1:31" ht="57.75" thickBot="1">
      <c r="A1267" s="390"/>
      <c r="B1267" s="404"/>
      <c r="C1267" s="409" t="s">
        <v>197</v>
      </c>
      <c r="D1267" s="410">
        <f t="shared" ref="D1267:L1267" si="418">IF(((D1265="")*AND(D1266="")),"",(D1265-D1266)*3)</f>
        <v>6342</v>
      </c>
      <c r="E1267" s="410">
        <f t="shared" si="418"/>
        <v>6519</v>
      </c>
      <c r="F1267" s="410">
        <f t="shared" si="418"/>
        <v>6573</v>
      </c>
      <c r="G1267" s="410">
        <f t="shared" si="418"/>
        <v>6588</v>
      </c>
      <c r="H1267" s="410">
        <f t="shared" si="418"/>
        <v>6495</v>
      </c>
      <c r="I1267" s="410">
        <f t="shared" si="418"/>
        <v>6558</v>
      </c>
      <c r="J1267" s="410">
        <f t="shared" si="418"/>
        <v>6555</v>
      </c>
      <c r="K1267" s="410">
        <f t="shared" si="418"/>
        <v>6345</v>
      </c>
      <c r="L1267" s="410">
        <f t="shared" si="418"/>
        <v>6552</v>
      </c>
      <c r="M1267" s="410"/>
      <c r="N1267" s="410"/>
      <c r="O1267" s="410"/>
      <c r="P1267" s="410" t="str">
        <f>IF(((P1265="")*AND(P1266="")),"",(P1265-P1266)*2)</f>
        <v/>
      </c>
      <c r="Q1267" s="404"/>
      <c r="R1267" s="404"/>
      <c r="S1267" s="404"/>
      <c r="T1267" s="404"/>
      <c r="U1267" s="404"/>
      <c r="V1267" s="407"/>
      <c r="W1267" s="464"/>
      <c r="X1267" s="417"/>
      <c r="Y1267" s="268"/>
      <c r="Z1267" s="267"/>
      <c r="AA1267" s="267"/>
      <c r="AB1267" s="267"/>
      <c r="AC1267" s="267"/>
      <c r="AD1267" s="268"/>
      <c r="AE1267" s="269"/>
    </row>
    <row r="1268" spans="1:31" ht="15.75">
      <c r="A1268" s="344">
        <v>44065</v>
      </c>
      <c r="B1268" s="409" t="s">
        <v>200</v>
      </c>
      <c r="C1268" s="409" t="s">
        <v>199</v>
      </c>
      <c r="D1268">
        <v>6819</v>
      </c>
      <c r="E1268">
        <v>6962</v>
      </c>
      <c r="F1268">
        <v>6874</v>
      </c>
      <c r="G1268">
        <v>7001</v>
      </c>
      <c r="H1268">
        <v>7001</v>
      </c>
      <c r="I1268">
        <v>7049</v>
      </c>
      <c r="J1268">
        <v>7076</v>
      </c>
      <c r="K1268">
        <v>7048</v>
      </c>
      <c r="L1268">
        <v>6943</v>
      </c>
      <c r="M1268">
        <v>7121</v>
      </c>
      <c r="N1268">
        <v>7158</v>
      </c>
      <c r="O1268">
        <v>7022</v>
      </c>
      <c r="P1268">
        <v>7096</v>
      </c>
      <c r="Q1268" s="409">
        <f>IF((L1269=""),"",MAX(D1270:P1270))</f>
        <v>5624</v>
      </c>
      <c r="R1268" s="409">
        <f>IF(L1269="","",MIN(D1270:L1270))</f>
        <v>5508</v>
      </c>
      <c r="S1268" s="400">
        <f>IF((P1270=""),"",AVERAGE(D1270:P1270))</f>
        <v>5564.6153846153848</v>
      </c>
      <c r="T1268" s="412">
        <f>IF((L1269=""),"",(Q1268-R1268)/(Q1268+R1268)*100)</f>
        <v>1.0420409629895795</v>
      </c>
      <c r="U1268" s="409">
        <f>STDEV(D1270:P1270)</f>
        <v>37.985827316549191</v>
      </c>
      <c r="V1268" s="413" t="str">
        <f>IF(P1269="","",IF(T1268&lt;2.7,IF(S1268&gt;5130,IF(S1268&lt;5770,"Pass","Fail"),"Fail"),"Fail"))</f>
        <v>Pass</v>
      </c>
      <c r="W1268" s="463">
        <v>1340</v>
      </c>
      <c r="X1268" s="457" t="s">
        <v>547</v>
      </c>
      <c r="Y1268" s="268"/>
      <c r="Z1268" s="321">
        <v>4470</v>
      </c>
      <c r="AA1268" s="321">
        <v>6020</v>
      </c>
      <c r="AB1268" s="321">
        <v>5130</v>
      </c>
      <c r="AC1268" s="321">
        <v>5775</v>
      </c>
      <c r="AD1268" s="305">
        <v>10</v>
      </c>
      <c r="AE1268" s="322">
        <v>2.7</v>
      </c>
    </row>
    <row r="1269" spans="1:31" ht="15.75">
      <c r="A1269" s="390"/>
      <c r="B1269" s="404"/>
      <c r="C1269" s="404" t="s">
        <v>198</v>
      </c>
      <c r="D1269">
        <v>4065</v>
      </c>
      <c r="E1269">
        <v>4200</v>
      </c>
      <c r="F1269">
        <v>4100</v>
      </c>
      <c r="G1269">
        <v>4228</v>
      </c>
      <c r="H1269">
        <v>4235</v>
      </c>
      <c r="I1269">
        <v>4237</v>
      </c>
      <c r="J1269">
        <v>4293</v>
      </c>
      <c r="K1269">
        <v>4267</v>
      </c>
      <c r="L1269">
        <v>4179</v>
      </c>
      <c r="M1269">
        <v>4320</v>
      </c>
      <c r="N1269">
        <v>4362</v>
      </c>
      <c r="O1269">
        <v>4229</v>
      </c>
      <c r="P1269">
        <v>4285</v>
      </c>
      <c r="Q1269" s="404"/>
      <c r="R1269" s="404"/>
      <c r="S1269" s="404"/>
      <c r="T1269" s="404"/>
      <c r="U1269" s="404"/>
      <c r="V1269" s="407"/>
      <c r="W1269" s="464"/>
      <c r="X1269" s="408"/>
      <c r="Y1269" s="268"/>
      <c r="Z1269" s="267"/>
      <c r="AA1269" s="267"/>
      <c r="AB1269" s="267"/>
      <c r="AC1269" s="267"/>
      <c r="AD1269" s="268"/>
      <c r="AE1269" s="269"/>
    </row>
    <row r="1270" spans="1:31" ht="57.75" thickBot="1">
      <c r="A1270" s="393"/>
      <c r="B1270" s="414"/>
      <c r="C1270" s="414" t="s">
        <v>197</v>
      </c>
      <c r="D1270" s="415">
        <f t="shared" ref="D1270:P1270" si="419">IF(((D1268="")*AND(D1269="")),"",(D1268-D1269)*2)</f>
        <v>5508</v>
      </c>
      <c r="E1270" s="415">
        <f t="shared" si="419"/>
        <v>5524</v>
      </c>
      <c r="F1270" s="415">
        <f t="shared" si="419"/>
        <v>5548</v>
      </c>
      <c r="G1270" s="415">
        <f t="shared" si="419"/>
        <v>5546</v>
      </c>
      <c r="H1270" s="415">
        <f t="shared" si="419"/>
        <v>5532</v>
      </c>
      <c r="I1270" s="415">
        <f t="shared" si="419"/>
        <v>5624</v>
      </c>
      <c r="J1270" s="415">
        <f t="shared" si="419"/>
        <v>5566</v>
      </c>
      <c r="K1270" s="415">
        <f t="shared" si="419"/>
        <v>5562</v>
      </c>
      <c r="L1270" s="415">
        <f t="shared" si="419"/>
        <v>5528</v>
      </c>
      <c r="M1270" s="415">
        <f t="shared" si="419"/>
        <v>5602</v>
      </c>
      <c r="N1270" s="415">
        <f t="shared" si="419"/>
        <v>5592</v>
      </c>
      <c r="O1270" s="415">
        <f t="shared" si="419"/>
        <v>5586</v>
      </c>
      <c r="P1270" s="415">
        <f t="shared" si="419"/>
        <v>5622</v>
      </c>
      <c r="Q1270" s="414"/>
      <c r="R1270" s="414"/>
      <c r="S1270" s="414"/>
      <c r="T1270" s="414"/>
      <c r="U1270" s="414"/>
      <c r="V1270" s="416"/>
      <c r="W1270" s="465"/>
      <c r="X1270" s="417"/>
      <c r="Y1270" s="268"/>
      <c r="Z1270" s="267"/>
      <c r="AA1270" s="267"/>
      <c r="AB1270" s="267"/>
      <c r="AC1270" s="267"/>
      <c r="AD1270" s="268"/>
      <c r="AE1270" s="269"/>
    </row>
    <row r="1271" spans="1:31" ht="15.75">
      <c r="A1271" s="344">
        <v>44070</v>
      </c>
      <c r="B1271" s="395" t="s">
        <v>202</v>
      </c>
      <c r="C1271" s="396" t="s">
        <v>199</v>
      </c>
      <c r="D1271">
        <v>5801.12</v>
      </c>
      <c r="E1271">
        <v>6090.47</v>
      </c>
      <c r="F1271">
        <v>6096.32</v>
      </c>
      <c r="G1271">
        <v>5902.92</v>
      </c>
      <c r="H1271">
        <v>6122.07</v>
      </c>
      <c r="I1271">
        <v>6108.9</v>
      </c>
      <c r="J1271">
        <v>6064.59</v>
      </c>
      <c r="K1271">
        <v>6122.07</v>
      </c>
      <c r="L1271">
        <v>5846.98</v>
      </c>
      <c r="M1271" s="398"/>
      <c r="N1271" s="398"/>
      <c r="O1271" s="398"/>
      <c r="P1271" s="398"/>
      <c r="Q1271" s="395">
        <f>IF((L1272=""),"",MAX(D1273:L1273))</f>
        <v>6900.0899999999992</v>
      </c>
      <c r="R1271" s="395">
        <f>IF(L1272="","",MIN(D1273:L1273))</f>
        <v>6117.0300000000007</v>
      </c>
      <c r="S1271" s="399">
        <f>IF((L1273=""),"",AVERAGE(D1273:L1273))</f>
        <v>6702.7699999999986</v>
      </c>
      <c r="T1271" s="400">
        <f>IF((L1272=""),"",(Q1271-R1271)/(Q1271+R1271)*100)</f>
        <v>6.015616357535297</v>
      </c>
      <c r="U1271" s="395">
        <f>STDEV(D1273:P1273)</f>
        <v>235.00889477851993</v>
      </c>
      <c r="V1271" s="401" t="str">
        <f>IF(L1272="","",IF(T1271&lt;9.8,IF(S1271&gt;5100,IF(S1271&lt;8300,"Pass","Fail"),"Fail"),"Fail"))</f>
        <v>Pass</v>
      </c>
      <c r="W1271" s="466">
        <v>1335</v>
      </c>
      <c r="X1271" s="457" t="s">
        <v>549</v>
      </c>
      <c r="Y1271" s="268" t="s">
        <v>542</v>
      </c>
      <c r="Z1271" s="267">
        <v>4955</v>
      </c>
      <c r="AA1271" s="267">
        <v>9645</v>
      </c>
      <c r="AB1271" s="267">
        <v>5100</v>
      </c>
      <c r="AC1271" s="267">
        <v>8300</v>
      </c>
      <c r="AD1271" s="305">
        <v>10</v>
      </c>
      <c r="AE1271" s="305">
        <v>9.8000000000000007</v>
      </c>
    </row>
    <row r="1272" spans="1:31" ht="15.75">
      <c r="A1272" s="390"/>
      <c r="B1272" s="404"/>
      <c r="C1272" s="405" t="s">
        <v>198</v>
      </c>
      <c r="D1272">
        <v>3580.38</v>
      </c>
      <c r="E1272">
        <v>3822.04</v>
      </c>
      <c r="F1272">
        <v>3863.91</v>
      </c>
      <c r="G1272">
        <v>3863.91</v>
      </c>
      <c r="H1272">
        <v>3822.04</v>
      </c>
      <c r="I1272">
        <v>3873.71</v>
      </c>
      <c r="J1272">
        <v>3780.38</v>
      </c>
      <c r="K1272">
        <v>3880.38</v>
      </c>
      <c r="L1272">
        <v>3560.38</v>
      </c>
      <c r="M1272" s="406"/>
      <c r="N1272" s="406"/>
      <c r="O1272" s="406"/>
      <c r="P1272" s="406"/>
      <c r="Q1272" s="404"/>
      <c r="R1272" s="404"/>
      <c r="S1272" s="404"/>
      <c r="T1272" s="404"/>
      <c r="U1272" s="404"/>
      <c r="V1272" s="407"/>
      <c r="W1272" s="404"/>
      <c r="X1272" s="408"/>
      <c r="Y1272" s="268"/>
      <c r="Z1272" s="267"/>
      <c r="AA1272" s="267"/>
      <c r="AB1272" s="267"/>
      <c r="AC1272" s="267"/>
      <c r="AD1272" s="268"/>
      <c r="AE1272" s="269"/>
    </row>
    <row r="1273" spans="1:31" ht="57.75" thickBot="1">
      <c r="A1273" s="390"/>
      <c r="B1273" s="404"/>
      <c r="C1273" s="409" t="s">
        <v>197</v>
      </c>
      <c r="D1273" s="410">
        <f t="shared" ref="D1273:L1273" si="420">IF(((D1271="")*AND(D1272="")),"",(D1271-D1272)*3)</f>
        <v>6662.2199999999993</v>
      </c>
      <c r="E1273" s="410">
        <f t="shared" si="420"/>
        <v>6805.2900000000009</v>
      </c>
      <c r="F1273" s="410">
        <f t="shared" si="420"/>
        <v>6697.23</v>
      </c>
      <c r="G1273" s="410">
        <f t="shared" si="420"/>
        <v>6117.0300000000007</v>
      </c>
      <c r="H1273" s="410">
        <f t="shared" si="420"/>
        <v>6900.0899999999992</v>
      </c>
      <c r="I1273" s="410">
        <f t="shared" si="420"/>
        <v>6705.5699999999988</v>
      </c>
      <c r="J1273" s="410">
        <f t="shared" si="420"/>
        <v>6852.63</v>
      </c>
      <c r="K1273" s="410">
        <f t="shared" si="420"/>
        <v>6725.0699999999988</v>
      </c>
      <c r="L1273" s="410">
        <f t="shared" si="420"/>
        <v>6859.7999999999984</v>
      </c>
      <c r="M1273" s="410"/>
      <c r="N1273" s="410"/>
      <c r="O1273" s="410"/>
      <c r="P1273" s="410" t="str">
        <f>IF(((P1271="")*AND(P1272="")),"",(P1271-P1272)*2)</f>
        <v/>
      </c>
      <c r="Q1273" s="404"/>
      <c r="R1273" s="404"/>
      <c r="S1273" s="404"/>
      <c r="T1273" s="404"/>
      <c r="U1273" s="404"/>
      <c r="V1273" s="407"/>
      <c r="W1273" s="404"/>
      <c r="X1273" s="417"/>
      <c r="Y1273" s="268"/>
      <c r="Z1273" s="267"/>
      <c r="AA1273" s="267"/>
      <c r="AB1273" s="267"/>
      <c r="AC1273" s="267"/>
      <c r="AD1273" s="268"/>
      <c r="AE1273" s="269"/>
    </row>
    <row r="1274" spans="1:31" ht="15.75">
      <c r="A1274" s="344">
        <v>44070</v>
      </c>
      <c r="B1274" s="409" t="s">
        <v>200</v>
      </c>
      <c r="C1274" s="409" t="s">
        <v>199</v>
      </c>
      <c r="D1274">
        <v>6843.8</v>
      </c>
      <c r="E1274">
        <v>6985.67</v>
      </c>
      <c r="F1274">
        <v>7035.31</v>
      </c>
      <c r="G1274">
        <v>7057.19</v>
      </c>
      <c r="H1274">
        <v>7118.25</v>
      </c>
      <c r="I1274">
        <v>7136.1</v>
      </c>
      <c r="J1274">
        <v>7040.16</v>
      </c>
      <c r="K1274">
        <v>7089.73</v>
      </c>
      <c r="L1274">
        <v>6959.53</v>
      </c>
      <c r="M1274">
        <v>6902.1</v>
      </c>
      <c r="N1274">
        <v>6979.25</v>
      </c>
      <c r="O1274">
        <v>7007.51</v>
      </c>
      <c r="P1274">
        <v>7079.6</v>
      </c>
      <c r="Q1274" s="409">
        <f>IF((L1275=""),"",MAX(D1276:P1276))</f>
        <v>5568.1</v>
      </c>
      <c r="R1274" s="409">
        <f>IF(L1275="","",MIN(D1276:L1276))</f>
        <v>5453</v>
      </c>
      <c r="S1274" s="400">
        <f>IF((P1276=""),"",AVERAGE(D1276:P1276))</f>
        <v>5506.2553846153851</v>
      </c>
      <c r="T1274" s="412">
        <f>IF((L1275=""),"",(Q1274-R1274)/(Q1274+R1274)*100)</f>
        <v>1.0443603633031218</v>
      </c>
      <c r="U1274" s="409">
        <f>STDEV(D1276:P1276)</f>
        <v>40.197235521607041</v>
      </c>
      <c r="V1274" s="413" t="str">
        <f>IF(P1275="","",IF(T1274&lt;2.7,IF(S1274&gt;5130,IF(S1274&lt;5770,"Pass","Fail"),"Fail"),"Fail"))</f>
        <v>Pass</v>
      </c>
      <c r="W1274" s="463">
        <v>1335</v>
      </c>
      <c r="X1274" s="457" t="s">
        <v>549</v>
      </c>
      <c r="Y1274" s="268"/>
      <c r="Z1274" s="321">
        <v>4470</v>
      </c>
      <c r="AA1274" s="321">
        <v>6020</v>
      </c>
      <c r="AB1274" s="321">
        <v>5130</v>
      </c>
      <c r="AC1274" s="321">
        <v>5775</v>
      </c>
      <c r="AD1274" s="305">
        <v>10</v>
      </c>
      <c r="AE1274" s="322">
        <v>2.7</v>
      </c>
    </row>
    <row r="1275" spans="1:31" ht="15.75">
      <c r="A1275" s="390"/>
      <c r="B1275" s="404"/>
      <c r="C1275" s="404" t="s">
        <v>198</v>
      </c>
      <c r="D1275">
        <v>4117.3</v>
      </c>
      <c r="E1275">
        <v>4256.96</v>
      </c>
      <c r="F1275">
        <v>4251.26</v>
      </c>
      <c r="G1275">
        <v>4301.24</v>
      </c>
      <c r="H1275">
        <v>4344.05</v>
      </c>
      <c r="I1275">
        <v>4372.41</v>
      </c>
      <c r="J1275">
        <v>4274.51</v>
      </c>
      <c r="K1275">
        <v>4308.01</v>
      </c>
      <c r="L1275">
        <v>4228.99</v>
      </c>
      <c r="M1275">
        <v>4164.6499999999996</v>
      </c>
      <c r="N1275">
        <v>4242</v>
      </c>
      <c r="O1275">
        <v>4259.46</v>
      </c>
      <c r="P1275">
        <v>4322.7</v>
      </c>
      <c r="Q1275" s="404"/>
      <c r="R1275" s="404"/>
      <c r="S1275" s="404"/>
      <c r="T1275" s="404"/>
      <c r="U1275" s="404"/>
      <c r="V1275" s="407"/>
      <c r="W1275" s="404"/>
      <c r="X1275" s="408"/>
      <c r="Y1275" s="268"/>
      <c r="Z1275" s="267"/>
      <c r="AA1275" s="267"/>
      <c r="AB1275" s="267"/>
      <c r="AC1275" s="267"/>
      <c r="AD1275" s="268"/>
      <c r="AE1275" s="269"/>
    </row>
    <row r="1276" spans="1:31" ht="57.75" thickBot="1">
      <c r="A1276" s="393"/>
      <c r="B1276" s="414"/>
      <c r="C1276" s="414" t="s">
        <v>197</v>
      </c>
      <c r="D1276" s="415">
        <f t="shared" ref="D1276:P1276" si="421">IF(((D1274="")*AND(D1275="")),"",(D1274-D1275)*2)</f>
        <v>5453</v>
      </c>
      <c r="E1276" s="415">
        <f t="shared" si="421"/>
        <v>5457.42</v>
      </c>
      <c r="F1276" s="415">
        <f t="shared" si="421"/>
        <v>5568.1</v>
      </c>
      <c r="G1276" s="415">
        <f t="shared" si="421"/>
        <v>5511.9</v>
      </c>
      <c r="H1276" s="415">
        <f t="shared" si="421"/>
        <v>5548.4</v>
      </c>
      <c r="I1276" s="415">
        <f t="shared" si="421"/>
        <v>5527.380000000001</v>
      </c>
      <c r="J1276" s="415">
        <f t="shared" si="421"/>
        <v>5531.2999999999993</v>
      </c>
      <c r="K1276" s="415">
        <f t="shared" si="421"/>
        <v>5563.4399999999987</v>
      </c>
      <c r="L1276" s="415">
        <f t="shared" si="421"/>
        <v>5461.08</v>
      </c>
      <c r="M1276" s="415">
        <f t="shared" si="421"/>
        <v>5474.9000000000015</v>
      </c>
      <c r="N1276" s="415">
        <f t="shared" si="421"/>
        <v>5474.5</v>
      </c>
      <c r="O1276" s="415">
        <f t="shared" si="421"/>
        <v>5496.1</v>
      </c>
      <c r="P1276" s="415">
        <f t="shared" si="421"/>
        <v>5513.8000000000011</v>
      </c>
      <c r="Q1276" s="414"/>
      <c r="R1276" s="414"/>
      <c r="S1276" s="414"/>
      <c r="T1276" s="414"/>
      <c r="U1276" s="414"/>
      <c r="V1276" s="416"/>
      <c r="W1276" s="414"/>
      <c r="X1276" s="417"/>
      <c r="Y1276" s="268"/>
      <c r="Z1276" s="267"/>
      <c r="AA1276" s="267"/>
      <c r="AB1276" s="267"/>
      <c r="AC1276" s="267"/>
      <c r="AD1276" s="268"/>
      <c r="AE1276" s="269"/>
    </row>
    <row r="1277" spans="1:31" ht="15.75">
      <c r="A1277" s="344">
        <v>44074</v>
      </c>
      <c r="B1277" s="395" t="s">
        <v>202</v>
      </c>
      <c r="C1277" s="396" t="s">
        <v>199</v>
      </c>
      <c r="D1277">
        <v>5938</v>
      </c>
      <c r="E1277">
        <v>6103</v>
      </c>
      <c r="F1277">
        <v>6111</v>
      </c>
      <c r="G1277">
        <v>6069</v>
      </c>
      <c r="H1277">
        <v>5876</v>
      </c>
      <c r="I1277">
        <v>6104</v>
      </c>
      <c r="J1277">
        <v>6097</v>
      </c>
      <c r="K1277">
        <v>5837</v>
      </c>
      <c r="L1277">
        <v>5950</v>
      </c>
      <c r="M1277" s="398"/>
      <c r="N1277" s="398"/>
      <c r="O1277" s="398"/>
      <c r="P1277" s="398"/>
      <c r="Q1277" s="395">
        <f>IF((L1278=""),"",MAX(D1279:L1279))</f>
        <v>6597</v>
      </c>
      <c r="R1277" s="395">
        <f>IF(L1278="","",MIN(D1279:L1279))</f>
        <v>6387</v>
      </c>
      <c r="S1277" s="399">
        <f>IF((L1279=""),"",AVERAGE(D1279:L1279))</f>
        <v>6527.333333333333</v>
      </c>
      <c r="T1277" s="400">
        <f>IF((L1278=""),"",(Q1277-R1277)/(Q1277+R1277)*100)</f>
        <v>1.6173752310536045</v>
      </c>
      <c r="U1277" s="395">
        <f>STDEV(D1279:P1279)</f>
        <v>75.995065629289385</v>
      </c>
      <c r="V1277" s="401" t="str">
        <f>IF(L1278="","",IF(T1277&lt;9.8,IF(S1277&gt;5100,IF(S1277&lt;8300,"Pass","Fail"),"Fail"),"Fail"))</f>
        <v>Pass</v>
      </c>
      <c r="W1277" s="395" t="s">
        <v>550</v>
      </c>
      <c r="X1277" s="457"/>
      <c r="Y1277" s="268" t="s">
        <v>542</v>
      </c>
      <c r="Z1277" s="267">
        <v>4955</v>
      </c>
      <c r="AA1277" s="267">
        <v>9645</v>
      </c>
      <c r="AB1277" s="267">
        <v>5100</v>
      </c>
      <c r="AC1277" s="267">
        <v>8300</v>
      </c>
      <c r="AD1277" s="305">
        <v>10</v>
      </c>
      <c r="AE1277" s="305">
        <v>9.8000000000000007</v>
      </c>
    </row>
    <row r="1278" spans="1:31" ht="15.75">
      <c r="A1278" s="390"/>
      <c r="B1278" s="404"/>
      <c r="C1278" s="405" t="s">
        <v>198</v>
      </c>
      <c r="D1278">
        <v>3809</v>
      </c>
      <c r="E1278">
        <v>3925</v>
      </c>
      <c r="F1278">
        <v>3920</v>
      </c>
      <c r="G1278">
        <v>3870</v>
      </c>
      <c r="H1278">
        <v>3695</v>
      </c>
      <c r="I1278">
        <v>3914</v>
      </c>
      <c r="J1278">
        <v>3910</v>
      </c>
      <c r="K1278">
        <v>3701</v>
      </c>
      <c r="L1278">
        <v>3759</v>
      </c>
      <c r="M1278" s="406"/>
      <c r="N1278" s="406"/>
      <c r="O1278" s="406"/>
      <c r="P1278" s="406"/>
      <c r="Q1278" s="404"/>
      <c r="R1278" s="404"/>
      <c r="S1278" s="404"/>
      <c r="T1278" s="404"/>
      <c r="U1278" s="404"/>
      <c r="V1278" s="407"/>
      <c r="W1278" s="404"/>
      <c r="X1278" s="408"/>
      <c r="Y1278" s="268"/>
      <c r="Z1278" s="267"/>
      <c r="AA1278" s="267"/>
      <c r="AB1278" s="267"/>
      <c r="AC1278" s="267"/>
      <c r="AD1278" s="268"/>
      <c r="AE1278" s="269"/>
    </row>
    <row r="1279" spans="1:31" ht="57.75" thickBot="1">
      <c r="A1279" s="390"/>
      <c r="B1279" s="404"/>
      <c r="C1279" s="409" t="s">
        <v>197</v>
      </c>
      <c r="D1279" s="410">
        <f t="shared" ref="D1279:L1279" si="422">IF(((D1277="")*AND(D1278="")),"",(D1277-D1278)*3)</f>
        <v>6387</v>
      </c>
      <c r="E1279" s="410">
        <f t="shared" si="422"/>
        <v>6534</v>
      </c>
      <c r="F1279" s="410">
        <f t="shared" si="422"/>
        <v>6573</v>
      </c>
      <c r="G1279" s="410">
        <f t="shared" si="422"/>
        <v>6597</v>
      </c>
      <c r="H1279" s="410">
        <f t="shared" si="422"/>
        <v>6543</v>
      </c>
      <c r="I1279" s="410">
        <f t="shared" si="422"/>
        <v>6570</v>
      </c>
      <c r="J1279" s="410">
        <f t="shared" si="422"/>
        <v>6561</v>
      </c>
      <c r="K1279" s="410">
        <f t="shared" si="422"/>
        <v>6408</v>
      </c>
      <c r="L1279" s="410">
        <f t="shared" si="422"/>
        <v>6573</v>
      </c>
      <c r="M1279" s="410"/>
      <c r="N1279" s="410"/>
      <c r="O1279" s="410"/>
      <c r="P1279" s="410" t="str">
        <f>IF(((P1277="")*AND(P1278="")),"",(P1277-P1278)*2)</f>
        <v/>
      </c>
      <c r="Q1279" s="404"/>
      <c r="R1279" s="404"/>
      <c r="S1279" s="404"/>
      <c r="T1279" s="404"/>
      <c r="U1279" s="404"/>
      <c r="V1279" s="407"/>
      <c r="W1279" s="404"/>
      <c r="X1279" s="417"/>
      <c r="Y1279" s="268"/>
      <c r="Z1279" s="267"/>
      <c r="AA1279" s="267"/>
      <c r="AB1279" s="267"/>
      <c r="AC1279" s="267"/>
      <c r="AD1279" s="268"/>
      <c r="AE1279" s="269"/>
    </row>
    <row r="1280" spans="1:31" ht="15.75">
      <c r="A1280" s="344">
        <v>44074</v>
      </c>
      <c r="B1280" s="409" t="s">
        <v>200</v>
      </c>
      <c r="C1280" s="409" t="s">
        <v>199</v>
      </c>
      <c r="D1280">
        <v>6832</v>
      </c>
      <c r="E1280">
        <v>6971</v>
      </c>
      <c r="F1280">
        <v>6889</v>
      </c>
      <c r="G1280">
        <v>7015</v>
      </c>
      <c r="H1280">
        <v>7010</v>
      </c>
      <c r="I1280">
        <v>7058</v>
      </c>
      <c r="J1280">
        <v>7089</v>
      </c>
      <c r="K1280">
        <v>7063</v>
      </c>
      <c r="L1280">
        <v>6960</v>
      </c>
      <c r="M1280">
        <v>7133</v>
      </c>
      <c r="N1280">
        <v>7164</v>
      </c>
      <c r="O1280">
        <v>7037</v>
      </c>
      <c r="P1280">
        <v>7105</v>
      </c>
      <c r="Q1280" s="409">
        <f>IF((L1281=""),"",MAX(D1282:P1282))</f>
        <v>5624</v>
      </c>
      <c r="R1280" s="409">
        <f>IF(L1281="","",MIN(D1282:L1282))</f>
        <v>5500</v>
      </c>
      <c r="S1280" s="400">
        <f>IF((P1282=""),"",AVERAGE(D1282:P1282))</f>
        <v>5555.0769230769229</v>
      </c>
      <c r="T1280" s="412">
        <f>IF((L1281=""),"",(Q1280-R1280)/(Q1280+R1280)*100)</f>
        <v>1.1147069399496585</v>
      </c>
      <c r="U1280" s="409">
        <f>STDEV(D1282:P1282)</f>
        <v>41.203684176830251</v>
      </c>
      <c r="V1280" s="413" t="str">
        <f>IF(P1281="","",IF(T1280&lt;2.7,IF(S1280&gt;5130,IF(S1280&lt;5770,"Pass","Fail"),"Fail"),"Fail"))</f>
        <v>Pass</v>
      </c>
      <c r="W1280" s="463" t="s">
        <v>550</v>
      </c>
      <c r="X1280" s="457"/>
      <c r="Y1280" s="268"/>
      <c r="Z1280" s="321">
        <v>4470</v>
      </c>
      <c r="AA1280" s="321">
        <v>6020</v>
      </c>
      <c r="AB1280" s="321">
        <v>5130</v>
      </c>
      <c r="AC1280" s="321">
        <v>5775</v>
      </c>
      <c r="AD1280" s="305">
        <v>10</v>
      </c>
      <c r="AE1280" s="322">
        <v>2.7</v>
      </c>
    </row>
    <row r="1281" spans="1:31" ht="15.75">
      <c r="A1281" s="390"/>
      <c r="B1281" s="404"/>
      <c r="C1281" s="404" t="s">
        <v>198</v>
      </c>
      <c r="D1281">
        <v>4082</v>
      </c>
      <c r="E1281">
        <v>4215</v>
      </c>
      <c r="F1281">
        <v>4129</v>
      </c>
      <c r="G1281">
        <v>4249</v>
      </c>
      <c r="H1281">
        <v>4246</v>
      </c>
      <c r="I1281">
        <v>4250</v>
      </c>
      <c r="J1281">
        <v>4314</v>
      </c>
      <c r="K1281">
        <v>4289</v>
      </c>
      <c r="L1281">
        <v>4199</v>
      </c>
      <c r="M1281">
        <v>4338</v>
      </c>
      <c r="N1281">
        <v>4367</v>
      </c>
      <c r="O1281">
        <v>4247</v>
      </c>
      <c r="P1281">
        <v>4293</v>
      </c>
      <c r="Q1281" s="404"/>
      <c r="R1281" s="404"/>
      <c r="S1281" s="404"/>
      <c r="T1281" s="404"/>
      <c r="U1281" s="404"/>
      <c r="V1281" s="407"/>
      <c r="W1281" s="404"/>
      <c r="X1281" s="408"/>
      <c r="Y1281" s="268"/>
      <c r="Z1281" s="267"/>
      <c r="AA1281" s="267"/>
      <c r="AB1281" s="267"/>
      <c r="AC1281" s="267"/>
      <c r="AD1281" s="268"/>
      <c r="AE1281" s="269"/>
    </row>
    <row r="1282" spans="1:31" ht="57.75" thickBot="1">
      <c r="A1282" s="393"/>
      <c r="B1282" s="414"/>
      <c r="C1282" s="414" t="s">
        <v>197</v>
      </c>
      <c r="D1282" s="415">
        <f t="shared" ref="D1282:P1282" si="423">IF(((D1280="")*AND(D1281="")),"",(D1280-D1281)*2)</f>
        <v>5500</v>
      </c>
      <c r="E1282" s="415">
        <f t="shared" si="423"/>
        <v>5512</v>
      </c>
      <c r="F1282" s="415">
        <f t="shared" si="423"/>
        <v>5520</v>
      </c>
      <c r="G1282" s="415">
        <f t="shared" si="423"/>
        <v>5532</v>
      </c>
      <c r="H1282" s="415">
        <f t="shared" si="423"/>
        <v>5528</v>
      </c>
      <c r="I1282" s="415">
        <f t="shared" si="423"/>
        <v>5616</v>
      </c>
      <c r="J1282" s="415">
        <f t="shared" si="423"/>
        <v>5550</v>
      </c>
      <c r="K1282" s="415">
        <f t="shared" si="423"/>
        <v>5548</v>
      </c>
      <c r="L1282" s="415">
        <f t="shared" si="423"/>
        <v>5522</v>
      </c>
      <c r="M1282" s="415">
        <f t="shared" si="423"/>
        <v>5590</v>
      </c>
      <c r="N1282" s="415">
        <f t="shared" si="423"/>
        <v>5594</v>
      </c>
      <c r="O1282" s="415">
        <f t="shared" si="423"/>
        <v>5580</v>
      </c>
      <c r="P1282" s="415">
        <f t="shared" si="423"/>
        <v>5624</v>
      </c>
      <c r="Q1282" s="414"/>
      <c r="R1282" s="414"/>
      <c r="S1282" s="414"/>
      <c r="T1282" s="414"/>
      <c r="U1282" s="414"/>
      <c r="V1282" s="416"/>
      <c r="W1282" s="414"/>
      <c r="X1282" s="417"/>
      <c r="Y1282" s="268"/>
      <c r="Z1282" s="267"/>
      <c r="AA1282" s="267"/>
      <c r="AB1282" s="267"/>
      <c r="AC1282" s="267"/>
      <c r="AD1282" s="268"/>
      <c r="AE1282" s="269"/>
    </row>
    <row r="1283" spans="1:31" ht="15.75">
      <c r="A1283" s="344">
        <v>44077</v>
      </c>
      <c r="B1283" s="395" t="s">
        <v>202</v>
      </c>
      <c r="C1283" s="396" t="s">
        <v>199</v>
      </c>
      <c r="D1283">
        <v>5805.21</v>
      </c>
      <c r="E1283">
        <v>6072.33</v>
      </c>
      <c r="F1283">
        <v>6079</v>
      </c>
      <c r="G1283">
        <v>5880.96</v>
      </c>
      <c r="H1283">
        <v>6079.9</v>
      </c>
      <c r="I1283">
        <v>6088.97</v>
      </c>
      <c r="J1283">
        <v>6042.17</v>
      </c>
      <c r="K1283">
        <v>5916.7</v>
      </c>
      <c r="L1283">
        <v>5812.64</v>
      </c>
      <c r="M1283" s="398"/>
      <c r="N1283" s="398"/>
      <c r="O1283" s="398"/>
      <c r="P1283" s="398"/>
      <c r="Q1283" s="395">
        <f>IF((L1284=""),"",MAX(D1285:L1285))</f>
        <v>7238.67</v>
      </c>
      <c r="R1283" s="395">
        <f>IF(L1284="","",MIN(D1285:L1285))</f>
        <v>6395.43</v>
      </c>
      <c r="S1283" s="399">
        <f>IF((L1285=""),"",AVERAGE(D1285:L1285))</f>
        <v>6980.2733333333335</v>
      </c>
      <c r="T1283" s="400">
        <f>IF((L1284=""),"",(Q1283-R1283)/(Q1283+R1283)*100)</f>
        <v>6.18478667458798</v>
      </c>
      <c r="U1283" s="395">
        <f>STDEV(D1285:P1285)</f>
        <v>308.843572945917</v>
      </c>
      <c r="V1283" s="401" t="str">
        <f>IF(L1284="","",IF(T1283&lt;9.8,IF(S1283&gt;5100,IF(S1283&lt;8300,"Pass","Fail"),"Fail"),"Fail"))</f>
        <v>Pass</v>
      </c>
      <c r="W1283" s="395">
        <v>64</v>
      </c>
      <c r="X1283" s="457" t="s">
        <v>559</v>
      </c>
      <c r="Y1283" s="268" t="s">
        <v>560</v>
      </c>
      <c r="Z1283" s="267">
        <v>4955</v>
      </c>
      <c r="AA1283" s="267">
        <v>9645</v>
      </c>
      <c r="AB1283" s="267">
        <v>5100</v>
      </c>
      <c r="AC1283" s="267">
        <v>8300</v>
      </c>
      <c r="AD1283" s="305">
        <v>10</v>
      </c>
      <c r="AE1283" s="305">
        <v>9.8000000000000007</v>
      </c>
    </row>
    <row r="1284" spans="1:31" ht="15.75">
      <c r="A1284" s="390"/>
      <c r="B1284" s="404"/>
      <c r="C1284" s="405" t="s">
        <v>198</v>
      </c>
      <c r="D1284">
        <v>3673.4</v>
      </c>
      <c r="E1284">
        <v>3673.4</v>
      </c>
      <c r="F1284">
        <v>3679.37</v>
      </c>
      <c r="G1284">
        <v>3568.83</v>
      </c>
      <c r="H1284">
        <v>3693.87</v>
      </c>
      <c r="I1284">
        <v>3681.09</v>
      </c>
      <c r="J1284">
        <v>3629.28</v>
      </c>
      <c r="K1284">
        <v>3618.91</v>
      </c>
      <c r="L1284">
        <v>3618.91</v>
      </c>
      <c r="M1284" s="406"/>
      <c r="N1284" s="406"/>
      <c r="O1284" s="406"/>
      <c r="P1284" s="406"/>
      <c r="Q1284" s="404"/>
      <c r="R1284" s="404"/>
      <c r="S1284" s="404"/>
      <c r="T1284" s="404"/>
      <c r="U1284" s="404"/>
      <c r="V1284" s="407"/>
      <c r="W1284" s="404"/>
      <c r="X1284" s="408"/>
      <c r="Y1284" s="268"/>
      <c r="Z1284" s="267"/>
      <c r="AA1284" s="267"/>
      <c r="AB1284" s="267"/>
      <c r="AC1284" s="267"/>
      <c r="AD1284" s="268"/>
      <c r="AE1284" s="269"/>
    </row>
    <row r="1285" spans="1:31" ht="57.75" thickBot="1">
      <c r="A1285" s="390"/>
      <c r="B1285" s="404"/>
      <c r="C1285" s="409" t="s">
        <v>197</v>
      </c>
      <c r="D1285" s="410">
        <f t="shared" ref="D1285:L1285" si="424">IF(((D1283="")*AND(D1284="")),"",(D1283-D1284)*3)</f>
        <v>6395.43</v>
      </c>
      <c r="E1285" s="410">
        <f t="shared" si="424"/>
        <v>7196.7899999999991</v>
      </c>
      <c r="F1285" s="410">
        <f t="shared" si="424"/>
        <v>7198.89</v>
      </c>
      <c r="G1285" s="410">
        <f t="shared" si="424"/>
        <v>6936.39</v>
      </c>
      <c r="H1285" s="410">
        <f t="shared" si="424"/>
        <v>7158.0899999999992</v>
      </c>
      <c r="I1285" s="410">
        <f t="shared" si="424"/>
        <v>7223.64</v>
      </c>
      <c r="J1285" s="410">
        <f t="shared" si="424"/>
        <v>7238.67</v>
      </c>
      <c r="K1285" s="410">
        <f t="shared" si="424"/>
        <v>6893.37</v>
      </c>
      <c r="L1285" s="410">
        <f t="shared" si="424"/>
        <v>6581.1900000000014</v>
      </c>
      <c r="M1285" s="410"/>
      <c r="N1285" s="410"/>
      <c r="O1285" s="410"/>
      <c r="P1285" s="410" t="str">
        <f>IF(((P1283="")*AND(P1284="")),"",(P1283-P1284)*2)</f>
        <v/>
      </c>
      <c r="Q1285" s="404"/>
      <c r="R1285" s="404"/>
      <c r="S1285" s="404"/>
      <c r="T1285" s="404"/>
      <c r="U1285" s="404"/>
      <c r="V1285" s="407"/>
      <c r="W1285" s="404"/>
      <c r="X1285" s="417"/>
      <c r="Y1285" s="268"/>
      <c r="Z1285" s="267"/>
      <c r="AA1285" s="267"/>
      <c r="AB1285" s="267"/>
      <c r="AC1285" s="267"/>
      <c r="AD1285" s="268"/>
      <c r="AE1285" s="269"/>
    </row>
    <row r="1286" spans="1:31" ht="15.75">
      <c r="A1286" s="344">
        <v>44077</v>
      </c>
      <c r="B1286" s="409" t="s">
        <v>200</v>
      </c>
      <c r="C1286" s="409" t="s">
        <v>199</v>
      </c>
      <c r="D1286">
        <v>6843.61</v>
      </c>
      <c r="E1286">
        <v>7002.59</v>
      </c>
      <c r="F1286">
        <v>7050.6</v>
      </c>
      <c r="G1286">
        <v>7062.35</v>
      </c>
      <c r="H1286">
        <v>7129.83</v>
      </c>
      <c r="I1286">
        <v>7152.93</v>
      </c>
      <c r="J1286">
        <v>7044.25</v>
      </c>
      <c r="K1286">
        <v>7102.09</v>
      </c>
      <c r="L1286">
        <v>6969.93</v>
      </c>
      <c r="M1286">
        <v>6898.34</v>
      </c>
      <c r="N1286">
        <v>6975.98</v>
      </c>
      <c r="O1286">
        <v>7015.36</v>
      </c>
      <c r="P1286">
        <v>7089.25</v>
      </c>
      <c r="Q1286" s="409">
        <f>IF((L1287=""),"",MAX(D1288:P1288))</f>
        <v>5700.58</v>
      </c>
      <c r="R1286" s="409">
        <f>IF(L1287="","",MIN(D1288:L1288))</f>
        <v>5516.32</v>
      </c>
      <c r="S1286" s="400">
        <f>IF((P1288=""),"",AVERAGE(D1288:P1288))</f>
        <v>5622.7230769230773</v>
      </c>
      <c r="T1286" s="412">
        <f>IF((L1287=""),"",(Q1286-R1286)/(Q1286+R1286)*100)</f>
        <v>1.6426998546835598</v>
      </c>
      <c r="U1286" s="409">
        <f>STDEV(D1288:P1288)</f>
        <v>63.028253371573747</v>
      </c>
      <c r="V1286" s="413" t="str">
        <f>IF(P1287="","",IF(T1286&lt;2.7,IF(S1286&gt;5130,IF(S1286&lt;5770,"Pass","Fail"),"Fail"),"Fail"))</f>
        <v>Pass</v>
      </c>
      <c r="W1286" s="463">
        <v>64</v>
      </c>
      <c r="X1286" s="457" t="s">
        <v>559</v>
      </c>
      <c r="Y1286" s="268" t="s">
        <v>560</v>
      </c>
      <c r="Z1286" s="321">
        <v>4470</v>
      </c>
      <c r="AA1286" s="321">
        <v>6020</v>
      </c>
      <c r="AB1286" s="321">
        <v>5130</v>
      </c>
      <c r="AC1286" s="321">
        <v>5775</v>
      </c>
      <c r="AD1286" s="305">
        <v>10</v>
      </c>
      <c r="AE1286" s="322">
        <v>2.7</v>
      </c>
    </row>
    <row r="1287" spans="1:31" ht="15.75">
      <c r="A1287" s="390"/>
      <c r="B1287" s="404"/>
      <c r="C1287" s="404" t="s">
        <v>198</v>
      </c>
      <c r="D1287">
        <v>4074.14</v>
      </c>
      <c r="E1287">
        <v>4244.43</v>
      </c>
      <c r="F1287">
        <v>4213</v>
      </c>
      <c r="G1287">
        <v>4231.1899999999996</v>
      </c>
      <c r="H1287">
        <v>4279.54</v>
      </c>
      <c r="I1287">
        <v>4338.03</v>
      </c>
      <c r="J1287">
        <v>4209.1499999999996</v>
      </c>
      <c r="K1287">
        <v>4256.43</v>
      </c>
      <c r="L1287">
        <v>4197.07</v>
      </c>
      <c r="M1287">
        <v>4112.55</v>
      </c>
      <c r="N1287">
        <v>4181.97</v>
      </c>
      <c r="O1287">
        <v>4195.99</v>
      </c>
      <c r="P1287">
        <v>4255.92</v>
      </c>
      <c r="Q1287" s="404"/>
      <c r="R1287" s="404"/>
      <c r="S1287" s="404"/>
      <c r="T1287" s="404"/>
      <c r="U1287" s="404"/>
      <c r="V1287" s="407"/>
      <c r="W1287" s="404"/>
      <c r="X1287" s="408"/>
      <c r="Y1287" s="268"/>
      <c r="Z1287" s="267"/>
      <c r="AA1287" s="267"/>
      <c r="AB1287" s="267"/>
      <c r="AC1287" s="267"/>
      <c r="AD1287" s="268"/>
      <c r="AE1287" s="269"/>
    </row>
    <row r="1288" spans="1:31" ht="57.75" thickBot="1">
      <c r="A1288" s="393"/>
      <c r="B1288" s="414"/>
      <c r="C1288" s="414" t="s">
        <v>197</v>
      </c>
      <c r="D1288" s="415">
        <f t="shared" ref="D1288:P1288" si="425">IF(((D1286="")*AND(D1287="")),"",(D1286-D1287)*2)</f>
        <v>5538.94</v>
      </c>
      <c r="E1288" s="415">
        <f t="shared" si="425"/>
        <v>5516.32</v>
      </c>
      <c r="F1288" s="415">
        <f t="shared" si="425"/>
        <v>5675.2000000000007</v>
      </c>
      <c r="G1288" s="415">
        <f t="shared" si="425"/>
        <v>5662.3200000000015</v>
      </c>
      <c r="H1288" s="415">
        <f t="shared" si="425"/>
        <v>5700.58</v>
      </c>
      <c r="I1288" s="415">
        <f t="shared" si="425"/>
        <v>5629.8000000000011</v>
      </c>
      <c r="J1288" s="415">
        <f t="shared" si="425"/>
        <v>5670.2000000000007</v>
      </c>
      <c r="K1288" s="415">
        <f t="shared" si="425"/>
        <v>5691.32</v>
      </c>
      <c r="L1288" s="415">
        <f t="shared" si="425"/>
        <v>5545.7200000000012</v>
      </c>
      <c r="M1288" s="415">
        <f t="shared" si="425"/>
        <v>5571.58</v>
      </c>
      <c r="N1288" s="415">
        <f t="shared" si="425"/>
        <v>5588.0199999999986</v>
      </c>
      <c r="O1288" s="415">
        <f t="shared" si="425"/>
        <v>5638.74</v>
      </c>
      <c r="P1288" s="415">
        <f t="shared" si="425"/>
        <v>5666.66</v>
      </c>
      <c r="Q1288" s="414"/>
      <c r="R1288" s="414"/>
      <c r="S1288" s="414"/>
      <c r="T1288" s="414"/>
      <c r="U1288" s="414"/>
      <c r="V1288" s="416"/>
      <c r="W1288" s="414"/>
      <c r="X1288" s="417"/>
      <c r="Y1288" s="268"/>
      <c r="Z1288" s="267"/>
      <c r="AA1288" s="267"/>
      <c r="AB1288" s="267"/>
      <c r="AC1288" s="267"/>
      <c r="AD1288" s="268"/>
      <c r="AE1288" s="269"/>
    </row>
    <row r="1289" spans="1:31" ht="15.75">
      <c r="A1289" s="344">
        <v>44084</v>
      </c>
      <c r="B1289" s="395" t="s">
        <v>202</v>
      </c>
      <c r="C1289" s="396" t="s">
        <v>199</v>
      </c>
      <c r="D1289">
        <v>5887.21</v>
      </c>
      <c r="E1289">
        <v>6073.26</v>
      </c>
      <c r="F1289">
        <v>6081.33</v>
      </c>
      <c r="G1289">
        <v>5887.21</v>
      </c>
      <c r="H1289">
        <v>6082.55</v>
      </c>
      <c r="I1289">
        <v>6090.97</v>
      </c>
      <c r="J1289">
        <v>6044.63</v>
      </c>
      <c r="K1289">
        <v>5930.64</v>
      </c>
      <c r="L1289">
        <v>5887.21</v>
      </c>
      <c r="M1289" s="398"/>
      <c r="N1289" s="398"/>
      <c r="O1289" s="398"/>
      <c r="P1289" s="398"/>
      <c r="Q1289" s="395">
        <f>IF((L1290=""),"",MAX(D1291:L1291))</f>
        <v>7114.83</v>
      </c>
      <c r="R1289" s="395">
        <f>IF(L1290="","",MIN(D1291:L1291))</f>
        <v>6752.0400000000009</v>
      </c>
      <c r="S1289" s="399">
        <f>IF((L1291=""),"",AVERAGE(D1291:L1291))</f>
        <v>6972.0633333333353</v>
      </c>
      <c r="T1289" s="400">
        <f>IF((L1290=""),"",(Q1289-R1289)/(Q1289+R1289)*100)</f>
        <v>2.61623567539033</v>
      </c>
      <c r="U1289" s="395">
        <f>STDEV(D1291:P1291)</f>
        <v>134.68360043072644</v>
      </c>
      <c r="V1289" s="401" t="str">
        <f>IF(L1290="","",IF(T1289&lt;9.8,IF(S1289&gt;5100,IF(S1289&lt;8300,"Pass","Fail"),"Fail"),"Fail"))</f>
        <v>Pass</v>
      </c>
      <c r="W1289" s="395">
        <v>1159</v>
      </c>
      <c r="X1289" s="457" t="s">
        <v>562</v>
      </c>
      <c r="Y1289" s="268" t="s">
        <v>560</v>
      </c>
      <c r="Z1289" s="267">
        <v>4955</v>
      </c>
      <c r="AA1289" s="267">
        <v>9645</v>
      </c>
      <c r="AB1289" s="267">
        <v>5100</v>
      </c>
      <c r="AC1289" s="267">
        <v>8300</v>
      </c>
      <c r="AD1289" s="305">
        <v>10</v>
      </c>
      <c r="AE1289" s="305">
        <v>9.8000000000000007</v>
      </c>
    </row>
    <row r="1290" spans="1:31" ht="15.75">
      <c r="A1290" s="390"/>
      <c r="B1290" s="404"/>
      <c r="C1290" s="405" t="s">
        <v>198</v>
      </c>
      <c r="D1290">
        <v>3599.1</v>
      </c>
      <c r="E1290">
        <v>3716.37</v>
      </c>
      <c r="F1290">
        <v>3720.7</v>
      </c>
      <c r="G1290">
        <v>3599.1</v>
      </c>
      <c r="H1290">
        <v>3734.97</v>
      </c>
      <c r="I1290">
        <v>3726.5</v>
      </c>
      <c r="J1290">
        <v>3673.02</v>
      </c>
      <c r="K1290">
        <v>3679.96</v>
      </c>
      <c r="L1290">
        <v>3599.1</v>
      </c>
      <c r="M1290" s="406"/>
      <c r="N1290" s="406"/>
      <c r="O1290" s="406"/>
      <c r="P1290" s="406"/>
      <c r="Q1290" s="404"/>
      <c r="R1290" s="404"/>
      <c r="S1290" s="404"/>
      <c r="T1290" s="404"/>
      <c r="U1290" s="404"/>
      <c r="V1290" s="407"/>
      <c r="W1290" s="404"/>
      <c r="X1290" s="408"/>
      <c r="Y1290" s="268"/>
      <c r="Z1290" s="267"/>
      <c r="AA1290" s="267"/>
      <c r="AB1290" s="267"/>
      <c r="AC1290" s="267"/>
      <c r="AD1290" s="268"/>
      <c r="AE1290" s="269"/>
    </row>
    <row r="1291" spans="1:31" ht="57.75" thickBot="1">
      <c r="A1291" s="390"/>
      <c r="B1291" s="404"/>
      <c r="C1291" s="409" t="s">
        <v>197</v>
      </c>
      <c r="D1291" s="410">
        <f t="shared" ref="D1291:L1291" si="426">IF(((D1289="")*AND(D1290="")),"",(D1289-D1290)*3)</f>
        <v>6864.33</v>
      </c>
      <c r="E1291" s="410">
        <f t="shared" si="426"/>
        <v>7070.670000000001</v>
      </c>
      <c r="F1291" s="410">
        <f t="shared" si="426"/>
        <v>7081.89</v>
      </c>
      <c r="G1291" s="410">
        <f t="shared" si="426"/>
        <v>6864.33</v>
      </c>
      <c r="H1291" s="410">
        <f t="shared" si="426"/>
        <v>7042.7400000000016</v>
      </c>
      <c r="I1291" s="410">
        <f t="shared" si="426"/>
        <v>7093.4100000000008</v>
      </c>
      <c r="J1291" s="410">
        <f t="shared" si="426"/>
        <v>7114.83</v>
      </c>
      <c r="K1291" s="410">
        <f t="shared" si="426"/>
        <v>6752.0400000000009</v>
      </c>
      <c r="L1291" s="410">
        <f t="shared" si="426"/>
        <v>6864.33</v>
      </c>
      <c r="M1291" s="410"/>
      <c r="N1291" s="410"/>
      <c r="O1291" s="410"/>
      <c r="P1291" s="410" t="str">
        <f>IF(((P1289="")*AND(P1290="")),"",(P1289-P1290)*2)</f>
        <v/>
      </c>
      <c r="Q1291" s="404"/>
      <c r="R1291" s="404"/>
      <c r="S1291" s="404"/>
      <c r="T1291" s="404"/>
      <c r="U1291" s="404"/>
      <c r="V1291" s="407"/>
      <c r="W1291" s="404"/>
      <c r="X1291" s="417"/>
      <c r="Y1291" s="268"/>
      <c r="Z1291" s="267"/>
      <c r="AA1291" s="267"/>
      <c r="AB1291" s="267"/>
      <c r="AC1291" s="267"/>
      <c r="AD1291" s="268"/>
      <c r="AE1291" s="269"/>
    </row>
    <row r="1292" spans="1:31" ht="15.75">
      <c r="A1292" s="344">
        <v>44084</v>
      </c>
      <c r="B1292" s="409" t="s">
        <v>200</v>
      </c>
      <c r="C1292" s="409" t="s">
        <v>199</v>
      </c>
      <c r="D1292">
        <v>6827.17</v>
      </c>
      <c r="E1292">
        <v>6996.25</v>
      </c>
      <c r="F1292">
        <v>7046.36</v>
      </c>
      <c r="G1292">
        <v>7056.73</v>
      </c>
      <c r="H1292">
        <v>7129.54</v>
      </c>
      <c r="I1292">
        <v>7155.3</v>
      </c>
      <c r="J1292">
        <v>7041.73</v>
      </c>
      <c r="K1292">
        <v>7108.97</v>
      </c>
      <c r="L1292">
        <v>6955.26</v>
      </c>
      <c r="M1292">
        <v>6886.98</v>
      </c>
      <c r="N1292">
        <v>6962.49</v>
      </c>
      <c r="O1292">
        <v>7008.96</v>
      </c>
      <c r="P1292">
        <v>7085.46</v>
      </c>
      <c r="Q1292" s="409">
        <f>IF((L1293=""),"",MAX(D1294:P1294))</f>
        <v>5636</v>
      </c>
      <c r="R1292" s="409">
        <f>IF(L1293="","",MIN(D1294:L1294))</f>
        <v>5511.2199999999993</v>
      </c>
      <c r="S1292" s="400">
        <f>IF((P1294=""),"",AVERAGE(D1294:P1294))</f>
        <v>5575.8784615384611</v>
      </c>
      <c r="T1292" s="412">
        <f>IF((L1293=""),"",(Q1292-R1292)/(Q1292+R1292)*100)</f>
        <v>1.1193822316236752</v>
      </c>
      <c r="U1292" s="409">
        <f>STDEV(D1294:P1294)</f>
        <v>46.638452991367245</v>
      </c>
      <c r="V1292" s="413" t="str">
        <f>IF(P1293="","",IF(T1292&lt;2.7,IF(S1292&gt;5130,IF(S1292&lt;5770,"Pass","Fail"),"Fail"),"Fail"))</f>
        <v>Pass</v>
      </c>
      <c r="W1292" s="463">
        <v>1159</v>
      </c>
      <c r="X1292" s="457" t="s">
        <v>562</v>
      </c>
      <c r="Y1292" s="268" t="s">
        <v>560</v>
      </c>
      <c r="Z1292" s="321">
        <v>4470</v>
      </c>
      <c r="AA1292" s="321">
        <v>6020</v>
      </c>
      <c r="AB1292" s="321">
        <v>5130</v>
      </c>
      <c r="AC1292" s="321">
        <v>5775</v>
      </c>
      <c r="AD1292" s="305">
        <v>10</v>
      </c>
      <c r="AE1292" s="322">
        <v>2.7</v>
      </c>
    </row>
    <row r="1293" spans="1:31" ht="15.75">
      <c r="A1293" s="390"/>
      <c r="B1293" s="404"/>
      <c r="C1293" s="404" t="s">
        <v>198</v>
      </c>
      <c r="D1293">
        <v>4069.84</v>
      </c>
      <c r="E1293">
        <v>4240.6400000000003</v>
      </c>
      <c r="F1293">
        <v>4228.3599999999997</v>
      </c>
      <c r="G1293">
        <v>4258.9799999999996</v>
      </c>
      <c r="H1293">
        <v>4314.6000000000004</v>
      </c>
      <c r="I1293">
        <v>4359.96</v>
      </c>
      <c r="J1293">
        <v>4238.6899999999996</v>
      </c>
      <c r="K1293">
        <v>4292.18</v>
      </c>
      <c r="L1293">
        <v>4196.54</v>
      </c>
      <c r="M1293">
        <v>4117.7700000000004</v>
      </c>
      <c r="N1293">
        <v>4193.7700000000004</v>
      </c>
      <c r="O1293">
        <v>4220.3100000000004</v>
      </c>
      <c r="P1293">
        <v>4286.3500000000004</v>
      </c>
      <c r="Q1293" s="404"/>
      <c r="R1293" s="404"/>
      <c r="S1293" s="404"/>
      <c r="T1293" s="404"/>
      <c r="U1293" s="404"/>
      <c r="V1293" s="407"/>
      <c r="W1293" s="404"/>
      <c r="X1293" s="408"/>
      <c r="Y1293" s="268"/>
      <c r="Z1293" s="267"/>
      <c r="AA1293" s="267"/>
      <c r="AB1293" s="267"/>
      <c r="AC1293" s="267"/>
      <c r="AD1293" s="268"/>
      <c r="AE1293" s="269"/>
    </row>
    <row r="1294" spans="1:31" ht="57.75" thickBot="1">
      <c r="A1294" s="393"/>
      <c r="B1294" s="414"/>
      <c r="C1294" s="414" t="s">
        <v>197</v>
      </c>
      <c r="D1294" s="415">
        <f t="shared" ref="D1294:P1294" si="427">IF(((D1292="")*AND(D1293="")),"",(D1292-D1293)*2)</f>
        <v>5514.66</v>
      </c>
      <c r="E1294" s="415">
        <f t="shared" si="427"/>
        <v>5511.2199999999993</v>
      </c>
      <c r="F1294" s="415">
        <f t="shared" si="427"/>
        <v>5636</v>
      </c>
      <c r="G1294" s="415">
        <f t="shared" si="427"/>
        <v>5595.5</v>
      </c>
      <c r="H1294" s="415">
        <f t="shared" si="427"/>
        <v>5629.8799999999992</v>
      </c>
      <c r="I1294" s="415">
        <f t="shared" si="427"/>
        <v>5590.68</v>
      </c>
      <c r="J1294" s="415">
        <f t="shared" si="427"/>
        <v>5606.08</v>
      </c>
      <c r="K1294" s="415">
        <f t="shared" si="427"/>
        <v>5633.58</v>
      </c>
      <c r="L1294" s="415">
        <f t="shared" si="427"/>
        <v>5517.4400000000005</v>
      </c>
      <c r="M1294" s="415">
        <f t="shared" si="427"/>
        <v>5538.4199999999983</v>
      </c>
      <c r="N1294" s="415">
        <f t="shared" si="427"/>
        <v>5537.4399999999987</v>
      </c>
      <c r="O1294" s="415">
        <f t="shared" si="427"/>
        <v>5577.2999999999993</v>
      </c>
      <c r="P1294" s="415">
        <f t="shared" si="427"/>
        <v>5598.2199999999993</v>
      </c>
      <c r="Q1294" s="414"/>
      <c r="R1294" s="414"/>
      <c r="S1294" s="414"/>
      <c r="T1294" s="414"/>
      <c r="U1294" s="414"/>
      <c r="V1294" s="416"/>
      <c r="W1294" s="414"/>
      <c r="X1294" s="417"/>
      <c r="Y1294" s="268"/>
      <c r="Z1294" s="267"/>
      <c r="AA1294" s="267"/>
      <c r="AB1294" s="267"/>
      <c r="AC1294" s="267"/>
      <c r="AD1294" s="268"/>
      <c r="AE1294" s="269"/>
    </row>
    <row r="1295" spans="1:31" ht="15.75">
      <c r="A1295" s="344">
        <v>44090</v>
      </c>
      <c r="B1295" s="409" t="s">
        <v>200</v>
      </c>
      <c r="C1295" s="409" t="s">
        <v>199</v>
      </c>
      <c r="D1295">
        <v>6841.66</v>
      </c>
      <c r="E1295">
        <v>7003.37</v>
      </c>
      <c r="F1295">
        <v>7050.62</v>
      </c>
      <c r="G1295">
        <v>7058.8</v>
      </c>
      <c r="H1295">
        <v>7126.83</v>
      </c>
      <c r="I1295">
        <v>7150.62</v>
      </c>
      <c r="J1295">
        <v>7038.94</v>
      </c>
      <c r="K1295">
        <v>7097.01</v>
      </c>
      <c r="L1295">
        <v>6969.98</v>
      </c>
      <c r="M1295">
        <v>6894.59</v>
      </c>
      <c r="N1295">
        <v>6972.19</v>
      </c>
      <c r="O1295">
        <v>7013.38</v>
      </c>
      <c r="P1295">
        <v>7086.16</v>
      </c>
      <c r="Q1295" s="409">
        <f>IF((L1296=""),"",MAX(D1297:P1297))</f>
        <v>5631.5</v>
      </c>
      <c r="R1295" s="409">
        <f>IF(L1296="","",MIN(D1297:L1297))</f>
        <v>5491.3600000000006</v>
      </c>
      <c r="S1295" s="400">
        <f>IF((P1297=""),"",AVERAGE(D1297:P1297))</f>
        <v>5569.9092307692299</v>
      </c>
      <c r="T1295" s="412">
        <f>IF((L1296=""),"",(Q1295-R1295)/(Q1295+R1295)*100)</f>
        <v>1.2599277523946126</v>
      </c>
      <c r="U1295" s="409">
        <f>STDEV(D1297:P1297)</f>
        <v>50.674733096123859</v>
      </c>
      <c r="V1295" s="413" t="str">
        <f>IF(P1296="","",IF(T1295&lt;2.7,IF(S1295&gt;5130,IF(S1295&lt;5770,"Pass","Fail"),"Fail"),"Fail"))</f>
        <v>Pass</v>
      </c>
      <c r="W1295" s="463">
        <v>74</v>
      </c>
      <c r="X1295" s="475" t="s">
        <v>570</v>
      </c>
      <c r="Y1295" s="268"/>
      <c r="Z1295" s="321">
        <v>4470</v>
      </c>
      <c r="AA1295" s="321">
        <v>6020</v>
      </c>
      <c r="AB1295" s="321">
        <v>5130</v>
      </c>
      <c r="AC1295" s="321">
        <v>5775</v>
      </c>
      <c r="AD1295" s="305">
        <v>10</v>
      </c>
      <c r="AE1295" s="322">
        <v>2.7</v>
      </c>
    </row>
    <row r="1296" spans="1:31" ht="15.75">
      <c r="A1296" s="390"/>
      <c r="B1296" s="404"/>
      <c r="C1296" s="404" t="s">
        <v>198</v>
      </c>
      <c r="D1296">
        <v>4092.88</v>
      </c>
      <c r="E1296">
        <v>4257.6899999999996</v>
      </c>
      <c r="F1296">
        <v>4237.29</v>
      </c>
      <c r="G1296">
        <v>4260.2299999999996</v>
      </c>
      <c r="H1296">
        <v>4311.08</v>
      </c>
      <c r="I1296">
        <v>4360.76</v>
      </c>
      <c r="J1296">
        <v>4236.7</v>
      </c>
      <c r="K1296">
        <v>4284.87</v>
      </c>
      <c r="L1296">
        <v>4220.04</v>
      </c>
      <c r="M1296">
        <v>4124.71</v>
      </c>
      <c r="N1296">
        <v>4201.1000000000004</v>
      </c>
      <c r="O1296">
        <v>4225.18</v>
      </c>
      <c r="P1296">
        <v>4287.21</v>
      </c>
      <c r="Q1296" s="404"/>
      <c r="R1296" s="404"/>
      <c r="S1296" s="404"/>
      <c r="T1296" s="404"/>
      <c r="U1296" s="404"/>
      <c r="V1296" s="407"/>
      <c r="W1296" s="404"/>
      <c r="X1296" s="408"/>
      <c r="Y1296" s="268"/>
      <c r="Z1296" s="267"/>
      <c r="AA1296" s="267"/>
      <c r="AB1296" s="267"/>
      <c r="AC1296" s="267"/>
      <c r="AD1296" s="268"/>
      <c r="AE1296" s="269"/>
    </row>
    <row r="1297" spans="1:31" ht="57.75" thickBot="1">
      <c r="A1297" s="393"/>
      <c r="B1297" s="414"/>
      <c r="C1297" s="414" t="s">
        <v>197</v>
      </c>
      <c r="D1297" s="415">
        <f t="shared" ref="D1297:P1297" si="428">IF(((D1295="")*AND(D1296="")),"",(D1295-D1296)*2)</f>
        <v>5497.5599999999995</v>
      </c>
      <c r="E1297" s="415">
        <f t="shared" si="428"/>
        <v>5491.3600000000006</v>
      </c>
      <c r="F1297" s="415">
        <f t="shared" si="428"/>
        <v>5626.66</v>
      </c>
      <c r="G1297" s="415">
        <f t="shared" si="428"/>
        <v>5597.1400000000012</v>
      </c>
      <c r="H1297" s="415">
        <f t="shared" si="428"/>
        <v>5631.5</v>
      </c>
      <c r="I1297" s="415">
        <f t="shared" si="428"/>
        <v>5579.7199999999993</v>
      </c>
      <c r="J1297" s="415">
        <f t="shared" si="428"/>
        <v>5604.48</v>
      </c>
      <c r="K1297" s="415">
        <f t="shared" si="428"/>
        <v>5624.2800000000007</v>
      </c>
      <c r="L1297" s="415">
        <f t="shared" si="428"/>
        <v>5499.8799999999992</v>
      </c>
      <c r="M1297" s="415">
        <f t="shared" si="428"/>
        <v>5539.76</v>
      </c>
      <c r="N1297" s="415">
        <f t="shared" si="428"/>
        <v>5542.1799999999985</v>
      </c>
      <c r="O1297" s="415">
        <f t="shared" si="428"/>
        <v>5576.4</v>
      </c>
      <c r="P1297" s="415">
        <f t="shared" si="428"/>
        <v>5597.9</v>
      </c>
      <c r="Q1297" s="414"/>
      <c r="R1297" s="414"/>
      <c r="S1297" s="414"/>
      <c r="T1297" s="414"/>
      <c r="U1297" s="414"/>
      <c r="V1297" s="416"/>
      <c r="W1297" s="414"/>
      <c r="X1297" s="417"/>
      <c r="Y1297" s="268"/>
      <c r="Z1297" s="267"/>
      <c r="AA1297" s="267"/>
      <c r="AB1297" s="267"/>
      <c r="AC1297" s="267"/>
      <c r="AD1297" s="268"/>
      <c r="AE1297" s="269"/>
    </row>
    <row r="1298" spans="1:31" ht="15.75">
      <c r="A1298" s="344">
        <v>44090</v>
      </c>
      <c r="B1298" s="395" t="s">
        <v>202</v>
      </c>
      <c r="C1298" s="396" t="s">
        <v>199</v>
      </c>
      <c r="D1298">
        <v>5795.09</v>
      </c>
      <c r="E1298">
        <v>6069.47</v>
      </c>
      <c r="F1298">
        <v>6074.13</v>
      </c>
      <c r="G1298">
        <v>5888.51</v>
      </c>
      <c r="H1298">
        <v>6074.74</v>
      </c>
      <c r="I1298">
        <v>6088.08</v>
      </c>
      <c r="J1298">
        <v>6046.22</v>
      </c>
      <c r="K1298">
        <v>5937.66</v>
      </c>
      <c r="L1298">
        <v>5851.33</v>
      </c>
      <c r="M1298" s="398"/>
      <c r="N1298" s="398"/>
      <c r="O1298" s="398"/>
      <c r="P1298" s="398"/>
      <c r="Q1298" s="395">
        <f>IF((L1299=""),"",MAX(D1300:L1300))</f>
        <v>7071.0000000000018</v>
      </c>
      <c r="R1298" s="395">
        <f>IF(L1299="","",MIN(D1300:L1300))</f>
        <v>6352.41</v>
      </c>
      <c r="S1298" s="399">
        <f>IF((L1300=""),"",AVERAGE(D1300:L1300))</f>
        <v>6841.6066666666675</v>
      </c>
      <c r="T1298" s="400">
        <f>IF((L1299=""),"",(Q1298-R1298)/(Q1298+R1298)*100)</f>
        <v>5.3532597156758372</v>
      </c>
      <c r="U1298" s="395">
        <f>STDEV(D1300:P1300)</f>
        <v>276.62359597472891</v>
      </c>
      <c r="V1298" s="401" t="str">
        <f>IF(L1299="","",IF(T1298&lt;9.8,IF(S1298&gt;5100,IF(S1298&lt;8300,"Pass","Fail"),"Fail"),"Fail"))</f>
        <v>Pass</v>
      </c>
      <c r="W1298" s="466">
        <v>74</v>
      </c>
      <c r="X1298" s="475" t="s">
        <v>570</v>
      </c>
      <c r="Y1298" s="268"/>
      <c r="Z1298" s="267">
        <v>4955</v>
      </c>
      <c r="AA1298" s="267">
        <v>9645</v>
      </c>
      <c r="AB1298" s="267">
        <v>5100</v>
      </c>
      <c r="AC1298" s="267">
        <v>8300</v>
      </c>
      <c r="AD1298" s="305">
        <v>10</v>
      </c>
      <c r="AE1298" s="305">
        <v>9.8000000000000007</v>
      </c>
    </row>
    <row r="1299" spans="1:31" ht="15.75">
      <c r="A1299" s="390"/>
      <c r="B1299" s="404"/>
      <c r="C1299" s="405" t="s">
        <v>198</v>
      </c>
      <c r="D1299">
        <v>3655.86</v>
      </c>
      <c r="E1299">
        <v>3728.1</v>
      </c>
      <c r="F1299">
        <v>3729.41</v>
      </c>
      <c r="G1299">
        <v>3614.71</v>
      </c>
      <c r="H1299">
        <v>3740.65</v>
      </c>
      <c r="I1299">
        <v>3738.84</v>
      </c>
      <c r="J1299">
        <v>3689.22</v>
      </c>
      <c r="K1299">
        <v>3669.76</v>
      </c>
      <c r="L1299">
        <v>3733.86</v>
      </c>
      <c r="M1299" s="406"/>
      <c r="N1299" s="406"/>
      <c r="O1299" s="406"/>
      <c r="P1299" s="406"/>
      <c r="Q1299" s="404"/>
      <c r="R1299" s="404"/>
      <c r="S1299" s="404"/>
      <c r="T1299" s="404"/>
      <c r="U1299" s="404"/>
      <c r="V1299" s="407"/>
      <c r="W1299" s="404"/>
      <c r="X1299" s="408"/>
      <c r="Y1299" s="268"/>
      <c r="Z1299" s="267"/>
      <c r="AA1299" s="267"/>
      <c r="AB1299" s="267"/>
      <c r="AC1299" s="267"/>
      <c r="AD1299" s="268"/>
      <c r="AE1299" s="269"/>
    </row>
    <row r="1300" spans="1:31" ht="57.75" thickBot="1">
      <c r="A1300" s="390"/>
      <c r="B1300" s="404"/>
      <c r="C1300" s="409" t="s">
        <v>197</v>
      </c>
      <c r="D1300" s="410">
        <f t="shared" ref="D1300:L1300" si="429">IF(((D1298="")*AND(D1299="")),"",(D1298-D1299)*3)</f>
        <v>6417.6900000000005</v>
      </c>
      <c r="E1300" s="410">
        <f t="shared" si="429"/>
        <v>7024.1100000000006</v>
      </c>
      <c r="F1300" s="410">
        <f t="shared" si="429"/>
        <v>7034.1600000000008</v>
      </c>
      <c r="G1300" s="410">
        <f t="shared" si="429"/>
        <v>6821.4000000000005</v>
      </c>
      <c r="H1300" s="410">
        <f t="shared" si="429"/>
        <v>7002.2699999999986</v>
      </c>
      <c r="I1300" s="410">
        <f t="shared" si="429"/>
        <v>7047.7199999999993</v>
      </c>
      <c r="J1300" s="410">
        <f t="shared" si="429"/>
        <v>7071.0000000000018</v>
      </c>
      <c r="K1300" s="410">
        <f t="shared" si="429"/>
        <v>6803.6999999999989</v>
      </c>
      <c r="L1300" s="410">
        <f t="shared" si="429"/>
        <v>6352.41</v>
      </c>
      <c r="M1300" s="410"/>
      <c r="N1300" s="410"/>
      <c r="O1300" s="410"/>
      <c r="P1300" s="410" t="str">
        <f>IF(((P1298="")*AND(P1299="")),"",(P1298-P1299)*2)</f>
        <v/>
      </c>
      <c r="Q1300" s="404"/>
      <c r="R1300" s="404"/>
      <c r="S1300" s="404"/>
      <c r="T1300" s="404"/>
      <c r="U1300" s="404"/>
      <c r="V1300" s="407"/>
      <c r="W1300" s="404"/>
      <c r="X1300" s="417"/>
      <c r="Y1300" s="268"/>
      <c r="Z1300" s="267"/>
      <c r="AA1300" s="267"/>
      <c r="AB1300" s="267"/>
      <c r="AC1300" s="267"/>
      <c r="AD1300" s="268"/>
      <c r="AE1300" s="269"/>
    </row>
    <row r="1301" spans="1:31" ht="15.75">
      <c r="A1301" s="344">
        <v>44095</v>
      </c>
      <c r="B1301" s="409" t="s">
        <v>200</v>
      </c>
      <c r="C1301" s="409" t="s">
        <v>199</v>
      </c>
      <c r="D1301">
        <v>4092.88</v>
      </c>
      <c r="E1301">
        <v>4257.6899999999996</v>
      </c>
      <c r="F1301">
        <v>4237.29</v>
      </c>
      <c r="G1301">
        <v>4260.2299999999996</v>
      </c>
      <c r="H1301">
        <v>4311.08</v>
      </c>
      <c r="I1301">
        <v>4360.76</v>
      </c>
      <c r="J1301">
        <v>4236.7</v>
      </c>
      <c r="K1301">
        <v>4284.87</v>
      </c>
      <c r="L1301">
        <v>4220.04</v>
      </c>
      <c r="M1301">
        <v>4124.71</v>
      </c>
      <c r="N1301">
        <v>4201.1000000000004</v>
      </c>
      <c r="O1301">
        <v>4225.18</v>
      </c>
      <c r="P1301">
        <v>4287.21</v>
      </c>
      <c r="Q1301" s="409">
        <f>IF((L1302=""),"",MAX(D1303:P1303))</f>
        <v>5630.74</v>
      </c>
      <c r="R1301" s="409">
        <f>IF(L1302="","",MIN(D1303:L1303))</f>
        <v>5514.98</v>
      </c>
      <c r="S1301" s="400">
        <f>IF((P1303=""),"",AVERAGE(D1303:P1303))</f>
        <v>5557.4046153846148</v>
      </c>
      <c r="T1301" s="412">
        <f>IF((L1302=""),"",(Q1301-R1301)/(Q1301+R1301)*100)</f>
        <v>1.0386049532914898</v>
      </c>
      <c r="U1301" s="409">
        <f>STDEV(D1303:P1303)</f>
        <v>39.442987677483558</v>
      </c>
      <c r="V1301" s="413" t="str">
        <f>IF(P1302="","",IF(T1301&lt;2.7,IF(S1301&gt;5130,IF(S1301&lt;5770,"Pass","Fail"),"Fail"),"Fail"))</f>
        <v>Pass</v>
      </c>
      <c r="W1301" s="463"/>
      <c r="X1301" s="475" t="s">
        <v>573</v>
      </c>
      <c r="Y1301" s="268"/>
      <c r="Z1301" s="321">
        <v>4470</v>
      </c>
      <c r="AA1301" s="321">
        <v>6020</v>
      </c>
      <c r="AB1301" s="321">
        <v>5130</v>
      </c>
      <c r="AC1301" s="321">
        <v>5775</v>
      </c>
      <c r="AD1301" s="305">
        <v>10</v>
      </c>
      <c r="AE1301" s="322">
        <v>2.7</v>
      </c>
    </row>
    <row r="1302" spans="1:31" ht="15.75">
      <c r="A1302" s="390"/>
      <c r="B1302" s="404"/>
      <c r="C1302" s="404" t="s">
        <v>198</v>
      </c>
      <c r="D1302">
        <v>1335.39</v>
      </c>
      <c r="E1302">
        <v>1496.97</v>
      </c>
      <c r="F1302">
        <v>1421.92</v>
      </c>
      <c r="G1302">
        <v>1482.1</v>
      </c>
      <c r="H1302">
        <v>1518.77</v>
      </c>
      <c r="I1302">
        <v>1565.49</v>
      </c>
      <c r="J1302">
        <v>1450.32</v>
      </c>
      <c r="K1302">
        <v>1475.92</v>
      </c>
      <c r="L1302">
        <v>1455.05</v>
      </c>
      <c r="M1302">
        <v>1365.16</v>
      </c>
      <c r="N1302">
        <v>1443.89</v>
      </c>
      <c r="O1302">
        <v>1456.39</v>
      </c>
      <c r="P1302">
        <v>1509.24</v>
      </c>
      <c r="Q1302" s="404"/>
      <c r="R1302" s="404"/>
      <c r="S1302" s="404"/>
      <c r="T1302" s="404"/>
      <c r="U1302" s="404"/>
      <c r="V1302" s="407"/>
      <c r="W1302" s="404"/>
      <c r="X1302" s="408"/>
      <c r="Y1302" s="268"/>
      <c r="Z1302" s="267"/>
      <c r="AA1302" s="267"/>
      <c r="AB1302" s="267"/>
      <c r="AC1302" s="267"/>
      <c r="AD1302" s="268"/>
      <c r="AE1302" s="269"/>
    </row>
    <row r="1303" spans="1:31" ht="57.75" thickBot="1">
      <c r="A1303" s="393"/>
      <c r="B1303" s="414"/>
      <c r="C1303" s="414" t="s">
        <v>197</v>
      </c>
      <c r="D1303" s="415">
        <f t="shared" ref="D1303:P1303" si="430">IF(((D1301="")*AND(D1302="")),"",(D1301-D1302)*2)</f>
        <v>5514.98</v>
      </c>
      <c r="E1303" s="415">
        <f t="shared" si="430"/>
        <v>5521.4399999999987</v>
      </c>
      <c r="F1303" s="415">
        <f t="shared" si="430"/>
        <v>5630.74</v>
      </c>
      <c r="G1303" s="415">
        <f t="shared" si="430"/>
        <v>5556.2599999999993</v>
      </c>
      <c r="H1303" s="415">
        <f t="shared" si="430"/>
        <v>5584.62</v>
      </c>
      <c r="I1303" s="415">
        <f t="shared" si="430"/>
        <v>5590.5400000000009</v>
      </c>
      <c r="J1303" s="415">
        <f t="shared" si="430"/>
        <v>5572.76</v>
      </c>
      <c r="K1303" s="415">
        <f t="shared" si="430"/>
        <v>5617.9</v>
      </c>
      <c r="L1303" s="415">
        <f t="shared" si="430"/>
        <v>5529.98</v>
      </c>
      <c r="M1303" s="415">
        <f t="shared" si="430"/>
        <v>5519.1</v>
      </c>
      <c r="N1303" s="415">
        <f t="shared" si="430"/>
        <v>5514.42</v>
      </c>
      <c r="O1303" s="415">
        <f t="shared" si="430"/>
        <v>5537.58</v>
      </c>
      <c r="P1303" s="415">
        <f t="shared" si="430"/>
        <v>5555.9400000000005</v>
      </c>
      <c r="Q1303" s="414"/>
      <c r="R1303" s="414"/>
      <c r="S1303" s="414"/>
      <c r="T1303" s="414"/>
      <c r="U1303" s="414"/>
      <c r="V1303" s="416"/>
      <c r="W1303" s="414"/>
      <c r="X1303" s="417"/>
      <c r="Y1303" s="268"/>
      <c r="Z1303" s="267"/>
      <c r="AA1303" s="267"/>
      <c r="AB1303" s="267"/>
      <c r="AC1303" s="267"/>
      <c r="AD1303" s="268"/>
      <c r="AE1303" s="269"/>
    </row>
    <row r="1304" spans="1:31" ht="15.75">
      <c r="A1304" s="344">
        <v>44095</v>
      </c>
      <c r="B1304" s="395" t="s">
        <v>202</v>
      </c>
      <c r="C1304" s="396" t="s">
        <v>199</v>
      </c>
      <c r="D1304">
        <v>3701.52</v>
      </c>
      <c r="E1304">
        <v>3728.1</v>
      </c>
      <c r="F1304">
        <v>3729.41</v>
      </c>
      <c r="G1304">
        <v>3614.71</v>
      </c>
      <c r="H1304">
        <v>3740.65</v>
      </c>
      <c r="I1304">
        <v>3738.84</v>
      </c>
      <c r="J1304">
        <v>3689.22</v>
      </c>
      <c r="K1304">
        <v>3669.76</v>
      </c>
      <c r="L1304">
        <v>3701.52</v>
      </c>
      <c r="M1304" s="398"/>
      <c r="N1304" s="398"/>
      <c r="O1304" s="398"/>
      <c r="P1304" s="398"/>
      <c r="Q1304" s="395">
        <f>IF((L1305=""),"",MAX(D1306:L1306))</f>
        <v>6678.7199999999993</v>
      </c>
      <c r="R1304" s="395">
        <f>IF(L1305="","",MIN(D1306:L1306))</f>
        <v>5813.1900000000005</v>
      </c>
      <c r="S1304" s="399">
        <f>IF((L1306=""),"",AVERAGE(D1306:L1306))</f>
        <v>6105.9</v>
      </c>
      <c r="T1304" s="400">
        <f>IF((L1305=""),"",(Q1304-R1304)/(Q1304+R1304)*100)</f>
        <v>6.9287242703477592</v>
      </c>
      <c r="U1304" s="395">
        <f>STDEV(D1306:P1306)</f>
        <v>289.32165374373636</v>
      </c>
      <c r="V1304" s="401" t="str">
        <f>IF(L1305="","",IF(T1304&lt;9.8,IF(S1304&gt;5100,IF(S1304&lt;8300,"Pass","Fail"),"Fail"),"Fail"))</f>
        <v>Pass</v>
      </c>
      <c r="W1304" s="466"/>
      <c r="X1304" s="475" t="s">
        <v>573</v>
      </c>
      <c r="Y1304" s="268"/>
      <c r="Z1304" s="267">
        <v>4955</v>
      </c>
      <c r="AA1304" s="267">
        <v>9645</v>
      </c>
      <c r="AB1304" s="267">
        <v>5100</v>
      </c>
      <c r="AC1304" s="267">
        <v>8300</v>
      </c>
      <c r="AD1304" s="305">
        <v>10</v>
      </c>
      <c r="AE1304" s="305">
        <v>9.8000000000000007</v>
      </c>
    </row>
    <row r="1305" spans="1:31" ht="15.75">
      <c r="A1305" s="390"/>
      <c r="B1305" s="404"/>
      <c r="C1305" s="405" t="s">
        <v>198</v>
      </c>
      <c r="D1305">
        <v>1475.28</v>
      </c>
      <c r="E1305">
        <v>1733.04</v>
      </c>
      <c r="F1305">
        <v>1731.59</v>
      </c>
      <c r="G1305">
        <v>1628.07</v>
      </c>
      <c r="H1305">
        <v>1740.63</v>
      </c>
      <c r="I1305">
        <v>1735.17</v>
      </c>
      <c r="J1305">
        <v>1692.84</v>
      </c>
      <c r="K1305">
        <v>1732.03</v>
      </c>
      <c r="L1305">
        <v>1527.38</v>
      </c>
      <c r="M1305" s="406"/>
      <c r="N1305" s="406"/>
      <c r="O1305" s="406"/>
      <c r="P1305" s="406"/>
      <c r="Q1305" s="404"/>
      <c r="R1305" s="404"/>
      <c r="S1305" s="404"/>
      <c r="T1305" s="404"/>
      <c r="U1305" s="404"/>
      <c r="V1305" s="407"/>
      <c r="W1305" s="404"/>
      <c r="X1305" s="408"/>
      <c r="Y1305" s="268"/>
      <c r="Z1305" s="267"/>
      <c r="AA1305" s="267"/>
      <c r="AB1305" s="267"/>
      <c r="AC1305" s="267"/>
      <c r="AD1305" s="268"/>
      <c r="AE1305" s="269"/>
    </row>
    <row r="1306" spans="1:31" ht="57.75" thickBot="1">
      <c r="A1306" s="390"/>
      <c r="B1306" s="404"/>
      <c r="C1306" s="409" t="s">
        <v>197</v>
      </c>
      <c r="D1306" s="410">
        <f t="shared" ref="D1306:L1306" si="431">IF(((D1304="")*AND(D1305="")),"",(D1304-D1305)*3)</f>
        <v>6678.7199999999993</v>
      </c>
      <c r="E1306" s="410">
        <f t="shared" si="431"/>
        <v>5985.18</v>
      </c>
      <c r="F1306" s="410">
        <f t="shared" si="431"/>
        <v>5993.46</v>
      </c>
      <c r="G1306" s="410">
        <f t="shared" si="431"/>
        <v>5959.92</v>
      </c>
      <c r="H1306" s="410">
        <f t="shared" si="431"/>
        <v>6000.0599999999995</v>
      </c>
      <c r="I1306" s="410">
        <f t="shared" si="431"/>
        <v>6011.01</v>
      </c>
      <c r="J1306" s="410">
        <f t="shared" si="431"/>
        <v>5989.1399999999994</v>
      </c>
      <c r="K1306" s="410">
        <f t="shared" si="431"/>
        <v>5813.1900000000005</v>
      </c>
      <c r="L1306" s="410">
        <f t="shared" si="431"/>
        <v>6522.42</v>
      </c>
      <c r="M1306" s="410"/>
      <c r="N1306" s="410"/>
      <c r="O1306" s="410"/>
      <c r="P1306" s="410" t="str">
        <f>IF(((P1304="")*AND(P1305="")),"",(P1304-P1305)*2)</f>
        <v/>
      </c>
      <c r="Q1306" s="404"/>
      <c r="R1306" s="404"/>
      <c r="S1306" s="404"/>
      <c r="T1306" s="404"/>
      <c r="U1306" s="404"/>
      <c r="V1306" s="407"/>
      <c r="W1306" s="404"/>
      <c r="X1306" s="417"/>
      <c r="Y1306" s="268"/>
      <c r="Z1306" s="267"/>
      <c r="AA1306" s="267"/>
      <c r="AB1306" s="267"/>
      <c r="AC1306" s="267"/>
      <c r="AD1306" s="268"/>
      <c r="AE1306" s="269"/>
    </row>
    <row r="1307" spans="1:31" ht="15.75">
      <c r="A1307" s="344">
        <v>44102</v>
      </c>
      <c r="B1307" s="409" t="s">
        <v>200</v>
      </c>
      <c r="C1307" s="409" t="s">
        <v>199</v>
      </c>
      <c r="D1307">
        <v>6828.51</v>
      </c>
      <c r="E1307">
        <v>6998.87</v>
      </c>
      <c r="F1307">
        <v>7048.78</v>
      </c>
      <c r="G1307">
        <v>7055.58</v>
      </c>
      <c r="H1307">
        <v>7128.15</v>
      </c>
      <c r="I1307">
        <v>7153.68</v>
      </c>
      <c r="J1307">
        <v>7037.66</v>
      </c>
      <c r="K1307">
        <v>7103.37</v>
      </c>
      <c r="L1307">
        <v>6958.74</v>
      </c>
      <c r="M1307">
        <v>6885.09</v>
      </c>
      <c r="N1307">
        <v>6960.71</v>
      </c>
      <c r="O1307">
        <v>7010.11</v>
      </c>
      <c r="P1307">
        <v>7085.54</v>
      </c>
      <c r="Q1307" s="409">
        <f>IF((L1308=""),"",MAX(D1309:P1309))</f>
        <v>5591.58</v>
      </c>
      <c r="R1307" s="409">
        <f>IF(L1308="","",MIN(D1309:L1309))</f>
        <v>5478.4599999999991</v>
      </c>
      <c r="S1307" s="400">
        <f>IF((P1309=""),"",AVERAGE(D1309:P1309))</f>
        <v>5523.3876923076914</v>
      </c>
      <c r="T1307" s="412">
        <f>IF((L1308=""),"",(Q1307-R1307)/(Q1307+R1307)*100)</f>
        <v>1.0218571929279461</v>
      </c>
      <c r="U1307" s="409">
        <f>STDEV(D1309:P1309)</f>
        <v>40.076113033792168</v>
      </c>
      <c r="V1307" s="413" t="str">
        <f>IF(P1308="","",IF(T1307&lt;2.7,IF(S1307&gt;5130,IF(S1307&lt;5770,"Pass","Fail"),"Fail"),"Fail"))</f>
        <v>Pass</v>
      </c>
      <c r="W1307" s="463">
        <v>74</v>
      </c>
      <c r="X1307" s="475" t="s">
        <v>584</v>
      </c>
      <c r="Y1307" s="268"/>
      <c r="Z1307" s="321">
        <v>4470</v>
      </c>
      <c r="AA1307" s="321">
        <v>6020</v>
      </c>
      <c r="AB1307" s="321">
        <v>5130</v>
      </c>
      <c r="AC1307" s="321">
        <v>5775</v>
      </c>
      <c r="AD1307" s="305">
        <v>10</v>
      </c>
      <c r="AE1307" s="322">
        <v>2.7</v>
      </c>
    </row>
    <row r="1308" spans="1:31" ht="15.75">
      <c r="A1308" s="390"/>
      <c r="B1308" s="404"/>
      <c r="C1308" s="404" t="s">
        <v>198</v>
      </c>
      <c r="D1308">
        <v>4087.37</v>
      </c>
      <c r="E1308">
        <v>4259.6400000000003</v>
      </c>
      <c r="F1308">
        <v>4256.5</v>
      </c>
      <c r="G1308">
        <v>4298.25</v>
      </c>
      <c r="H1308">
        <v>4349.8900000000003</v>
      </c>
      <c r="I1308">
        <v>4373.75</v>
      </c>
      <c r="J1308">
        <v>4264.16</v>
      </c>
      <c r="K1308">
        <v>4307.58</v>
      </c>
      <c r="L1308">
        <v>4215.01</v>
      </c>
      <c r="M1308">
        <v>4138.51</v>
      </c>
      <c r="N1308">
        <v>4218.8900000000003</v>
      </c>
      <c r="O1308">
        <v>4257.18</v>
      </c>
      <c r="P1308">
        <v>4326.04</v>
      </c>
      <c r="Q1308" s="404"/>
      <c r="R1308" s="404"/>
      <c r="S1308" s="404"/>
      <c r="T1308" s="404"/>
      <c r="U1308" s="404"/>
      <c r="V1308" s="407"/>
      <c r="W1308" s="404"/>
      <c r="X1308" s="484" t="s">
        <v>585</v>
      </c>
      <c r="Y1308" s="268"/>
      <c r="Z1308" s="267"/>
      <c r="AA1308" s="267"/>
      <c r="AB1308" s="267"/>
      <c r="AC1308" s="267"/>
      <c r="AD1308" s="268"/>
      <c r="AE1308" s="269"/>
    </row>
    <row r="1309" spans="1:31" ht="57.75" thickBot="1">
      <c r="A1309" s="393"/>
      <c r="B1309" s="414"/>
      <c r="C1309" s="414" t="s">
        <v>197</v>
      </c>
      <c r="D1309" s="415">
        <f t="shared" ref="D1309:P1309" si="432">IF(((D1307="")*AND(D1308="")),"",(D1307-D1308)*2)</f>
        <v>5482.2800000000007</v>
      </c>
      <c r="E1309" s="415">
        <f t="shared" si="432"/>
        <v>5478.4599999999991</v>
      </c>
      <c r="F1309" s="415">
        <f t="shared" si="432"/>
        <v>5584.5599999999995</v>
      </c>
      <c r="G1309" s="415">
        <f t="shared" si="432"/>
        <v>5514.66</v>
      </c>
      <c r="H1309" s="415">
        <f t="shared" si="432"/>
        <v>5556.5199999999986</v>
      </c>
      <c r="I1309" s="415">
        <f t="shared" si="432"/>
        <v>5559.8600000000006</v>
      </c>
      <c r="J1309" s="415">
        <f t="shared" si="432"/>
        <v>5547</v>
      </c>
      <c r="K1309" s="415">
        <f t="shared" si="432"/>
        <v>5591.58</v>
      </c>
      <c r="L1309" s="415">
        <f t="shared" si="432"/>
        <v>5487.4599999999991</v>
      </c>
      <c r="M1309" s="415">
        <f t="shared" si="432"/>
        <v>5493.16</v>
      </c>
      <c r="N1309" s="415">
        <f t="shared" si="432"/>
        <v>5483.6399999999994</v>
      </c>
      <c r="O1309" s="415">
        <f t="shared" si="432"/>
        <v>5505.8599999999988</v>
      </c>
      <c r="P1309" s="415">
        <f t="shared" si="432"/>
        <v>5519</v>
      </c>
      <c r="Q1309" s="414"/>
      <c r="R1309" s="414"/>
      <c r="S1309" s="414"/>
      <c r="T1309" s="414"/>
      <c r="U1309" s="414"/>
      <c r="V1309" s="416"/>
      <c r="W1309" s="414"/>
      <c r="X1309" s="417"/>
      <c r="Y1309" s="268"/>
      <c r="Z1309" s="267"/>
      <c r="AA1309" s="267"/>
      <c r="AB1309" s="267"/>
      <c r="AC1309" s="267"/>
      <c r="AD1309" s="268"/>
      <c r="AE1309" s="269"/>
    </row>
    <row r="1310" spans="1:31" ht="15.75">
      <c r="A1310" s="344">
        <v>44102</v>
      </c>
      <c r="B1310" s="395" t="s">
        <v>202</v>
      </c>
      <c r="C1310" s="396" t="s">
        <v>199</v>
      </c>
      <c r="D1310">
        <v>5788.88</v>
      </c>
      <c r="E1310">
        <v>6050.49</v>
      </c>
      <c r="F1310">
        <v>6058.05</v>
      </c>
      <c r="G1310">
        <v>5872.56</v>
      </c>
      <c r="H1310">
        <v>6057.56</v>
      </c>
      <c r="I1310">
        <v>6069.08</v>
      </c>
      <c r="J1310">
        <v>6025.74</v>
      </c>
      <c r="K1310">
        <v>5915.75</v>
      </c>
      <c r="L1310">
        <v>5820.32</v>
      </c>
      <c r="M1310" s="398"/>
      <c r="N1310" s="398"/>
      <c r="O1310" s="398"/>
      <c r="P1310" s="398"/>
      <c r="Q1310" s="395">
        <f>IF((L1311=""),"",MAX(D1312:L1312))</f>
        <v>6360.5399999999991</v>
      </c>
      <c r="R1310" s="395">
        <f>IF(L1311="","",MIN(D1312:L1312))</f>
        <v>6219.36</v>
      </c>
      <c r="S1310" s="399">
        <f>IF((L1312=""),"",AVERAGE(D1312:L1312))</f>
        <v>6293.5733333333337</v>
      </c>
      <c r="T1310" s="400">
        <f>IF((L1311=""),"",(Q1310-R1310)/(Q1310+R1310)*100)</f>
        <v>1.1222664727064557</v>
      </c>
      <c r="U1310" s="395">
        <f>STDEV(D1312:P1312)</f>
        <v>48.758281091529675</v>
      </c>
      <c r="V1310" s="401" t="str">
        <f>IF(L1311="","",IF(T1310&lt;9.8,IF(S1310&gt;5100,IF(S1310&lt;8300,"Pass","Fail"),"Fail"),"Fail"))</f>
        <v>Pass</v>
      </c>
      <c r="W1310" s="466">
        <v>74</v>
      </c>
      <c r="X1310" s="475" t="s">
        <v>584</v>
      </c>
      <c r="Y1310" s="268"/>
      <c r="Z1310" s="267">
        <v>4955</v>
      </c>
      <c r="AA1310" s="267">
        <v>9645</v>
      </c>
      <c r="AB1310" s="267">
        <v>5100</v>
      </c>
      <c r="AC1310" s="267">
        <v>8300</v>
      </c>
      <c r="AD1310" s="305">
        <v>10</v>
      </c>
      <c r="AE1310" s="305">
        <v>9.8000000000000007</v>
      </c>
    </row>
    <row r="1311" spans="1:31" ht="15.75">
      <c r="A1311" s="390"/>
      <c r="B1311" s="404"/>
      <c r="C1311" s="405" t="s">
        <v>198</v>
      </c>
      <c r="D1311">
        <v>3715.76</v>
      </c>
      <c r="E1311">
        <v>3944.84</v>
      </c>
      <c r="F1311">
        <v>3958.19</v>
      </c>
      <c r="G1311">
        <v>3795.51</v>
      </c>
      <c r="H1311">
        <v>3954.85</v>
      </c>
      <c r="I1311">
        <v>3962.43</v>
      </c>
      <c r="J1311">
        <v>3905.56</v>
      </c>
      <c r="K1311">
        <v>3832.22</v>
      </c>
      <c r="L1311">
        <v>3708.35</v>
      </c>
      <c r="M1311" s="406"/>
      <c r="N1311" s="406"/>
      <c r="O1311" s="406"/>
      <c r="P1311" s="406"/>
      <c r="Q1311" s="404"/>
      <c r="R1311" s="404"/>
      <c r="S1311" s="404"/>
      <c r="T1311" s="404"/>
      <c r="U1311" s="404"/>
      <c r="V1311" s="407"/>
      <c r="W1311" s="404"/>
      <c r="X1311" s="484" t="s">
        <v>585</v>
      </c>
      <c r="Y1311" s="268"/>
      <c r="Z1311" s="267"/>
      <c r="AA1311" s="267"/>
      <c r="AB1311" s="267"/>
      <c r="AC1311" s="267"/>
      <c r="AD1311" s="268"/>
      <c r="AE1311" s="269"/>
    </row>
    <row r="1312" spans="1:31" ht="57.75" thickBot="1">
      <c r="A1312" s="390"/>
      <c r="B1312" s="404"/>
      <c r="C1312" s="409" t="s">
        <v>197</v>
      </c>
      <c r="D1312" s="410">
        <f t="shared" ref="D1312:L1312" si="433">IF(((D1310="")*AND(D1311="")),"",(D1310-D1311)*3)</f>
        <v>6219.36</v>
      </c>
      <c r="E1312" s="410">
        <f t="shared" si="433"/>
        <v>6316.9499999999989</v>
      </c>
      <c r="F1312" s="410">
        <f t="shared" si="433"/>
        <v>6299.58</v>
      </c>
      <c r="G1312" s="410">
        <f t="shared" si="433"/>
        <v>6231.1500000000005</v>
      </c>
      <c r="H1312" s="410">
        <f t="shared" si="433"/>
        <v>6308.130000000001</v>
      </c>
      <c r="I1312" s="410">
        <f t="shared" si="433"/>
        <v>6319.9500000000007</v>
      </c>
      <c r="J1312" s="410">
        <f t="shared" si="433"/>
        <v>6360.5399999999991</v>
      </c>
      <c r="K1312" s="410">
        <f t="shared" si="433"/>
        <v>6250.59</v>
      </c>
      <c r="L1312" s="410">
        <f t="shared" si="433"/>
        <v>6335.91</v>
      </c>
      <c r="M1312" s="410"/>
      <c r="N1312" s="410"/>
      <c r="O1312" s="410"/>
      <c r="P1312" s="410" t="str">
        <f>IF(((P1310="")*AND(P1311="")),"",(P1310-P1311)*2)</f>
        <v/>
      </c>
      <c r="Q1312" s="404"/>
      <c r="R1312" s="404"/>
      <c r="S1312" s="404"/>
      <c r="T1312" s="404"/>
      <c r="U1312" s="404"/>
      <c r="V1312" s="407"/>
      <c r="W1312" s="404"/>
      <c r="X1312" s="417"/>
      <c r="Y1312" s="268"/>
      <c r="Z1312" s="267"/>
      <c r="AA1312" s="267"/>
      <c r="AB1312" s="267"/>
      <c r="AC1312" s="267"/>
      <c r="AD1312" s="268"/>
      <c r="AE1312" s="269"/>
    </row>
    <row r="1313" spans="1:31" ht="15.75">
      <c r="A1313" s="344">
        <v>44110</v>
      </c>
      <c r="B1313" s="409" t="s">
        <v>200</v>
      </c>
      <c r="C1313" s="409" t="s">
        <v>199</v>
      </c>
      <c r="D1313">
        <v>6861.24</v>
      </c>
      <c r="E1313">
        <v>6986.7</v>
      </c>
      <c r="F1313">
        <v>7042.38</v>
      </c>
      <c r="G1313">
        <v>7077.83</v>
      </c>
      <c r="H1313">
        <v>7134.79</v>
      </c>
      <c r="I1313">
        <v>7147.32</v>
      </c>
      <c r="J1313">
        <v>7062.29</v>
      </c>
      <c r="K1313">
        <v>7111.27</v>
      </c>
      <c r="L1313">
        <v>6966.8</v>
      </c>
      <c r="M1313">
        <v>6922.97</v>
      </c>
      <c r="N1313">
        <v>6999.84</v>
      </c>
      <c r="O1313">
        <v>7024.87</v>
      </c>
      <c r="P1313">
        <v>7096.54</v>
      </c>
      <c r="Q1313" s="409">
        <f>IF((L1314=""),"",MAX(D1315:P1315))</f>
        <v>5526.9600000000009</v>
      </c>
      <c r="R1313" s="409">
        <f>IF(L1314="","",MIN(D1315:L1315))</f>
        <v>5427.66</v>
      </c>
      <c r="S1313" s="400">
        <f>IF((P1315=""),"",AVERAGE(D1315:P1315))</f>
        <v>5464.9938461538468</v>
      </c>
      <c r="T1313" s="412">
        <f>IF((L1314=""),"",(Q1313-R1313)/(Q1313+R1313)*100)</f>
        <v>0.90646686055747328</v>
      </c>
      <c r="U1313" s="409">
        <f>STDEV(D1315:P1315)</f>
        <v>37.140477814567959</v>
      </c>
      <c r="V1313" s="413" t="str">
        <f>IF(P1314="","",IF(T1313&lt;2.7,IF(S1313&gt;5130,IF(S1313&lt;5770,"Pass","Fail"),"Fail"),"Fail"))</f>
        <v>Pass</v>
      </c>
      <c r="W1313" s="463">
        <v>1159</v>
      </c>
      <c r="X1313" s="475" t="s">
        <v>588</v>
      </c>
      <c r="Y1313" s="268"/>
      <c r="Z1313" s="321">
        <v>4470</v>
      </c>
      <c r="AA1313" s="321">
        <v>6020</v>
      </c>
      <c r="AB1313" s="321">
        <v>5130</v>
      </c>
      <c r="AC1313" s="321">
        <v>5775</v>
      </c>
      <c r="AD1313" s="305">
        <v>10</v>
      </c>
      <c r="AE1313" s="322">
        <v>2.7</v>
      </c>
    </row>
    <row r="1314" spans="1:31" ht="15.75">
      <c r="A1314" s="390"/>
      <c r="B1314" s="404"/>
      <c r="C1314" s="404" t="s">
        <v>198</v>
      </c>
      <c r="D1314">
        <v>4146.3500000000004</v>
      </c>
      <c r="E1314">
        <v>4272.87</v>
      </c>
      <c r="F1314">
        <v>4278.8999999999996</v>
      </c>
      <c r="G1314">
        <v>4350.16</v>
      </c>
      <c r="H1314">
        <v>4387.7</v>
      </c>
      <c r="I1314">
        <v>4399.1899999999996</v>
      </c>
      <c r="J1314">
        <v>4319.0600000000004</v>
      </c>
      <c r="K1314">
        <v>4348.58</v>
      </c>
      <c r="L1314">
        <v>4247.1499999999996</v>
      </c>
      <c r="M1314">
        <v>4208.71</v>
      </c>
      <c r="N1314">
        <v>4288.9399999999996</v>
      </c>
      <c r="O1314">
        <v>4299.1400000000003</v>
      </c>
      <c r="P1314">
        <v>4365.63</v>
      </c>
      <c r="Q1314" s="404"/>
      <c r="R1314" s="404"/>
      <c r="S1314" s="404"/>
      <c r="T1314" s="404"/>
      <c r="U1314" s="404"/>
      <c r="V1314" s="407"/>
      <c r="W1314" s="404"/>
      <c r="X1314" s="484"/>
      <c r="Y1314" s="268"/>
      <c r="Z1314" s="267"/>
      <c r="AA1314" s="267"/>
      <c r="AB1314" s="267"/>
      <c r="AC1314" s="267"/>
      <c r="AD1314" s="268"/>
      <c r="AE1314" s="269"/>
    </row>
    <row r="1315" spans="1:31" ht="57.75" thickBot="1">
      <c r="A1315" s="393"/>
      <c r="B1315" s="414"/>
      <c r="C1315" s="414" t="s">
        <v>197</v>
      </c>
      <c r="D1315" s="415">
        <f t="shared" ref="D1315:P1315" si="434">IF(((D1313="")*AND(D1314="")),"",(D1313-D1314)*2)</f>
        <v>5429.7799999999988</v>
      </c>
      <c r="E1315" s="415">
        <f t="shared" si="434"/>
        <v>5427.66</v>
      </c>
      <c r="F1315" s="415">
        <f t="shared" si="434"/>
        <v>5526.9600000000009</v>
      </c>
      <c r="G1315" s="415">
        <f t="shared" si="434"/>
        <v>5455.34</v>
      </c>
      <c r="H1315" s="415">
        <f t="shared" si="434"/>
        <v>5494.18</v>
      </c>
      <c r="I1315" s="415">
        <f t="shared" si="434"/>
        <v>5496.26</v>
      </c>
      <c r="J1315" s="415">
        <f t="shared" si="434"/>
        <v>5486.4599999999991</v>
      </c>
      <c r="K1315" s="415">
        <f t="shared" si="434"/>
        <v>5525.380000000001</v>
      </c>
      <c r="L1315" s="415">
        <f t="shared" si="434"/>
        <v>5439.3000000000011</v>
      </c>
      <c r="M1315" s="415">
        <f t="shared" si="434"/>
        <v>5428.52</v>
      </c>
      <c r="N1315" s="415">
        <f t="shared" si="434"/>
        <v>5421.8000000000011</v>
      </c>
      <c r="O1315" s="415">
        <f t="shared" si="434"/>
        <v>5451.4599999999991</v>
      </c>
      <c r="P1315" s="415">
        <f t="shared" si="434"/>
        <v>5461.82</v>
      </c>
      <c r="Q1315" s="414"/>
      <c r="R1315" s="414"/>
      <c r="S1315" s="414"/>
      <c r="T1315" s="414"/>
      <c r="U1315" s="414"/>
      <c r="V1315" s="416"/>
      <c r="W1315" s="414"/>
      <c r="X1315" s="417"/>
      <c r="Y1315" s="268"/>
      <c r="Z1315" s="267"/>
      <c r="AA1315" s="267"/>
      <c r="AB1315" s="267"/>
      <c r="AC1315" s="267"/>
      <c r="AD1315" s="268"/>
      <c r="AE1315" s="269"/>
    </row>
    <row r="1316" spans="1:31" ht="15.75">
      <c r="A1316" s="344">
        <v>44110</v>
      </c>
      <c r="B1316" s="395" t="s">
        <v>202</v>
      </c>
      <c r="C1316" s="396" t="s">
        <v>199</v>
      </c>
      <c r="D1316">
        <v>5803.46</v>
      </c>
      <c r="E1316">
        <v>6065.95</v>
      </c>
      <c r="F1316">
        <v>6067.9</v>
      </c>
      <c r="G1316">
        <v>5888.22</v>
      </c>
      <c r="H1316">
        <v>6073.32</v>
      </c>
      <c r="I1316">
        <v>6083.19</v>
      </c>
      <c r="J1316">
        <v>6041.9</v>
      </c>
      <c r="K1316">
        <v>5945.96</v>
      </c>
      <c r="L1316">
        <v>5852.77</v>
      </c>
      <c r="M1316" s="398"/>
      <c r="N1316" s="398"/>
      <c r="O1316" s="398"/>
      <c r="P1316" s="398"/>
      <c r="Q1316" s="395">
        <f>IF((L1317=""),"",MAX(D1318:L1318))</f>
        <v>6366.39</v>
      </c>
      <c r="R1316" s="395">
        <f>IF(L1317="","",MIN(D1318:L1318))</f>
        <v>6186.3000000000011</v>
      </c>
      <c r="S1316" s="399">
        <f>IF((L1318=""),"",AVERAGE(D1318:L1318))</f>
        <v>6292.5966666666664</v>
      </c>
      <c r="T1316" s="400">
        <f>IF((L1317=""),"",(Q1316-R1316)/(Q1316+R1316)*100)</f>
        <v>1.4346725681905568</v>
      </c>
      <c r="U1316" s="395">
        <f>STDEV(D1318:P1318)</f>
        <v>55.947492124405635</v>
      </c>
      <c r="V1316" s="401" t="str">
        <f>IF(L1317="","",IF(T1316&lt;9.8,IF(S1316&gt;5100,IF(S1316&lt;8300,"Pass","Fail"),"Fail"),"Fail"))</f>
        <v>Pass</v>
      </c>
      <c r="W1316" s="466">
        <v>1159</v>
      </c>
      <c r="X1316" s="475" t="s">
        <v>588</v>
      </c>
      <c r="Y1316" s="268"/>
      <c r="Z1316" s="267">
        <v>4955</v>
      </c>
      <c r="AA1316" s="267">
        <v>9645</v>
      </c>
      <c r="AB1316" s="267">
        <v>5100</v>
      </c>
      <c r="AC1316" s="267">
        <v>8300</v>
      </c>
      <c r="AD1316" s="305">
        <v>10</v>
      </c>
      <c r="AE1316" s="305">
        <v>9.8000000000000007</v>
      </c>
    </row>
    <row r="1317" spans="1:31" ht="15.75">
      <c r="A1317" s="390"/>
      <c r="B1317" s="404"/>
      <c r="C1317" s="405" t="s">
        <v>198</v>
      </c>
      <c r="D1317">
        <v>3681.33</v>
      </c>
      <c r="E1317">
        <v>3966.13</v>
      </c>
      <c r="F1317">
        <v>3971.63</v>
      </c>
      <c r="G1317">
        <v>3826.12</v>
      </c>
      <c r="H1317">
        <v>3977.18</v>
      </c>
      <c r="I1317">
        <v>3984.63</v>
      </c>
      <c r="J1317">
        <v>3929.25</v>
      </c>
      <c r="K1317">
        <v>3869.22</v>
      </c>
      <c r="L1317">
        <v>3739.39</v>
      </c>
      <c r="M1317" s="406"/>
      <c r="N1317" s="406"/>
      <c r="O1317" s="406"/>
      <c r="P1317" s="406"/>
      <c r="Q1317" s="404"/>
      <c r="R1317" s="404"/>
      <c r="S1317" s="404"/>
      <c r="T1317" s="404"/>
      <c r="U1317" s="404"/>
      <c r="V1317" s="407"/>
      <c r="W1317" s="404"/>
      <c r="X1317" s="484"/>
      <c r="Y1317" s="268"/>
      <c r="Z1317" s="267"/>
      <c r="AA1317" s="267"/>
      <c r="AB1317" s="267"/>
      <c r="AC1317" s="267"/>
      <c r="AD1317" s="268"/>
      <c r="AE1317" s="269"/>
    </row>
    <row r="1318" spans="1:31" ht="57.75" thickBot="1">
      <c r="A1318" s="390"/>
      <c r="B1318" s="404"/>
      <c r="C1318" s="409" t="s">
        <v>197</v>
      </c>
      <c r="D1318" s="410">
        <f t="shared" ref="D1318:L1318" si="435">IF(((D1316="")*AND(D1317="")),"",(D1316-D1317)*3)</f>
        <v>6366.39</v>
      </c>
      <c r="E1318" s="410">
        <f t="shared" si="435"/>
        <v>6299.4599999999991</v>
      </c>
      <c r="F1318" s="410">
        <f t="shared" si="435"/>
        <v>6288.8099999999986</v>
      </c>
      <c r="G1318" s="410">
        <f t="shared" si="435"/>
        <v>6186.3000000000011</v>
      </c>
      <c r="H1318" s="410">
        <f t="shared" si="435"/>
        <v>6288.42</v>
      </c>
      <c r="I1318" s="410">
        <f t="shared" si="435"/>
        <v>6295.6799999999985</v>
      </c>
      <c r="J1318" s="410">
        <f t="shared" si="435"/>
        <v>6337.9499999999989</v>
      </c>
      <c r="K1318" s="410">
        <f t="shared" si="435"/>
        <v>6230.2200000000012</v>
      </c>
      <c r="L1318" s="410">
        <f t="shared" si="435"/>
        <v>6340.1400000000012</v>
      </c>
      <c r="M1318" s="410"/>
      <c r="N1318" s="410"/>
      <c r="O1318" s="410"/>
      <c r="P1318" s="410" t="str">
        <f>IF(((P1316="")*AND(P1317="")),"",(P1316-P1317)*2)</f>
        <v/>
      </c>
      <c r="Q1318" s="404"/>
      <c r="R1318" s="404"/>
      <c r="S1318" s="404"/>
      <c r="T1318" s="404"/>
      <c r="U1318" s="404"/>
      <c r="V1318" s="407"/>
      <c r="W1318" s="404"/>
      <c r="X1318" s="417"/>
      <c r="Y1318" s="268"/>
      <c r="Z1318" s="267"/>
      <c r="AA1318" s="267"/>
      <c r="AB1318" s="267"/>
      <c r="AC1318" s="267"/>
      <c r="AD1318" s="268"/>
      <c r="AE1318" s="269"/>
    </row>
    <row r="1319" spans="1:31" ht="15.75">
      <c r="A1319" s="344">
        <v>44125</v>
      </c>
      <c r="B1319" s="409" t="s">
        <v>200</v>
      </c>
      <c r="C1319" s="409" t="s">
        <v>199</v>
      </c>
      <c r="D1319" s="425">
        <v>4159.96</v>
      </c>
      <c r="E1319" s="425">
        <v>4283.04</v>
      </c>
      <c r="F1319" s="425">
        <v>4291.59</v>
      </c>
      <c r="G1319" s="425">
        <v>4363.13</v>
      </c>
      <c r="H1319" s="425">
        <v>4402.43</v>
      </c>
      <c r="I1319" s="425">
        <v>4414.26</v>
      </c>
      <c r="J1319" s="425">
        <v>4333.51</v>
      </c>
      <c r="K1319" s="425">
        <v>4363.1499999999996</v>
      </c>
      <c r="L1319" s="425">
        <v>4260.96</v>
      </c>
      <c r="M1319" s="425">
        <v>4216.78</v>
      </c>
      <c r="N1319" s="425">
        <v>4297.66</v>
      </c>
      <c r="O1319" s="425">
        <v>4313.1099999999997</v>
      </c>
      <c r="P1319" s="425">
        <v>4379.7700000000004</v>
      </c>
      <c r="Q1319" s="409">
        <f>IF((L1320=""),"",MAX(D1321:P1321))</f>
        <v>5675.7000000000007</v>
      </c>
      <c r="R1319" s="409">
        <f>IF(L1320="","",MIN(D1321:L1321))</f>
        <v>5558.38</v>
      </c>
      <c r="S1319" s="400">
        <f>IF((P1321=""),"",AVERAGE(D1321:P1321))</f>
        <v>5601.1292307692311</v>
      </c>
      <c r="T1319" s="412">
        <f>IF((L1320=""),"",(Q1319-R1319)/(Q1319+R1319)*100)</f>
        <v>1.0443222765015079</v>
      </c>
      <c r="U1319" s="409">
        <f>STDEV(D1321:P1321)</f>
        <v>40.599401157546431</v>
      </c>
      <c r="V1319" s="413" t="str">
        <f>IF(P1320="","",IF(T1319&lt;2.7,IF(S1319&gt;5130,IF(S1319&lt;5770,"Pass","Fail"),"Fail"),"Fail"))</f>
        <v>Pass</v>
      </c>
      <c r="W1319" s="463">
        <v>1335</v>
      </c>
      <c r="X1319" s="475"/>
      <c r="Y1319" s="268"/>
      <c r="Z1319" s="321">
        <v>4470</v>
      </c>
      <c r="AA1319" s="321">
        <v>6020</v>
      </c>
      <c r="AB1319" s="321">
        <v>5130</v>
      </c>
      <c r="AC1319" s="321">
        <v>5775</v>
      </c>
      <c r="AD1319" s="305">
        <v>10</v>
      </c>
      <c r="AE1319" s="322">
        <v>2.7</v>
      </c>
    </row>
    <row r="1320" spans="1:31" ht="15.75">
      <c r="A1320" s="390"/>
      <c r="B1320" s="404"/>
      <c r="C1320" s="404" t="s">
        <v>198</v>
      </c>
      <c r="D1320" s="425">
        <v>1380.77</v>
      </c>
      <c r="E1320" s="425">
        <v>1501.36</v>
      </c>
      <c r="F1320" s="425">
        <v>1453.74</v>
      </c>
      <c r="G1320" s="425">
        <v>1564.73</v>
      </c>
      <c r="H1320" s="425">
        <v>1590.03</v>
      </c>
      <c r="I1320" s="425">
        <v>1596.65</v>
      </c>
      <c r="J1320" s="425">
        <v>1523.12</v>
      </c>
      <c r="K1320" s="425">
        <v>1529.07</v>
      </c>
      <c r="L1320" s="425">
        <v>1477.85</v>
      </c>
      <c r="M1320" s="425">
        <v>1432.1</v>
      </c>
      <c r="N1320" s="425">
        <v>1517.51</v>
      </c>
      <c r="O1320" s="425">
        <v>1522.64</v>
      </c>
      <c r="P1320" s="425">
        <v>1582.44</v>
      </c>
      <c r="Q1320" s="404"/>
      <c r="R1320" s="404"/>
      <c r="S1320" s="404"/>
      <c r="T1320" s="404"/>
      <c r="U1320" s="404"/>
      <c r="V1320" s="407"/>
      <c r="W1320" s="404"/>
      <c r="X1320" s="484"/>
      <c r="Y1320" s="268"/>
      <c r="Z1320" s="267"/>
      <c r="AA1320" s="267"/>
      <c r="AB1320" s="267"/>
      <c r="AC1320" s="267"/>
      <c r="AD1320" s="268"/>
      <c r="AE1320" s="269"/>
    </row>
    <row r="1321" spans="1:31" ht="57.75" thickBot="1">
      <c r="A1321" s="393"/>
      <c r="B1321" s="414"/>
      <c r="C1321" s="414" t="s">
        <v>197</v>
      </c>
      <c r="D1321" s="415">
        <f t="shared" ref="D1321:P1321" si="436">IF(((D1319="")*AND(D1320="")),"",(D1319-D1320)*2)</f>
        <v>5558.38</v>
      </c>
      <c r="E1321" s="415">
        <f t="shared" si="436"/>
        <v>5563.3600000000006</v>
      </c>
      <c r="F1321" s="415">
        <f t="shared" si="436"/>
        <v>5675.7000000000007</v>
      </c>
      <c r="G1321" s="415">
        <f t="shared" si="436"/>
        <v>5596.8</v>
      </c>
      <c r="H1321" s="415">
        <f t="shared" si="436"/>
        <v>5624.8000000000011</v>
      </c>
      <c r="I1321" s="415">
        <f t="shared" si="436"/>
        <v>5635.22</v>
      </c>
      <c r="J1321" s="415">
        <f t="shared" si="436"/>
        <v>5620.7800000000007</v>
      </c>
      <c r="K1321" s="415">
        <f t="shared" si="436"/>
        <v>5668.16</v>
      </c>
      <c r="L1321" s="415">
        <f t="shared" si="436"/>
        <v>5566.22</v>
      </c>
      <c r="M1321" s="415">
        <f t="shared" si="436"/>
        <v>5569.36</v>
      </c>
      <c r="N1321" s="415">
        <f t="shared" si="436"/>
        <v>5560.2999999999993</v>
      </c>
      <c r="O1321" s="415">
        <f t="shared" si="436"/>
        <v>5580.9399999999987</v>
      </c>
      <c r="P1321" s="415">
        <f t="shared" si="436"/>
        <v>5594.6600000000008</v>
      </c>
      <c r="Q1321" s="414"/>
      <c r="R1321" s="414"/>
      <c r="S1321" s="414"/>
      <c r="T1321" s="414"/>
      <c r="U1321" s="414"/>
      <c r="V1321" s="416"/>
      <c r="W1321" s="414"/>
      <c r="X1321" s="417"/>
      <c r="Y1321" s="268"/>
      <c r="Z1321" s="267"/>
      <c r="AA1321" s="267"/>
      <c r="AB1321" s="267"/>
      <c r="AC1321" s="267"/>
      <c r="AD1321" s="268"/>
      <c r="AE1321" s="269"/>
    </row>
    <row r="1322" spans="1:31" ht="15.75">
      <c r="A1322" s="344">
        <v>44125</v>
      </c>
      <c r="B1322" s="395" t="s">
        <v>202</v>
      </c>
      <c r="C1322" s="396" t="s">
        <v>199</v>
      </c>
      <c r="D1322" s="425">
        <v>3676.96</v>
      </c>
      <c r="E1322" s="425">
        <v>3960.09</v>
      </c>
      <c r="F1322" s="425">
        <v>3966.73</v>
      </c>
      <c r="G1322" s="425">
        <v>3820.84</v>
      </c>
      <c r="H1322" s="425">
        <v>3971.62</v>
      </c>
      <c r="I1322" s="425">
        <v>3978.78</v>
      </c>
      <c r="J1322" s="425">
        <v>3923.87</v>
      </c>
      <c r="K1322" s="425">
        <v>3864.44</v>
      </c>
      <c r="L1322" s="425">
        <v>3735.25</v>
      </c>
      <c r="M1322" s="398"/>
      <c r="N1322" s="398"/>
      <c r="O1322" s="398"/>
      <c r="P1322" s="398"/>
      <c r="Q1322" s="395">
        <f>IF((L1323=""),"",MAX(D1324:L1324))</f>
        <v>6033.0599999999995</v>
      </c>
      <c r="R1322" s="395">
        <f>IF(L1323="","",MIN(D1324:L1324))</f>
        <v>5876.6100000000006</v>
      </c>
      <c r="S1322" s="399">
        <f>IF((L1324=""),"",AVERAGE(D1324:L1324))</f>
        <v>5970.2066666666669</v>
      </c>
      <c r="T1322" s="400">
        <f>IF((L1323=""),"",(Q1322-R1322)/(Q1322+R1322)*100)</f>
        <v>1.3136384131550152</v>
      </c>
      <c r="U1322" s="395">
        <f>STDEV(D1324:P1324)</f>
        <v>49.596677056112185</v>
      </c>
      <c r="V1322" s="401" t="str">
        <f>IF(L1323="","",IF(T1322&lt;9.8,IF(S1322&gt;5100,IF(S1322&lt;8300,"Pass","Fail"),"Fail"),"Fail"))</f>
        <v>Pass</v>
      </c>
      <c r="W1322" s="466">
        <v>1335</v>
      </c>
      <c r="X1322" s="475"/>
      <c r="Y1322" s="268"/>
      <c r="Z1322" s="267">
        <v>4955</v>
      </c>
      <c r="AA1322" s="267">
        <v>9645</v>
      </c>
      <c r="AB1322" s="267">
        <v>5100</v>
      </c>
      <c r="AC1322" s="267">
        <v>8300</v>
      </c>
      <c r="AD1322" s="305">
        <v>10</v>
      </c>
      <c r="AE1322" s="305">
        <v>9.8000000000000007</v>
      </c>
    </row>
    <row r="1323" spans="1:31" ht="15.75">
      <c r="A1323" s="390"/>
      <c r="B1323" s="404"/>
      <c r="C1323" s="405" t="s">
        <v>198</v>
      </c>
      <c r="D1323" s="425">
        <v>1718.09</v>
      </c>
      <c r="E1323" s="425">
        <v>1956.58</v>
      </c>
      <c r="F1323" s="425">
        <v>1969.2</v>
      </c>
      <c r="G1323" s="425">
        <v>1847.32</v>
      </c>
      <c r="H1323" s="425">
        <v>1977.34</v>
      </c>
      <c r="I1323" s="425">
        <v>1980.37</v>
      </c>
      <c r="J1323" s="425">
        <v>1912.85</v>
      </c>
      <c r="K1323" s="425">
        <v>1886.49</v>
      </c>
      <c r="L1323" s="425">
        <v>1739.72</v>
      </c>
      <c r="M1323" s="406"/>
      <c r="N1323" s="406"/>
      <c r="O1323" s="406"/>
      <c r="P1323" s="406"/>
      <c r="Q1323" s="404"/>
      <c r="R1323" s="404"/>
      <c r="S1323" s="404"/>
      <c r="T1323" s="404"/>
      <c r="U1323" s="404"/>
      <c r="V1323" s="407"/>
      <c r="W1323" s="404"/>
      <c r="X1323" s="484"/>
      <c r="Y1323" s="268"/>
      <c r="Z1323" s="267"/>
      <c r="AA1323" s="267"/>
      <c r="AB1323" s="267"/>
      <c r="AC1323" s="267"/>
      <c r="AD1323" s="268"/>
      <c r="AE1323" s="269"/>
    </row>
    <row r="1324" spans="1:31" ht="57.75" thickBot="1">
      <c r="A1324" s="390"/>
      <c r="B1324" s="404"/>
      <c r="C1324" s="409" t="s">
        <v>197</v>
      </c>
      <c r="D1324" s="410">
        <f t="shared" ref="D1324:L1324" si="437">IF(((D1322="")*AND(D1323="")),"",(D1322-D1323)*3)</f>
        <v>5876.6100000000006</v>
      </c>
      <c r="E1324" s="410">
        <f t="shared" si="437"/>
        <v>6010.5300000000007</v>
      </c>
      <c r="F1324" s="410">
        <f t="shared" si="437"/>
        <v>5992.59</v>
      </c>
      <c r="G1324" s="410">
        <f t="shared" si="437"/>
        <v>5920.56</v>
      </c>
      <c r="H1324" s="410">
        <f t="shared" si="437"/>
        <v>5982.84</v>
      </c>
      <c r="I1324" s="410">
        <f t="shared" si="437"/>
        <v>5995.2300000000014</v>
      </c>
      <c r="J1324" s="410">
        <f t="shared" si="437"/>
        <v>6033.0599999999995</v>
      </c>
      <c r="K1324" s="410">
        <f t="shared" si="437"/>
        <v>5933.85</v>
      </c>
      <c r="L1324" s="410">
        <f t="shared" si="437"/>
        <v>5986.59</v>
      </c>
      <c r="M1324" s="410"/>
      <c r="N1324" s="410"/>
      <c r="O1324" s="410"/>
      <c r="P1324" s="410" t="str">
        <f>IF(((P1322="")*AND(P1323="")),"",(P1322-P1323)*2)</f>
        <v/>
      </c>
      <c r="Q1324" s="404"/>
      <c r="R1324" s="404"/>
      <c r="S1324" s="404"/>
      <c r="T1324" s="404"/>
      <c r="U1324" s="404"/>
      <c r="V1324" s="407"/>
      <c r="W1324" s="404"/>
      <c r="X1324" s="417"/>
      <c r="Y1324" s="268"/>
      <c r="Z1324" s="267"/>
      <c r="AA1324" s="267"/>
      <c r="AB1324" s="267"/>
      <c r="AC1324" s="267"/>
      <c r="AD1324" s="268"/>
      <c r="AE1324" s="269"/>
    </row>
    <row r="1325" spans="1:31" ht="15.75">
      <c r="A1325" s="344">
        <v>44133</v>
      </c>
      <c r="B1325" s="409" t="s">
        <v>200</v>
      </c>
      <c r="C1325" s="409" t="s">
        <v>199</v>
      </c>
      <c r="D1325" s="425">
        <v>6820</v>
      </c>
      <c r="E1325" s="425">
        <v>6965</v>
      </c>
      <c r="F1325" s="425">
        <v>6877</v>
      </c>
      <c r="G1325" s="425">
        <v>7010</v>
      </c>
      <c r="H1325" s="425">
        <v>7010</v>
      </c>
      <c r="I1325" s="425">
        <v>7059</v>
      </c>
      <c r="J1325" s="425">
        <v>7087</v>
      </c>
      <c r="K1325" s="425">
        <v>7059</v>
      </c>
      <c r="L1325" s="425">
        <v>6949</v>
      </c>
      <c r="M1325" s="425">
        <v>7136</v>
      </c>
      <c r="N1325" s="425">
        <v>7173</v>
      </c>
      <c r="O1325" s="425">
        <v>7036</v>
      </c>
      <c r="P1325" s="425">
        <v>7115</v>
      </c>
      <c r="Q1325" s="409">
        <f>IF((L1326=""),"",MAX(D1327:P1327))</f>
        <v>5552</v>
      </c>
      <c r="R1325" s="409">
        <f>IF(L1326="","",MIN(D1327:L1327))</f>
        <v>5458</v>
      </c>
      <c r="S1325" s="400">
        <f>IF((P1327=""),"",AVERAGE(D1327:P1327))</f>
        <v>5494</v>
      </c>
      <c r="T1325" s="412">
        <f>IF((L1326=""),"",(Q1325-R1325)/(Q1325+R1325)*100)</f>
        <v>0.8537693006357856</v>
      </c>
      <c r="U1325" s="409">
        <f>STDEV(D1327:P1327)</f>
        <v>33.773757070640912</v>
      </c>
      <c r="V1325" s="413" t="str">
        <f>IF(P1326="","",IF(T1325&lt;2.7,IF(S1325&gt;5130,IF(S1325&lt;5770,"Pass","Fail"),"Fail"),"Fail"))</f>
        <v>Pass</v>
      </c>
      <c r="W1325" s="463" t="s">
        <v>58</v>
      </c>
      <c r="X1325" s="475" t="s">
        <v>596</v>
      </c>
      <c r="Y1325" s="268"/>
      <c r="Z1325" s="321">
        <v>4470</v>
      </c>
      <c r="AA1325" s="321">
        <v>6020</v>
      </c>
      <c r="AB1325" s="321">
        <v>5130</v>
      </c>
      <c r="AC1325" s="321">
        <v>5775</v>
      </c>
      <c r="AD1325" s="305">
        <v>10</v>
      </c>
      <c r="AE1325" s="322">
        <v>2.7</v>
      </c>
    </row>
    <row r="1326" spans="1:31" ht="15.75">
      <c r="A1326" s="390"/>
      <c r="B1326" s="404"/>
      <c r="C1326" s="404" t="s">
        <v>198</v>
      </c>
      <c r="D1326" s="425">
        <v>4087</v>
      </c>
      <c r="E1326" s="425">
        <v>4230</v>
      </c>
      <c r="F1326" s="425">
        <v>4145</v>
      </c>
      <c r="G1326" s="425">
        <v>4274</v>
      </c>
      <c r="H1326" s="425">
        <v>4277</v>
      </c>
      <c r="I1326" s="425">
        <v>4283</v>
      </c>
      <c r="J1326" s="425">
        <v>4345</v>
      </c>
      <c r="K1326" s="425">
        <v>4318</v>
      </c>
      <c r="L1326" s="425">
        <v>4220</v>
      </c>
      <c r="M1326" s="425">
        <v>4375</v>
      </c>
      <c r="N1326" s="425">
        <v>4412</v>
      </c>
      <c r="O1326" s="425">
        <v>4280</v>
      </c>
      <c r="P1326" s="425">
        <v>4339</v>
      </c>
      <c r="Q1326" s="404"/>
      <c r="R1326" s="404"/>
      <c r="S1326" s="404"/>
      <c r="T1326" s="404"/>
      <c r="U1326" s="404"/>
      <c r="V1326" s="407"/>
      <c r="W1326" s="404"/>
      <c r="X1326" s="484"/>
      <c r="Y1326" s="268"/>
      <c r="Z1326" s="267"/>
      <c r="AA1326" s="267"/>
      <c r="AB1326" s="267"/>
      <c r="AC1326" s="267"/>
      <c r="AD1326" s="268"/>
      <c r="AE1326" s="269"/>
    </row>
    <row r="1327" spans="1:31" ht="57.75" thickBot="1">
      <c r="A1327" s="393"/>
      <c r="B1327" s="414"/>
      <c r="C1327" s="414" t="s">
        <v>197</v>
      </c>
      <c r="D1327" s="415">
        <f t="shared" ref="D1327:P1327" si="438">IF(((D1325="")*AND(D1326="")),"",(D1325-D1326)*2)</f>
        <v>5466</v>
      </c>
      <c r="E1327" s="415">
        <f t="shared" si="438"/>
        <v>5470</v>
      </c>
      <c r="F1327" s="415">
        <f t="shared" si="438"/>
        <v>5464</v>
      </c>
      <c r="G1327" s="415">
        <f t="shared" si="438"/>
        <v>5472</v>
      </c>
      <c r="H1327" s="415">
        <f t="shared" si="438"/>
        <v>5466</v>
      </c>
      <c r="I1327" s="415">
        <f t="shared" si="438"/>
        <v>5552</v>
      </c>
      <c r="J1327" s="415">
        <f t="shared" si="438"/>
        <v>5484</v>
      </c>
      <c r="K1327" s="415">
        <f t="shared" si="438"/>
        <v>5482</v>
      </c>
      <c r="L1327" s="415">
        <f t="shared" si="438"/>
        <v>5458</v>
      </c>
      <c r="M1327" s="415">
        <f t="shared" si="438"/>
        <v>5522</v>
      </c>
      <c r="N1327" s="415">
        <f t="shared" si="438"/>
        <v>5522</v>
      </c>
      <c r="O1327" s="415">
        <f t="shared" si="438"/>
        <v>5512</v>
      </c>
      <c r="P1327" s="415">
        <f t="shared" si="438"/>
        <v>5552</v>
      </c>
      <c r="Q1327" s="414"/>
      <c r="R1327" s="414"/>
      <c r="S1327" s="414"/>
      <c r="T1327" s="414"/>
      <c r="U1327" s="414"/>
      <c r="V1327" s="416"/>
      <c r="W1327" s="414"/>
      <c r="X1327" s="417"/>
      <c r="Y1327" s="268"/>
      <c r="Z1327" s="267"/>
      <c r="AA1327" s="267"/>
      <c r="AB1327" s="267"/>
      <c r="AC1327" s="267"/>
      <c r="AD1327" s="268"/>
      <c r="AE1327" s="269"/>
    </row>
    <row r="1328" spans="1:31" ht="15.75">
      <c r="A1328" s="344">
        <v>44133</v>
      </c>
      <c r="B1328" s="395" t="s">
        <v>202</v>
      </c>
      <c r="C1328" s="396" t="s">
        <v>199</v>
      </c>
      <c r="D1328" s="425">
        <v>5929</v>
      </c>
      <c r="E1328" s="425">
        <v>6056</v>
      </c>
      <c r="F1328" s="425">
        <v>6067</v>
      </c>
      <c r="G1328" s="425">
        <v>6030</v>
      </c>
      <c r="H1328" s="425">
        <v>5876</v>
      </c>
      <c r="I1328" s="425">
        <v>6057</v>
      </c>
      <c r="J1328" s="425">
        <v>6052</v>
      </c>
      <c r="K1328" s="425">
        <v>5820</v>
      </c>
      <c r="L1328" s="425">
        <v>5922</v>
      </c>
      <c r="M1328" s="398"/>
      <c r="N1328" s="398"/>
      <c r="O1328" s="398"/>
      <c r="P1328" s="398"/>
      <c r="Q1328" s="395">
        <f>IF((L1329=""),"",MAX(D1330:L1330))</f>
        <v>6324</v>
      </c>
      <c r="R1328" s="395">
        <f>IF(L1329="","",MIN(D1330:L1330))</f>
        <v>6108</v>
      </c>
      <c r="S1328" s="399">
        <f>IF((L1330=""),"",AVERAGE(D1330:L1330))</f>
        <v>6246</v>
      </c>
      <c r="T1328" s="400">
        <f>IF((L1329=""),"",(Q1328-R1328)/(Q1328+R1328)*100)</f>
        <v>1.7374517374517375</v>
      </c>
      <c r="U1328" s="395">
        <f>STDEV(D1330:P1330)</f>
        <v>74.744565019805961</v>
      </c>
      <c r="V1328" s="401" t="str">
        <f>IF(L1329="","",IF(T1328&lt;9.8,IF(S1328&gt;5100,IF(S1328&lt;8300,"Pass","Fail"),"Fail"),"Fail"))</f>
        <v>Pass</v>
      </c>
      <c r="W1328" s="466" t="s">
        <v>58</v>
      </c>
      <c r="X1328" s="475" t="s">
        <v>596</v>
      </c>
      <c r="Y1328" s="268"/>
      <c r="Z1328" s="267">
        <v>4955</v>
      </c>
      <c r="AA1328" s="267">
        <v>9645</v>
      </c>
      <c r="AB1328" s="267">
        <v>5100</v>
      </c>
      <c r="AC1328" s="267">
        <v>8300</v>
      </c>
      <c r="AD1328" s="305">
        <v>10</v>
      </c>
      <c r="AE1328" s="305">
        <v>9.8000000000000007</v>
      </c>
    </row>
    <row r="1329" spans="1:31" ht="15.75">
      <c r="A1329" s="390"/>
      <c r="B1329" s="404"/>
      <c r="C1329" s="405" t="s">
        <v>198</v>
      </c>
      <c r="D1329" s="425">
        <v>3893</v>
      </c>
      <c r="E1329" s="425">
        <v>3970</v>
      </c>
      <c r="F1329" s="425">
        <v>3979</v>
      </c>
      <c r="G1329" s="425">
        <v>3936</v>
      </c>
      <c r="H1329" s="425">
        <v>3771</v>
      </c>
      <c r="I1329" s="425">
        <v>3967</v>
      </c>
      <c r="J1329" s="425">
        <v>3966</v>
      </c>
      <c r="K1329" s="425">
        <v>3775</v>
      </c>
      <c r="L1329" s="425">
        <v>3814</v>
      </c>
      <c r="M1329" s="406"/>
      <c r="N1329" s="406"/>
      <c r="O1329" s="406"/>
      <c r="P1329" s="406"/>
      <c r="Q1329" s="404"/>
      <c r="R1329" s="404"/>
      <c r="S1329" s="404"/>
      <c r="T1329" s="404"/>
      <c r="U1329" s="404"/>
      <c r="V1329" s="407"/>
      <c r="W1329" s="404"/>
      <c r="X1329" s="484"/>
      <c r="Y1329" s="268"/>
      <c r="Z1329" s="267"/>
      <c r="AA1329" s="267"/>
      <c r="AB1329" s="267"/>
      <c r="AC1329" s="267"/>
      <c r="AD1329" s="268"/>
      <c r="AE1329" s="269"/>
    </row>
    <row r="1330" spans="1:31" ht="57.75" thickBot="1">
      <c r="A1330" s="390"/>
      <c r="B1330" s="404"/>
      <c r="C1330" s="409" t="s">
        <v>197</v>
      </c>
      <c r="D1330" s="410">
        <f t="shared" ref="D1330:L1330" si="439">IF(((D1328="")*AND(D1329="")),"",(D1328-D1329)*3)</f>
        <v>6108</v>
      </c>
      <c r="E1330" s="410">
        <f t="shared" si="439"/>
        <v>6258</v>
      </c>
      <c r="F1330" s="410">
        <f t="shared" si="439"/>
        <v>6264</v>
      </c>
      <c r="G1330" s="410">
        <f t="shared" si="439"/>
        <v>6282</v>
      </c>
      <c r="H1330" s="410">
        <f t="shared" si="439"/>
        <v>6315</v>
      </c>
      <c r="I1330" s="410">
        <f t="shared" si="439"/>
        <v>6270</v>
      </c>
      <c r="J1330" s="410">
        <f t="shared" si="439"/>
        <v>6258</v>
      </c>
      <c r="K1330" s="410">
        <f t="shared" si="439"/>
        <v>6135</v>
      </c>
      <c r="L1330" s="410">
        <f t="shared" si="439"/>
        <v>6324</v>
      </c>
      <c r="M1330" s="410"/>
      <c r="N1330" s="410"/>
      <c r="O1330" s="410"/>
      <c r="P1330" s="410" t="str">
        <f>IF(((P1328="")*AND(P1329="")),"",(P1328-P1329)*2)</f>
        <v/>
      </c>
      <c r="Q1330" s="404"/>
      <c r="R1330" s="404"/>
      <c r="S1330" s="404"/>
      <c r="T1330" s="404"/>
      <c r="U1330" s="404"/>
      <c r="V1330" s="407"/>
      <c r="W1330" s="404"/>
      <c r="X1330" s="417"/>
      <c r="Y1330" s="268"/>
      <c r="Z1330" s="267"/>
      <c r="AA1330" s="267"/>
      <c r="AB1330" s="267"/>
      <c r="AC1330" s="267"/>
      <c r="AD1330" s="268"/>
      <c r="AE1330" s="269"/>
    </row>
    <row r="1331" spans="1:31" ht="15.75">
      <c r="A1331" s="344">
        <v>44139</v>
      </c>
      <c r="B1331" s="409" t="s">
        <v>200</v>
      </c>
      <c r="C1331" s="409" t="s">
        <v>199</v>
      </c>
      <c r="D1331">
        <v>6839.04</v>
      </c>
      <c r="E1331">
        <v>6971.62</v>
      </c>
      <c r="F1331">
        <v>6902.25</v>
      </c>
      <c r="G1331">
        <v>7021.11</v>
      </c>
      <c r="H1331">
        <v>7009.5</v>
      </c>
      <c r="I1331">
        <v>7059.77</v>
      </c>
      <c r="J1331">
        <v>7096.73</v>
      </c>
      <c r="K1331">
        <v>7073.78</v>
      </c>
      <c r="L1331">
        <v>6976.1</v>
      </c>
      <c r="M1331">
        <v>7142.15</v>
      </c>
      <c r="N1331">
        <v>7170.94</v>
      </c>
      <c r="O1331">
        <v>7051.36</v>
      </c>
      <c r="P1331">
        <v>7119.05</v>
      </c>
      <c r="Q1331" s="409">
        <f>IF((L1332=""),"",MAX(D1333:P1333))</f>
        <v>5568.18</v>
      </c>
      <c r="R1331" s="409">
        <f>IF(L1332="","",MIN(D1333:L1333))</f>
        <v>5446.98</v>
      </c>
      <c r="S1331" s="400">
        <f>IF((P1333=""),"",AVERAGE(D1333:P1333))</f>
        <v>5496.2199999999993</v>
      </c>
      <c r="T1331" s="412">
        <f>IF((L1332=""),"",(Q1331-R1331)/(Q1331+R1331)*100)</f>
        <v>1.1003017659298706</v>
      </c>
      <c r="U1331" s="409">
        <f>STDEV(D1333:P1333)</f>
        <v>40.404735696124291</v>
      </c>
      <c r="V1331" s="413" t="str">
        <f>IF(P1332="","",IF(T1331&lt;2.7,IF(S1331&gt;5130,IF(S1331&lt;5770,"Pass","Fail"),"Fail"),"Fail"))</f>
        <v>Pass</v>
      </c>
      <c r="W1331" s="463" t="s">
        <v>611</v>
      </c>
      <c r="X1331" s="475" t="s">
        <v>613</v>
      </c>
      <c r="Y1331" s="268"/>
      <c r="Z1331" s="321">
        <v>4470</v>
      </c>
      <c r="AA1331" s="321">
        <v>6020</v>
      </c>
      <c r="AB1331" s="321">
        <v>5130</v>
      </c>
      <c r="AC1331" s="321">
        <v>5775</v>
      </c>
      <c r="AD1331" s="305">
        <v>10</v>
      </c>
      <c r="AE1331" s="322">
        <v>2.7</v>
      </c>
    </row>
    <row r="1332" spans="1:31" ht="15.75">
      <c r="A1332" s="390"/>
      <c r="B1332" s="404"/>
      <c r="C1332" s="404" t="s">
        <v>198</v>
      </c>
      <c r="D1332">
        <v>4115.55</v>
      </c>
      <c r="E1332">
        <v>4242.46</v>
      </c>
      <c r="F1332">
        <v>4169.97</v>
      </c>
      <c r="G1332">
        <v>4284.0600000000004</v>
      </c>
      <c r="H1332">
        <v>4281.34</v>
      </c>
      <c r="I1332">
        <v>4283.05</v>
      </c>
      <c r="J1332">
        <v>4350.74</v>
      </c>
      <c r="K1332">
        <v>4329.9799999999996</v>
      </c>
      <c r="L1332">
        <v>4243.62</v>
      </c>
      <c r="M1332">
        <v>4377.8500000000004</v>
      </c>
      <c r="N1332">
        <v>4404.09</v>
      </c>
      <c r="O1332">
        <v>4290.3</v>
      </c>
      <c r="P1332">
        <v>4334.96</v>
      </c>
      <c r="Q1332" s="404"/>
      <c r="R1332" s="404"/>
      <c r="S1332" s="404"/>
      <c r="T1332" s="404"/>
      <c r="U1332" s="404"/>
      <c r="V1332" s="407"/>
      <c r="W1332" s="404"/>
      <c r="X1332" s="484"/>
      <c r="Y1332" s="268"/>
      <c r="Z1332" s="267"/>
      <c r="AA1332" s="267"/>
      <c r="AB1332" s="267"/>
      <c r="AC1332" s="267"/>
      <c r="AD1332" s="268"/>
      <c r="AE1332" s="269"/>
    </row>
    <row r="1333" spans="1:31" ht="57.75" thickBot="1">
      <c r="A1333" s="393"/>
      <c r="B1333" s="414"/>
      <c r="C1333" s="414" t="s">
        <v>197</v>
      </c>
      <c r="D1333" s="415">
        <f t="shared" ref="D1333:P1333" si="440">IF(((D1331="")*AND(D1332="")),"",(D1331-D1332)*2)</f>
        <v>5446.98</v>
      </c>
      <c r="E1333" s="415">
        <f t="shared" si="440"/>
        <v>5458.32</v>
      </c>
      <c r="F1333" s="415">
        <f t="shared" si="440"/>
        <v>5464.5599999999995</v>
      </c>
      <c r="G1333" s="415">
        <f t="shared" si="440"/>
        <v>5474.0999999999985</v>
      </c>
      <c r="H1333" s="415">
        <f t="shared" si="440"/>
        <v>5456.32</v>
      </c>
      <c r="I1333" s="415">
        <f t="shared" si="440"/>
        <v>5553.4400000000005</v>
      </c>
      <c r="J1333" s="415">
        <f t="shared" si="440"/>
        <v>5491.98</v>
      </c>
      <c r="K1333" s="415">
        <f t="shared" si="440"/>
        <v>5487.6</v>
      </c>
      <c r="L1333" s="415">
        <f t="shared" si="440"/>
        <v>5464.9600000000009</v>
      </c>
      <c r="M1333" s="415">
        <f t="shared" si="440"/>
        <v>5528.5999999999985</v>
      </c>
      <c r="N1333" s="415">
        <f t="shared" si="440"/>
        <v>5533.6999999999989</v>
      </c>
      <c r="O1333" s="415">
        <f t="shared" si="440"/>
        <v>5522.119999999999</v>
      </c>
      <c r="P1333" s="415">
        <f t="shared" si="440"/>
        <v>5568.18</v>
      </c>
      <c r="Q1333" s="414"/>
      <c r="R1333" s="414"/>
      <c r="S1333" s="414"/>
      <c r="T1333" s="414"/>
      <c r="U1333" s="414"/>
      <c r="V1333" s="416"/>
      <c r="W1333" s="414"/>
      <c r="X1333" s="417"/>
      <c r="Y1333" s="268"/>
      <c r="Z1333" s="267"/>
      <c r="AA1333" s="267"/>
      <c r="AB1333" s="267"/>
      <c r="AC1333" s="267"/>
      <c r="AD1333" s="268"/>
      <c r="AE1333" s="269"/>
    </row>
    <row r="1334" spans="1:31" ht="15.75">
      <c r="A1334" s="344">
        <v>44139</v>
      </c>
      <c r="B1334" s="395" t="s">
        <v>202</v>
      </c>
      <c r="C1334" s="396" t="s">
        <v>199</v>
      </c>
      <c r="D1334">
        <v>5949.23</v>
      </c>
      <c r="E1334">
        <v>6072.78</v>
      </c>
      <c r="F1334">
        <v>6082.94</v>
      </c>
      <c r="G1334">
        <v>6044.89</v>
      </c>
      <c r="H1334">
        <v>5886.95</v>
      </c>
      <c r="I1334">
        <v>6075.31</v>
      </c>
      <c r="J1334">
        <v>6069.82</v>
      </c>
      <c r="K1334">
        <v>5841.66</v>
      </c>
      <c r="L1334">
        <v>5939.62</v>
      </c>
      <c r="M1334" s="398"/>
      <c r="N1334" s="398"/>
      <c r="O1334" s="398"/>
      <c r="P1334" s="398"/>
      <c r="Q1334" s="395">
        <f>IF((L1335=""),"",MAX(D1336:L1336))</f>
        <v>6152.8199999999988</v>
      </c>
      <c r="R1334" s="395">
        <f>IF(L1335="","",MIN(D1336:L1336))</f>
        <v>5960.4599999999991</v>
      </c>
      <c r="S1334" s="399">
        <f>IF((L1336=""),"",AVERAGE(D1336:L1336))</f>
        <v>6085.1100000000006</v>
      </c>
      <c r="T1334" s="400">
        <f>IF((L1335=""),"",(Q1334-R1334)/(Q1334+R1334)*100)</f>
        <v>1.5880091932160378</v>
      </c>
      <c r="U1334" s="395">
        <f>STDEV(D1336:P1336)</f>
        <v>65.967747232917276</v>
      </c>
      <c r="V1334" s="401" t="str">
        <f>IF(L1335="","",IF(T1334&lt;9.8,IF(S1334&gt;5100,IF(S1334&lt;8300,"Pass","Fail"),"Fail"),"Fail"))</f>
        <v>Pass</v>
      </c>
      <c r="W1334" s="466" t="s">
        <v>611</v>
      </c>
      <c r="X1334" s="475" t="s">
        <v>613</v>
      </c>
      <c r="Y1334" s="268"/>
      <c r="Z1334" s="267">
        <v>4955</v>
      </c>
      <c r="AA1334" s="267">
        <v>9645</v>
      </c>
      <c r="AB1334" s="267">
        <v>5100</v>
      </c>
      <c r="AC1334" s="267">
        <v>8300</v>
      </c>
      <c r="AD1334" s="305">
        <v>10</v>
      </c>
      <c r="AE1334" s="305">
        <v>9.8000000000000007</v>
      </c>
    </row>
    <row r="1335" spans="1:31" ht="15.75">
      <c r="A1335" s="390"/>
      <c r="B1335" s="404"/>
      <c r="C1335" s="405" t="s">
        <v>198</v>
      </c>
      <c r="D1335">
        <v>3962.41</v>
      </c>
      <c r="E1335">
        <v>4039.37</v>
      </c>
      <c r="F1335">
        <v>4044.56</v>
      </c>
      <c r="G1335">
        <v>3994.75</v>
      </c>
      <c r="H1335">
        <v>3836.01</v>
      </c>
      <c r="I1335">
        <v>4040.91</v>
      </c>
      <c r="J1335">
        <v>4027.25</v>
      </c>
      <c r="K1335">
        <v>3838.25</v>
      </c>
      <c r="L1335">
        <v>3924.36</v>
      </c>
      <c r="M1335" s="406"/>
      <c r="N1335" s="406"/>
      <c r="O1335" s="406"/>
      <c r="P1335" s="406"/>
      <c r="Q1335" s="404"/>
      <c r="R1335" s="404"/>
      <c r="S1335" s="404"/>
      <c r="T1335" s="404"/>
      <c r="U1335" s="404"/>
      <c r="V1335" s="407"/>
      <c r="W1335" s="404"/>
      <c r="X1335" s="484"/>
      <c r="Y1335" s="268"/>
      <c r="Z1335" s="267"/>
      <c r="AA1335" s="267"/>
      <c r="AB1335" s="267"/>
      <c r="AC1335" s="267"/>
      <c r="AD1335" s="268"/>
      <c r="AE1335" s="269"/>
    </row>
    <row r="1336" spans="1:31" ht="57.75" thickBot="1">
      <c r="A1336" s="390"/>
      <c r="B1336" s="404"/>
      <c r="C1336" s="409" t="s">
        <v>197</v>
      </c>
      <c r="D1336" s="410">
        <f t="shared" ref="D1336:L1336" si="441">IF(((D1334="")*AND(D1335="")),"",(D1334-D1335)*3)</f>
        <v>5960.4599999999991</v>
      </c>
      <c r="E1336" s="410">
        <f t="shared" si="441"/>
        <v>6100.23</v>
      </c>
      <c r="F1336" s="410">
        <f t="shared" si="441"/>
        <v>6115.1399999999994</v>
      </c>
      <c r="G1336" s="410">
        <f t="shared" si="441"/>
        <v>6150.420000000001</v>
      </c>
      <c r="H1336" s="410">
        <f t="shared" si="441"/>
        <v>6152.8199999999988</v>
      </c>
      <c r="I1336" s="410">
        <f t="shared" si="441"/>
        <v>6103.2000000000016</v>
      </c>
      <c r="J1336" s="410">
        <f t="shared" si="441"/>
        <v>6127.7099999999991</v>
      </c>
      <c r="K1336" s="410">
        <f t="shared" si="441"/>
        <v>6010.23</v>
      </c>
      <c r="L1336" s="410">
        <f t="shared" si="441"/>
        <v>6045.7799999999988</v>
      </c>
      <c r="M1336" s="410"/>
      <c r="N1336" s="410"/>
      <c r="O1336" s="410"/>
      <c r="P1336" s="410" t="str">
        <f>IF(((P1334="")*AND(P1335="")),"",(P1334-P1335)*2)</f>
        <v/>
      </c>
      <c r="Q1336" s="404"/>
      <c r="R1336" s="404"/>
      <c r="S1336" s="404"/>
      <c r="T1336" s="404"/>
      <c r="U1336" s="404"/>
      <c r="V1336" s="407"/>
      <c r="W1336" s="404"/>
      <c r="X1336" s="417"/>
      <c r="Y1336" s="268"/>
      <c r="Z1336" s="267"/>
      <c r="AA1336" s="267"/>
      <c r="AB1336" s="267"/>
      <c r="AC1336" s="267"/>
      <c r="AD1336" s="268"/>
      <c r="AE1336" s="269"/>
    </row>
  </sheetData>
  <autoFilter ref="A13:AD1330"/>
  <mergeCells count="9">
    <mergeCell ref="C8:P8"/>
    <mergeCell ref="Y521:Y523"/>
    <mergeCell ref="Y515:Y520"/>
    <mergeCell ref="Y503:Y508"/>
    <mergeCell ref="Y533:Y535"/>
    <mergeCell ref="Y527:Y529"/>
    <mergeCell ref="Y509:Y514"/>
    <mergeCell ref="B9:B10"/>
    <mergeCell ref="B11:B12"/>
  </mergeCells>
  <conditionalFormatting sqref="A1:A1048576">
    <cfRule type="timePeriod" dxfId="16" priority="20" timePeriod="today">
      <formula>FLOOR(A1,1)=TODAY()</formula>
    </cfRule>
  </conditionalFormatting>
  <conditionalFormatting sqref="V1:V1048576">
    <cfRule type="containsText" dxfId="15" priority="18" operator="containsText" text="FAIL">
      <formula>NOT(ISERROR(SEARCH("FAIL",V1)))</formula>
    </cfRule>
    <cfRule type="containsText" dxfId="14" priority="19" operator="containsText" text="PASS">
      <formula>NOT(ISERROR(SEARCH("PASS",V1)))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6:A273"/>
  <sheetViews>
    <sheetView workbookViewId="0">
      <selection activeCell="E18" sqref="E18"/>
    </sheetView>
  </sheetViews>
  <sheetFormatPr defaultRowHeight="15.75"/>
  <sheetData>
    <row r="26" spans="1:1">
      <c r="A26" s="142"/>
    </row>
    <row r="27" spans="1:1">
      <c r="A27" s="142"/>
    </row>
    <row r="28" spans="1:1">
      <c r="A28" s="142"/>
    </row>
    <row r="29" spans="1:1">
      <c r="A29" s="142"/>
    </row>
    <row r="30" spans="1:1">
      <c r="A30" s="142"/>
    </row>
    <row r="31" spans="1:1">
      <c r="A31" s="142"/>
    </row>
    <row r="32" spans="1:1">
      <c r="A32" s="142"/>
    </row>
    <row r="33" spans="1:1">
      <c r="A33" s="142"/>
    </row>
    <row r="34" spans="1:1">
      <c r="A34" s="142"/>
    </row>
    <row r="35" spans="1:1">
      <c r="A35" s="142"/>
    </row>
    <row r="36" spans="1:1">
      <c r="A36" s="142"/>
    </row>
    <row r="37" spans="1:1">
      <c r="A37" s="142"/>
    </row>
    <row r="38" spans="1:1">
      <c r="A38" s="142"/>
    </row>
    <row r="39" spans="1:1">
      <c r="A39" s="142"/>
    </row>
    <row r="40" spans="1:1">
      <c r="A40" s="142"/>
    </row>
    <row r="41" spans="1:1">
      <c r="A41" s="142"/>
    </row>
    <row r="42" spans="1:1">
      <c r="A42" s="142"/>
    </row>
    <row r="43" spans="1:1">
      <c r="A43" s="142"/>
    </row>
    <row r="44" spans="1:1">
      <c r="A44" s="142"/>
    </row>
    <row r="45" spans="1:1">
      <c r="A45" s="142"/>
    </row>
    <row r="46" spans="1:1">
      <c r="A46" s="142"/>
    </row>
    <row r="47" spans="1:1">
      <c r="A47" s="142"/>
    </row>
    <row r="48" spans="1:1">
      <c r="A48" s="142"/>
    </row>
    <row r="49" spans="1:1">
      <c r="A49" s="142"/>
    </row>
    <row r="50" spans="1:1">
      <c r="A50" s="142"/>
    </row>
    <row r="51" spans="1:1">
      <c r="A51" s="142"/>
    </row>
    <row r="52" spans="1:1">
      <c r="A52" s="142"/>
    </row>
    <row r="53" spans="1:1">
      <c r="A53" s="142"/>
    </row>
    <row r="54" spans="1:1">
      <c r="A54" s="142"/>
    </row>
    <row r="55" spans="1:1">
      <c r="A55" s="142"/>
    </row>
    <row r="56" spans="1:1">
      <c r="A56" s="142"/>
    </row>
    <row r="57" spans="1:1">
      <c r="A57" s="142"/>
    </row>
    <row r="58" spans="1:1">
      <c r="A58" s="142"/>
    </row>
    <row r="59" spans="1:1">
      <c r="A59" s="142"/>
    </row>
    <row r="60" spans="1:1">
      <c r="A60" s="142"/>
    </row>
    <row r="61" spans="1:1">
      <c r="A61" s="142"/>
    </row>
    <row r="62" spans="1:1">
      <c r="A62" s="142"/>
    </row>
    <row r="63" spans="1:1">
      <c r="A63" s="142"/>
    </row>
    <row r="64" spans="1:1">
      <c r="A64" s="142"/>
    </row>
    <row r="65" spans="1:1">
      <c r="A65" s="142"/>
    </row>
    <row r="66" spans="1:1">
      <c r="A66" s="142"/>
    </row>
    <row r="67" spans="1:1">
      <c r="A67" s="142"/>
    </row>
    <row r="68" spans="1:1">
      <c r="A68" s="142"/>
    </row>
    <row r="69" spans="1:1">
      <c r="A69" s="142"/>
    </row>
    <row r="70" spans="1:1">
      <c r="A70" s="142"/>
    </row>
    <row r="71" spans="1:1">
      <c r="A71" s="142"/>
    </row>
    <row r="72" spans="1:1">
      <c r="A72" s="142"/>
    </row>
    <row r="73" spans="1:1">
      <c r="A73" s="142"/>
    </row>
    <row r="74" spans="1:1">
      <c r="A74" s="142"/>
    </row>
    <row r="75" spans="1:1">
      <c r="A75" s="142"/>
    </row>
    <row r="76" spans="1:1">
      <c r="A76" s="142"/>
    </row>
    <row r="77" spans="1:1">
      <c r="A77" s="142"/>
    </row>
    <row r="78" spans="1:1">
      <c r="A78" s="142"/>
    </row>
    <row r="79" spans="1:1">
      <c r="A79" s="142"/>
    </row>
    <row r="80" spans="1:1">
      <c r="A80" s="142"/>
    </row>
    <row r="81" spans="1:1">
      <c r="A81" s="142"/>
    </row>
    <row r="82" spans="1:1">
      <c r="A82" s="142"/>
    </row>
    <row r="83" spans="1:1">
      <c r="A83" s="142"/>
    </row>
    <row r="84" spans="1:1">
      <c r="A84" s="142"/>
    </row>
    <row r="85" spans="1:1">
      <c r="A85" s="142"/>
    </row>
    <row r="86" spans="1:1">
      <c r="A86" s="142"/>
    </row>
    <row r="87" spans="1:1">
      <c r="A87" s="142"/>
    </row>
    <row r="88" spans="1:1">
      <c r="A88" s="142"/>
    </row>
    <row r="89" spans="1:1">
      <c r="A89" s="142"/>
    </row>
    <row r="90" spans="1:1">
      <c r="A90" s="142"/>
    </row>
    <row r="91" spans="1:1">
      <c r="A91" s="142"/>
    </row>
    <row r="92" spans="1:1">
      <c r="A92" s="142"/>
    </row>
    <row r="93" spans="1:1">
      <c r="A93" s="142"/>
    </row>
    <row r="94" spans="1:1">
      <c r="A94" s="142"/>
    </row>
    <row r="95" spans="1:1">
      <c r="A95" s="142"/>
    </row>
    <row r="96" spans="1:1">
      <c r="A96" s="142"/>
    </row>
    <row r="97" spans="1:1">
      <c r="A97" s="142"/>
    </row>
    <row r="98" spans="1:1">
      <c r="A98" s="142"/>
    </row>
    <row r="99" spans="1:1">
      <c r="A99" s="142"/>
    </row>
    <row r="100" spans="1:1">
      <c r="A100" s="142"/>
    </row>
    <row r="101" spans="1:1">
      <c r="A101" s="142"/>
    </row>
    <row r="102" spans="1:1">
      <c r="A102" s="142"/>
    </row>
    <row r="103" spans="1:1">
      <c r="A103" s="142"/>
    </row>
    <row r="104" spans="1:1">
      <c r="A104" s="142"/>
    </row>
    <row r="105" spans="1:1">
      <c r="A105" s="142"/>
    </row>
    <row r="106" spans="1:1">
      <c r="A106" s="142"/>
    </row>
    <row r="107" spans="1:1">
      <c r="A107" s="142"/>
    </row>
    <row r="108" spans="1:1">
      <c r="A108" s="142"/>
    </row>
    <row r="109" spans="1:1">
      <c r="A109" s="142"/>
    </row>
    <row r="110" spans="1:1">
      <c r="A110" s="142"/>
    </row>
    <row r="111" spans="1:1">
      <c r="A111" s="142"/>
    </row>
    <row r="112" spans="1:1">
      <c r="A112" s="142"/>
    </row>
    <row r="113" spans="1:1">
      <c r="A113" s="142"/>
    </row>
    <row r="114" spans="1:1">
      <c r="A114" s="142"/>
    </row>
    <row r="115" spans="1:1">
      <c r="A115" s="142"/>
    </row>
    <row r="116" spans="1:1">
      <c r="A116" s="142"/>
    </row>
    <row r="117" spans="1:1">
      <c r="A117" s="142"/>
    </row>
    <row r="118" spans="1:1">
      <c r="A118" s="142"/>
    </row>
    <row r="119" spans="1:1">
      <c r="A119" s="142"/>
    </row>
    <row r="120" spans="1:1">
      <c r="A120" s="142"/>
    </row>
    <row r="121" spans="1:1">
      <c r="A121" s="142"/>
    </row>
    <row r="122" spans="1:1">
      <c r="A122" s="142"/>
    </row>
    <row r="123" spans="1:1">
      <c r="A123" s="142"/>
    </row>
    <row r="124" spans="1:1">
      <c r="A124" s="142"/>
    </row>
    <row r="125" spans="1:1">
      <c r="A125" s="142"/>
    </row>
    <row r="126" spans="1:1">
      <c r="A126" s="142"/>
    </row>
    <row r="127" spans="1:1">
      <c r="A127" s="142"/>
    </row>
    <row r="128" spans="1:1">
      <c r="A128" s="142"/>
    </row>
    <row r="129" spans="1:1">
      <c r="A129" s="142"/>
    </row>
    <row r="130" spans="1:1">
      <c r="A130" s="142"/>
    </row>
    <row r="131" spans="1:1">
      <c r="A131" s="142"/>
    </row>
    <row r="132" spans="1:1">
      <c r="A132" s="142"/>
    </row>
    <row r="133" spans="1:1">
      <c r="A133" s="142"/>
    </row>
    <row r="134" spans="1:1">
      <c r="A134" s="142"/>
    </row>
    <row r="135" spans="1:1">
      <c r="A135" s="142"/>
    </row>
    <row r="136" spans="1:1">
      <c r="A136" s="142"/>
    </row>
    <row r="137" spans="1:1">
      <c r="A137" s="142"/>
    </row>
    <row r="138" spans="1:1">
      <c r="A138" s="142"/>
    </row>
    <row r="139" spans="1:1">
      <c r="A139" s="142"/>
    </row>
    <row r="140" spans="1:1">
      <c r="A140" s="142"/>
    </row>
    <row r="141" spans="1:1">
      <c r="A141" s="142"/>
    </row>
    <row r="142" spans="1:1">
      <c r="A142" s="142"/>
    </row>
    <row r="143" spans="1:1">
      <c r="A143" s="142"/>
    </row>
    <row r="144" spans="1:1">
      <c r="A144" s="142"/>
    </row>
    <row r="145" spans="1:1">
      <c r="A145" s="142"/>
    </row>
    <row r="146" spans="1:1">
      <c r="A146" s="142"/>
    </row>
    <row r="147" spans="1:1">
      <c r="A147" s="142"/>
    </row>
    <row r="148" spans="1:1">
      <c r="A148" s="142"/>
    </row>
    <row r="149" spans="1:1">
      <c r="A149" s="142"/>
    </row>
    <row r="150" spans="1:1">
      <c r="A150" s="142"/>
    </row>
    <row r="151" spans="1:1">
      <c r="A151" s="142"/>
    </row>
    <row r="152" spans="1:1">
      <c r="A152" s="142"/>
    </row>
    <row r="153" spans="1:1">
      <c r="A153" s="142"/>
    </row>
    <row r="154" spans="1:1">
      <c r="A154" s="142"/>
    </row>
    <row r="155" spans="1:1">
      <c r="A155" s="142"/>
    </row>
    <row r="156" spans="1:1">
      <c r="A156" s="142"/>
    </row>
    <row r="157" spans="1:1">
      <c r="A157" s="142"/>
    </row>
    <row r="158" spans="1:1">
      <c r="A158" s="142"/>
    </row>
    <row r="159" spans="1:1">
      <c r="A159" s="142"/>
    </row>
    <row r="160" spans="1:1">
      <c r="A160" s="142"/>
    </row>
    <row r="161" spans="1:1">
      <c r="A161" s="142"/>
    </row>
    <row r="162" spans="1:1">
      <c r="A162" s="142"/>
    </row>
    <row r="163" spans="1:1">
      <c r="A163" s="142"/>
    </row>
    <row r="164" spans="1:1">
      <c r="A164" s="142"/>
    </row>
    <row r="165" spans="1:1">
      <c r="A165" s="142"/>
    </row>
    <row r="166" spans="1:1">
      <c r="A166" s="142"/>
    </row>
    <row r="167" spans="1:1">
      <c r="A167" s="142"/>
    </row>
    <row r="168" spans="1:1">
      <c r="A168" s="142"/>
    </row>
    <row r="169" spans="1:1">
      <c r="A169" s="142"/>
    </row>
    <row r="170" spans="1:1">
      <c r="A170" s="142"/>
    </row>
    <row r="171" spans="1:1">
      <c r="A171" s="142"/>
    </row>
    <row r="172" spans="1:1">
      <c r="A172" s="142"/>
    </row>
    <row r="173" spans="1:1">
      <c r="A173" s="142"/>
    </row>
    <row r="174" spans="1:1">
      <c r="A174" s="142"/>
    </row>
    <row r="175" spans="1:1">
      <c r="A175" s="142"/>
    </row>
    <row r="176" spans="1:1">
      <c r="A176" s="142"/>
    </row>
    <row r="177" spans="1:1">
      <c r="A177" s="142"/>
    </row>
    <row r="178" spans="1:1">
      <c r="A178" s="142"/>
    </row>
    <row r="179" spans="1:1">
      <c r="A179" s="142"/>
    </row>
    <row r="180" spans="1:1">
      <c r="A180" s="142"/>
    </row>
    <row r="181" spans="1:1">
      <c r="A181" s="142"/>
    </row>
    <row r="182" spans="1:1">
      <c r="A182" s="142"/>
    </row>
    <row r="183" spans="1:1">
      <c r="A183" s="142"/>
    </row>
    <row r="184" spans="1:1">
      <c r="A184" s="142"/>
    </row>
    <row r="185" spans="1:1">
      <c r="A185" s="142"/>
    </row>
    <row r="186" spans="1:1">
      <c r="A186" s="142"/>
    </row>
    <row r="187" spans="1:1">
      <c r="A187" s="142"/>
    </row>
    <row r="188" spans="1:1">
      <c r="A188" s="142"/>
    </row>
    <row r="189" spans="1:1">
      <c r="A189" s="142"/>
    </row>
    <row r="190" spans="1:1">
      <c r="A190" s="142"/>
    </row>
    <row r="191" spans="1:1">
      <c r="A191" s="142"/>
    </row>
    <row r="192" spans="1:1">
      <c r="A192" s="142"/>
    </row>
    <row r="193" spans="1:1">
      <c r="A193" s="142"/>
    </row>
    <row r="194" spans="1:1">
      <c r="A194" s="142"/>
    </row>
    <row r="195" spans="1:1">
      <c r="A195" s="142"/>
    </row>
    <row r="196" spans="1:1">
      <c r="A196" s="142"/>
    </row>
    <row r="197" spans="1:1">
      <c r="A197" s="142"/>
    </row>
    <row r="198" spans="1:1">
      <c r="A198" s="142"/>
    </row>
    <row r="199" spans="1:1">
      <c r="A199" s="142"/>
    </row>
    <row r="200" spans="1:1">
      <c r="A200" s="142"/>
    </row>
    <row r="201" spans="1:1">
      <c r="A201" s="142"/>
    </row>
    <row r="202" spans="1:1">
      <c r="A202" s="142"/>
    </row>
    <row r="203" spans="1:1">
      <c r="A203" s="142"/>
    </row>
    <row r="204" spans="1:1">
      <c r="A204" s="142"/>
    </row>
    <row r="205" spans="1:1">
      <c r="A205" s="142"/>
    </row>
    <row r="206" spans="1:1">
      <c r="A206" s="142"/>
    </row>
    <row r="207" spans="1:1">
      <c r="A207" s="142"/>
    </row>
    <row r="208" spans="1:1">
      <c r="A208" s="142"/>
    </row>
    <row r="209" spans="1:1">
      <c r="A209" s="142"/>
    </row>
    <row r="210" spans="1:1">
      <c r="A210" s="142"/>
    </row>
    <row r="211" spans="1:1">
      <c r="A211" s="142"/>
    </row>
    <row r="212" spans="1:1">
      <c r="A212" s="142"/>
    </row>
    <row r="213" spans="1:1">
      <c r="A213" s="142"/>
    </row>
    <row r="214" spans="1:1">
      <c r="A214" s="142"/>
    </row>
    <row r="215" spans="1:1">
      <c r="A215" s="142"/>
    </row>
    <row r="216" spans="1:1">
      <c r="A216" s="142"/>
    </row>
    <row r="217" spans="1:1">
      <c r="A217" s="142"/>
    </row>
    <row r="218" spans="1:1">
      <c r="A218" s="142"/>
    </row>
    <row r="219" spans="1:1">
      <c r="A219" s="142"/>
    </row>
    <row r="220" spans="1:1">
      <c r="A220" s="142"/>
    </row>
    <row r="221" spans="1:1">
      <c r="A221" s="142"/>
    </row>
    <row r="222" spans="1:1">
      <c r="A222" s="142"/>
    </row>
    <row r="223" spans="1:1">
      <c r="A223" s="142"/>
    </row>
    <row r="224" spans="1:1">
      <c r="A224" s="142"/>
    </row>
    <row r="225" spans="1:1">
      <c r="A225" s="142"/>
    </row>
    <row r="226" spans="1:1">
      <c r="A226" s="142"/>
    </row>
    <row r="227" spans="1:1">
      <c r="A227" s="142"/>
    </row>
    <row r="228" spans="1:1">
      <c r="A228" s="142"/>
    </row>
    <row r="229" spans="1:1">
      <c r="A229" s="142"/>
    </row>
    <row r="230" spans="1:1">
      <c r="A230" s="142"/>
    </row>
    <row r="231" spans="1:1">
      <c r="A231" s="142"/>
    </row>
    <row r="232" spans="1:1">
      <c r="A232" s="142"/>
    </row>
    <row r="233" spans="1:1">
      <c r="A233" s="142"/>
    </row>
    <row r="234" spans="1:1">
      <c r="A234" s="142"/>
    </row>
    <row r="235" spans="1:1">
      <c r="A235" s="142"/>
    </row>
    <row r="236" spans="1:1">
      <c r="A236" s="142"/>
    </row>
    <row r="237" spans="1:1">
      <c r="A237" s="142"/>
    </row>
    <row r="238" spans="1:1">
      <c r="A238" s="142"/>
    </row>
    <row r="239" spans="1:1">
      <c r="A239" s="142"/>
    </row>
    <row r="240" spans="1:1">
      <c r="A240" s="142"/>
    </row>
    <row r="241" spans="1:1">
      <c r="A241" s="142"/>
    </row>
    <row r="242" spans="1:1">
      <c r="A242" s="142"/>
    </row>
    <row r="243" spans="1:1">
      <c r="A243" s="142"/>
    </row>
    <row r="244" spans="1:1">
      <c r="A244" s="142"/>
    </row>
    <row r="245" spans="1:1">
      <c r="A245" s="142"/>
    </row>
    <row r="246" spans="1:1">
      <c r="A246" s="142"/>
    </row>
    <row r="247" spans="1:1">
      <c r="A247" s="142"/>
    </row>
    <row r="248" spans="1:1">
      <c r="A248" s="142"/>
    </row>
    <row r="249" spans="1:1">
      <c r="A249" s="142"/>
    </row>
    <row r="250" spans="1:1">
      <c r="A250" s="142"/>
    </row>
    <row r="251" spans="1:1">
      <c r="A251" s="142"/>
    </row>
    <row r="252" spans="1:1">
      <c r="A252" s="142"/>
    </row>
    <row r="253" spans="1:1">
      <c r="A253" s="142"/>
    </row>
    <row r="254" spans="1:1">
      <c r="A254" s="142"/>
    </row>
    <row r="255" spans="1:1">
      <c r="A255" s="142"/>
    </row>
    <row r="256" spans="1:1">
      <c r="A256" s="142"/>
    </row>
    <row r="257" spans="1:1">
      <c r="A257" s="142"/>
    </row>
    <row r="258" spans="1:1">
      <c r="A258" s="142"/>
    </row>
    <row r="259" spans="1:1">
      <c r="A259" s="142"/>
    </row>
    <row r="260" spans="1:1">
      <c r="A260" s="142"/>
    </row>
    <row r="261" spans="1:1">
      <c r="A261" s="142"/>
    </row>
    <row r="262" spans="1:1">
      <c r="A262" s="142"/>
    </row>
    <row r="263" spans="1:1">
      <c r="A263" s="142"/>
    </row>
    <row r="264" spans="1:1">
      <c r="A264" s="142"/>
    </row>
    <row r="265" spans="1:1">
      <c r="A265" s="142"/>
    </row>
    <row r="266" spans="1:1">
      <c r="A266" s="142"/>
    </row>
    <row r="267" spans="1:1">
      <c r="A267" s="142"/>
    </row>
    <row r="268" spans="1:1">
      <c r="A268" s="142"/>
    </row>
    <row r="269" spans="1:1">
      <c r="A269" s="142"/>
    </row>
    <row r="270" spans="1:1">
      <c r="A270" s="142"/>
    </row>
    <row r="271" spans="1:1">
      <c r="A271" s="142"/>
    </row>
    <row r="272" spans="1:1">
      <c r="A272" s="142"/>
    </row>
    <row r="273" spans="1:1">
      <c r="A27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I18" sqref="I18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P56"/>
  <sheetViews>
    <sheetView topLeftCell="A31" workbookViewId="0">
      <selection activeCell="G2" sqref="G2:G42"/>
    </sheetView>
  </sheetViews>
  <sheetFormatPr defaultRowHeight="12.75"/>
  <cols>
    <col min="1" max="1" width="10.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25" style="35" bestFit="1" customWidth="1"/>
    <col min="258" max="512" width="9" style="35"/>
    <col min="513" max="513" width="10.625" style="35" bestFit="1" customWidth="1"/>
    <col min="514" max="768" width="9" style="35"/>
    <col min="769" max="769" width="10.625" style="35" bestFit="1" customWidth="1"/>
    <col min="770" max="1024" width="9" style="35"/>
    <col min="1025" max="1025" width="10.625" style="35" bestFit="1" customWidth="1"/>
    <col min="1026" max="1280" width="9" style="35"/>
    <col min="1281" max="1281" width="10.625" style="35" bestFit="1" customWidth="1"/>
    <col min="1282" max="1536" width="9" style="35"/>
    <col min="1537" max="1537" width="10.625" style="35" bestFit="1" customWidth="1"/>
    <col min="1538" max="1792" width="9" style="35"/>
    <col min="1793" max="1793" width="10.625" style="35" bestFit="1" customWidth="1"/>
    <col min="1794" max="2048" width="9" style="35"/>
    <col min="2049" max="2049" width="10.625" style="35" bestFit="1" customWidth="1"/>
    <col min="2050" max="2304" width="9" style="35"/>
    <col min="2305" max="2305" width="10.625" style="35" bestFit="1" customWidth="1"/>
    <col min="2306" max="2560" width="9" style="35"/>
    <col min="2561" max="2561" width="10.625" style="35" bestFit="1" customWidth="1"/>
    <col min="2562" max="2816" width="9" style="35"/>
    <col min="2817" max="2817" width="10.625" style="35" bestFit="1" customWidth="1"/>
    <col min="2818" max="3072" width="9" style="35"/>
    <col min="3073" max="3073" width="10.625" style="35" bestFit="1" customWidth="1"/>
    <col min="3074" max="3328" width="9" style="35"/>
    <col min="3329" max="3329" width="10.625" style="35" bestFit="1" customWidth="1"/>
    <col min="3330" max="3584" width="9" style="35"/>
    <col min="3585" max="3585" width="10.625" style="35" bestFit="1" customWidth="1"/>
    <col min="3586" max="3840" width="9" style="35"/>
    <col min="3841" max="3841" width="10.625" style="35" bestFit="1" customWidth="1"/>
    <col min="3842" max="4096" width="9" style="35"/>
    <col min="4097" max="4097" width="10.625" style="35" bestFit="1" customWidth="1"/>
    <col min="4098" max="4352" width="9" style="35"/>
    <col min="4353" max="4353" width="10.625" style="35" bestFit="1" customWidth="1"/>
    <col min="4354" max="4608" width="9" style="35"/>
    <col min="4609" max="4609" width="10.625" style="35" bestFit="1" customWidth="1"/>
    <col min="4610" max="4864" width="9" style="35"/>
    <col min="4865" max="4865" width="10.625" style="35" bestFit="1" customWidth="1"/>
    <col min="4866" max="5120" width="9" style="35"/>
    <col min="5121" max="5121" width="10.625" style="35" bestFit="1" customWidth="1"/>
    <col min="5122" max="5376" width="9" style="35"/>
    <col min="5377" max="5377" width="10.625" style="35" bestFit="1" customWidth="1"/>
    <col min="5378" max="5632" width="9" style="35"/>
    <col min="5633" max="5633" width="10.625" style="35" bestFit="1" customWidth="1"/>
    <col min="5634" max="5888" width="9" style="35"/>
    <col min="5889" max="5889" width="10.625" style="35" bestFit="1" customWidth="1"/>
    <col min="5890" max="6144" width="9" style="35"/>
    <col min="6145" max="6145" width="10.625" style="35" bestFit="1" customWidth="1"/>
    <col min="6146" max="6400" width="9" style="35"/>
    <col min="6401" max="6401" width="10.625" style="35" bestFit="1" customWidth="1"/>
    <col min="6402" max="6656" width="9" style="35"/>
    <col min="6657" max="6657" width="10.625" style="35" bestFit="1" customWidth="1"/>
    <col min="6658" max="6912" width="9" style="35"/>
    <col min="6913" max="6913" width="10.625" style="35" bestFit="1" customWidth="1"/>
    <col min="6914" max="7168" width="9" style="35"/>
    <col min="7169" max="7169" width="10.625" style="35" bestFit="1" customWidth="1"/>
    <col min="7170" max="7424" width="9" style="35"/>
    <col min="7425" max="7425" width="10.625" style="35" bestFit="1" customWidth="1"/>
    <col min="7426" max="7680" width="9" style="35"/>
    <col min="7681" max="7681" width="10.625" style="35" bestFit="1" customWidth="1"/>
    <col min="7682" max="7936" width="9" style="35"/>
    <col min="7937" max="7937" width="10.625" style="35" bestFit="1" customWidth="1"/>
    <col min="7938" max="8192" width="9" style="35"/>
    <col min="8193" max="8193" width="10.625" style="35" bestFit="1" customWidth="1"/>
    <col min="8194" max="8448" width="9" style="35"/>
    <col min="8449" max="8449" width="10.625" style="35" bestFit="1" customWidth="1"/>
    <col min="8450" max="8704" width="9" style="35"/>
    <col min="8705" max="8705" width="10.625" style="35" bestFit="1" customWidth="1"/>
    <col min="8706" max="8960" width="9" style="35"/>
    <col min="8961" max="8961" width="10.625" style="35" bestFit="1" customWidth="1"/>
    <col min="8962" max="9216" width="9" style="35"/>
    <col min="9217" max="9217" width="10.625" style="35" bestFit="1" customWidth="1"/>
    <col min="9218" max="9472" width="9" style="35"/>
    <col min="9473" max="9473" width="10.625" style="35" bestFit="1" customWidth="1"/>
    <col min="9474" max="9728" width="9" style="35"/>
    <col min="9729" max="9729" width="10.625" style="35" bestFit="1" customWidth="1"/>
    <col min="9730" max="9984" width="9" style="35"/>
    <col min="9985" max="9985" width="10.625" style="35" bestFit="1" customWidth="1"/>
    <col min="9986" max="10240" width="9" style="35"/>
    <col min="10241" max="10241" width="10.625" style="35" bestFit="1" customWidth="1"/>
    <col min="10242" max="10496" width="9" style="35"/>
    <col min="10497" max="10497" width="10.625" style="35" bestFit="1" customWidth="1"/>
    <col min="10498" max="10752" width="9" style="35"/>
    <col min="10753" max="10753" width="10.625" style="35" bestFit="1" customWidth="1"/>
    <col min="10754" max="11008" width="9" style="35"/>
    <col min="11009" max="11009" width="10.625" style="35" bestFit="1" customWidth="1"/>
    <col min="11010" max="11264" width="9" style="35"/>
    <col min="11265" max="11265" width="10.625" style="35" bestFit="1" customWidth="1"/>
    <col min="11266" max="11520" width="9" style="35"/>
    <col min="11521" max="11521" width="10.625" style="35" bestFit="1" customWidth="1"/>
    <col min="11522" max="11776" width="9" style="35"/>
    <col min="11777" max="11777" width="10.625" style="35" bestFit="1" customWidth="1"/>
    <col min="11778" max="12032" width="9" style="35"/>
    <col min="12033" max="12033" width="10.625" style="35" bestFit="1" customWidth="1"/>
    <col min="12034" max="12288" width="9" style="35"/>
    <col min="12289" max="12289" width="10.625" style="35" bestFit="1" customWidth="1"/>
    <col min="12290" max="12544" width="9" style="35"/>
    <col min="12545" max="12545" width="10.625" style="35" bestFit="1" customWidth="1"/>
    <col min="12546" max="12800" width="9" style="35"/>
    <col min="12801" max="12801" width="10.625" style="35" bestFit="1" customWidth="1"/>
    <col min="12802" max="13056" width="9" style="35"/>
    <col min="13057" max="13057" width="10.625" style="35" bestFit="1" customWidth="1"/>
    <col min="13058" max="13312" width="9" style="35"/>
    <col min="13313" max="13313" width="10.625" style="35" bestFit="1" customWidth="1"/>
    <col min="13314" max="13568" width="9" style="35"/>
    <col min="13569" max="13569" width="10.625" style="35" bestFit="1" customWidth="1"/>
    <col min="13570" max="13824" width="9" style="35"/>
    <col min="13825" max="13825" width="10.625" style="35" bestFit="1" customWidth="1"/>
    <col min="13826" max="14080" width="9" style="35"/>
    <col min="14081" max="14081" width="10.625" style="35" bestFit="1" customWidth="1"/>
    <col min="14082" max="14336" width="9" style="35"/>
    <col min="14337" max="14337" width="10.625" style="35" bestFit="1" customWidth="1"/>
    <col min="14338" max="14592" width="9" style="35"/>
    <col min="14593" max="14593" width="10.625" style="35" bestFit="1" customWidth="1"/>
    <col min="14594" max="14848" width="9" style="35"/>
    <col min="14849" max="14849" width="10.625" style="35" bestFit="1" customWidth="1"/>
    <col min="14850" max="15104" width="9" style="35"/>
    <col min="15105" max="15105" width="10.625" style="35" bestFit="1" customWidth="1"/>
    <col min="15106" max="15360" width="9" style="35"/>
    <col min="15361" max="15361" width="10.625" style="35" bestFit="1" customWidth="1"/>
    <col min="15362" max="15616" width="9" style="35"/>
    <col min="15617" max="15617" width="10.625" style="35" bestFit="1" customWidth="1"/>
    <col min="15618" max="15872" width="9" style="35"/>
    <col min="15873" max="15873" width="10.625" style="35" bestFit="1" customWidth="1"/>
    <col min="15874" max="16128" width="9" style="35"/>
    <col min="16129" max="16129" width="10.625" style="35" bestFit="1" customWidth="1"/>
    <col min="16130" max="16384" width="9" style="35"/>
  </cols>
  <sheetData>
    <row r="1" spans="2:16" ht="13.5" thickBot="1">
      <c r="B1" s="176" t="s">
        <v>324</v>
      </c>
      <c r="C1" s="176" t="s">
        <v>325</v>
      </c>
      <c r="F1" s="177" t="s">
        <v>326</v>
      </c>
      <c r="G1" s="101" t="s">
        <v>327</v>
      </c>
      <c r="H1" s="101" t="s">
        <v>328</v>
      </c>
      <c r="I1" s="101" t="s">
        <v>272</v>
      </c>
    </row>
    <row r="2" spans="2:16" ht="15" thickBot="1">
      <c r="B2" s="58"/>
      <c r="C2" s="48"/>
      <c r="D2" s="45"/>
      <c r="F2" s="178">
        <v>1</v>
      </c>
      <c r="G2" s="400">
        <v>5555.9769230769243</v>
      </c>
      <c r="H2" s="63">
        <v>0.5573086611939041</v>
      </c>
      <c r="I2" s="43">
        <v>19.892136024952041</v>
      </c>
      <c r="O2" s="58">
        <v>7335.0399999999981</v>
      </c>
      <c r="P2" s="47">
        <v>2.2544294466400387</v>
      </c>
    </row>
    <row r="3" spans="2:16" ht="15" thickBot="1">
      <c r="B3" s="58"/>
      <c r="C3" s="48"/>
      <c r="D3" s="45"/>
      <c r="F3" s="178">
        <v>2</v>
      </c>
      <c r="G3" s="400">
        <v>5454.6876923076925</v>
      </c>
      <c r="H3" s="63">
        <v>0.89390519187358908</v>
      </c>
      <c r="I3" s="43">
        <v>33.360693899179488</v>
      </c>
      <c r="O3" s="58">
        <v>7243.66</v>
      </c>
      <c r="P3" s="47">
        <v>2.9805737896104736</v>
      </c>
    </row>
    <row r="4" spans="2:16" ht="15" thickBot="1">
      <c r="B4" s="58"/>
      <c r="C4" s="48"/>
      <c r="D4" s="45"/>
      <c r="F4" s="178">
        <v>3</v>
      </c>
      <c r="G4" s="400">
        <v>5425.2523076923062</v>
      </c>
      <c r="H4" s="63">
        <v>0.42372881355932202</v>
      </c>
      <c r="I4" s="43">
        <v>14.517010358333835</v>
      </c>
      <c r="O4" s="58">
        <v>7042.2199999999993</v>
      </c>
      <c r="P4" s="47">
        <v>1.7657769074856593</v>
      </c>
    </row>
    <row r="5" spans="2:16" ht="15" thickBot="1">
      <c r="B5" s="58"/>
      <c r="C5" s="48"/>
      <c r="D5" s="45"/>
      <c r="F5" s="178">
        <v>4</v>
      </c>
      <c r="G5" s="400">
        <v>5412.5584615384614</v>
      </c>
      <c r="H5" s="48">
        <v>0.44550995755946177</v>
      </c>
      <c r="I5" s="51">
        <v>16.436646868138208</v>
      </c>
      <c r="O5" s="58">
        <v>6982.9666666666672</v>
      </c>
      <c r="P5" s="47">
        <v>2.3496451305430766</v>
      </c>
    </row>
    <row r="6" spans="2:16" ht="15" thickBot="1">
      <c r="B6" s="58"/>
      <c r="C6" s="47"/>
      <c r="D6" s="45"/>
      <c r="F6" s="178">
        <v>5</v>
      </c>
      <c r="G6" s="400">
        <v>5418.1984615384608</v>
      </c>
      <c r="H6" s="48">
        <v>0.47373891185072431</v>
      </c>
      <c r="I6" s="51">
        <v>19.331863328208655</v>
      </c>
      <c r="O6" s="58">
        <v>7119.5422222222214</v>
      </c>
      <c r="P6" s="47">
        <v>1.7114803924060977</v>
      </c>
    </row>
    <row r="7" spans="2:16" ht="15" thickBot="1">
      <c r="B7" s="58"/>
      <c r="C7" s="47"/>
      <c r="D7" s="45"/>
      <c r="F7" s="178">
        <v>6</v>
      </c>
      <c r="G7" s="400">
        <v>5483.6676923076921</v>
      </c>
      <c r="H7" s="48">
        <v>0.62764979193362935</v>
      </c>
      <c r="I7" s="51">
        <v>24.622627413988873</v>
      </c>
      <c r="O7" s="58">
        <v>7176.4066666666658</v>
      </c>
      <c r="P7" s="47">
        <v>0.77401497247419748</v>
      </c>
    </row>
    <row r="8" spans="2:16" ht="15" thickBot="1">
      <c r="B8" s="58"/>
      <c r="C8" s="47"/>
      <c r="D8" s="45"/>
      <c r="F8" s="178">
        <v>7</v>
      </c>
      <c r="G8" s="400">
        <v>5467.2430769230768</v>
      </c>
      <c r="H8" s="48">
        <v>0.49986273684920124</v>
      </c>
      <c r="I8" s="51">
        <v>17.576329070288843</v>
      </c>
      <c r="O8" s="58">
        <v>7544.9444444444425</v>
      </c>
      <c r="P8" s="47">
        <v>2.9384392848406207</v>
      </c>
    </row>
    <row r="9" spans="2:16" ht="15" thickBot="1">
      <c r="B9" s="58"/>
      <c r="C9" s="47"/>
      <c r="D9" s="45"/>
      <c r="F9" s="178">
        <v>8</v>
      </c>
      <c r="G9" s="400">
        <v>5465.076923076922</v>
      </c>
      <c r="H9" s="48">
        <v>0.4944798223955108</v>
      </c>
      <c r="I9" s="51">
        <v>14.208468808568167</v>
      </c>
      <c r="O9" s="58">
        <v>7297.7777777777774</v>
      </c>
      <c r="P9" s="47">
        <v>3.7040367910066299</v>
      </c>
    </row>
    <row r="10" spans="2:16" ht="15" thickBot="1">
      <c r="B10" s="58"/>
      <c r="C10" s="47"/>
      <c r="D10" s="45"/>
      <c r="F10" s="178">
        <v>9</v>
      </c>
      <c r="G10" s="400">
        <v>5392.0169230769234</v>
      </c>
      <c r="H10" s="48">
        <v>0.78681153990258523</v>
      </c>
      <c r="I10" s="51">
        <v>26.638125752187626</v>
      </c>
      <c r="O10" s="58">
        <v>7029.1511111111122</v>
      </c>
      <c r="P10" s="47">
        <v>1.752472889327632</v>
      </c>
    </row>
    <row r="11" spans="2:16" ht="15" thickBot="1">
      <c r="B11" s="58"/>
      <c r="C11" s="47"/>
      <c r="D11" s="45"/>
      <c r="F11" s="178">
        <v>10</v>
      </c>
      <c r="G11" s="400">
        <v>5401.2599999999993</v>
      </c>
      <c r="H11" s="48">
        <v>1.0717341632894894</v>
      </c>
      <c r="I11" s="51">
        <v>37.921509845698253</v>
      </c>
      <c r="O11" s="58">
        <v>7054.7688888888888</v>
      </c>
      <c r="P11" s="47">
        <v>2.8088902823997222</v>
      </c>
    </row>
    <row r="12" spans="2:16" ht="15" thickBot="1">
      <c r="B12" s="58"/>
      <c r="C12" s="47"/>
      <c r="D12" s="45"/>
      <c r="F12" s="178">
        <v>11</v>
      </c>
      <c r="G12" s="400">
        <v>5407.250769230769</v>
      </c>
      <c r="H12" s="48">
        <v>1.067068040311878</v>
      </c>
      <c r="I12" s="51">
        <v>37.452644646643272</v>
      </c>
      <c r="O12" s="58">
        <v>7139.3088888888888</v>
      </c>
      <c r="P12" s="47">
        <v>2.4531714953643653</v>
      </c>
    </row>
    <row r="13" spans="2:16" ht="15" thickBot="1">
      <c r="B13" s="58"/>
      <c r="C13" s="47"/>
      <c r="D13" s="45"/>
      <c r="F13" s="178">
        <v>12</v>
      </c>
      <c r="G13" s="400">
        <v>5418.7692307692305</v>
      </c>
      <c r="H13" s="48">
        <v>0.62939651980747868</v>
      </c>
      <c r="I13" s="51">
        <v>24.501177365776133</v>
      </c>
      <c r="O13" s="58">
        <v>7336.9266666666663</v>
      </c>
      <c r="P13" s="47">
        <v>1.3787532309189532</v>
      </c>
    </row>
    <row r="14" spans="2:16" ht="15" thickBot="1">
      <c r="B14" s="58">
        <v>7335.0399999999981</v>
      </c>
      <c r="C14" s="47">
        <v>2.2544294466400387</v>
      </c>
      <c r="D14" s="45">
        <v>35.408724599681953</v>
      </c>
      <c r="F14" s="178">
        <v>13</v>
      </c>
      <c r="G14" s="400">
        <v>5388.6153846153848</v>
      </c>
      <c r="H14" s="48">
        <v>1.0277884946639275</v>
      </c>
      <c r="I14" s="51">
        <v>36.113131640935684</v>
      </c>
      <c r="O14" s="58">
        <v>7214.7711111111112</v>
      </c>
      <c r="P14" s="47">
        <v>1.4326376371848419</v>
      </c>
    </row>
    <row r="15" spans="2:16" ht="15" thickBot="1">
      <c r="B15" s="58">
        <v>7243.66</v>
      </c>
      <c r="C15" s="47">
        <v>2.9805737896104736</v>
      </c>
      <c r="D15" s="45">
        <v>121.9668112416132</v>
      </c>
      <c r="F15" s="178">
        <v>14</v>
      </c>
      <c r="G15" s="400">
        <v>5634.7692307692305</v>
      </c>
      <c r="H15" s="48">
        <v>1.418362653163973</v>
      </c>
      <c r="I15" s="51">
        <v>51.251403783214009</v>
      </c>
      <c r="O15" s="58">
        <v>7427.7022222222231</v>
      </c>
      <c r="P15" s="47">
        <v>2.5800781092508123</v>
      </c>
    </row>
    <row r="16" spans="2:16" ht="15" thickBot="1">
      <c r="B16" s="58">
        <v>7042.2199999999993</v>
      </c>
      <c r="C16" s="47">
        <v>1.7657769074856593</v>
      </c>
      <c r="D16" s="45">
        <v>107.41759730640742</v>
      </c>
      <c r="F16" s="178">
        <v>15</v>
      </c>
      <c r="G16" s="400">
        <v>5631.9723076923074</v>
      </c>
      <c r="H16" s="48">
        <v>2.9831228200998061</v>
      </c>
      <c r="I16" s="51">
        <v>100.3372553901424</v>
      </c>
      <c r="O16" s="58">
        <v>6992.4155555555562</v>
      </c>
      <c r="P16" s="47">
        <v>2.8743573678473648</v>
      </c>
    </row>
    <row r="17" spans="2:16" ht="15" thickBot="1">
      <c r="B17" s="58">
        <v>6982.9666666666672</v>
      </c>
      <c r="C17" s="47">
        <v>2.3496451305430766</v>
      </c>
      <c r="D17" s="45">
        <v>96.438274041120863</v>
      </c>
      <c r="F17" s="178">
        <v>16</v>
      </c>
      <c r="G17" s="400">
        <v>5617.0984615384614</v>
      </c>
      <c r="H17" s="48">
        <v>2.9831228200998061</v>
      </c>
      <c r="I17" s="51">
        <v>100.3372553901424</v>
      </c>
      <c r="O17" s="58">
        <v>7226.2488888888893</v>
      </c>
      <c r="P17" s="47">
        <v>3.0511725819062194</v>
      </c>
    </row>
    <row r="18" spans="2:16" ht="15" thickBot="1">
      <c r="B18" s="58">
        <v>7119.5422222222214</v>
      </c>
      <c r="C18" s="47">
        <v>1.7114803924060977</v>
      </c>
      <c r="D18" s="45">
        <v>96.438274041120863</v>
      </c>
      <c r="F18" s="178">
        <v>17</v>
      </c>
      <c r="G18" s="400">
        <v>5618.8892307692304</v>
      </c>
      <c r="H18" s="48">
        <v>0.96073758256983199</v>
      </c>
      <c r="I18" s="51">
        <v>35.41106226548051</v>
      </c>
      <c r="O18" s="58">
        <v>6842.2133333333322</v>
      </c>
      <c r="P18" s="47">
        <v>1.0375466588597024</v>
      </c>
    </row>
    <row r="19" spans="2:16" ht="15" thickBot="1">
      <c r="B19" s="58">
        <v>7176.4066666666658</v>
      </c>
      <c r="C19" s="47">
        <v>0.77401497247419748</v>
      </c>
      <c r="D19" s="45">
        <v>125.6646016187905</v>
      </c>
      <c r="F19" s="178">
        <v>18</v>
      </c>
      <c r="G19" s="400">
        <v>5592.2646153846154</v>
      </c>
      <c r="H19" s="48">
        <v>0.80257352941176197</v>
      </c>
      <c r="I19" s="51">
        <v>25.856844553498341</v>
      </c>
      <c r="O19" s="58">
        <v>6840.5777777777776</v>
      </c>
      <c r="P19" s="47">
        <v>0.98449670296842684</v>
      </c>
    </row>
    <row r="20" spans="2:16" ht="15" thickBot="1">
      <c r="B20" s="58">
        <v>7544.9444444444425</v>
      </c>
      <c r="C20" s="47">
        <v>2.9384392848406207</v>
      </c>
      <c r="D20" s="45">
        <v>78.380956233089435</v>
      </c>
      <c r="F20" s="178">
        <v>19</v>
      </c>
      <c r="G20" s="400">
        <v>5476.2753846153846</v>
      </c>
      <c r="H20" s="48">
        <v>1.0697765398528329</v>
      </c>
      <c r="I20" s="51">
        <v>36.560268630165837</v>
      </c>
      <c r="O20" s="58">
        <v>7007.0844444444438</v>
      </c>
      <c r="P20" s="47">
        <v>1.6277391753924393</v>
      </c>
    </row>
    <row r="21" spans="2:16" ht="15" thickBot="1">
      <c r="B21" s="58">
        <v>7297.7777777777774</v>
      </c>
      <c r="C21" s="47">
        <v>3.7040367910066299</v>
      </c>
      <c r="D21" s="45">
        <v>110.99119784918246</v>
      </c>
      <c r="F21" s="178">
        <v>20</v>
      </c>
      <c r="G21" s="400">
        <v>5437.6784615384622</v>
      </c>
      <c r="H21" s="48">
        <v>0.83495397381045688</v>
      </c>
      <c r="I21" s="51">
        <v>26.959612077053308</v>
      </c>
      <c r="O21" s="58">
        <v>6474.5399999999991</v>
      </c>
      <c r="P21" s="47">
        <v>4.1266839402412998</v>
      </c>
    </row>
    <row r="22" spans="2:16" ht="15" thickBot="1">
      <c r="B22" s="58">
        <v>7029.1511111111122</v>
      </c>
      <c r="C22" s="47">
        <v>1.752472889327632</v>
      </c>
      <c r="D22" s="45">
        <v>76.43046738349409</v>
      </c>
      <c r="F22" s="178">
        <v>21</v>
      </c>
      <c r="G22" s="400">
        <v>5234.42</v>
      </c>
      <c r="H22" s="48">
        <v>0.64651258408673862</v>
      </c>
      <c r="I22" s="51">
        <v>26.879698086738184</v>
      </c>
      <c r="O22" s="58">
        <v>6572.6444444444451</v>
      </c>
      <c r="P22" s="47">
        <v>2.5343581939489401</v>
      </c>
    </row>
    <row r="23" spans="2:16" ht="15" thickBot="1">
      <c r="B23" s="58">
        <v>7054.7688888888888</v>
      </c>
      <c r="C23" s="47">
        <v>2.8088902823997222</v>
      </c>
      <c r="D23" s="45">
        <v>32.942480173816072</v>
      </c>
      <c r="F23" s="178">
        <v>22</v>
      </c>
      <c r="G23" s="400">
        <v>5378.3030769230772</v>
      </c>
      <c r="H23" s="48">
        <v>1.2592725422959705</v>
      </c>
      <c r="I23" s="51">
        <v>43.734048359250664</v>
      </c>
      <c r="O23" s="58">
        <v>6321.04</v>
      </c>
      <c r="P23" s="47">
        <v>4.4207834564853883</v>
      </c>
    </row>
    <row r="24" spans="2:16" ht="15" thickBot="1">
      <c r="B24" s="58">
        <v>7139.3088888888888</v>
      </c>
      <c r="C24" s="47">
        <v>2.4531714953643653</v>
      </c>
      <c r="D24" s="45">
        <v>126.38280372663223</v>
      </c>
      <c r="F24" s="178">
        <v>23</v>
      </c>
      <c r="G24" s="400">
        <v>5464.8861538461533</v>
      </c>
      <c r="H24" s="48">
        <v>1.0434404752398774</v>
      </c>
      <c r="I24" s="51">
        <v>37.388465998817317</v>
      </c>
      <c r="O24" s="58">
        <v>6318.5666666666666</v>
      </c>
      <c r="P24" s="47">
        <v>4.0381073036372364</v>
      </c>
    </row>
    <row r="25" spans="2:16" ht="15" thickBot="1">
      <c r="B25" s="58">
        <v>7336.9266666666663</v>
      </c>
      <c r="C25" s="47">
        <v>1.3787532309189532</v>
      </c>
      <c r="D25" s="45">
        <v>149.07642886938444</v>
      </c>
      <c r="F25" s="178">
        <v>24</v>
      </c>
      <c r="G25" s="400">
        <v>5292.623076923076</v>
      </c>
      <c r="H25" s="48">
        <v>0.83378768827912664</v>
      </c>
      <c r="I25" s="51">
        <v>29.132322013506268</v>
      </c>
      <c r="O25" s="58">
        <v>6418.2599999999993</v>
      </c>
      <c r="P25" s="47">
        <v>1.2366073314154749</v>
      </c>
    </row>
    <row r="26" spans="2:16" ht="15" thickBot="1">
      <c r="B26" s="58">
        <v>7214.7711111111112</v>
      </c>
      <c r="C26" s="47">
        <v>1.4326376371848419</v>
      </c>
      <c r="D26" s="45">
        <v>76.24886891691844</v>
      </c>
      <c r="F26" s="178">
        <v>25</v>
      </c>
      <c r="G26" s="400">
        <v>5313.2646153846154</v>
      </c>
      <c r="H26" s="48">
        <v>0.86831539025046445</v>
      </c>
      <c r="I26" s="51">
        <v>32.425309598536472</v>
      </c>
      <c r="O26" s="58">
        <v>6176.506666666668</v>
      </c>
      <c r="P26" s="47">
        <v>3.9438824230501357</v>
      </c>
    </row>
    <row r="27" spans="2:16" ht="15" thickBot="1">
      <c r="B27" s="58">
        <v>7427.7022222222231</v>
      </c>
      <c r="C27" s="47">
        <v>2.5800781092508123</v>
      </c>
      <c r="D27" s="45">
        <v>115.32388222361064</v>
      </c>
      <c r="F27" s="178">
        <v>26</v>
      </c>
      <c r="G27" s="400">
        <v>5278.2599999999993</v>
      </c>
      <c r="H27" s="48">
        <v>1.3550826377342429</v>
      </c>
      <c r="I27" s="51">
        <v>46.112344987599151</v>
      </c>
      <c r="O27" s="58">
        <v>6366.2366666666667</v>
      </c>
      <c r="P27" s="47">
        <v>0.72362514756440743</v>
      </c>
    </row>
    <row r="28" spans="2:16" ht="15" thickBot="1">
      <c r="B28" s="58">
        <v>6992.4155555555562</v>
      </c>
      <c r="C28" s="47">
        <v>2.8743573678473648</v>
      </c>
      <c r="D28" s="45">
        <v>92.511677701243755</v>
      </c>
      <c r="F28" s="178">
        <v>27</v>
      </c>
      <c r="G28" s="400">
        <v>5273.6338461538453</v>
      </c>
      <c r="H28" s="48">
        <v>1.1076476628988488</v>
      </c>
      <c r="I28" s="51">
        <v>38.959098752767822</v>
      </c>
      <c r="O28" s="58">
        <v>6908.6066666666666</v>
      </c>
      <c r="P28" s="47">
        <v>4.6294173871298376</v>
      </c>
    </row>
    <row r="29" spans="2:16" ht="15" thickBot="1">
      <c r="B29" s="58">
        <v>7226.2488888888893</v>
      </c>
      <c r="C29" s="47">
        <v>3.0511725819062194</v>
      </c>
      <c r="D29" s="45">
        <v>71.139643659427477</v>
      </c>
      <c r="F29" s="178">
        <v>28</v>
      </c>
      <c r="G29" s="400">
        <v>5326.2615384615392</v>
      </c>
      <c r="H29" s="48">
        <v>1.144756481585429</v>
      </c>
      <c r="I29" s="51">
        <v>39.172312926231029</v>
      </c>
      <c r="O29" s="58">
        <v>6160.626666666667</v>
      </c>
      <c r="P29" s="47">
        <v>11.745757661781301</v>
      </c>
    </row>
    <row r="30" spans="2:16" ht="15" thickBot="1">
      <c r="B30" s="58">
        <v>6842.2133333333322</v>
      </c>
      <c r="C30" s="47">
        <v>1.0375466588597024</v>
      </c>
      <c r="D30" s="45">
        <v>73.991047506589808</v>
      </c>
      <c r="F30" s="178">
        <v>29</v>
      </c>
      <c r="G30" s="400">
        <v>5293.2969230769231</v>
      </c>
      <c r="H30" s="48">
        <v>1.0132121081993513</v>
      </c>
      <c r="I30" s="51">
        <v>38.01855479861625</v>
      </c>
      <c r="O30" s="58">
        <v>7470.2966666666662</v>
      </c>
      <c r="P30" s="47">
        <v>2.5170351263798256</v>
      </c>
    </row>
    <row r="31" spans="2:16" ht="15" thickBot="1">
      <c r="B31" s="58">
        <v>6840.5777777777776</v>
      </c>
      <c r="C31" s="47">
        <v>0.98449670296842684</v>
      </c>
      <c r="D31" s="45">
        <v>110.1303425238799</v>
      </c>
      <c r="F31" s="178">
        <v>30</v>
      </c>
      <c r="G31" s="400">
        <v>5612.8184615384635</v>
      </c>
      <c r="H31" s="48">
        <v>0.99722202436070606</v>
      </c>
      <c r="I31" s="51">
        <v>34.366793603150839</v>
      </c>
      <c r="O31" s="58">
        <v>7366.5233333333326</v>
      </c>
      <c r="P31" s="47">
        <v>6.8475046994613056</v>
      </c>
    </row>
    <row r="32" spans="2:16" ht="15" thickBot="1">
      <c r="B32" s="58">
        <v>7007.0844444444438</v>
      </c>
      <c r="C32" s="47">
        <v>1.6277391753924393</v>
      </c>
      <c r="D32" s="45">
        <v>113.64723920000286</v>
      </c>
      <c r="F32" s="178">
        <v>31</v>
      </c>
      <c r="G32" s="400">
        <v>5603.0492307692311</v>
      </c>
      <c r="H32" s="48">
        <v>0.91745887180183783</v>
      </c>
      <c r="I32" s="51">
        <v>33.328005529461691</v>
      </c>
    </row>
    <row r="33" spans="2:9" ht="15" thickBot="1">
      <c r="B33" s="58">
        <v>6474.5399999999991</v>
      </c>
      <c r="C33" s="47">
        <v>4.1266839402412998</v>
      </c>
      <c r="D33" s="45">
        <v>125.53074169741545</v>
      </c>
      <c r="F33" s="178">
        <v>32</v>
      </c>
      <c r="G33" s="400">
        <v>5603.4446153846166</v>
      </c>
      <c r="H33" s="48">
        <v>0.97613050033242921</v>
      </c>
      <c r="I33" s="51">
        <v>33.455323826249156</v>
      </c>
    </row>
    <row r="34" spans="2:9" ht="15" thickBot="1">
      <c r="B34" s="58">
        <v>6572.6444444444451</v>
      </c>
      <c r="C34" s="47">
        <v>2.5343581939489401</v>
      </c>
      <c r="D34" s="45">
        <v>50.10634690363743</v>
      </c>
      <c r="F34" s="178">
        <v>33</v>
      </c>
      <c r="G34" s="400">
        <v>5421.2307692307695</v>
      </c>
      <c r="H34" s="48">
        <v>1.175165541602146</v>
      </c>
      <c r="I34" s="51">
        <v>44.846800731990136</v>
      </c>
    </row>
    <row r="35" spans="2:9" ht="15" thickBot="1">
      <c r="B35" s="58">
        <v>6321.04</v>
      </c>
      <c r="C35" s="47">
        <v>4.4207834564853883</v>
      </c>
      <c r="D35" s="45">
        <v>52.254859529574283</v>
      </c>
      <c r="F35" s="178">
        <v>34</v>
      </c>
      <c r="G35" s="400">
        <v>5576.7030769230778</v>
      </c>
      <c r="H35" s="48">
        <v>1.0952787754928721</v>
      </c>
      <c r="I35" s="51">
        <v>39.378185764489174</v>
      </c>
    </row>
    <row r="36" spans="2:9" ht="15" thickBot="1">
      <c r="B36" s="58">
        <v>6318.5666666666666</v>
      </c>
      <c r="C36" s="47">
        <v>4.0381073036372364</v>
      </c>
      <c r="D36" s="45">
        <v>62.249477731079828</v>
      </c>
      <c r="F36" s="178">
        <v>35</v>
      </c>
      <c r="G36" s="400">
        <v>5440.4692307692321</v>
      </c>
      <c r="H36" s="48">
        <v>1.1689633823913963</v>
      </c>
      <c r="I36" s="51">
        <v>41.125298409118493</v>
      </c>
    </row>
    <row r="37" spans="2:9" ht="15" thickBot="1">
      <c r="B37" s="58">
        <v>6418.2599999999993</v>
      </c>
      <c r="C37" s="47">
        <v>1.2366073314154749</v>
      </c>
      <c r="D37" s="45">
        <v>155.6571382880114</v>
      </c>
      <c r="F37" s="178">
        <v>36</v>
      </c>
      <c r="G37" s="400">
        <v>5466.5661538461536</v>
      </c>
      <c r="H37" s="48">
        <v>1.0727053778158453</v>
      </c>
      <c r="I37" s="51">
        <v>36.826451892474388</v>
      </c>
    </row>
    <row r="38" spans="2:9" ht="15" thickBot="1">
      <c r="B38" s="58">
        <v>6176.506666666668</v>
      </c>
      <c r="C38" s="47">
        <v>3.9438824230501357</v>
      </c>
      <c r="D38" s="45">
        <v>118.31681950495818</v>
      </c>
      <c r="F38" s="178">
        <v>37</v>
      </c>
      <c r="G38" s="400">
        <v>5453.375384615385</v>
      </c>
      <c r="H38" s="48">
        <v>1.2364454161637657</v>
      </c>
      <c r="I38" s="51">
        <v>45.677978858103721</v>
      </c>
    </row>
    <row r="39" spans="2:9" ht="15" thickBot="1">
      <c r="B39" s="58">
        <v>6366.2366666666667</v>
      </c>
      <c r="C39" s="47">
        <v>0.72362514756440743</v>
      </c>
      <c r="D39" s="45">
        <v>195.38973821568808</v>
      </c>
      <c r="F39" s="178">
        <v>38</v>
      </c>
      <c r="G39" s="400">
        <v>5522.043076923077</v>
      </c>
      <c r="H39" s="48">
        <v>1.4489010709350685</v>
      </c>
      <c r="I39" s="51">
        <v>54.793239476350131</v>
      </c>
    </row>
    <row r="40" spans="2:9" ht="15" thickBot="1">
      <c r="B40" s="58">
        <v>6908.6066666666666</v>
      </c>
      <c r="C40" s="47">
        <v>4.6294173871298376</v>
      </c>
      <c r="D40" s="45">
        <v>144.55795239279394</v>
      </c>
      <c r="F40" s="178">
        <v>39</v>
      </c>
      <c r="G40" s="400">
        <v>5465.6138461538458</v>
      </c>
      <c r="H40" s="48">
        <v>1.3858300747599057</v>
      </c>
      <c r="I40" s="51">
        <v>51.499497632677048</v>
      </c>
    </row>
    <row r="41" spans="2:9" ht="15" thickBot="1">
      <c r="B41" s="58"/>
      <c r="C41" s="47"/>
      <c r="D41" s="45"/>
      <c r="F41" s="178">
        <v>40</v>
      </c>
      <c r="G41" s="400">
        <v>5437.2123076923071</v>
      </c>
      <c r="H41" s="48">
        <v>1.7497480234257883</v>
      </c>
      <c r="I41" s="51">
        <v>54.483934023396003</v>
      </c>
    </row>
    <row r="42" spans="2:9" ht="14.25">
      <c r="B42" s="58">
        <v>7470.2966666666662</v>
      </c>
      <c r="C42" s="47">
        <v>2.5170351263798256</v>
      </c>
      <c r="D42" s="45">
        <v>182.1403701818609</v>
      </c>
      <c r="F42" s="178">
        <v>41</v>
      </c>
      <c r="G42" s="400">
        <v>5453.8461538461543</v>
      </c>
      <c r="H42" s="48">
        <v>1.4639664950963753</v>
      </c>
      <c r="I42" s="51">
        <v>55.334738659918166</v>
      </c>
    </row>
    <row r="43" spans="2:9">
      <c r="B43" s="58">
        <v>7366.5233333333326</v>
      </c>
      <c r="C43" s="47">
        <v>6.8475046994613056</v>
      </c>
      <c r="D43" s="45">
        <v>32.328509476884271</v>
      </c>
    </row>
    <row r="44" spans="2:9">
      <c r="B44" s="70"/>
      <c r="C44" s="70"/>
    </row>
    <row r="45" spans="2:9">
      <c r="B45" s="70"/>
      <c r="C45" s="70"/>
    </row>
    <row r="46" spans="2:9">
      <c r="B46" s="70"/>
      <c r="C46" s="70"/>
    </row>
    <row r="47" spans="2:9">
      <c r="B47" s="58"/>
      <c r="C47" s="58"/>
    </row>
    <row r="49" spans="1:10">
      <c r="A49" s="176" t="s">
        <v>329</v>
      </c>
      <c r="B49" s="179">
        <f>AVERAGE(B36:B47)</f>
        <v>6717.8566666666666</v>
      </c>
      <c r="C49" s="179">
        <f>AVERAGE(C36:C47)</f>
        <v>3.4194542026626036</v>
      </c>
      <c r="D49" s="35">
        <f>AVERAGE(D2:D43)</f>
        <v>101.00218181854861</v>
      </c>
      <c r="F49" s="180" t="s">
        <v>329</v>
      </c>
      <c r="G49" s="181">
        <f>AVERAGE(G2:G42)</f>
        <v>5453.9230018761737</v>
      </c>
      <c r="H49" s="181">
        <f>AVERAGE(H2:H42)</f>
        <v>1.0734506265596915</v>
      </c>
      <c r="I49" s="181"/>
      <c r="J49" s="182"/>
    </row>
    <row r="50" spans="1:10">
      <c r="A50" s="176" t="s">
        <v>330</v>
      </c>
      <c r="B50" s="176">
        <f>STDEV(B36:B47)</f>
        <v>530.59825892135927</v>
      </c>
      <c r="C50" s="176">
        <f>STDEV(C36:C47)</f>
        <v>2.1102911600423111</v>
      </c>
      <c r="F50" s="180" t="s">
        <v>272</v>
      </c>
      <c r="G50" s="181">
        <f>STDEV(G2:G42)</f>
        <v>107.76270109515625</v>
      </c>
      <c r="H50" s="181">
        <f>STDEV(H2:H42)</f>
        <v>0.53655789602526915</v>
      </c>
      <c r="I50" s="181">
        <f>AVERAGE(I2:I49)</f>
        <v>37.956694415659463</v>
      </c>
      <c r="J50" s="182" t="s">
        <v>331</v>
      </c>
    </row>
    <row r="51" spans="1:10">
      <c r="A51" s="176" t="s">
        <v>332</v>
      </c>
      <c r="B51" s="176">
        <f>3*B50</f>
        <v>1591.7947767640778</v>
      </c>
      <c r="C51" s="176">
        <f>3*C50</f>
        <v>6.3308734801269333</v>
      </c>
      <c r="F51" s="180" t="s">
        <v>333</v>
      </c>
      <c r="G51" s="181">
        <f>3*G50</f>
        <v>323.28810328546876</v>
      </c>
      <c r="H51" s="181">
        <f>3*H50</f>
        <v>1.6096736880758074</v>
      </c>
      <c r="I51" s="181">
        <f>3*I50</f>
        <v>113.8700832469784</v>
      </c>
      <c r="J51" s="182" t="s">
        <v>333</v>
      </c>
    </row>
    <row r="52" spans="1:10">
      <c r="A52" s="182" t="s">
        <v>269</v>
      </c>
      <c r="B52" s="183">
        <f>B49-B51</f>
        <v>5126.0618899025885</v>
      </c>
      <c r="C52" s="183">
        <f>C49-C51</f>
        <v>-2.9114192774643297</v>
      </c>
      <c r="D52" s="176" t="s">
        <v>334</v>
      </c>
      <c r="F52" s="180" t="s">
        <v>269</v>
      </c>
      <c r="G52" s="181">
        <f>G49-G51</f>
        <v>5130.6348985907052</v>
      </c>
      <c r="H52" s="181">
        <f>H49-H51</f>
        <v>-0.53622306151611587</v>
      </c>
      <c r="I52" s="181"/>
      <c r="J52" s="182"/>
    </row>
    <row r="53" spans="1:10">
      <c r="A53" s="182" t="s">
        <v>268</v>
      </c>
      <c r="B53" s="183">
        <f>B49+B51</f>
        <v>8309.6514434307446</v>
      </c>
      <c r="C53" s="183">
        <f>C49+C51</f>
        <v>9.7503276827895373</v>
      </c>
      <c r="D53" s="176" t="s">
        <v>335</v>
      </c>
      <c r="F53" s="180" t="s">
        <v>268</v>
      </c>
      <c r="G53" s="181">
        <f>G49+G51</f>
        <v>5777.2111051616421</v>
      </c>
      <c r="H53" s="181">
        <f>H49+H51</f>
        <v>2.6831243146354988</v>
      </c>
      <c r="I53" s="181"/>
      <c r="J53" s="182"/>
    </row>
    <row r="54" spans="1:10">
      <c r="D54" s="176" t="s">
        <v>332</v>
      </c>
    </row>
    <row r="55" spans="1:10">
      <c r="D55" s="184" t="s">
        <v>269</v>
      </c>
    </row>
    <row r="56" spans="1:10">
      <c r="D56" s="184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05" customFormat="1">
      <c r="A1" s="531" t="s">
        <v>14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2"/>
      <c r="Q1" s="110"/>
      <c r="R1" s="110"/>
      <c r="S1" s="110"/>
      <c r="T1" s="110"/>
      <c r="U1" s="110"/>
      <c r="V1" s="109"/>
      <c r="W1" s="109"/>
      <c r="X1" s="108"/>
      <c r="Y1" s="107"/>
      <c r="Z1" s="107"/>
      <c r="AA1" s="107"/>
      <c r="AB1" s="107"/>
      <c r="AC1" s="106"/>
    </row>
    <row r="2" spans="1:30">
      <c r="A2" s="533" t="s">
        <v>15</v>
      </c>
      <c r="B2" s="533"/>
      <c r="C2" s="533"/>
      <c r="D2" s="533"/>
      <c r="E2" s="533"/>
      <c r="F2" s="533"/>
      <c r="G2" s="533"/>
      <c r="H2" s="533"/>
      <c r="I2" s="533"/>
      <c r="J2" s="93" t="s">
        <v>16</v>
      </c>
      <c r="K2" s="93"/>
      <c r="L2" s="93"/>
      <c r="M2" s="93"/>
      <c r="N2" s="93"/>
      <c r="O2" s="93"/>
      <c r="P2" s="104"/>
      <c r="Q2" s="103" t="s">
        <v>288</v>
      </c>
      <c r="R2" s="102"/>
      <c r="S2" s="101" t="s">
        <v>269</v>
      </c>
      <c r="T2" s="101" t="s">
        <v>268</v>
      </c>
      <c r="U2" s="101"/>
      <c r="V2" s="100" t="s">
        <v>270</v>
      </c>
      <c r="W2" s="100" t="s">
        <v>48</v>
      </c>
      <c r="X2" s="99"/>
      <c r="Y2" s="37"/>
      <c r="Z2" s="37"/>
      <c r="AA2" s="37"/>
      <c r="AB2" s="37"/>
      <c r="AC2" s="36"/>
    </row>
    <row r="3" spans="1:30" ht="12.75" customHeight="1">
      <c r="A3" s="533" t="s">
        <v>287</v>
      </c>
      <c r="B3" s="533"/>
      <c r="C3" s="533"/>
      <c r="D3" s="533"/>
      <c r="E3" s="533"/>
      <c r="F3" s="92" t="s">
        <v>286</v>
      </c>
      <c r="G3" s="92"/>
      <c r="H3" s="92"/>
      <c r="I3" s="92"/>
      <c r="J3" s="92"/>
      <c r="K3" s="92"/>
      <c r="L3" s="92"/>
      <c r="M3" s="92"/>
      <c r="N3" s="92"/>
      <c r="O3" s="92"/>
      <c r="P3" s="91"/>
      <c r="Q3" s="98" t="s">
        <v>285</v>
      </c>
      <c r="R3" s="97"/>
      <c r="S3" s="96">
        <v>4720</v>
      </c>
      <c r="T3" s="96">
        <v>5640</v>
      </c>
      <c r="U3" s="96"/>
      <c r="V3" s="95">
        <v>4470</v>
      </c>
      <c r="W3" s="95">
        <v>6020</v>
      </c>
      <c r="X3" s="94"/>
      <c r="Y3" s="37"/>
      <c r="Z3" s="37"/>
      <c r="AA3" s="37"/>
      <c r="AB3" s="37"/>
      <c r="AC3" s="36"/>
    </row>
    <row r="4" spans="1:30" ht="16.5" customHeight="1">
      <c r="A4" s="533" t="s">
        <v>284</v>
      </c>
      <c r="B4" s="533"/>
      <c r="C4" s="533"/>
      <c r="D4" s="533"/>
      <c r="E4" s="533"/>
      <c r="F4" s="533"/>
      <c r="G4" s="533"/>
      <c r="H4" s="533"/>
      <c r="I4" s="533"/>
      <c r="J4" s="533"/>
      <c r="K4" s="533"/>
      <c r="L4" s="533"/>
      <c r="M4" s="533"/>
      <c r="N4" s="533"/>
      <c r="O4" s="533"/>
      <c r="P4" s="534"/>
      <c r="Q4" s="98" t="s">
        <v>280</v>
      </c>
      <c r="R4" s="97"/>
      <c r="S4" s="96">
        <v>0</v>
      </c>
      <c r="T4" s="96">
        <v>2.5</v>
      </c>
      <c r="U4" s="96"/>
      <c r="V4" s="95">
        <v>0</v>
      </c>
      <c r="W4" s="95">
        <v>10</v>
      </c>
      <c r="X4" s="94"/>
      <c r="Y4" s="37"/>
      <c r="Z4" s="37"/>
      <c r="AA4" s="37"/>
      <c r="AB4" s="37"/>
      <c r="AC4" s="36"/>
    </row>
    <row r="5" spans="1:30" ht="12.75" customHeight="1">
      <c r="A5" s="533" t="s">
        <v>283</v>
      </c>
      <c r="B5" s="533"/>
      <c r="C5" s="533"/>
      <c r="D5" s="533"/>
      <c r="E5" s="533"/>
      <c r="F5" s="533"/>
      <c r="G5" s="533"/>
      <c r="H5" s="533"/>
      <c r="I5" s="533"/>
      <c r="J5" s="533"/>
      <c r="K5" s="533"/>
      <c r="L5" s="533"/>
      <c r="M5" s="533"/>
      <c r="N5" s="533"/>
      <c r="O5" s="533"/>
      <c r="P5" s="534"/>
      <c r="Q5" s="98" t="s">
        <v>282</v>
      </c>
      <c r="R5" s="97"/>
      <c r="S5" s="96">
        <v>6300</v>
      </c>
      <c r="T5" s="96">
        <v>8260</v>
      </c>
      <c r="U5" s="96"/>
      <c r="V5" s="95">
        <v>4955</v>
      </c>
      <c r="W5" s="95">
        <v>9645</v>
      </c>
      <c r="X5" s="94"/>
      <c r="Y5" s="37"/>
      <c r="Z5" s="37"/>
      <c r="AA5" s="37"/>
      <c r="AB5" s="37"/>
      <c r="AC5" s="36"/>
    </row>
    <row r="6" spans="1:30" ht="12.75" customHeight="1">
      <c r="A6" s="533" t="s">
        <v>281</v>
      </c>
      <c r="B6" s="533"/>
      <c r="C6" s="533"/>
      <c r="D6" s="533"/>
      <c r="E6" s="533"/>
      <c r="F6" s="533"/>
      <c r="G6" s="533"/>
      <c r="H6" s="533"/>
      <c r="I6" s="533"/>
      <c r="J6" s="533"/>
      <c r="K6" s="533"/>
      <c r="L6" s="533"/>
      <c r="M6" s="533"/>
      <c r="N6" s="533"/>
      <c r="O6" s="533"/>
      <c r="P6" s="534"/>
      <c r="Q6" s="98" t="s">
        <v>280</v>
      </c>
      <c r="R6" s="97"/>
      <c r="S6" s="96">
        <v>0</v>
      </c>
      <c r="T6" s="96">
        <v>10</v>
      </c>
      <c r="U6" s="96"/>
      <c r="V6" s="95">
        <v>0</v>
      </c>
      <c r="W6" s="95">
        <v>10</v>
      </c>
      <c r="X6" s="94"/>
      <c r="Y6" s="37"/>
      <c r="Z6" s="37"/>
      <c r="AA6" s="37"/>
      <c r="AB6" s="37"/>
      <c r="AC6" s="36"/>
    </row>
    <row r="7" spans="1:30" ht="12.75" customHeight="1">
      <c r="A7" s="533" t="s">
        <v>279</v>
      </c>
      <c r="B7" s="533"/>
      <c r="C7" s="533"/>
      <c r="D7" s="533"/>
      <c r="E7" s="533"/>
      <c r="F7" s="533"/>
      <c r="G7" s="533"/>
      <c r="H7" s="533"/>
      <c r="I7" s="533"/>
      <c r="J7" s="533"/>
      <c r="K7" s="533"/>
      <c r="L7" s="533"/>
      <c r="M7" s="533"/>
      <c r="N7" s="533"/>
      <c r="O7" s="533"/>
      <c r="P7" s="534"/>
      <c r="Q7" s="90"/>
      <c r="R7" s="90"/>
      <c r="S7" s="89"/>
      <c r="T7" s="88"/>
      <c r="U7" s="88"/>
      <c r="V7" s="87"/>
      <c r="W7" s="86"/>
      <c r="X7" s="85"/>
      <c r="Y7" s="37"/>
      <c r="Z7" s="37"/>
      <c r="AA7" s="37"/>
      <c r="AB7" s="37"/>
      <c r="AC7" s="36"/>
    </row>
    <row r="8" spans="1:30" ht="12.75" customHeight="1">
      <c r="A8" s="84"/>
      <c r="B8" s="82"/>
      <c r="C8" s="83"/>
      <c r="D8" s="83"/>
      <c r="E8" s="83"/>
      <c r="F8" s="83"/>
      <c r="G8" s="83"/>
      <c r="H8" s="83"/>
      <c r="I8" s="83"/>
      <c r="J8" s="83"/>
      <c r="K8" s="82"/>
      <c r="L8" s="82"/>
      <c r="M8" s="82"/>
      <c r="N8" s="82"/>
      <c r="O8" s="82"/>
      <c r="P8" s="81"/>
      <c r="Q8" s="80"/>
      <c r="R8" s="80"/>
      <c r="S8" s="79"/>
      <c r="T8" s="79"/>
      <c r="U8" s="79"/>
      <c r="V8" s="78"/>
      <c r="W8" s="78"/>
      <c r="X8" s="77"/>
      <c r="Y8" s="37"/>
      <c r="Z8" s="37"/>
      <c r="AA8" s="37"/>
      <c r="AB8" s="37"/>
      <c r="AC8" s="36"/>
    </row>
    <row r="9" spans="1:30" ht="36.75" customHeight="1" thickBot="1">
      <c r="A9" s="76" t="s">
        <v>278</v>
      </c>
      <c r="B9" s="75"/>
      <c r="C9" s="75"/>
      <c r="D9" s="538" t="s">
        <v>277</v>
      </c>
      <c r="E9" s="539"/>
      <c r="F9" s="539"/>
      <c r="G9" s="539"/>
      <c r="H9" s="539"/>
      <c r="I9" s="539"/>
      <c r="J9" s="539"/>
      <c r="K9" s="539"/>
      <c r="L9" s="539"/>
      <c r="M9" s="539"/>
      <c r="N9" s="539"/>
      <c r="O9" s="539"/>
      <c r="P9" s="539"/>
      <c r="Q9" s="74" t="s">
        <v>276</v>
      </c>
      <c r="R9" s="74" t="s">
        <v>275</v>
      </c>
      <c r="S9" s="73" t="s">
        <v>274</v>
      </c>
      <c r="T9" s="73" t="s">
        <v>273</v>
      </c>
      <c r="U9" s="73" t="s">
        <v>293</v>
      </c>
      <c r="V9" s="71" t="s">
        <v>32</v>
      </c>
      <c r="W9" s="72" t="s">
        <v>271</v>
      </c>
      <c r="X9" s="71" t="s">
        <v>34</v>
      </c>
      <c r="Y9" s="37" t="s">
        <v>270</v>
      </c>
      <c r="Z9" s="37" t="s">
        <v>48</v>
      </c>
      <c r="AA9" s="37" t="s">
        <v>269</v>
      </c>
      <c r="AB9" s="37" t="s">
        <v>268</v>
      </c>
      <c r="AC9" s="54" t="s">
        <v>267</v>
      </c>
      <c r="AD9" s="55" t="s">
        <v>266</v>
      </c>
    </row>
    <row r="10" spans="1:30">
      <c r="A10" s="69">
        <v>42146</v>
      </c>
      <c r="B10" s="51" t="s">
        <v>200</v>
      </c>
      <c r="C10" s="53" t="s">
        <v>199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68">
        <v>2735.41</v>
      </c>
      <c r="R10" s="68">
        <v>2630.1799999999994</v>
      </c>
      <c r="S10" s="48">
        <v>2698.7053846153844</v>
      </c>
      <c r="T10" s="48">
        <v>1.9612009117357176</v>
      </c>
      <c r="U10" s="47">
        <v>30.91467790962756</v>
      </c>
      <c r="V10" s="52" t="s">
        <v>191</v>
      </c>
      <c r="W10" s="51">
        <v>102</v>
      </c>
      <c r="X10" s="535" t="s">
        <v>289</v>
      </c>
      <c r="Y10" s="56">
        <v>4470</v>
      </c>
      <c r="Z10" s="56">
        <v>6020</v>
      </c>
      <c r="AA10" s="56">
        <v>5360</v>
      </c>
      <c r="AB10" s="56">
        <v>5550</v>
      </c>
      <c r="AC10" s="55">
        <v>1.5</v>
      </c>
      <c r="AD10" s="54">
        <v>10</v>
      </c>
    </row>
    <row r="11" spans="1:30">
      <c r="A11" s="66"/>
      <c r="B11" s="43"/>
      <c r="C11" s="50" t="s">
        <v>198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3"/>
      <c r="R11" s="43"/>
      <c r="S11" s="43"/>
      <c r="T11" s="43"/>
      <c r="U11" s="43"/>
      <c r="V11" s="111" t="s">
        <v>291</v>
      </c>
      <c r="W11" s="112"/>
      <c r="X11" s="536"/>
    </row>
    <row r="12" spans="1:30" ht="21.75" customHeight="1" thickBot="1">
      <c r="A12" s="67"/>
      <c r="B12" s="59"/>
      <c r="C12" s="50" t="s">
        <v>197</v>
      </c>
      <c r="D12" s="62">
        <v>2672.75</v>
      </c>
      <c r="E12" s="62">
        <v>2652.1900000000005</v>
      </c>
      <c r="F12" s="62">
        <v>2687.8499999999995</v>
      </c>
      <c r="G12" s="62">
        <v>2697.5299999999997</v>
      </c>
      <c r="H12" s="62">
        <v>2630.1799999999994</v>
      </c>
      <c r="I12" s="62">
        <v>2707.4699999999993</v>
      </c>
      <c r="J12" s="62">
        <v>2713.9000000000005</v>
      </c>
      <c r="K12" s="62">
        <v>2722.09</v>
      </c>
      <c r="L12" s="62">
        <v>2709.2200000000003</v>
      </c>
      <c r="M12" s="62">
        <v>2728.58</v>
      </c>
      <c r="N12" s="62">
        <v>2702.9299999999994</v>
      </c>
      <c r="O12" s="62">
        <v>2723.0699999999997</v>
      </c>
      <c r="P12" s="62">
        <v>2735.41</v>
      </c>
      <c r="Q12" s="59"/>
      <c r="R12" s="59"/>
      <c r="S12" s="59"/>
      <c r="T12" s="59"/>
      <c r="U12" s="59"/>
      <c r="V12" s="61"/>
      <c r="W12" s="59"/>
      <c r="X12" s="536"/>
    </row>
    <row r="13" spans="1:30">
      <c r="A13" s="69">
        <v>42150</v>
      </c>
      <c r="B13" s="51" t="s">
        <v>200</v>
      </c>
      <c r="C13" s="53" t="s">
        <v>199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68">
        <v>5537.32</v>
      </c>
      <c r="R13" s="68">
        <v>5355.5300000000007</v>
      </c>
      <c r="S13" s="48">
        <v>5465.4815384615376</v>
      </c>
      <c r="T13" s="48">
        <v>1.6688928976346784</v>
      </c>
      <c r="U13" s="47">
        <v>62.567650034006263</v>
      </c>
      <c r="V13" s="52" t="s">
        <v>292</v>
      </c>
      <c r="W13" s="51">
        <v>102</v>
      </c>
      <c r="X13" s="536"/>
    </row>
    <row r="14" spans="1:30">
      <c r="A14" s="66"/>
      <c r="B14" s="43"/>
      <c r="C14" s="50" t="s">
        <v>198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3"/>
      <c r="R14" s="43"/>
      <c r="S14" s="43"/>
      <c r="T14" s="43"/>
      <c r="U14" s="43"/>
      <c r="V14" s="111" t="s">
        <v>291</v>
      </c>
      <c r="W14" s="112"/>
      <c r="X14" s="536"/>
    </row>
    <row r="15" spans="1:30" ht="30" customHeight="1" thickBot="1">
      <c r="A15" s="67"/>
      <c r="B15" s="59"/>
      <c r="C15" s="50" t="s">
        <v>197</v>
      </c>
      <c r="D15" s="62">
        <v>5388.03</v>
      </c>
      <c r="E15" s="62">
        <v>5366.26</v>
      </c>
      <c r="F15" s="62">
        <v>5424.9</v>
      </c>
      <c r="G15" s="62">
        <v>5469.1100000000006</v>
      </c>
      <c r="H15" s="62">
        <v>5355.5300000000007</v>
      </c>
      <c r="I15" s="62">
        <v>5507.0300000000007</v>
      </c>
      <c r="J15" s="62">
        <v>5509.01</v>
      </c>
      <c r="K15" s="62">
        <v>5521.06</v>
      </c>
      <c r="L15" s="62">
        <v>5461.67</v>
      </c>
      <c r="M15" s="62">
        <v>5530.41</v>
      </c>
      <c r="N15" s="62">
        <v>5486.33</v>
      </c>
      <c r="O15" s="62">
        <v>5494.5999999999995</v>
      </c>
      <c r="P15" s="62">
        <v>5537.32</v>
      </c>
      <c r="Q15" s="59"/>
      <c r="R15" s="59"/>
      <c r="S15" s="59"/>
      <c r="T15" s="59"/>
      <c r="U15" s="59"/>
      <c r="V15" s="61"/>
      <c r="W15" s="59"/>
      <c r="X15" s="536"/>
    </row>
    <row r="16" spans="1:30">
      <c r="A16" s="69">
        <v>42146</v>
      </c>
      <c r="B16" s="45" t="s">
        <v>202</v>
      </c>
      <c r="C16" s="50" t="s">
        <v>199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49"/>
      <c r="N16" s="49"/>
      <c r="O16" s="49"/>
      <c r="P16" s="49"/>
      <c r="Q16" s="45">
        <v>8875.7999999999993</v>
      </c>
      <c r="R16" s="45">
        <v>8470.66</v>
      </c>
      <c r="S16" s="58">
        <v>8766.0777777777766</v>
      </c>
      <c r="T16" s="58">
        <v>2.3355774031127932</v>
      </c>
      <c r="U16" s="45">
        <v>138.90782571345144</v>
      </c>
      <c r="V16" s="46" t="s">
        <v>292</v>
      </c>
      <c r="W16" s="45">
        <v>102</v>
      </c>
      <c r="X16" s="536"/>
      <c r="Y16" s="37">
        <v>4955</v>
      </c>
      <c r="Z16" s="37">
        <v>9645</v>
      </c>
      <c r="AA16" s="37">
        <v>6980</v>
      </c>
      <c r="AB16" s="37">
        <v>7960</v>
      </c>
      <c r="AC16" s="54">
        <v>5.8</v>
      </c>
      <c r="AD16" s="54">
        <v>10</v>
      </c>
    </row>
    <row r="17" spans="1:24">
      <c r="A17" s="66"/>
      <c r="B17" s="43"/>
      <c r="C17" s="50" t="s">
        <v>198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49"/>
      <c r="N17" s="49"/>
      <c r="O17" s="49"/>
      <c r="P17" s="49"/>
      <c r="Q17" s="43"/>
      <c r="R17" s="43"/>
      <c r="S17" s="43"/>
      <c r="T17" s="43"/>
      <c r="U17" s="43"/>
      <c r="V17" s="111" t="s">
        <v>291</v>
      </c>
      <c r="W17" s="43"/>
      <c r="X17" s="536"/>
    </row>
    <row r="18" spans="1:24" ht="25.5" customHeight="1" thickBot="1">
      <c r="A18" s="65"/>
      <c r="B18" s="41"/>
      <c r="C18" s="57" t="s">
        <v>197</v>
      </c>
      <c r="D18" s="60">
        <v>8470.66</v>
      </c>
      <c r="E18" s="60">
        <v>8820.56</v>
      </c>
      <c r="F18" s="60">
        <v>8865.9200000000019</v>
      </c>
      <c r="G18" s="60">
        <v>8863.34</v>
      </c>
      <c r="H18" s="60">
        <v>8608.2199999999993</v>
      </c>
      <c r="I18" s="60">
        <v>8833.14</v>
      </c>
      <c r="J18" s="60">
        <v>8816.7999999999993</v>
      </c>
      <c r="K18" s="60">
        <v>8875.7999999999993</v>
      </c>
      <c r="L18" s="60">
        <v>8740.26</v>
      </c>
      <c r="M18" s="60"/>
      <c r="N18" s="60"/>
      <c r="O18" s="60"/>
      <c r="P18" s="60" t="s">
        <v>290</v>
      </c>
      <c r="Q18" s="41"/>
      <c r="R18" s="41"/>
      <c r="S18" s="41"/>
      <c r="T18" s="41"/>
      <c r="U18" s="59"/>
      <c r="V18" s="42"/>
      <c r="W18" s="41"/>
      <c r="X18" s="537"/>
    </row>
    <row r="19" spans="1:24" ht="12.75" customHeight="1">
      <c r="A19" s="69">
        <v>42158</v>
      </c>
      <c r="B19" s="51" t="s">
        <v>200</v>
      </c>
      <c r="C19" s="53" t="s">
        <v>199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68">
        <f>IF((P20=""),"",MAX(D21:P21))</f>
        <v>5494.5400000000009</v>
      </c>
      <c r="R19" s="68">
        <f>IF(P20="","",MIN(D21:P21))</f>
        <v>5306.94</v>
      </c>
      <c r="S19" s="48">
        <f>IF((P21=""),"",AVERAGE(D21:P21))</f>
        <v>5423.4053846153838</v>
      </c>
      <c r="T19" s="48">
        <f>IF((P20=""),"",(Q19-R19)/(Q19+R19)*100)</f>
        <v>1.7367990312438784</v>
      </c>
      <c r="U19" s="47">
        <f>STDEV(D21:P21)</f>
        <v>58.231969257459255</v>
      </c>
      <c r="V19" s="52" t="str">
        <f>IF(P20="","",IF(T19&lt;10,IF(S19&gt;4470,IF(S19&lt;6020,"Pass","Fail"),"Fail"),"Fail"))</f>
        <v>Pass</v>
      </c>
      <c r="X19" s="528" t="s">
        <v>289</v>
      </c>
    </row>
    <row r="20" spans="1:24">
      <c r="A20" s="66"/>
      <c r="B20" s="43"/>
      <c r="C20" s="50" t="s">
        <v>198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3"/>
      <c r="R20" s="43"/>
      <c r="S20" s="43"/>
      <c r="T20" s="43"/>
      <c r="U20" s="43"/>
      <c r="V20" s="44"/>
      <c r="X20" s="529"/>
    </row>
    <row r="21" spans="1:24" ht="24.75" thickBot="1">
      <c r="A21" s="67"/>
      <c r="B21" s="59"/>
      <c r="C21" s="50" t="s">
        <v>197</v>
      </c>
      <c r="D21" s="62">
        <f t="shared" ref="D21:P21" si="0">IF(((D19="")*AND(D20="")),"",(D19-D20))</f>
        <v>5365.83</v>
      </c>
      <c r="E21" s="62">
        <f t="shared" si="0"/>
        <v>5335.4800000000005</v>
      </c>
      <c r="F21" s="62">
        <f t="shared" si="0"/>
        <v>5387.32</v>
      </c>
      <c r="G21" s="62">
        <f t="shared" si="0"/>
        <v>5424.78</v>
      </c>
      <c r="H21" s="62">
        <f t="shared" si="0"/>
        <v>5306.94</v>
      </c>
      <c r="I21" s="62">
        <f t="shared" si="0"/>
        <v>5456.06</v>
      </c>
      <c r="J21" s="62">
        <f t="shared" si="0"/>
        <v>5456.83</v>
      </c>
      <c r="K21" s="62">
        <f t="shared" si="0"/>
        <v>5469.56</v>
      </c>
      <c r="L21" s="62">
        <f t="shared" si="0"/>
        <v>5418.7400000000007</v>
      </c>
      <c r="M21" s="62">
        <f t="shared" si="0"/>
        <v>5484.59</v>
      </c>
      <c r="N21" s="62">
        <f t="shared" si="0"/>
        <v>5448.21</v>
      </c>
      <c r="O21" s="62">
        <f t="shared" si="0"/>
        <v>5455.39</v>
      </c>
      <c r="P21" s="62">
        <f t="shared" si="0"/>
        <v>5494.5400000000009</v>
      </c>
      <c r="Q21" s="59"/>
      <c r="R21" s="59"/>
      <c r="S21" s="59"/>
      <c r="T21" s="59"/>
      <c r="U21" s="59"/>
      <c r="V21" s="61"/>
      <c r="X21" s="529"/>
    </row>
    <row r="22" spans="1:24">
      <c r="A22" s="69">
        <v>42158</v>
      </c>
      <c r="B22" s="45" t="s">
        <v>202</v>
      </c>
      <c r="C22" s="50" t="s">
        <v>199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49"/>
      <c r="N22" s="49"/>
      <c r="O22" s="49"/>
      <c r="P22" s="49"/>
      <c r="Q22" s="45">
        <f>IF((L23=""),"",MAX(D24:L24))</f>
        <v>6195.42</v>
      </c>
      <c r="R22" s="45">
        <f>IF(L23="","",MIN(D24:L24))</f>
        <v>5629.4400000000005</v>
      </c>
      <c r="S22" s="58">
        <f>IF((L24=""),"",AVERAGE(D24:L24))</f>
        <v>5951.9600000000009</v>
      </c>
      <c r="T22" s="58">
        <f>IF((L14=""),"",(Q22-R22)/(Q22+R22)*100)</f>
        <v>4.7863568786438018</v>
      </c>
      <c r="U22" s="45">
        <f>STDEV(D24:P24)</f>
        <v>191.76648064767616</v>
      </c>
      <c r="V22" s="46" t="str">
        <f>IF(L23="","",IF(T22&lt;10,IF(S22&gt;4955,IF(S22&lt;9645,"Pass","Fail"),"Fail"),"Fail"))</f>
        <v>Pass</v>
      </c>
      <c r="X22" s="529"/>
    </row>
    <row r="23" spans="1:24">
      <c r="A23" s="66"/>
      <c r="B23" s="43"/>
      <c r="C23" s="50" t="s">
        <v>198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49"/>
      <c r="N23" s="49"/>
      <c r="O23" s="49"/>
      <c r="P23" s="49"/>
      <c r="Q23" s="43"/>
      <c r="R23" s="43"/>
      <c r="S23" s="43"/>
      <c r="T23" s="43"/>
      <c r="U23" s="43"/>
      <c r="V23" s="44"/>
      <c r="X23" s="529"/>
    </row>
    <row r="24" spans="1:24" ht="24.75" thickBot="1">
      <c r="A24" s="65"/>
      <c r="B24" s="41"/>
      <c r="C24" s="57" t="s">
        <v>197</v>
      </c>
      <c r="D24" s="60">
        <f t="shared" ref="D24:L24" si="1">IF(((D22="")*AND(D23="")),"",(D22-D23)*2)</f>
        <v>5629.4400000000005</v>
      </c>
      <c r="E24" s="60">
        <f t="shared" si="1"/>
        <v>5963.84</v>
      </c>
      <c r="F24" s="60">
        <f t="shared" si="1"/>
        <v>6099.52</v>
      </c>
      <c r="G24" s="60">
        <f t="shared" si="1"/>
        <v>6195.42</v>
      </c>
      <c r="H24" s="60">
        <f t="shared" si="1"/>
        <v>5703.1599999999989</v>
      </c>
      <c r="I24" s="60">
        <f t="shared" si="1"/>
        <v>5882.6</v>
      </c>
      <c r="J24" s="60">
        <f t="shared" si="1"/>
        <v>6077.76</v>
      </c>
      <c r="K24" s="60">
        <f t="shared" si="1"/>
        <v>6108.4000000000005</v>
      </c>
      <c r="L24" s="60">
        <f t="shared" si="1"/>
        <v>5907.4999999999991</v>
      </c>
      <c r="M24" s="60"/>
      <c r="N24" s="60"/>
      <c r="O24" s="60"/>
      <c r="P24" s="60" t="str">
        <f>IF(((P22="")*AND(P23="")),"",(P22-P23)*2)</f>
        <v/>
      </c>
      <c r="Q24" s="41"/>
      <c r="R24" s="41"/>
      <c r="S24" s="41"/>
      <c r="T24" s="41"/>
      <c r="U24" s="59"/>
      <c r="V24" s="42"/>
      <c r="X24" s="530"/>
    </row>
    <row r="25" spans="1:24">
      <c r="A25" s="69">
        <v>42158</v>
      </c>
      <c r="B25" s="51" t="s">
        <v>200</v>
      </c>
      <c r="C25" s="53" t="s">
        <v>199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68">
        <f>IF((P26=""),"",MAX(D27:P27))</f>
        <v>5512.42</v>
      </c>
      <c r="R25" s="68">
        <f>IF(P26="","",MIN(D27:P27))</f>
        <v>5307.31</v>
      </c>
      <c r="S25" s="48">
        <f>IF((P27=""),"",AVERAGE(D27:P27))</f>
        <v>5440.2138461538461</v>
      </c>
      <c r="T25" s="48">
        <f>IF((P26=""),"",(Q25-R25)/(Q25+R25)*100)</f>
        <v>1.8957034972222013</v>
      </c>
      <c r="U25" s="47">
        <f>STDEV(D27:P27)</f>
        <v>64.121507252322274</v>
      </c>
      <c r="V25" s="52" t="str">
        <f>IF(P26="","",IF(T25&lt;10,IF(S25&gt;4470,IF(S25&lt;6020,"Pass","Fail"),"Fail"),"Fail"))</f>
        <v>Pass</v>
      </c>
      <c r="X25" s="528" t="s">
        <v>289</v>
      </c>
    </row>
    <row r="26" spans="1:24">
      <c r="A26" s="66"/>
      <c r="B26" s="43"/>
      <c r="C26" s="50" t="s">
        <v>198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3"/>
      <c r="R26" s="43"/>
      <c r="S26" s="43"/>
      <c r="T26" s="43"/>
      <c r="U26" s="43"/>
      <c r="V26" s="44"/>
      <c r="X26" s="529"/>
    </row>
    <row r="27" spans="1:24" ht="24.75" thickBot="1">
      <c r="A27" s="67"/>
      <c r="B27" s="59"/>
      <c r="C27" s="50" t="s">
        <v>197</v>
      </c>
      <c r="D27" s="62">
        <f t="shared" ref="D27:P27" si="2">IF(((D25="")*AND(D26="")),"",(D25-D26))</f>
        <v>5376.2899999999991</v>
      </c>
      <c r="E27" s="62">
        <f t="shared" si="2"/>
        <v>5343.08</v>
      </c>
      <c r="F27" s="62">
        <f t="shared" si="2"/>
        <v>5405.13</v>
      </c>
      <c r="G27" s="62">
        <f t="shared" si="2"/>
        <v>5446.25</v>
      </c>
      <c r="H27" s="62">
        <f t="shared" si="2"/>
        <v>5307.31</v>
      </c>
      <c r="I27" s="62">
        <f t="shared" si="2"/>
        <v>5474.98</v>
      </c>
      <c r="J27" s="62">
        <f t="shared" si="2"/>
        <v>5480.13</v>
      </c>
      <c r="K27" s="62">
        <f t="shared" si="2"/>
        <v>5491.58</v>
      </c>
      <c r="L27" s="62">
        <f t="shared" si="2"/>
        <v>5440.16</v>
      </c>
      <c r="M27" s="62">
        <f t="shared" si="2"/>
        <v>5507.4299999999994</v>
      </c>
      <c r="N27" s="62">
        <f t="shared" si="2"/>
        <v>5463.71</v>
      </c>
      <c r="O27" s="62">
        <f t="shared" si="2"/>
        <v>5474.31</v>
      </c>
      <c r="P27" s="62">
        <f t="shared" si="2"/>
        <v>5512.42</v>
      </c>
      <c r="Q27" s="59"/>
      <c r="R27" s="59"/>
      <c r="S27" s="59"/>
      <c r="T27" s="59"/>
      <c r="U27" s="59"/>
      <c r="V27" s="61"/>
      <c r="X27" s="529"/>
    </row>
    <row r="28" spans="1:24">
      <c r="A28" s="69">
        <v>42158</v>
      </c>
      <c r="B28" s="45" t="s">
        <v>202</v>
      </c>
      <c r="C28" s="50" t="s">
        <v>199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49"/>
      <c r="N28" s="49"/>
      <c r="O28" s="49"/>
      <c r="P28" s="49"/>
      <c r="Q28" s="45">
        <f>IF((L29=""),"",MAX(D30:L30))</f>
        <v>6090.7</v>
      </c>
      <c r="R28" s="45">
        <f>IF(L29="","",MIN(D30:L30))</f>
        <v>5487.3399999999992</v>
      </c>
      <c r="S28" s="58">
        <f>IF((L30=""),"",AVERAGE(D30:L30))</f>
        <v>5867.3355555555554</v>
      </c>
      <c r="T28" s="58">
        <f>IF((L20=""),"",(Q28-R28)/(Q28+R28)*100)</f>
        <v>5.2112447357238416</v>
      </c>
      <c r="U28" s="45">
        <f>STDEV(D30:P30)</f>
        <v>212.70747701429602</v>
      </c>
      <c r="V28" s="46" t="str">
        <f>IF(L29="","",IF(T28&lt;10,IF(S28&gt;4955,IF(S28&lt;9645,"Pass","Fail"),"Fail"),"Fail"))</f>
        <v>Pass</v>
      </c>
      <c r="W28" s="35">
        <v>102</v>
      </c>
      <c r="X28" s="529"/>
    </row>
    <row r="29" spans="1:24">
      <c r="A29" s="66"/>
      <c r="B29" s="43"/>
      <c r="C29" s="50" t="s">
        <v>198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49"/>
      <c r="N29" s="49"/>
      <c r="O29" s="49"/>
      <c r="P29" s="49"/>
      <c r="Q29" s="43"/>
      <c r="R29" s="43"/>
      <c r="S29" s="43"/>
      <c r="T29" s="43"/>
      <c r="U29" s="43"/>
      <c r="V29" s="44"/>
      <c r="X29" s="529"/>
    </row>
    <row r="30" spans="1:24" ht="24.75" thickBot="1">
      <c r="A30" s="65"/>
      <c r="B30" s="41"/>
      <c r="C30" s="57" t="s">
        <v>197</v>
      </c>
      <c r="D30" s="60">
        <f t="shared" ref="D30:L30" si="3">IF(((D28="")*AND(D29="")),"",(D28-D29)*2)</f>
        <v>5618.18</v>
      </c>
      <c r="E30" s="60">
        <f t="shared" si="3"/>
        <v>5929.56</v>
      </c>
      <c r="F30" s="60">
        <f t="shared" si="3"/>
        <v>6042.44</v>
      </c>
      <c r="G30" s="60">
        <f t="shared" si="3"/>
        <v>6090.7</v>
      </c>
      <c r="H30" s="60">
        <f t="shared" si="3"/>
        <v>5730.1200000000008</v>
      </c>
      <c r="I30" s="60">
        <f t="shared" si="3"/>
        <v>5487.3399999999992</v>
      </c>
      <c r="J30" s="60">
        <f t="shared" si="3"/>
        <v>5973.2600000000011</v>
      </c>
      <c r="K30" s="60">
        <f t="shared" si="3"/>
        <v>6069.8200000000006</v>
      </c>
      <c r="L30" s="60">
        <f t="shared" si="3"/>
        <v>5864.6</v>
      </c>
      <c r="M30" s="60"/>
      <c r="N30" s="60"/>
      <c r="O30" s="60"/>
      <c r="P30" s="60" t="str">
        <f>IF(((P28="")*AND(P29="")),"",(P28-P29)*2)</f>
        <v/>
      </c>
      <c r="Q30" s="41"/>
      <c r="R30" s="41"/>
      <c r="S30" s="41"/>
      <c r="T30" s="41"/>
      <c r="U30" s="59"/>
      <c r="V30" s="42"/>
      <c r="X30" s="530"/>
    </row>
  </sheetData>
  <autoFilter ref="A10:AD30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13" priority="7" stopIfTrue="1" operator="equal">
      <formula>"Pass"</formula>
    </cfRule>
    <cfRule type="cellIs" dxfId="12" priority="8" stopIfTrue="1" operator="equal">
      <formula>"Fail"</formula>
    </cfRule>
  </conditionalFormatting>
  <conditionalFormatting sqref="V10:V24">
    <cfRule type="cellIs" dxfId="11" priority="5" stopIfTrue="1" operator="equal">
      <formula>"Fail"</formula>
    </cfRule>
    <cfRule type="cellIs" dxfId="10" priority="6" stopIfTrue="1" operator="equal">
      <formula>"Pass"</formula>
    </cfRule>
  </conditionalFormatting>
  <conditionalFormatting sqref="I25:I26 I28:P29">
    <cfRule type="cellIs" dxfId="9" priority="3" stopIfTrue="1" operator="equal">
      <formula>"Pass"</formula>
    </cfRule>
    <cfRule type="cellIs" dxfId="8" priority="4" stopIfTrue="1" operator="equal">
      <formula>"Fail"</formula>
    </cfRule>
  </conditionalFormatting>
  <conditionalFormatting sqref="V25:V30">
    <cfRule type="cellIs" dxfId="7" priority="1" stopIfTrue="1" operator="equal">
      <formula>"Fail"</formula>
    </cfRule>
    <cfRule type="cellIs" dxfId="6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AC38"/>
  <sheetViews>
    <sheetView zoomScale="85" zoomScaleNormal="85" workbookViewId="0">
      <selection activeCell="I3" sqref="I3:I32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8" width="6.125" style="35" customWidth="1"/>
    <col min="9" max="9" width="8.125" style="35" bestFit="1" customWidth="1"/>
    <col min="10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>
    <row r="2" spans="9:9" ht="13.5" thickBot="1"/>
    <row r="3" spans="9:9" ht="15" thickBot="1">
      <c r="I3" s="400">
        <v>5418.7692307692305</v>
      </c>
    </row>
    <row r="4" spans="9:9" ht="15" thickBot="1">
      <c r="I4" s="400">
        <v>5388.6153846153848</v>
      </c>
    </row>
    <row r="5" spans="9:9" ht="15" thickBot="1">
      <c r="I5" s="400">
        <v>5634.7692307692305</v>
      </c>
    </row>
    <row r="6" spans="9:9" ht="15" thickBot="1">
      <c r="I6" s="400">
        <v>5631.9723076923074</v>
      </c>
    </row>
    <row r="7" spans="9:9" ht="15" thickBot="1">
      <c r="I7" s="400">
        <v>5617.0984615384614</v>
      </c>
    </row>
    <row r="8" spans="9:9" ht="15" thickBot="1">
      <c r="I8" s="400">
        <v>5618.8892307692304</v>
      </c>
    </row>
    <row r="9" spans="9:9" ht="15" thickBot="1">
      <c r="I9" s="400">
        <v>5592.2646153846154</v>
      </c>
    </row>
    <row r="10" spans="9:9" ht="15" thickBot="1">
      <c r="I10" s="400">
        <v>5476.2753846153846</v>
      </c>
    </row>
    <row r="11" spans="9:9" ht="15" thickBot="1">
      <c r="I11" s="400">
        <v>5437.6784615384622</v>
      </c>
    </row>
    <row r="12" spans="9:9" ht="15" thickBot="1">
      <c r="I12" s="400">
        <v>5234.42</v>
      </c>
    </row>
    <row r="13" spans="9:9" ht="15" thickBot="1">
      <c r="I13" s="400">
        <v>5378.3030769230772</v>
      </c>
    </row>
    <row r="14" spans="9:9" ht="15" thickBot="1">
      <c r="I14" s="400">
        <v>5464.8861538461533</v>
      </c>
    </row>
    <row r="15" spans="9:9" ht="15" thickBot="1">
      <c r="I15" s="400">
        <v>5292.623076923076</v>
      </c>
    </row>
    <row r="16" spans="9:9" ht="15" thickBot="1">
      <c r="I16" s="400">
        <v>5313.2646153846154</v>
      </c>
    </row>
    <row r="17" spans="9:9" ht="15" thickBot="1">
      <c r="I17" s="400">
        <v>5278.2599999999993</v>
      </c>
    </row>
    <row r="18" spans="9:9" ht="15" thickBot="1">
      <c r="I18" s="400">
        <v>5273.6338461538453</v>
      </c>
    </row>
    <row r="19" spans="9:9" ht="15" thickBot="1">
      <c r="I19" s="400">
        <v>5326.2615384615392</v>
      </c>
    </row>
    <row r="20" spans="9:9" ht="15" thickBot="1">
      <c r="I20" s="400">
        <v>5293.2969230769231</v>
      </c>
    </row>
    <row r="21" spans="9:9" ht="15" thickBot="1">
      <c r="I21" s="400">
        <v>5612.8184615384635</v>
      </c>
    </row>
    <row r="22" spans="9:9" ht="15" thickBot="1">
      <c r="I22" s="400">
        <v>5603.0492307692311</v>
      </c>
    </row>
    <row r="23" spans="9:9" ht="15" thickBot="1">
      <c r="I23" s="400">
        <v>5603.4446153846166</v>
      </c>
    </row>
    <row r="24" spans="9:9" ht="15" thickBot="1">
      <c r="I24" s="400">
        <v>5421.2307692307695</v>
      </c>
    </row>
    <row r="25" spans="9:9" ht="15" thickBot="1">
      <c r="I25" s="400">
        <v>5576.7030769230778</v>
      </c>
    </row>
    <row r="26" spans="9:9" ht="15" thickBot="1">
      <c r="I26" s="400">
        <v>5440.4692307692321</v>
      </c>
    </row>
    <row r="27" spans="9:9" ht="15" thickBot="1">
      <c r="I27" s="400">
        <v>5466.5661538461536</v>
      </c>
    </row>
    <row r="28" spans="9:9" ht="15" thickBot="1">
      <c r="I28" s="400">
        <v>5453.375384615385</v>
      </c>
    </row>
    <row r="29" spans="9:9" ht="15" thickBot="1">
      <c r="I29" s="400">
        <v>5522.043076923077</v>
      </c>
    </row>
    <row r="30" spans="9:9" ht="15" thickBot="1">
      <c r="I30" s="400">
        <v>5465.6138461538458</v>
      </c>
    </row>
    <row r="31" spans="9:9" ht="15" thickBot="1">
      <c r="I31" s="400">
        <v>5437.2123076923071</v>
      </c>
    </row>
    <row r="32" spans="9:9" ht="14.25">
      <c r="I32" s="400">
        <v>5453.8461538461543</v>
      </c>
    </row>
    <row r="34" spans="8:9">
      <c r="H34" s="35" t="s">
        <v>538</v>
      </c>
      <c r="I34" s="455">
        <f>AVERAGE(I3:I32)</f>
        <v>5457.5884615384603</v>
      </c>
    </row>
    <row r="35" spans="8:9">
      <c r="H35" s="35" t="s">
        <v>539</v>
      </c>
      <c r="I35" s="35">
        <f>STDEV(I3:I32)</f>
        <v>123.16423366355386</v>
      </c>
    </row>
    <row r="37" spans="8:9">
      <c r="H37" s="35" t="s">
        <v>269</v>
      </c>
      <c r="I37" s="35">
        <f>I34-3*I35</f>
        <v>5088.0957605477988</v>
      </c>
    </row>
    <row r="38" spans="8:9">
      <c r="H38" s="35" t="s">
        <v>268</v>
      </c>
      <c r="I38" s="35">
        <f>I34+3*I35</f>
        <v>5827.0811625291217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AE6"/>
  <sheetViews>
    <sheetView workbookViewId="0">
      <selection activeCell="O17" sqref="O17"/>
    </sheetView>
  </sheetViews>
  <sheetFormatPr defaultRowHeight="15.75"/>
  <sheetData>
    <row r="1" spans="1:31" s="35" customFormat="1">
      <c r="A1" s="64"/>
      <c r="B1" s="157"/>
      <c r="C1" s="158"/>
      <c r="D1"/>
      <c r="E1"/>
      <c r="F1"/>
      <c r="G1"/>
      <c r="H1"/>
      <c r="I1"/>
      <c r="J1"/>
      <c r="K1"/>
      <c r="L1"/>
      <c r="Q1"/>
      <c r="R1" s="157"/>
      <c r="S1" s="159"/>
      <c r="T1" s="160"/>
      <c r="U1" s="157"/>
      <c r="V1" s="161"/>
      <c r="W1" s="157"/>
      <c r="X1" s="173"/>
      <c r="Y1" s="38"/>
      <c r="Z1" s="37"/>
      <c r="AA1" s="37"/>
      <c r="AB1" s="37"/>
      <c r="AC1" s="37"/>
      <c r="AD1" s="38"/>
      <c r="AE1" s="36"/>
    </row>
    <row r="2" spans="1:31" s="35" customFormat="1">
      <c r="A2" s="171"/>
      <c r="B2" s="162"/>
      <c r="C2" s="163"/>
      <c r="D2"/>
      <c r="E2"/>
      <c r="F2"/>
      <c r="G2"/>
      <c r="H2"/>
      <c r="I2"/>
      <c r="J2"/>
      <c r="K2"/>
      <c r="L2"/>
      <c r="Q2"/>
      <c r="R2" s="162"/>
      <c r="S2" s="162"/>
      <c r="T2" s="162"/>
      <c r="U2" s="162"/>
      <c r="V2" s="164"/>
      <c r="W2" s="162"/>
      <c r="X2" s="174"/>
      <c r="Y2" s="38"/>
      <c r="Z2" s="37"/>
      <c r="AA2" s="37"/>
      <c r="AB2" s="37"/>
      <c r="AC2" s="37"/>
      <c r="AD2" s="38"/>
      <c r="AE2" s="36"/>
    </row>
    <row r="3" spans="1:31" s="35" customFormat="1" ht="16.5" thickBot="1">
      <c r="A3" s="171"/>
      <c r="B3" s="162"/>
      <c r="C3" s="165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2"/>
      <c r="R3" s="162"/>
      <c r="S3" s="162"/>
      <c r="T3" s="162"/>
      <c r="U3" s="162"/>
      <c r="V3" s="164"/>
      <c r="W3" s="162"/>
      <c r="X3" s="174"/>
      <c r="Y3" s="38"/>
      <c r="Z3" s="37"/>
      <c r="AA3" s="37"/>
      <c r="AB3" s="37"/>
      <c r="AC3" s="37"/>
      <c r="AD3" s="38"/>
      <c r="AE3" s="36"/>
    </row>
    <row r="4" spans="1:31" s="35" customFormat="1">
      <c r="A4" s="64"/>
      <c r="B4" s="165"/>
      <c r="C4" s="165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67"/>
      <c r="W4" s="165"/>
      <c r="X4" s="173"/>
      <c r="Y4" s="38"/>
      <c r="Z4" s="37"/>
      <c r="AA4" s="37"/>
      <c r="AB4" s="37"/>
      <c r="AC4" s="37"/>
      <c r="AD4" s="38"/>
      <c r="AE4" s="36"/>
    </row>
    <row r="5" spans="1:31" s="35" customFormat="1">
      <c r="A5" s="171"/>
      <c r="B5" s="162"/>
      <c r="C5" s="162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64"/>
      <c r="W5" s="162"/>
      <c r="X5" s="174"/>
      <c r="Y5" s="38"/>
      <c r="Z5" s="37"/>
      <c r="AA5" s="37"/>
      <c r="AB5" s="37"/>
      <c r="AC5" s="37"/>
      <c r="AD5" s="38"/>
      <c r="AE5" s="36"/>
    </row>
    <row r="6" spans="1:31" s="35" customFormat="1" ht="16.5" thickBot="1">
      <c r="A6" s="172"/>
      <c r="B6" s="168"/>
      <c r="C6" s="168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8"/>
      <c r="R6" s="168"/>
      <c r="S6" s="168"/>
      <c r="T6" s="168"/>
      <c r="U6" s="168"/>
      <c r="V6" s="170"/>
      <c r="W6" s="168"/>
      <c r="X6" s="175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U1:V6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D1:K2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2020-11-05T18:33:23Z</dcterms:modified>
</cp:coreProperties>
</file>