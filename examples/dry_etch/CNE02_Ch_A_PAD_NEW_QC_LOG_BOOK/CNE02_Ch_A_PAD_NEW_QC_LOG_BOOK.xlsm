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87" i="4"/>
  <c r="E487"/>
  <c r="N487" s="1"/>
  <c r="K486"/>
  <c r="E486"/>
  <c r="N486" s="1"/>
  <c r="P1414" i="12"/>
  <c r="O1414"/>
  <c r="N1414"/>
  <c r="M1414"/>
  <c r="L1414"/>
  <c r="K1414"/>
  <c r="J1414"/>
  <c r="I1414"/>
  <c r="H1414"/>
  <c r="G1414"/>
  <c r="F1414"/>
  <c r="E1414"/>
  <c r="D1414"/>
  <c r="P1411"/>
  <c r="L1411"/>
  <c r="K1411"/>
  <c r="J1411"/>
  <c r="I1411"/>
  <c r="H1411"/>
  <c r="G1411"/>
  <c r="F1411"/>
  <c r="E1411"/>
  <c r="D1411"/>
  <c r="K485" i="4"/>
  <c r="E485"/>
  <c r="N485" s="1"/>
  <c r="K48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R1394" s="1"/>
  <c r="D1396"/>
  <c r="P1393"/>
  <c r="L1393"/>
  <c r="K1393"/>
  <c r="J1393"/>
  <c r="I1393"/>
  <c r="H1393"/>
  <c r="G1393"/>
  <c r="F1393"/>
  <c r="E1393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D1384"/>
  <c r="R1382" s="1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Q1391" i="12" l="1"/>
  <c r="Q1397"/>
  <c r="U1382"/>
  <c r="U1385"/>
  <c r="Q1412"/>
  <c r="U1412"/>
  <c r="R1412"/>
  <c r="S1412"/>
  <c r="U1409"/>
  <c r="S1409"/>
  <c r="R1409"/>
  <c r="Q1409"/>
  <c r="S1406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Q1394"/>
  <c r="T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K1369"/>
  <c r="J1369"/>
  <c r="I1369"/>
  <c r="H1369"/>
  <c r="G1369"/>
  <c r="F1369"/>
  <c r="E1369"/>
  <c r="D1369"/>
  <c r="P1372"/>
  <c r="O1372"/>
  <c r="N1372"/>
  <c r="M1372"/>
  <c r="L1372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R1370" i="12" l="1"/>
  <c r="T1376"/>
  <c r="V1376" s="1"/>
  <c r="V1391"/>
  <c r="Q1364"/>
  <c r="Q1367"/>
  <c r="V1394"/>
  <c r="T1412"/>
  <c r="V1412" s="1"/>
  <c r="T1409"/>
  <c r="V1409" s="1"/>
  <c r="T1406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P1360"/>
  <c r="L1360"/>
  <c r="K1360"/>
  <c r="J1360"/>
  <c r="I1360"/>
  <c r="H1360"/>
  <c r="G1360"/>
  <c r="F1360"/>
  <c r="E1360"/>
  <c r="D1360"/>
  <c r="P1357"/>
  <c r="O1357"/>
  <c r="N1357"/>
  <c r="M1357"/>
  <c r="L1357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R1343" s="1"/>
  <c r="D1345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S1340" s="1"/>
  <c r="D1342"/>
  <c r="P1339"/>
  <c r="O1339"/>
  <c r="N1339"/>
  <c r="M1339"/>
  <c r="L1339"/>
  <c r="K1339"/>
  <c r="J1339"/>
  <c r="I1339"/>
  <c r="H1339"/>
  <c r="G1339"/>
  <c r="F1339"/>
  <c r="E1339"/>
  <c r="D1339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R1337" l="1"/>
  <c r="R1358"/>
  <c r="R1355"/>
  <c r="R1340"/>
  <c r="T1364"/>
  <c r="V1364" s="1"/>
  <c r="V1367"/>
  <c r="T1361"/>
  <c r="V1361" s="1"/>
  <c r="Q1358"/>
  <c r="T1358" s="1"/>
  <c r="Q1355"/>
  <c r="T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U1340"/>
  <c r="S1337"/>
  <c r="Q1337"/>
  <c r="T1337" s="1"/>
  <c r="U1331"/>
  <c r="S1331"/>
  <c r="U1334"/>
  <c r="S1334"/>
  <c r="R1331"/>
  <c r="Q1331"/>
  <c r="R1334"/>
  <c r="Q1334"/>
  <c r="V1355" l="1"/>
  <c r="T1340"/>
  <c r="V1340" s="1"/>
  <c r="V1358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301" i="12" l="1"/>
  <c r="T1319"/>
  <c r="V1319" s="1"/>
  <c r="R1289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<sst xmlns="http://schemas.openxmlformats.org/spreadsheetml/2006/main" count="3065" uniqueCount="665">
  <si>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</si>
  <si>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</si>
  <si>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</si>
  <si>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</si>
  <si>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</si>
  <si>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</si>
  <si>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</si>
  <si>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</si>
  <si>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</si>
  <si>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</si>
  <si>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</si>
  <si>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</si>
  <si>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</si>
  <si>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</si>
  <si>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</si>
  <si>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</si>
  <si>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</si>
  <si>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</si>
  <si>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</si>
  <si>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</si>
  <si>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</si>
  <si>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</si>
  <si>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</si>
  <si>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</si>
  <si>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</si>
  <si>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</si>
  <si>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</si>
  <si>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</si>
  <si>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</si>
  <si>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</si>
  <si>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</si>
  <si>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</si>
  <si>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</si>
  <si>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</si>
  <si>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</si>
  <si>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</si>
  <si>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</si>
  <si>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</si>
  <si>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</si>
  <si>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</si>
  <si>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</si>
  <si>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</si>
  <si>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</si>
  <si>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</si>
  <si>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</si>
  <si>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</si>
  <si>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</si>
  <si>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</si>
  <si>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</si>
  <si>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</si>
  <si>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</si>
  <si>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</si>
  <si>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</si>
  <si>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</si>
  <si>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</si>
  <si>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</si>
  <si>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</si>
  <si>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</si>
  <si>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</si>
  <si>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</si>
  <si>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</si>
  <si>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</si>
  <si>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</si>
  <si>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</si>
  <si>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</si>
  <si>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</si>
  <si>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</si>
  <si>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</si>
  <si>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</si>
  <si>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</si>
  <si>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</si>
  <si>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</si>
  <si>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</si>
  <si>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</si>
  <si>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</si>
  <si>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</si>
  <si>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</si>
  <si>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</si>
  <si>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</si>
  <si>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</si>
  <si>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</si>
  <si>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</si>
  <si>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</si>
  <si>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</si>
  <si>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</si>
  <si>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</si>
  <si>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</si>
  <si>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</si>
  <si>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</si>
  <si>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</si>
  <si>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</si>
  <si>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</si>
  <si>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</si>
  <si>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</si>
  <si>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</si>
  <si>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</si>
  <si>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</si>
  <si>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</si>
  <si>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</si>
  <si>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</si>
  <si>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</si>
  <si>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</si>
  <si>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</si>
  <si>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</si>
  <si>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</si>
  <si>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</si>
  <si>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</si>
  <si>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</si>
  <si>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</si>
  <si>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</si>
  <si>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</si>
  <si>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</si>
  <si>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</si>
  <si>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</si>
  <si>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</si>
  <si>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</si>
  <si>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</si>
  <si>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</si>
  <si>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</si>
  <si>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</si>
  <si>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</si>
  <si>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</si>
  <si>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</si>
  <si>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</si>
  <si>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</si>
  <si>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</si>
  <si>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</si>
  <si>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</si>
  <si>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</si>
  <si>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</si>
  <si>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</si>
  <si>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</si>
  <si>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</si>
  <si>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</si>
  <si>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</si>
  <si>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</si>
  <si>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</si>
  <si>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</si>
  <si>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</si>
  <si>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</si>
  <si>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</si>
  <si>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</si>
  <si>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</si>
  <si>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</si>
  <si>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</si>
  <si>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</si>
  <si>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</si>
  <si>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</si>
  <si>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</si>
  <si>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</si>
  <si>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</si>
  <si>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</si>
  <si>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</si>
  <si>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</si>
  <si>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</si>
  <si>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</si>
  <si>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</si>
  <si>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</si>
  <si>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</si>
  <si>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</si>
  <si>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</si>
  <si>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</si>
  <si>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</si>
  <si>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</si>
  <si>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</si>
  <si>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</si>
  <si>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</si>
  <si>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</si>
  <si>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</si>
  <si>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</si>
  <si>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</si>
  <si>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</si>
  <si>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</si>
  <si>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</si>
  <si>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</si>
  <si>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</si>
  <si>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</si>
  <si>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</si>
  <si>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</si>
  <si>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</si>
  <si>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</si>
  <si>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</si>
  <si>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</si>
  <si>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</si>
  <si>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</si>
  <si>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</si>
  <si>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</si>
  <si>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</si>
  <si>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</si>
  <si>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</si>
  <si>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</si>
  <si>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</si>
  <si>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</si>
  <si>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</si>
  <si>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</si>
  <si>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</si>
  <si>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</si>
  <si>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</si>
  <si>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</si>
  <si>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</si>
  <si>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</si>
  <si>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</si>
  <si>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</si>
  <si>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</si>
  <si>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</si>
  <si>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</si>
  <si>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</si>
  <si>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</si>
  <si>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</si>
  <si>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</si>
  <si>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</si>
  <si>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</si>
  <si>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</si>
  <si>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</si>
  <si>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</si>
  <si>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</si>
  <si>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</si>
  <si>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</si>
  <si>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</si>
  <si>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</si>
  <si>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</si>
  <si>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</si>
  <si>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</si>
  <si>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</si>
  <si>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</si>
  <si>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</si>
  <si>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</si>
  <si>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</si>
  <si>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</si>
  <si>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</si>
  <si>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</si>
  <si>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</si>
  <si>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</si>
  <si>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</si>
  <si>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</si>
  <si>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</si>
  <si>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</si>
  <si>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</si>
  <si>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</si>
  <si>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</si>
  <si>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</si>
  <si>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</si>
  <si>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</si>
  <si>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</si>
  <si>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</si>
  <si>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</si>
  <si>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</si>
  <si>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</si>
  <si>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</si>
  <si>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</si>
  <si>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</si>
  <si>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</si>
  <si>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</si>
  <si>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</si>
  <si>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</si>
  <si>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</si>
  <si>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</si>
  <si>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</si>
  <si>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</si>
  <si>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</si>
  <si>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</si>
  <si>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</si>
  <si>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</si>
  <si>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</si>
  <si>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</si>
  <si>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</si>
  <si>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</si>
  <si>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</si>
  <si>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</si>
  <si>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</si>
  <si>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</si>
  <si>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</si>
  <si>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</si>
  <si>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</si>
  <si>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</si>
  <si>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</si>
  <si>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</si>
  <si>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</si>
  <si>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</si>
  <si>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</si>
  <si>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</si>
  <si>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</si>
  <si>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</si>
  <si>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</si>
  <si>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</si>
  <si>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</si>
  <si>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</si>
  <si>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</si>
  <si>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</si>
  <si>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</si>
  <si>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</si>
  <si>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</si>
  <si>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</si>
  <si>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</si>
  <si>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</si>
  <si>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</si>
  <si>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</si>
  <si>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</si>
  <si>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</si>
  <si>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</si>
  <si>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</si>
  <si>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</si>
  <si>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</si>
  <si>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</si>
  <si>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</si>
  <si>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</si>
  <si>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</si>
  <si>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</si>
  <si>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</si>
  <si>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</si>
  <si>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</si>
  <si>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</si>
  <si>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</si>
  <si>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</si>
  <si>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</si>
  <si>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</si>
  <si>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</si>
  <si>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</si>
  <si>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</si>
  <si>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</si>
  <si>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</si>
  <si>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</si>
  <si>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</si>
  <si>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</si>
  <si>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</si>
  <si>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</si>
  <si>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</si>
  <si>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</si>
  <si>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</si>
  <si>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</si>
  <si>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</si>
  <si>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</si>
  <si>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</si>
  <si>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</si>
  <si>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</si>
  <si>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</si>
  <si>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</si>
  <si>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</si>
  <si>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</si>
  <si>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</si>
  <si>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</si>
  <si>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</si>
  <si>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</si>
  <si>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</si>
  <si>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</si>
  <si>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</si>
  <si>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</si>
  <si>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</si>
  <si>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</si>
  <si>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</si>
  <si>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</si>
  <si>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</si>
  <si>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</si>
  <si>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</si>
  <si>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</si>
  <si>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</si>
  <si>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</si>
  <si>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</si>
  <si>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</si>
  <si>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</si>
  <si>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</si>
  <si>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</si>
  <si>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</si>
  <si>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</si>
  <si>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</si>
  <si>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</si>
  <si>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</si>
  <si>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</si>
  <si>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</si>
  <si>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</si>
  <si>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</si>
  <si>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</si>
  <si>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</si>
  <si>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</si>
  <si>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</si>
  <si>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</si>
  <si>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</si>
  <si>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</si>
  <si>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</si>
  <si>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</si>
  <si>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</si>
  <si>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</si>
  <si>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</si>
  <si>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</si>
  <si>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</si>
  <si>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</si>
  <si>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</si>
  <si>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</si>
  <si>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</si>
  <si>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</si>
  <si>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</si>
  <si>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</si>
  <si>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</si>
  <si>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</si>
  <si>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</si>
  <si>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</si>
  <si>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</si>
  <si>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</si>
  <si>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</si>
  <si>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</si>
  <si>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</si>
  <si>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</si>
  <si>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</si>
  <si>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</si>
  <si>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</si>
  <si>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</si>
  <si>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</si>
  <si>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</si>
  <si>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</si>
  <si>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</si>
  <si>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</si>
  <si>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</si>
  <si>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</si>
  <si>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</si>
  <si>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</si>
  <si>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</si>
  <si>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</si>
  <si>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</si>
  <si>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</si>
  <si>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</si>
  <si>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</si>
  <si>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</si>
  <si>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</si>
  <si>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</si>
  <si>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</si>
  <si>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</si>
  <si>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</si>
  <si>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</si>
  <si>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</si>
  <si>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</si>
  <si>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</si>
  <si>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</si>
  <si>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</si>
  <si>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</si>
  <si>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</si>
  <si>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</si>
  <si>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</si>
  <si>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</si>
  <si>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</si>
  <si>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</si>
  <si>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</si>
  <si>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</si>
  <si>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</si>
  <si>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</si>
  <si>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</si>
  <si>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</si>
  <si>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</si>
  <si>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</si>
  <si>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</si>
  <si>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</si>
  <si>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</si>
  <si>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</si>
  <si>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</si>
  <si>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</si>
  <si>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</si>
  <si>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</si>
  <si>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</si>
  <si>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</si>
  <si>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</si>
  <si>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</si>
  <si>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</si>
  <si>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</si>
  <si>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</si>
  <si>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</si>
  <si>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</si>
  <si>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</si>
  <si>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</si>
  <si>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</si>
  <si>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</si>
  <si>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</si>
  <si>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</si>
  <si>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</si>
  <si>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</si>
  <si>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</si>
  <si>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</si>
  <si>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</si>
  <si>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</si>
  <si>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</si>
  <si>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</si>
  <si>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</si>
  <si>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</si>
  <si>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</si>
  <si>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</si>
  <si>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</si>
  <si>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</si>
  <si>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</si>
  <si>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</si>
  <si>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</si>
  <si>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</si>
  <si>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</si>
  <si>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</si>
  <si>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</si>
  <si>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</si>
  <si>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</si>
  <si>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</si>
  <si>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</si>
  <si>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</si>
  <si>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</si>
  <si>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</si>
  <si>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</si>
  <si>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</si>
  <si>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</si>
  <si>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</si>
  <si>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</si>
  <si>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</si>
  <si>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</si>
  <si>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</si>
  <si>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</si>
  <si>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</si>
  <si>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</si>
  <si>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</si>
  <si>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</si>
  <si>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</si>
  <si>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</si>
  <si>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</si>
  <si>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</si>
  <si>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</si>
  <si>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</si>
  <si>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</si>
  <si>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</si>
  <si>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</si>
  <si>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</si>
  <si>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</si>
  <si>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</si>
  <si>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</si>
  <si>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</si>
  <si>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</si>
  <si>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</si>
  <si>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</si>
  <si>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</si>
  <si>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</si>
  <si>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</si>
  <si>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</si>
  <si>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</si>
  <si>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</si>
  <si>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</si>
  <si>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</si>
  <si>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</si>
  <si>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</si>
  <si>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</si>
  <si>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</si>
  <si>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</si>
  <si>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</si>
  <si>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</si>
  <si>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</si>
  <si>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</si>
  <si>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</si>
  <si>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</si>
  <si>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</si>
  <si>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</si>
  <si>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</si>
  <si>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</si>
  <si>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</si>
  <si>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</si>
  <si>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</si>
  <si>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</si>
  <si>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</si>
  <si>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</si>
  <si>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</si>
  <si>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</si>
  <si>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</si>
  <si>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</si>
  <si>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</si>
  <si>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</si>
  <si>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</si>
  <si>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</si>
  <si>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</si>
  <si>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</si>
  <si>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</si>
  <si>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</si>
  <si>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</si>
  <si>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</si>
  <si>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</si>
  <si>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</si>
  <si>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</si>
  <si>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</si>
  <si>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</si>
  <si>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</si>
  <si>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</si>
  <si>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</si>
  <si>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</si>
  <si>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</si>
  <si>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</si>
  <si>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</si>
  <si>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</si>
  <si>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</si>
  <si>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</si>
  <si>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</si>
  <si>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</si>
  <si>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</si>
  <si>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</si>
  <si>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</si>
  <si>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</si>
  <si>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</si>
  <si>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</si>
  <si>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</si>
  <si>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</si>
  <si>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</si>
  <si>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</si>
  <si>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</si>
  <si>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</si>
  <si>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</si>
  <si>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</si>
  <si>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</si>
  <si>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</si>
  <si>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</si>
  <si>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</si>
  <si>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</si>
  <si>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</si>
  <si>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</si>
  <si>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</si>
  <si>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</si>
  <si>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</si>
  <si>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</si>
  <si>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</si>
  <si>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</si>
  <si>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</si>
  <si>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</si>
  <si>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</si>
  <si>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</si>
  <si>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</si>
  <si>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</si>
  <si>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</si>
  <si>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</si>
  <si>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</si>
  <si>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</si>
  <si>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</si>
  <si>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</si>
  <si>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</si>
  <si>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</si>
  <si>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</si>
  <si>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</si>
  <si>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</si>
  <si>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</si>
  <si>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</si>
  <si>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</si>
  <si>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</si>
  <si>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</si>
  <si>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</si>
  <si>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</si>
  <si>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</si>
  <si>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</si>
  <si>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</si>
  <si>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</si>
  <si>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</si>
  <si>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</si>
  <si>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</si>
  <si>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</si>
  <si>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</si>
  <si>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</si>
  <si>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</si>
  <si>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</si>
  <si>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</si>
  <si>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</si>
  <si>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</si>
  <si>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</si>
  <si>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</si>
  <si>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</si>
  <si>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</si>
  <si>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</si>
  <si>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</si>
  <si>
    <t>YEDR1(LPDN PRE-0, POST-272)</t>
  </si>
  <si>
    <t>YEDR1(LPDN PRE-1, POST-34)</t>
  </si>
  <si>
    <t>YEDR1(LPDN PRE-2, POST-)</t>
  </si>
  <si>
    <t>CPX DOWN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</si>
</sst>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69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" xfId="0" applyFont="1" applyFill="1" applyBorder="1" applyAlignment="1">
      <alignment vertical="top" wrapText="1"/>
    </xf>
    <xf numFmtId="0" fontId="49" fillId="0" borderId="3" xfId="0" applyFont="1" applyFill="1" applyBorder="1" applyAlignment="1">
      <alignment vertical="top" wrapText="1"/>
    </xf>
    <xf numFmtId="0" fontId="0" fillId="0" borderId="0" xfId="0" applyBorder="1" applyProtection="1">
      <protection locked="0"/>
    </xf>
    <xf numFmtId="0" fontId="49" fillId="0" borderId="4" xfId="0" applyFont="1" applyFill="1" applyBorder="1" applyAlignment="1">
      <alignment vertical="top" wrapText="1"/>
    </xf>
    <xf numFmtId="0" fontId="49" fillId="0" borderId="5" xfId="0" applyFont="1" applyFill="1" applyBorder="1" applyAlignment="1">
      <alignment vertical="top" wrapText="1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92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29" t="s">
        <v>14</v>
      </c>
      <c r="B1" s="530"/>
      <c r="C1" s="530"/>
      <c r="D1" s="530"/>
      <c r="E1" s="530"/>
      <c r="F1" s="530"/>
      <c r="G1" s="531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32" t="s">
        <v>18</v>
      </c>
      <c r="G3" s="53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25"/>
      <c r="B13" s="28" t="s">
        <v>35</v>
      </c>
      <c r="C13" s="29"/>
      <c r="D13" s="28" t="s">
        <v>36</v>
      </c>
      <c r="E13" s="30"/>
      <c r="F13" s="528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26"/>
      <c r="B14" s="28" t="s">
        <v>37</v>
      </c>
      <c r="C14" s="29"/>
      <c r="D14" s="28" t="s">
        <v>36</v>
      </c>
      <c r="E14" s="30"/>
      <c r="F14" s="528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26"/>
      <c r="B15" s="28" t="s">
        <v>38</v>
      </c>
      <c r="C15" s="29"/>
      <c r="D15" s="28" t="s">
        <v>36</v>
      </c>
      <c r="E15" s="30"/>
      <c r="F15" s="528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26"/>
      <c r="B16" s="28" t="s">
        <v>39</v>
      </c>
      <c r="C16" s="29"/>
      <c r="D16" s="28" t="s">
        <v>36</v>
      </c>
      <c r="E16" s="30"/>
      <c r="F16" s="528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27"/>
      <c r="B17" s="28" t="s">
        <v>40</v>
      </c>
      <c r="C17" s="29"/>
      <c r="D17" s="28" t="s">
        <v>36</v>
      </c>
      <c r="E17" s="30"/>
      <c r="F17" s="528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25"/>
      <c r="B18" s="28" t="s">
        <v>35</v>
      </c>
      <c r="C18" s="29"/>
      <c r="D18" s="28" t="s">
        <v>36</v>
      </c>
      <c r="E18" s="30"/>
      <c r="F18" s="528"/>
      <c r="G18" s="31"/>
    </row>
    <row r="19" spans="1:20" ht="12.75" customHeight="1">
      <c r="A19" s="526"/>
      <c r="B19" s="28" t="s">
        <v>37</v>
      </c>
      <c r="C19" s="29"/>
      <c r="D19" s="28" t="s">
        <v>36</v>
      </c>
      <c r="E19" s="30"/>
      <c r="F19" s="528"/>
      <c r="G19" s="31"/>
    </row>
    <row r="20" spans="1:20" ht="12.75" customHeight="1">
      <c r="A20" s="526"/>
      <c r="B20" s="28" t="s">
        <v>38</v>
      </c>
      <c r="C20" s="29"/>
      <c r="D20" s="28" t="s">
        <v>36</v>
      </c>
      <c r="E20" s="30"/>
      <c r="F20" s="528"/>
      <c r="G20" s="31"/>
    </row>
    <row r="21" spans="1:20" ht="12.75" customHeight="1">
      <c r="A21" s="526"/>
      <c r="B21" s="28" t="s">
        <v>39</v>
      </c>
      <c r="C21" s="29"/>
      <c r="D21" s="28" t="s">
        <v>36</v>
      </c>
      <c r="E21" s="30"/>
      <c r="F21" s="528"/>
      <c r="G21" s="31"/>
    </row>
    <row r="22" spans="1:20" ht="12.75" customHeight="1">
      <c r="A22" s="527"/>
      <c r="B22" s="28" t="s">
        <v>40</v>
      </c>
      <c r="C22" s="29"/>
      <c r="D22" s="28" t="s">
        <v>36</v>
      </c>
      <c r="E22" s="30"/>
      <c r="F22" s="528"/>
      <c r="G22" s="31"/>
    </row>
    <row r="23" spans="1:20" ht="12.75" customHeight="1">
      <c r="A23" s="525"/>
      <c r="B23" s="28" t="s">
        <v>35</v>
      </c>
      <c r="C23" s="29"/>
      <c r="D23" s="28" t="s">
        <v>36</v>
      </c>
      <c r="E23" s="30"/>
      <c r="F23" s="528"/>
      <c r="G23" s="31"/>
    </row>
    <row r="24" spans="1:20" ht="12.75" customHeight="1">
      <c r="A24" s="526"/>
      <c r="B24" s="28" t="s">
        <v>37</v>
      </c>
      <c r="C24" s="29"/>
      <c r="D24" s="28" t="s">
        <v>36</v>
      </c>
      <c r="E24" s="30"/>
      <c r="F24" s="528"/>
      <c r="G24" s="31"/>
    </row>
    <row r="25" spans="1:20" ht="12.75" customHeight="1">
      <c r="A25" s="526"/>
      <c r="B25" s="28" t="s">
        <v>38</v>
      </c>
      <c r="C25" s="29"/>
      <c r="D25" s="28" t="s">
        <v>36</v>
      </c>
      <c r="E25" s="30"/>
      <c r="F25" s="528"/>
      <c r="G25" s="31"/>
    </row>
    <row r="26" spans="1:20" ht="12.75" customHeight="1">
      <c r="A26" s="526"/>
      <c r="B26" s="28" t="s">
        <v>39</v>
      </c>
      <c r="C26" s="29"/>
      <c r="D26" s="28" t="s">
        <v>36</v>
      </c>
      <c r="E26" s="30"/>
      <c r="F26" s="528"/>
      <c r="G26" s="31"/>
    </row>
    <row r="27" spans="1:20" ht="12.75" customHeight="1">
      <c r="A27" s="527"/>
      <c r="B27" s="28" t="s">
        <v>40</v>
      </c>
      <c r="C27" s="29"/>
      <c r="D27" s="28" t="s">
        <v>36</v>
      </c>
      <c r="E27" s="30"/>
      <c r="F27" s="528"/>
      <c r="G27" s="31"/>
    </row>
    <row r="28" spans="1:20" ht="12.75" customHeight="1">
      <c r="A28" s="525"/>
      <c r="B28" s="28" t="s">
        <v>35</v>
      </c>
      <c r="C28" s="29"/>
      <c r="D28" s="28" t="s">
        <v>36</v>
      </c>
      <c r="E28" s="30"/>
      <c r="F28" s="528"/>
      <c r="G28" s="31"/>
    </row>
    <row r="29" spans="1:20" ht="12.75" customHeight="1">
      <c r="A29" s="526"/>
      <c r="B29" s="28" t="s">
        <v>37</v>
      </c>
      <c r="C29" s="29"/>
      <c r="D29" s="28" t="s">
        <v>36</v>
      </c>
      <c r="E29" s="30"/>
      <c r="F29" s="528"/>
      <c r="G29" s="31"/>
    </row>
    <row r="30" spans="1:20" ht="12.75" customHeight="1">
      <c r="A30" s="526"/>
      <c r="B30" s="28" t="s">
        <v>38</v>
      </c>
      <c r="C30" s="29"/>
      <c r="D30" s="28" t="s">
        <v>36</v>
      </c>
      <c r="E30" s="30"/>
      <c r="F30" s="528"/>
      <c r="G30" s="31"/>
    </row>
    <row r="31" spans="1:20" ht="12.75" customHeight="1">
      <c r="A31" s="526"/>
      <c r="B31" s="28" t="s">
        <v>39</v>
      </c>
      <c r="C31" s="29"/>
      <c r="D31" s="28" t="s">
        <v>36</v>
      </c>
      <c r="E31" s="30"/>
      <c r="F31" s="528"/>
      <c r="G31" s="31"/>
    </row>
    <row r="32" spans="1:20" ht="12.75" customHeight="1">
      <c r="A32" s="527"/>
      <c r="B32" s="28" t="s">
        <v>40</v>
      </c>
      <c r="C32" s="29"/>
      <c r="D32" s="28" t="s">
        <v>36</v>
      </c>
      <c r="E32" s="30"/>
      <c r="F32" s="528"/>
      <c r="G32" s="31"/>
    </row>
    <row r="33" spans="1:7" ht="12.75" customHeight="1">
      <c r="A33" s="525"/>
      <c r="B33" s="28" t="s">
        <v>35</v>
      </c>
      <c r="C33" s="29"/>
      <c r="D33" s="28" t="s">
        <v>36</v>
      </c>
      <c r="E33" s="30"/>
      <c r="F33" s="528"/>
      <c r="G33" s="31"/>
    </row>
    <row r="34" spans="1:7" ht="12.75" customHeight="1">
      <c r="A34" s="526"/>
      <c r="B34" s="28" t="s">
        <v>37</v>
      </c>
      <c r="C34" s="29"/>
      <c r="D34" s="28" t="s">
        <v>36</v>
      </c>
      <c r="E34" s="30"/>
      <c r="F34" s="528"/>
      <c r="G34" s="31"/>
    </row>
    <row r="35" spans="1:7" ht="12.75" customHeight="1">
      <c r="A35" s="526"/>
      <c r="B35" s="28" t="s">
        <v>38</v>
      </c>
      <c r="C35" s="29"/>
      <c r="D35" s="28" t="s">
        <v>36</v>
      </c>
      <c r="E35" s="30"/>
      <c r="F35" s="528"/>
      <c r="G35" s="31"/>
    </row>
    <row r="36" spans="1:7" ht="12.75" customHeight="1">
      <c r="A36" s="526"/>
      <c r="B36" s="28" t="s">
        <v>39</v>
      </c>
      <c r="C36" s="29"/>
      <c r="D36" s="28" t="s">
        <v>36</v>
      </c>
      <c r="E36" s="30"/>
      <c r="F36" s="528"/>
      <c r="G36" s="31"/>
    </row>
    <row r="37" spans="1:7" ht="12.75" customHeight="1">
      <c r="A37" s="527"/>
      <c r="B37" s="28" t="s">
        <v>40</v>
      </c>
      <c r="C37" s="29"/>
      <c r="D37" s="28" t="s">
        <v>36</v>
      </c>
      <c r="E37" s="30"/>
      <c r="F37" s="528"/>
      <c r="G37" s="31"/>
    </row>
    <row r="38" spans="1:7" ht="12.75" customHeight="1">
      <c r="A38" s="525"/>
      <c r="B38" s="28" t="s">
        <v>35</v>
      </c>
      <c r="C38" s="29"/>
      <c r="D38" s="28" t="s">
        <v>36</v>
      </c>
      <c r="E38" s="30"/>
      <c r="F38" s="528"/>
      <c r="G38" s="31"/>
    </row>
    <row r="39" spans="1:7" ht="12.75" customHeight="1">
      <c r="A39" s="526"/>
      <c r="B39" s="28" t="s">
        <v>37</v>
      </c>
      <c r="C39" s="29"/>
      <c r="D39" s="28" t="s">
        <v>36</v>
      </c>
      <c r="E39" s="30"/>
      <c r="F39" s="528"/>
      <c r="G39" s="31"/>
    </row>
    <row r="40" spans="1:7" ht="12.75" customHeight="1">
      <c r="A40" s="526"/>
      <c r="B40" s="28" t="s">
        <v>38</v>
      </c>
      <c r="C40" s="29"/>
      <c r="D40" s="28" t="s">
        <v>36</v>
      </c>
      <c r="E40" s="30"/>
      <c r="F40" s="528"/>
      <c r="G40" s="31"/>
    </row>
    <row r="41" spans="1:7" ht="12.75" customHeight="1">
      <c r="A41" s="526"/>
      <c r="B41" s="28" t="s">
        <v>39</v>
      </c>
      <c r="C41" s="29"/>
      <c r="D41" s="28" t="s">
        <v>36</v>
      </c>
      <c r="E41" s="30"/>
      <c r="F41" s="528"/>
      <c r="G41" s="31"/>
    </row>
    <row r="42" spans="1:7" ht="12.75" customHeight="1">
      <c r="A42" s="527"/>
      <c r="B42" s="28" t="s">
        <v>40</v>
      </c>
      <c r="C42" s="29"/>
      <c r="D42" s="28" t="s">
        <v>36</v>
      </c>
      <c r="E42" s="30"/>
      <c r="F42" s="528"/>
      <c r="G42" s="31"/>
    </row>
    <row r="43" spans="1:7" ht="12.75" customHeight="1">
      <c r="A43" s="525"/>
      <c r="B43" s="28" t="s">
        <v>35</v>
      </c>
      <c r="C43" s="29"/>
      <c r="D43" s="28" t="s">
        <v>36</v>
      </c>
      <c r="E43" s="30"/>
      <c r="F43" s="528"/>
      <c r="G43" s="31"/>
    </row>
    <row r="44" spans="1:7" ht="12.75" customHeight="1">
      <c r="A44" s="526"/>
      <c r="B44" s="28" t="s">
        <v>37</v>
      </c>
      <c r="C44" s="29"/>
      <c r="D44" s="28" t="s">
        <v>36</v>
      </c>
      <c r="E44" s="30"/>
      <c r="F44" s="528"/>
      <c r="G44" s="31"/>
    </row>
    <row r="45" spans="1:7" ht="12.75" customHeight="1">
      <c r="A45" s="526"/>
      <c r="B45" s="28" t="s">
        <v>38</v>
      </c>
      <c r="C45" s="29"/>
      <c r="D45" s="28" t="s">
        <v>36</v>
      </c>
      <c r="E45" s="30"/>
      <c r="F45" s="528"/>
      <c r="G45" s="31"/>
    </row>
    <row r="46" spans="1:7" ht="12.75" customHeight="1">
      <c r="A46" s="526"/>
      <c r="B46" s="28" t="s">
        <v>39</v>
      </c>
      <c r="C46" s="29"/>
      <c r="D46" s="28" t="s">
        <v>36</v>
      </c>
      <c r="E46" s="30"/>
      <c r="F46" s="528"/>
      <c r="G46" s="31"/>
    </row>
    <row r="47" spans="1:7" ht="12.75" customHeight="1">
      <c r="A47" s="527"/>
      <c r="B47" s="28" t="s">
        <v>40</v>
      </c>
      <c r="C47" s="29"/>
      <c r="D47" s="28" t="s">
        <v>36</v>
      </c>
      <c r="E47" s="30"/>
      <c r="F47" s="528"/>
      <c r="G47" s="31"/>
    </row>
    <row r="48" spans="1:7" ht="12.75" customHeight="1">
      <c r="A48" s="525"/>
      <c r="B48" s="28" t="s">
        <v>35</v>
      </c>
      <c r="C48" s="29"/>
      <c r="D48" s="28" t="s">
        <v>36</v>
      </c>
      <c r="E48" s="30"/>
      <c r="F48" s="528"/>
      <c r="G48" s="31"/>
    </row>
    <row r="49" spans="1:7" ht="12.75" customHeight="1">
      <c r="A49" s="526"/>
      <c r="B49" s="28" t="s">
        <v>37</v>
      </c>
      <c r="C49" s="29"/>
      <c r="D49" s="28" t="s">
        <v>36</v>
      </c>
      <c r="E49" s="30"/>
      <c r="F49" s="528"/>
      <c r="G49" s="31"/>
    </row>
    <row r="50" spans="1:7" ht="12.75" customHeight="1">
      <c r="A50" s="526"/>
      <c r="B50" s="28" t="s">
        <v>38</v>
      </c>
      <c r="C50" s="29"/>
      <c r="D50" s="28" t="s">
        <v>36</v>
      </c>
      <c r="E50" s="30"/>
      <c r="F50" s="528"/>
      <c r="G50" s="31"/>
    </row>
    <row r="51" spans="1:7" ht="12.75" customHeight="1">
      <c r="A51" s="526"/>
      <c r="B51" s="28" t="s">
        <v>39</v>
      </c>
      <c r="C51" s="29"/>
      <c r="D51" s="28" t="s">
        <v>36</v>
      </c>
      <c r="E51" s="30"/>
      <c r="F51" s="528"/>
      <c r="G51" s="31"/>
    </row>
    <row r="52" spans="1:7" ht="12.75" customHeight="1">
      <c r="A52" s="527"/>
      <c r="B52" s="28" t="s">
        <v>40</v>
      </c>
      <c r="C52" s="29"/>
      <c r="D52" s="28" t="s">
        <v>36</v>
      </c>
      <c r="E52" s="30"/>
      <c r="F52" s="528"/>
      <c r="G52" s="31"/>
    </row>
  </sheetData>
  <mergeCells count="17"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87"/>
  <sheetViews>
    <sheetView tabSelected="1" zoomScaleNormal="100" workbookViewId="0">
      <pane ySplit="10" topLeftCell="A483" activePane="bottomLeft" state="frozen"/>
      <selection pane="bottomLeft" activeCell="K487" sqref="K487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6.75" style="144" customWidth="1"/>
    <col min="6" max="6" width="5.75" style="144" customWidth="1"/>
    <col min="7" max="7" width="6.25" style="144" customWidth="1"/>
    <col min="8" max="8" width="6.125" style="144" customWidth="1"/>
    <col min="9" max="9" width="4.875" style="144" customWidth="1"/>
    <col min="10" max="10" width="5.75" style="144" customWidth="1"/>
    <col min="11" max="11" width="7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34" t="s">
        <v>14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6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37" t="s">
        <v>41</v>
      </c>
      <c r="O3" s="537"/>
      <c r="P3" s="538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42" t="s">
        <v>43</v>
      </c>
      <c r="D8" s="543"/>
      <c r="E8" s="543"/>
      <c r="F8" s="543"/>
      <c r="G8" s="543"/>
      <c r="H8" s="543"/>
      <c r="I8" s="543"/>
      <c r="J8" s="543"/>
      <c r="K8" s="543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39" t="s">
        <v>601</v>
      </c>
      <c r="D9" s="540"/>
      <c r="E9" s="541"/>
      <c r="F9" s="539" t="s">
        <v>602</v>
      </c>
      <c r="G9" s="540"/>
      <c r="H9" s="541"/>
      <c r="I9" s="539" t="s">
        <v>600</v>
      </c>
      <c r="J9" s="540"/>
      <c r="K9" s="541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  <row r="485" spans="1:17">
      <c r="A485" s="123">
        <v>44242</v>
      </c>
      <c r="B485" s="123" t="s">
        <v>566</v>
      </c>
      <c r="C485" s="146">
        <v>5</v>
      </c>
      <c r="D485" s="146">
        <v>483</v>
      </c>
      <c r="E485" s="154">
        <f t="shared" ref="E485" si="149">IF(((C485="")*AND(D485="")),"",D485-C485)</f>
        <v>478</v>
      </c>
      <c r="F485" s="154">
        <v>0</v>
      </c>
      <c r="G485" s="154">
        <v>90</v>
      </c>
      <c r="H485" s="154">
        <v>8</v>
      </c>
      <c r="I485" s="154">
        <v>0</v>
      </c>
      <c r="J485" s="154">
        <v>34</v>
      </c>
      <c r="K485" s="154">
        <f t="shared" ref="K485" si="150">J485-I485</f>
        <v>34</v>
      </c>
      <c r="L485" s="154">
        <v>40</v>
      </c>
      <c r="M485" s="154">
        <v>40</v>
      </c>
      <c r="N485" s="155" t="str">
        <f t="shared" ref="N485" si="151">IF(E485="","",IF(E485&lt;=40,"Pass","Fail"))</f>
        <v>Fail</v>
      </c>
      <c r="O485" s="147">
        <v>102</v>
      </c>
      <c r="P485" s="517" t="s">
        <v>661</v>
      </c>
      <c r="Q485" s="123"/>
    </row>
    <row r="486" spans="1:17">
      <c r="A486" s="123">
        <v>44242</v>
      </c>
      <c r="B486" s="123" t="s">
        <v>566</v>
      </c>
      <c r="C486" s="146">
        <v>4</v>
      </c>
      <c r="D486" s="146">
        <v>110</v>
      </c>
      <c r="E486" s="154">
        <f t="shared" ref="E486" si="152">IF(((C486="")*AND(D486="")),"",D486-C486)</f>
        <v>106</v>
      </c>
      <c r="F486" s="154">
        <v>2</v>
      </c>
      <c r="G486" s="154">
        <v>25</v>
      </c>
      <c r="H486" s="154">
        <v>8</v>
      </c>
      <c r="I486" s="154">
        <v>2</v>
      </c>
      <c r="J486" s="154">
        <v>16</v>
      </c>
      <c r="K486" s="154">
        <f t="shared" ref="K486" si="153">J486-I486</f>
        <v>14</v>
      </c>
      <c r="L486" s="154">
        <v>40</v>
      </c>
      <c r="M486" s="154">
        <v>40</v>
      </c>
      <c r="N486" s="155" t="str">
        <f t="shared" ref="N486" si="154">IF(E486="","",IF(E486&lt;=40,"Pass","Fail"))</f>
        <v>Fail</v>
      </c>
      <c r="O486" s="147">
        <v>102</v>
      </c>
      <c r="P486" s="518" t="s">
        <v>662</v>
      </c>
      <c r="Q486" s="123" t="s">
        <v>657</v>
      </c>
    </row>
    <row r="487" spans="1:17">
      <c r="A487" s="123">
        <v>44243</v>
      </c>
      <c r="B487" s="123" t="s">
        <v>566</v>
      </c>
      <c r="C487" s="146">
        <v>3</v>
      </c>
      <c r="D487" s="146">
        <v>25</v>
      </c>
      <c r="E487" s="154">
        <f t="shared" ref="E487" si="155">IF(((C487="")*AND(D487="")),"",D487-C487)</f>
        <v>22</v>
      </c>
      <c r="F487" s="154">
        <v>1</v>
      </c>
      <c r="G487" s="154">
        <v>5</v>
      </c>
      <c r="H487" s="154">
        <v>4</v>
      </c>
      <c r="I487" s="154">
        <v>0</v>
      </c>
      <c r="J487" s="154">
        <v>4</v>
      </c>
      <c r="K487" s="154">
        <f t="shared" ref="K487" si="156">J487-I487</f>
        <v>4</v>
      </c>
      <c r="L487" s="154">
        <v>40</v>
      </c>
      <c r="M487" s="154">
        <v>40</v>
      </c>
      <c r="N487" s="155" t="str">
        <f t="shared" ref="N487" si="157">IF(E487="","",IF(E487&lt;=40,"Pass","Fail"))</f>
        <v>Pass</v>
      </c>
      <c r="O487" s="147">
        <v>64</v>
      </c>
      <c r="P487" s="519" t="s">
        <v>663</v>
      </c>
      <c r="Q487" s="123" t="s">
        <v>664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91" priority="1471" stopIfTrue="1" operator="containsText" text="PASS">
      <formula>NOT(ISERROR(SEARCH("PASS",A11)))</formula>
    </cfRule>
    <cfRule type="containsText" dxfId="90" priority="1472" stopIfTrue="1" operator="containsText" text="FAIL">
      <formula>NOT(ISERROR(SEARCH("FAIL",A11)))</formula>
    </cfRule>
  </conditionalFormatting>
  <conditionalFormatting sqref="A1:B1048576">
    <cfRule type="timePeriod" dxfId="89" priority="456" timePeriod="today">
      <formula>FLOOR(A1,1)=TODAY()</formula>
    </cfRule>
  </conditionalFormatting>
  <conditionalFormatting sqref="P470">
    <cfRule type="containsText" dxfId="88" priority="71" stopIfTrue="1" operator="containsText" text="PASS">
      <formula>NOT(ISERROR(SEARCH("PASS",P470)))</formula>
    </cfRule>
    <cfRule type="containsText" dxfId="87" priority="72" stopIfTrue="1" operator="containsText" text="FAIL">
      <formula>NOT(ISERROR(SEARCH("FAIL",P470)))</formula>
    </cfRule>
  </conditionalFormatting>
  <conditionalFormatting sqref="P471">
    <cfRule type="containsText" dxfId="86" priority="69" stopIfTrue="1" operator="containsText" text="PASS">
      <formula>NOT(ISERROR(SEARCH("PASS",P471)))</formula>
    </cfRule>
    <cfRule type="containsText" dxfId="85" priority="70" stopIfTrue="1" operator="containsText" text="FAIL">
      <formula>NOT(ISERROR(SEARCH("FAIL",P471)))</formula>
    </cfRule>
  </conditionalFormatting>
  <conditionalFormatting sqref="P473">
    <cfRule type="containsText" dxfId="84" priority="67" stopIfTrue="1" operator="containsText" text="PASS">
      <formula>NOT(ISERROR(SEARCH("PASS",P473)))</formula>
    </cfRule>
    <cfRule type="containsText" dxfId="83" priority="68" stopIfTrue="1" operator="containsText" text="FAIL">
      <formula>NOT(ISERROR(SEARCH("FAIL",P473)))</formula>
    </cfRule>
  </conditionalFormatting>
  <conditionalFormatting sqref="P474">
    <cfRule type="containsText" dxfId="82" priority="65" stopIfTrue="1" operator="containsText" text="PASS">
      <formula>NOT(ISERROR(SEARCH("PASS",P474)))</formula>
    </cfRule>
    <cfRule type="containsText" dxfId="81" priority="66" stopIfTrue="1" operator="containsText" text="FAIL">
      <formula>NOT(ISERROR(SEARCH("FAIL",P474)))</formula>
    </cfRule>
  </conditionalFormatting>
  <conditionalFormatting sqref="P475">
    <cfRule type="containsText" dxfId="80" priority="63" stopIfTrue="1" operator="containsText" text="PASS">
      <formula>NOT(ISERROR(SEARCH("PASS",P475)))</formula>
    </cfRule>
    <cfRule type="containsText" dxfId="79" priority="64" stopIfTrue="1" operator="containsText" text="FAIL">
      <formula>NOT(ISERROR(SEARCH("FAIL",P475)))</formula>
    </cfRule>
  </conditionalFormatting>
  <conditionalFormatting sqref="P475">
    <cfRule type="containsText" dxfId="78" priority="61" stopIfTrue="1" operator="containsText" text="PASS">
      <formula>NOT(ISERROR(SEARCH("PASS",P475)))</formula>
    </cfRule>
    <cfRule type="containsText" dxfId="77" priority="62" stopIfTrue="1" operator="containsText" text="FAIL">
      <formula>NOT(ISERROR(SEARCH("FAIL",P475)))</formula>
    </cfRule>
  </conditionalFormatting>
  <conditionalFormatting sqref="P476">
    <cfRule type="containsText" dxfId="76" priority="59" stopIfTrue="1" operator="containsText" text="PASS">
      <formula>NOT(ISERROR(SEARCH("PASS",P476)))</formula>
    </cfRule>
    <cfRule type="containsText" dxfId="75" priority="60" stopIfTrue="1" operator="containsText" text="FAIL">
      <formula>NOT(ISERROR(SEARCH("FAIL",P476)))</formula>
    </cfRule>
  </conditionalFormatting>
  <conditionalFormatting sqref="P476">
    <cfRule type="containsText" dxfId="74" priority="57" stopIfTrue="1" operator="containsText" text="PASS">
      <formula>NOT(ISERROR(SEARCH("PASS",P476)))</formula>
    </cfRule>
    <cfRule type="containsText" dxfId="73" priority="58" stopIfTrue="1" operator="containsText" text="FAIL">
      <formula>NOT(ISERROR(SEARCH("FAIL",P476)))</formula>
    </cfRule>
  </conditionalFormatting>
  <conditionalFormatting sqref="P477">
    <cfRule type="containsText" dxfId="72" priority="55" stopIfTrue="1" operator="containsText" text="PASS">
      <formula>NOT(ISERROR(SEARCH("PASS",P477)))</formula>
    </cfRule>
    <cfRule type="containsText" dxfId="71" priority="56" stopIfTrue="1" operator="containsText" text="FAIL">
      <formula>NOT(ISERROR(SEARCH("FAIL",P477)))</formula>
    </cfRule>
  </conditionalFormatting>
  <conditionalFormatting sqref="P477">
    <cfRule type="containsText" dxfId="70" priority="53" stopIfTrue="1" operator="containsText" text="PASS">
      <formula>NOT(ISERROR(SEARCH("PASS",P477)))</formula>
    </cfRule>
    <cfRule type="containsText" dxfId="69" priority="54" stopIfTrue="1" operator="containsText" text="FAIL">
      <formula>NOT(ISERROR(SEARCH("FAIL",P477)))</formula>
    </cfRule>
  </conditionalFormatting>
  <conditionalFormatting sqref="P478">
    <cfRule type="containsText" dxfId="68" priority="51" stopIfTrue="1" operator="containsText" text="PASS">
      <formula>NOT(ISERROR(SEARCH("PASS",P478)))</formula>
    </cfRule>
    <cfRule type="containsText" dxfId="67" priority="52" stopIfTrue="1" operator="containsText" text="FAIL">
      <formula>NOT(ISERROR(SEARCH("FAIL",P478)))</formula>
    </cfRule>
  </conditionalFormatting>
  <conditionalFormatting sqref="P478">
    <cfRule type="containsText" dxfId="66" priority="49" stopIfTrue="1" operator="containsText" text="PASS">
      <formula>NOT(ISERROR(SEARCH("PASS",P478)))</formula>
    </cfRule>
    <cfRule type="containsText" dxfId="65" priority="50" stopIfTrue="1" operator="containsText" text="FAIL">
      <formula>NOT(ISERROR(SEARCH("FAIL",P478)))</formula>
    </cfRule>
  </conditionalFormatting>
  <conditionalFormatting sqref="N479:O479">
    <cfRule type="containsText" dxfId="64" priority="47" stopIfTrue="1" operator="containsText" text="PASS">
      <formula>NOT(ISERROR(SEARCH("PASS",N479)))</formula>
    </cfRule>
    <cfRule type="containsText" dxfId="63" priority="48" stopIfTrue="1" operator="containsText" text="FAIL">
      <formula>NOT(ISERROR(SEARCH("FAIL",N479)))</formula>
    </cfRule>
  </conditionalFormatting>
  <conditionalFormatting sqref="P479">
    <cfRule type="containsText" dxfId="62" priority="45" stopIfTrue="1" operator="containsText" text="PASS">
      <formula>NOT(ISERROR(SEARCH("PASS",P479)))</formula>
    </cfRule>
    <cfRule type="containsText" dxfId="61" priority="46" stopIfTrue="1" operator="containsText" text="FAIL">
      <formula>NOT(ISERROR(SEARCH("FAIL",P479)))</formula>
    </cfRule>
  </conditionalFormatting>
  <conditionalFormatting sqref="P479">
    <cfRule type="containsText" dxfId="60" priority="43" stopIfTrue="1" operator="containsText" text="PASS">
      <formula>NOT(ISERROR(SEARCH("PASS",P479)))</formula>
    </cfRule>
    <cfRule type="containsText" dxfId="59" priority="44" stopIfTrue="1" operator="containsText" text="FAIL">
      <formula>NOT(ISERROR(SEARCH("FAIL",P479)))</formula>
    </cfRule>
  </conditionalFormatting>
  <conditionalFormatting sqref="N480:O480">
    <cfRule type="containsText" dxfId="58" priority="41" stopIfTrue="1" operator="containsText" text="PASS">
      <formula>NOT(ISERROR(SEARCH("PASS",N480)))</formula>
    </cfRule>
    <cfRule type="containsText" dxfId="57" priority="42" stopIfTrue="1" operator="containsText" text="FAIL">
      <formula>NOT(ISERROR(SEARCH("FAIL",N480)))</formula>
    </cfRule>
  </conditionalFormatting>
  <conditionalFormatting sqref="P480">
    <cfRule type="containsText" dxfId="56" priority="39" stopIfTrue="1" operator="containsText" text="PASS">
      <formula>NOT(ISERROR(SEARCH("PASS",P480)))</formula>
    </cfRule>
    <cfRule type="containsText" dxfId="55" priority="40" stopIfTrue="1" operator="containsText" text="FAIL">
      <formula>NOT(ISERROR(SEARCH("FAIL",P480)))</formula>
    </cfRule>
  </conditionalFormatting>
  <conditionalFormatting sqref="P480">
    <cfRule type="containsText" dxfId="54" priority="37" stopIfTrue="1" operator="containsText" text="PASS">
      <formula>NOT(ISERROR(SEARCH("PASS",P480)))</formula>
    </cfRule>
    <cfRule type="containsText" dxfId="53" priority="38" stopIfTrue="1" operator="containsText" text="FAIL">
      <formula>NOT(ISERROR(SEARCH("FAIL",P480)))</formula>
    </cfRule>
  </conditionalFormatting>
  <conditionalFormatting sqref="N481:O481">
    <cfRule type="containsText" dxfId="52" priority="35" stopIfTrue="1" operator="containsText" text="PASS">
      <formula>NOT(ISERROR(SEARCH("PASS",N481)))</formula>
    </cfRule>
    <cfRule type="containsText" dxfId="51" priority="36" stopIfTrue="1" operator="containsText" text="FAIL">
      <formula>NOT(ISERROR(SEARCH("FAIL",N481)))</formula>
    </cfRule>
  </conditionalFormatting>
  <conditionalFormatting sqref="P481">
    <cfRule type="containsText" dxfId="50" priority="33" stopIfTrue="1" operator="containsText" text="PASS">
      <formula>NOT(ISERROR(SEARCH("PASS",P481)))</formula>
    </cfRule>
    <cfRule type="containsText" dxfId="49" priority="34" stopIfTrue="1" operator="containsText" text="FAIL">
      <formula>NOT(ISERROR(SEARCH("FAIL",P481)))</formula>
    </cfRule>
  </conditionalFormatting>
  <conditionalFormatting sqref="P481">
    <cfRule type="containsText" dxfId="48" priority="31" stopIfTrue="1" operator="containsText" text="PASS">
      <formula>NOT(ISERROR(SEARCH("PASS",P481)))</formula>
    </cfRule>
    <cfRule type="containsText" dxfId="47" priority="32" stopIfTrue="1" operator="containsText" text="FAIL">
      <formula>NOT(ISERROR(SEARCH("FAIL",P481)))</formula>
    </cfRule>
  </conditionalFormatting>
  <conditionalFormatting sqref="N482:O482">
    <cfRule type="containsText" dxfId="46" priority="29" stopIfTrue="1" operator="containsText" text="PASS">
      <formula>NOT(ISERROR(SEARCH("PASS",N482)))</formula>
    </cfRule>
    <cfRule type="containsText" dxfId="45" priority="30" stopIfTrue="1" operator="containsText" text="FAIL">
      <formula>NOT(ISERROR(SEARCH("FAIL",N482)))</formula>
    </cfRule>
  </conditionalFormatting>
  <conditionalFormatting sqref="P482">
    <cfRule type="containsText" dxfId="44" priority="27" stopIfTrue="1" operator="containsText" text="PASS">
      <formula>NOT(ISERROR(SEARCH("PASS",P482)))</formula>
    </cfRule>
    <cfRule type="containsText" dxfId="43" priority="28" stopIfTrue="1" operator="containsText" text="FAIL">
      <formula>NOT(ISERROR(SEARCH("FAIL",P482)))</formula>
    </cfRule>
  </conditionalFormatting>
  <conditionalFormatting sqref="P482">
    <cfRule type="containsText" dxfId="42" priority="25" stopIfTrue="1" operator="containsText" text="PASS">
      <formula>NOT(ISERROR(SEARCH("PASS",P482)))</formula>
    </cfRule>
    <cfRule type="containsText" dxfId="41" priority="26" stopIfTrue="1" operator="containsText" text="FAIL">
      <formula>NOT(ISERROR(SEARCH("FAIL",P482)))</formula>
    </cfRule>
  </conditionalFormatting>
  <conditionalFormatting sqref="N483:O484">
    <cfRule type="containsText" dxfId="40" priority="23" stopIfTrue="1" operator="containsText" text="PASS">
      <formula>NOT(ISERROR(SEARCH("PASS",N483)))</formula>
    </cfRule>
    <cfRule type="containsText" dxfId="39" priority="24" stopIfTrue="1" operator="containsText" text="FAIL">
      <formula>NOT(ISERROR(SEARCH("FAIL",N483)))</formula>
    </cfRule>
  </conditionalFormatting>
  <conditionalFormatting sqref="P483:P484">
    <cfRule type="containsText" dxfId="38" priority="21" stopIfTrue="1" operator="containsText" text="PASS">
      <formula>NOT(ISERROR(SEARCH("PASS",P483)))</formula>
    </cfRule>
    <cfRule type="containsText" dxfId="37" priority="22" stopIfTrue="1" operator="containsText" text="FAIL">
      <formula>NOT(ISERROR(SEARCH("FAIL",P483)))</formula>
    </cfRule>
  </conditionalFormatting>
  <conditionalFormatting sqref="P483:P484">
    <cfRule type="containsText" dxfId="36" priority="19" stopIfTrue="1" operator="containsText" text="PASS">
      <formula>NOT(ISERROR(SEARCH("PASS",P483)))</formula>
    </cfRule>
    <cfRule type="containsText" dxfId="35" priority="20" stopIfTrue="1" operator="containsText" text="FAIL">
      <formula>NOT(ISERROR(SEARCH("FAIL",P483)))</formula>
    </cfRule>
  </conditionalFormatting>
  <conditionalFormatting sqref="N485:O485">
    <cfRule type="containsText" dxfId="34" priority="17" stopIfTrue="1" operator="containsText" text="PASS">
      <formula>NOT(ISERROR(SEARCH("PASS",N485)))</formula>
    </cfRule>
    <cfRule type="containsText" dxfId="33" priority="18" stopIfTrue="1" operator="containsText" text="FAIL">
      <formula>NOT(ISERROR(SEARCH("FAIL",N485)))</formula>
    </cfRule>
  </conditionalFormatting>
  <conditionalFormatting sqref="P485">
    <cfRule type="containsText" dxfId="32" priority="15" stopIfTrue="1" operator="containsText" text="PASS">
      <formula>NOT(ISERROR(SEARCH("PASS",P485)))</formula>
    </cfRule>
    <cfRule type="containsText" dxfId="31" priority="16" stopIfTrue="1" operator="containsText" text="FAIL">
      <formula>NOT(ISERROR(SEARCH("FAIL",P485)))</formula>
    </cfRule>
  </conditionalFormatting>
  <conditionalFormatting sqref="P485">
    <cfRule type="containsText" dxfId="30" priority="13" stopIfTrue="1" operator="containsText" text="PASS">
      <formula>NOT(ISERROR(SEARCH("PASS",P485)))</formula>
    </cfRule>
    <cfRule type="containsText" dxfId="29" priority="14" stopIfTrue="1" operator="containsText" text="FAIL">
      <formula>NOT(ISERROR(SEARCH("FAIL",P485)))</formula>
    </cfRule>
  </conditionalFormatting>
  <conditionalFormatting sqref="N486:O486">
    <cfRule type="containsText" dxfId="28" priority="11" stopIfTrue="1" operator="containsText" text="PASS">
      <formula>NOT(ISERROR(SEARCH("PASS",N486)))</formula>
    </cfRule>
    <cfRule type="containsText" dxfId="27" priority="12" stopIfTrue="1" operator="containsText" text="FAIL">
      <formula>NOT(ISERROR(SEARCH("FAIL",N486)))</formula>
    </cfRule>
  </conditionalFormatting>
  <conditionalFormatting sqref="P486">
    <cfRule type="containsText" dxfId="26" priority="9" stopIfTrue="1" operator="containsText" text="PASS">
      <formula>NOT(ISERROR(SEARCH("PASS",P486)))</formula>
    </cfRule>
    <cfRule type="containsText" dxfId="25" priority="10" stopIfTrue="1" operator="containsText" text="FAIL">
      <formula>NOT(ISERROR(SEARCH("FAIL",P486)))</formula>
    </cfRule>
  </conditionalFormatting>
  <conditionalFormatting sqref="P486">
    <cfRule type="containsText" dxfId="24" priority="7" stopIfTrue="1" operator="containsText" text="PASS">
      <formula>NOT(ISERROR(SEARCH("PASS",P486)))</formula>
    </cfRule>
    <cfRule type="containsText" dxfId="23" priority="8" stopIfTrue="1" operator="containsText" text="FAIL">
      <formula>NOT(ISERROR(SEARCH("FAIL",P486)))</formula>
    </cfRule>
  </conditionalFormatting>
  <conditionalFormatting sqref="N487:O487">
    <cfRule type="containsText" dxfId="22" priority="5" stopIfTrue="1" operator="containsText" text="PASS">
      <formula>NOT(ISERROR(SEARCH("PASS",N487)))</formula>
    </cfRule>
    <cfRule type="containsText" dxfId="21" priority="6" stopIfTrue="1" operator="containsText" text="FAIL">
      <formula>NOT(ISERROR(SEARCH("FAIL",N487)))</formula>
    </cfRule>
  </conditionalFormatting>
  <conditionalFormatting sqref="P487">
    <cfRule type="containsText" dxfId="20" priority="3" stopIfTrue="1" operator="containsText" text="PASS">
      <formula>NOT(ISERROR(SEARCH("PASS",P487)))</formula>
    </cfRule>
    <cfRule type="containsText" dxfId="19" priority="4" stopIfTrue="1" operator="containsText" text="FAIL">
      <formula>NOT(ISERROR(SEARCH("FAIL",P487)))</formula>
    </cfRule>
  </conditionalFormatting>
  <conditionalFormatting sqref="P487">
    <cfRule type="containsText" dxfId="18" priority="1" stopIfTrue="1" operator="containsText" text="PASS">
      <formula>NOT(ISERROR(SEARCH("PASS",P487)))</formula>
    </cfRule>
    <cfRule type="containsText" dxfId="17" priority="2" stopIfTrue="1" operator="containsText" text="FAIL">
      <formula>NOT(ISERROR(SEARCH("FAIL",P487)))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14"/>
  <sheetViews>
    <sheetView zoomScale="60" zoomScaleNormal="60" workbookViewId="0">
      <pane ySplit="13" topLeftCell="A1399" activePane="bottomLeft" state="frozen"/>
      <selection pane="bottomLeft" activeCell="D1413" sqref="D1413:P1413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44" t="s">
        <v>309</v>
      </c>
      <c r="D8" s="545"/>
      <c r="E8" s="545"/>
      <c r="F8" s="545"/>
      <c r="G8" s="545"/>
      <c r="H8" s="545"/>
      <c r="I8" s="545"/>
      <c r="J8" s="545"/>
      <c r="K8" s="545"/>
      <c r="L8" s="545"/>
      <c r="M8" s="545"/>
      <c r="N8" s="545"/>
      <c r="O8" s="545"/>
      <c r="P8" s="545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55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55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55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56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50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47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47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47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47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51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50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47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47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47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47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51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46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48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48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48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48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49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46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47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47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52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53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54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52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53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54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  <row r="1409" spans="1:31" ht="15.75">
      <c r="A1409" s="344">
        <v>44242</v>
      </c>
      <c r="B1409" s="395" t="s">
        <v>202</v>
      </c>
      <c r="C1409" s="396" t="s">
        <v>199</v>
      </c>
      <c r="D1409" s="425">
        <v>3738</v>
      </c>
      <c r="E1409" s="425">
        <v>3817</v>
      </c>
      <c r="F1409" s="425">
        <v>3870</v>
      </c>
      <c r="G1409" s="425">
        <v>3853</v>
      </c>
      <c r="H1409" s="425">
        <v>3801</v>
      </c>
      <c r="I1409" s="425">
        <v>3850</v>
      </c>
      <c r="J1409" s="425">
        <v>3868</v>
      </c>
      <c r="K1409" s="425">
        <v>3771</v>
      </c>
      <c r="L1409" s="425">
        <v>3747</v>
      </c>
      <c r="M1409" s="398"/>
      <c r="N1409" s="398"/>
      <c r="O1409" s="398"/>
      <c r="P1409" s="398"/>
      <c r="Q1409" s="395">
        <f>IF((L1410=""),"",MAX(D1411:L1411))</f>
        <v>6374.3099999999995</v>
      </c>
      <c r="R1409" s="395">
        <f>IF(L1410="","",MIN(D1411:L1411))</f>
        <v>6019.53</v>
      </c>
      <c r="S1409" s="399">
        <f>IF((L1411=""),"",AVERAGE(D1411:L1411))</f>
        <v>6237.4333333333316</v>
      </c>
      <c r="T1409" s="400">
        <f>IF((L1410=""),"",(Q1409-R1409)/(Q1409+R1409)*100)</f>
        <v>2.8625510737592204</v>
      </c>
      <c r="U1409" s="395">
        <f>STDEV(D1411:P1411)</f>
        <v>131.18207537623678</v>
      </c>
      <c r="V1409" s="401" t="str">
        <f>IF(L1410="","",IF(T1409&lt;9.8,IF(S1409&gt;5100,IF(S1409&lt;8300,"Pass","Fail"),"Fail"),"Fail"))</f>
        <v>Pass</v>
      </c>
      <c r="W1409" s="466">
        <v>102</v>
      </c>
      <c r="X1409" s="475"/>
      <c r="Y1409" s="268"/>
      <c r="Z1409" s="267">
        <v>4955</v>
      </c>
      <c r="AA1409" s="267">
        <v>9645</v>
      </c>
      <c r="AB1409" s="267">
        <v>5100</v>
      </c>
      <c r="AC1409" s="267">
        <v>8300</v>
      </c>
      <c r="AD1409" s="305">
        <v>10</v>
      </c>
      <c r="AE1409" s="305">
        <v>9.8000000000000007</v>
      </c>
    </row>
    <row r="1410" spans="1:31" ht="15.75">
      <c r="A1410" s="390"/>
      <c r="B1410" s="404"/>
      <c r="C1410" s="405" t="s">
        <v>198</v>
      </c>
      <c r="D1410" s="425">
        <v>1731.49</v>
      </c>
      <c r="E1410" s="425">
        <v>1736.34</v>
      </c>
      <c r="F1410" s="425">
        <v>1745.23</v>
      </c>
      <c r="G1410" s="425">
        <v>1738.15</v>
      </c>
      <c r="H1410" s="425">
        <v>1721.05</v>
      </c>
      <c r="I1410" s="425">
        <v>1738.69</v>
      </c>
      <c r="J1410" s="425">
        <v>1745.73</v>
      </c>
      <c r="K1410" s="425">
        <v>1730.41</v>
      </c>
      <c r="L1410" s="425">
        <v>1715.61</v>
      </c>
      <c r="M1410" s="406"/>
      <c r="N1410" s="406"/>
      <c r="O1410" s="406"/>
      <c r="P1410" s="406"/>
      <c r="Q1410" s="404"/>
      <c r="R1410" s="404"/>
      <c r="S1410" s="404"/>
      <c r="T1410" s="404"/>
      <c r="U1410" s="404"/>
      <c r="V1410" s="407"/>
      <c r="W1410" s="404"/>
      <c r="X1410" s="484"/>
      <c r="Y1410" s="268"/>
      <c r="Z1410" s="267"/>
      <c r="AA1410" s="267"/>
      <c r="AB1410" s="267"/>
      <c r="AC1410" s="267"/>
      <c r="AD1410" s="268"/>
      <c r="AE1410" s="269"/>
    </row>
    <row r="1411" spans="1:31" ht="43.5" thickBot="1">
      <c r="A1411" s="390"/>
      <c r="B1411" s="404"/>
      <c r="C1411" s="409" t="s">
        <v>637</v>
      </c>
      <c r="D1411" s="507">
        <f t="shared" ref="D1411:L1411" si="466">IF(((D1409="")*AND(D1410="")),"",(D1409-D1410)*3)</f>
        <v>6019.53</v>
      </c>
      <c r="E1411" s="507">
        <f t="shared" si="466"/>
        <v>6241.98</v>
      </c>
      <c r="F1411" s="507">
        <f t="shared" si="466"/>
        <v>6374.3099999999995</v>
      </c>
      <c r="G1411" s="507">
        <f t="shared" si="466"/>
        <v>6344.5499999999993</v>
      </c>
      <c r="H1411" s="507">
        <f>IF(((H1409="")*AND(H1410="")),"",(H1409-H1410)*3)</f>
        <v>6239.8499999999995</v>
      </c>
      <c r="I1411" s="507">
        <f t="shared" si="466"/>
        <v>6333.93</v>
      </c>
      <c r="J1411" s="507">
        <f>IF(((J1409="")*AND(J1410="")),"",(J1409-J1410)*3)</f>
        <v>6366.8099999999995</v>
      </c>
      <c r="K1411" s="507">
        <f t="shared" si="466"/>
        <v>6121.7699999999995</v>
      </c>
      <c r="L1411" s="507">
        <f t="shared" si="466"/>
        <v>6094.17</v>
      </c>
      <c r="M1411" s="410"/>
      <c r="N1411" s="410"/>
      <c r="O1411" s="410"/>
      <c r="P1411" s="410" t="str">
        <f>IF(((P1409="")*AND(P1410="")),"",(P1409-P1410)*2)</f>
        <v/>
      </c>
      <c r="Q1411" s="404"/>
      <c r="R1411" s="404"/>
      <c r="S1411" s="404"/>
      <c r="T1411" s="404"/>
      <c r="U1411" s="404"/>
      <c r="V1411" s="407"/>
      <c r="W1411" s="404"/>
      <c r="X1411" s="417"/>
      <c r="Y1411" s="268"/>
      <c r="Z1411" s="267"/>
      <c r="AA1411" s="267"/>
      <c r="AB1411" s="267"/>
      <c r="AC1411" s="267"/>
      <c r="AD1411" s="268"/>
      <c r="AE1411" s="269"/>
    </row>
    <row r="1412" spans="1:31" ht="15.75">
      <c r="A1412" s="344">
        <v>44242</v>
      </c>
      <c r="B1412" s="409" t="s">
        <v>200</v>
      </c>
      <c r="C1412" s="520" t="s">
        <v>199</v>
      </c>
      <c r="D1412" s="522">
        <v>3963.68</v>
      </c>
      <c r="E1412" s="522">
        <v>4091.53</v>
      </c>
      <c r="F1412" s="522">
        <v>3932.66</v>
      </c>
      <c r="G1412" s="522">
        <v>3997.42</v>
      </c>
      <c r="H1412" s="522">
        <v>4227.3599999999997</v>
      </c>
      <c r="I1412" s="522">
        <v>4158.1899999999996</v>
      </c>
      <c r="J1412" s="522">
        <v>4112.42</v>
      </c>
      <c r="K1412" s="522">
        <v>4103.6000000000004</v>
      </c>
      <c r="L1412" s="522">
        <v>4015.03</v>
      </c>
      <c r="M1412" s="406">
        <v>4183.1400000000003</v>
      </c>
      <c r="N1412" s="406">
        <v>4338.7299999999996</v>
      </c>
      <c r="O1412" s="406">
        <v>4100.24</v>
      </c>
      <c r="P1412" s="406">
        <v>4299.05</v>
      </c>
      <c r="Q1412" s="521">
        <f>IF((L1413=""),"",MAX(D1414:P1414))</f>
        <v>5713.82</v>
      </c>
      <c r="R1412" s="409">
        <f>IF(L1413="","",MIN(D1414:L1414))</f>
        <v>5570.58</v>
      </c>
      <c r="S1412" s="400">
        <f>IF((P1414=""),"",AVERAGE(D1414:P1414))</f>
        <v>5643.543076923077</v>
      </c>
      <c r="T1412" s="412">
        <f>IF((L1413=""),"",(Q1412-R1412)/(Q1412+R1412)*100)</f>
        <v>1.2693630144269945</v>
      </c>
      <c r="U1412" s="409">
        <f>STDEV(D1414:P1414)</f>
        <v>45.25917648839372</v>
      </c>
      <c r="V1412" s="413" t="str">
        <f>IF(P1413="","",IF(T1412&lt;2.7,IF(S1412&gt;5130,IF(S1412&lt;5770,"Pass","Fail"),"Fail"),"Fail"))</f>
        <v>Pass</v>
      </c>
      <c r="W1412" s="463">
        <v>102</v>
      </c>
      <c r="X1412" s="475"/>
      <c r="Y1412" s="268"/>
      <c r="Z1412" s="321">
        <v>4470</v>
      </c>
      <c r="AA1412" s="321">
        <v>6020</v>
      </c>
      <c r="AB1412" s="321">
        <v>5130</v>
      </c>
      <c r="AC1412" s="321">
        <v>5775</v>
      </c>
      <c r="AD1412" s="305">
        <v>10</v>
      </c>
      <c r="AE1412" s="322">
        <v>2.7</v>
      </c>
    </row>
    <row r="1413" spans="1:31" ht="15.75">
      <c r="A1413" s="390"/>
      <c r="B1413" s="404"/>
      <c r="C1413" s="523" t="s">
        <v>198</v>
      </c>
      <c r="D1413" s="522">
        <v>1178.3900000000001</v>
      </c>
      <c r="E1413" s="522">
        <v>1288.6500000000001</v>
      </c>
      <c r="F1413" s="522">
        <v>1141.22</v>
      </c>
      <c r="G1413" s="522">
        <v>1183.3800000000001</v>
      </c>
      <c r="H1413" s="522">
        <v>1402.69</v>
      </c>
      <c r="I1413" s="522">
        <v>1301.28</v>
      </c>
      <c r="J1413" s="522">
        <v>1288.6199999999999</v>
      </c>
      <c r="K1413" s="522">
        <v>1277.54</v>
      </c>
      <c r="L1413" s="522">
        <v>1215.42</v>
      </c>
      <c r="M1413" s="522">
        <v>1354.64</v>
      </c>
      <c r="N1413" s="522">
        <v>1486.87</v>
      </c>
      <c r="O1413" s="522">
        <v>1270.68</v>
      </c>
      <c r="P1413" s="522">
        <v>1450.64</v>
      </c>
      <c r="Q1413" s="524"/>
      <c r="R1413" s="404"/>
      <c r="S1413" s="404"/>
      <c r="T1413" s="404"/>
      <c r="U1413" s="404"/>
      <c r="V1413" s="407"/>
      <c r="W1413" s="404"/>
      <c r="X1413" s="484"/>
      <c r="Y1413" s="268"/>
      <c r="Z1413" s="267"/>
      <c r="AA1413" s="267"/>
      <c r="AB1413" s="267"/>
      <c r="AC1413" s="267"/>
      <c r="AD1413" s="268"/>
      <c r="AE1413" s="269"/>
    </row>
    <row r="1414" spans="1:31" ht="43.5" thickBot="1">
      <c r="A1414" s="393"/>
      <c r="B1414" s="414"/>
      <c r="C1414" s="414" t="s">
        <v>637</v>
      </c>
      <c r="D1414" s="415">
        <f t="shared" ref="D1414:P1414" si="467">IF(((D1412="")*AND(D1413="")),"",(D1412-D1413)*2)</f>
        <v>5570.58</v>
      </c>
      <c r="E1414" s="415">
        <f t="shared" si="467"/>
        <v>5605.76</v>
      </c>
      <c r="F1414" s="415">
        <f t="shared" si="467"/>
        <v>5582.8799999999992</v>
      </c>
      <c r="G1414" s="415">
        <f t="shared" si="467"/>
        <v>5628.08</v>
      </c>
      <c r="H1414" s="415">
        <f t="shared" si="467"/>
        <v>5649.3399999999992</v>
      </c>
      <c r="I1414" s="415">
        <f t="shared" si="467"/>
        <v>5713.82</v>
      </c>
      <c r="J1414" s="415">
        <f t="shared" si="467"/>
        <v>5647.6</v>
      </c>
      <c r="K1414" s="415">
        <f t="shared" si="467"/>
        <v>5652.1200000000008</v>
      </c>
      <c r="L1414" s="415">
        <f t="shared" si="467"/>
        <v>5599.22</v>
      </c>
      <c r="M1414" s="415">
        <f t="shared" si="467"/>
        <v>5657</v>
      </c>
      <c r="N1414" s="415">
        <f t="shared" si="467"/>
        <v>5703.7199999999993</v>
      </c>
      <c r="O1414" s="415">
        <f t="shared" si="467"/>
        <v>5659.119999999999</v>
      </c>
      <c r="P1414" s="415">
        <f t="shared" si="467"/>
        <v>5696.82</v>
      </c>
      <c r="Q1414" s="414"/>
      <c r="R1414" s="414"/>
      <c r="S1414" s="414"/>
      <c r="T1414" s="414"/>
      <c r="U1414" s="414"/>
      <c r="V1414" s="416"/>
      <c r="W1414" s="414"/>
      <c r="X1414" s="417"/>
      <c r="Y1414" s="268"/>
      <c r="Z1414" s="267"/>
      <c r="AA1414" s="267"/>
      <c r="AB1414" s="267"/>
      <c r="AC1414" s="267"/>
      <c r="AD1414" s="268"/>
      <c r="AE1414" s="269"/>
    </row>
  </sheetData>
  <autoFilter ref="A13:AD1330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16" priority="20" timePeriod="today">
      <formula>FLOOR(A1,1)=TODAY()</formula>
    </cfRule>
  </conditionalFormatting>
  <conditionalFormatting sqref="V1:V1048576">
    <cfRule type="containsText" dxfId="15" priority="18" operator="containsText" text="FAIL">
      <formula>NOT(ISERROR(SEARCH("FAIL",V1)))</formula>
    </cfRule>
    <cfRule type="containsText" dxfId="14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60" t="s">
        <v>14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1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62" t="s">
        <v>15</v>
      </c>
      <c r="B2" s="562"/>
      <c r="C2" s="562"/>
      <c r="D2" s="562"/>
      <c r="E2" s="562"/>
      <c r="F2" s="562"/>
      <c r="G2" s="562"/>
      <c r="H2" s="562"/>
      <c r="I2" s="562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62" t="s">
        <v>287</v>
      </c>
      <c r="B3" s="562"/>
      <c r="C3" s="562"/>
      <c r="D3" s="562"/>
      <c r="E3" s="562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62" t="s">
        <v>284</v>
      </c>
      <c r="B4" s="562"/>
      <c r="C4" s="562"/>
      <c r="D4" s="562"/>
      <c r="E4" s="562"/>
      <c r="F4" s="562"/>
      <c r="G4" s="562"/>
      <c r="H4" s="562"/>
      <c r="I4" s="562"/>
      <c r="J4" s="562"/>
      <c r="K4" s="562"/>
      <c r="L4" s="562"/>
      <c r="M4" s="562"/>
      <c r="N4" s="562"/>
      <c r="O4" s="562"/>
      <c r="P4" s="563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62" t="s">
        <v>283</v>
      </c>
      <c r="B5" s="562"/>
      <c r="C5" s="562"/>
      <c r="D5" s="562"/>
      <c r="E5" s="562"/>
      <c r="F5" s="562"/>
      <c r="G5" s="562"/>
      <c r="H5" s="562"/>
      <c r="I5" s="562"/>
      <c r="J5" s="562"/>
      <c r="K5" s="562"/>
      <c r="L5" s="562"/>
      <c r="M5" s="562"/>
      <c r="N5" s="562"/>
      <c r="O5" s="562"/>
      <c r="P5" s="563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62" t="s">
        <v>281</v>
      </c>
      <c r="B6" s="562"/>
      <c r="C6" s="562"/>
      <c r="D6" s="562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3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62" t="s">
        <v>279</v>
      </c>
      <c r="B7" s="562"/>
      <c r="C7" s="562"/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  <c r="O7" s="562"/>
      <c r="P7" s="563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67" t="s">
        <v>277</v>
      </c>
      <c r="E9" s="568"/>
      <c r="F9" s="568"/>
      <c r="G9" s="568"/>
      <c r="H9" s="568"/>
      <c r="I9" s="568"/>
      <c r="J9" s="568"/>
      <c r="K9" s="568"/>
      <c r="L9" s="568"/>
      <c r="M9" s="568"/>
      <c r="N9" s="568"/>
      <c r="O9" s="568"/>
      <c r="P9" s="568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64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65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65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65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65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65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65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65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66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57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58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58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58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58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59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57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58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58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58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58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59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3" priority="7" stopIfTrue="1" operator="equal">
      <formula>"Pass"</formula>
    </cfRule>
    <cfRule type="cellIs" dxfId="12" priority="8" stopIfTrue="1" operator="equal">
      <formula>"Fail"</formula>
    </cfRule>
  </conditionalFormatting>
  <conditionalFormatting sqref="V10:V24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I25:I26 I28:P29">
    <cfRule type="cellIs" dxfId="9" priority="3" stopIfTrue="1" operator="equal">
      <formula>"Pass"</formula>
    </cfRule>
    <cfRule type="cellIs" dxfId="8" priority="4" stopIfTrue="1" operator="equal">
      <formula>"Fail"</formula>
    </cfRule>
  </conditionalFormatting>
  <conditionalFormatting sqref="V25:V30">
    <cfRule type="cellIs" dxfId="7" priority="1" stopIfTrue="1" operator="equal">
      <formula>"Fail"</formula>
    </cfRule>
    <cfRule type="cellIs" dxfId="6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U1:V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D1:K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2021-02-17T02:53:12Z</dcterms:modified>
</cp:coreProperties>
</file>