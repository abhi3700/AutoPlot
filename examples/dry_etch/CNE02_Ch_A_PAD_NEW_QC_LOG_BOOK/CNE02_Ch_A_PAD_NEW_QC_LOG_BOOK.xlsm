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94" i="4"/>
  <c r="H494"/>
  <c r="E494"/>
  <c r="N494" s="1"/>
  <c r="P1426" i="12" l="1"/>
  <c r="L1426"/>
  <c r="K1426"/>
  <c r="J1426"/>
  <c r="I1426"/>
  <c r="H1426"/>
  <c r="G1426"/>
  <c r="F1426"/>
  <c r="E1426"/>
  <c r="D1426"/>
  <c r="R1424" s="1"/>
  <c r="P1423"/>
  <c r="O1423"/>
  <c r="N1423"/>
  <c r="M1423"/>
  <c r="L1423"/>
  <c r="K1423"/>
  <c r="J1423"/>
  <c r="I1423"/>
  <c r="H1423"/>
  <c r="G1423"/>
  <c r="F1423"/>
  <c r="E1423"/>
  <c r="D1423"/>
  <c r="U1421" s="1"/>
  <c r="H479" i="4"/>
  <c r="H480"/>
  <c r="H481"/>
  <c r="H482"/>
  <c r="H483"/>
  <c r="H484"/>
  <c r="H485"/>
  <c r="H486"/>
  <c r="H487"/>
  <c r="H488"/>
  <c r="H489"/>
  <c r="H490"/>
  <c r="H491"/>
  <c r="H492"/>
  <c r="H493"/>
  <c r="K493"/>
  <c r="E493"/>
  <c r="N493" s="1"/>
  <c r="K492"/>
  <c r="E492"/>
  <c r="N492" s="1"/>
  <c r="K491"/>
  <c r="E491"/>
  <c r="N491" s="1"/>
  <c r="K490"/>
  <c r="E490"/>
  <c r="N490" s="1"/>
  <c r="K489"/>
  <c r="E489"/>
  <c r="N489" s="1"/>
  <c r="K488"/>
  <c r="E488"/>
  <c r="N488" s="1"/>
  <c r="P1420" i="12"/>
  <c r="O1420"/>
  <c r="N1420"/>
  <c r="M1420"/>
  <c r="L1420"/>
  <c r="K1420"/>
  <c r="J1420"/>
  <c r="I1420"/>
  <c r="H1420"/>
  <c r="G1420"/>
  <c r="F1420"/>
  <c r="E1420"/>
  <c r="D1420"/>
  <c r="P1417"/>
  <c r="L1417"/>
  <c r="K1417"/>
  <c r="J1417"/>
  <c r="I1417"/>
  <c r="H1417"/>
  <c r="G1417"/>
  <c r="F1417"/>
  <c r="E1417"/>
  <c r="R1415" s="1"/>
  <c r="D1417"/>
  <c r="U1415"/>
  <c r="K487" i="4"/>
  <c r="E487"/>
  <c r="N487" s="1"/>
  <c r="K486"/>
  <c r="E486"/>
  <c r="N486" s="1"/>
  <c r="P1414" i="12"/>
  <c r="O1414"/>
  <c r="N1414"/>
  <c r="M1414"/>
  <c r="L1414"/>
  <c r="K1414"/>
  <c r="J1414"/>
  <c r="I1414"/>
  <c r="H1414"/>
  <c r="G1414"/>
  <c r="F1414"/>
  <c r="E1414"/>
  <c r="D1414"/>
  <c r="P1411"/>
  <c r="L1411"/>
  <c r="K1411"/>
  <c r="J1411"/>
  <c r="I1411"/>
  <c r="H1411"/>
  <c r="G1411"/>
  <c r="F1411"/>
  <c r="E1411"/>
  <c r="D1411"/>
  <c r="K485" i="4"/>
  <c r="E485"/>
  <c r="N485" s="1"/>
  <c r="K48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R1394" s="1"/>
  <c r="D1396"/>
  <c r="P1393"/>
  <c r="L1393"/>
  <c r="K1393"/>
  <c r="J1393"/>
  <c r="I1393"/>
  <c r="H1393"/>
  <c r="G1393"/>
  <c r="F1393"/>
  <c r="E1393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D1384"/>
  <c r="R1382" s="1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Q1424" i="12" l="1"/>
  <c r="T1424" s="1"/>
  <c r="S1424"/>
  <c r="Q1421"/>
  <c r="T1421" s="1"/>
  <c r="V1421" s="1"/>
  <c r="R1421"/>
  <c r="S1421"/>
  <c r="U1424"/>
  <c r="Q1418"/>
  <c r="U1418"/>
  <c r="Q1415"/>
  <c r="T1415"/>
  <c r="S1415"/>
  <c r="S1418"/>
  <c r="R1418"/>
  <c r="Q1391"/>
  <c r="Q1397"/>
  <c r="U1382"/>
  <c r="U1385"/>
  <c r="Q1412"/>
  <c r="U1412"/>
  <c r="R1412"/>
  <c r="S1412"/>
  <c r="U1409"/>
  <c r="S1409"/>
  <c r="R1409"/>
  <c r="Q1409"/>
  <c r="S1406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Q1394"/>
  <c r="T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K1369"/>
  <c r="J1369"/>
  <c r="I1369"/>
  <c r="H1369"/>
  <c r="G1369"/>
  <c r="F1369"/>
  <c r="E1369"/>
  <c r="D1369"/>
  <c r="P1372"/>
  <c r="O1372"/>
  <c r="N1372"/>
  <c r="M1372"/>
  <c r="L1372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V1424" i="12" l="1"/>
  <c r="T1418"/>
  <c r="V1418" s="1"/>
  <c r="V1415"/>
  <c r="R1370"/>
  <c r="T1376"/>
  <c r="V1376" s="1"/>
  <c r="V1391"/>
  <c r="Q1364"/>
  <c r="Q1367"/>
  <c r="V1394"/>
  <c r="T1412"/>
  <c r="V1412" s="1"/>
  <c r="T1409"/>
  <c r="V1409" s="1"/>
  <c r="T1406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P1360"/>
  <c r="L1360"/>
  <c r="K1360"/>
  <c r="J1360"/>
  <c r="I1360"/>
  <c r="H1360"/>
  <c r="G1360"/>
  <c r="F1360"/>
  <c r="E1360"/>
  <c r="D1360"/>
  <c r="P1357"/>
  <c r="O1357"/>
  <c r="N1357"/>
  <c r="M1357"/>
  <c r="L1357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R1343" s="1"/>
  <c r="D1345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S1340" s="1"/>
  <c r="D1342"/>
  <c r="P1339"/>
  <c r="O1339"/>
  <c r="N1339"/>
  <c r="M1339"/>
  <c r="L1339"/>
  <c r="K1339"/>
  <c r="J1339"/>
  <c r="I1339"/>
  <c r="H1339"/>
  <c r="G1339"/>
  <c r="F1339"/>
  <c r="E1339"/>
  <c r="D1339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R1337" l="1"/>
  <c r="R1358"/>
  <c r="R1355"/>
  <c r="R1340"/>
  <c r="T1364"/>
  <c r="V1364" s="1"/>
  <c r="V1367"/>
  <c r="T1361"/>
  <c r="V1361" s="1"/>
  <c r="Q1358"/>
  <c r="T1358" s="1"/>
  <c r="Q1355"/>
  <c r="T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U1340"/>
  <c r="S1337"/>
  <c r="Q1337"/>
  <c r="T1337" s="1"/>
  <c r="U1331"/>
  <c r="S1331"/>
  <c r="U1334"/>
  <c r="S1334"/>
  <c r="R1331"/>
  <c r="Q1331"/>
  <c r="R1334"/>
  <c r="Q1334"/>
  <c r="V1355" l="1"/>
  <c r="T1340"/>
  <c r="V1340" s="1"/>
  <c r="V1358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301" i="12" l="1"/>
  <c r="T1319"/>
  <c r="V1319" s="1"/>
  <c r="R1289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<sst xmlns="http://schemas.openxmlformats.org/spreadsheetml/2006/main" count="3104" uniqueCount="673">
  <si>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</si>
  <si>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</si>
  <si>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</si>
  <si>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</si>
  <si>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</si>
  <si>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</si>
  <si>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</si>
  <si>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</si>
  <si>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</si>
  <si>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</si>
  <si>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</si>
  <si>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</si>
  <si>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</si>
  <si>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</si>
  <si>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</si>
  <si>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</si>
  <si>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</si>
  <si>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</si>
  <si>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</si>
  <si>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</si>
  <si>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</si>
  <si>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</si>
  <si>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</si>
  <si>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</si>
  <si>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</si>
  <si>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</si>
  <si>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</si>
  <si>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</si>
  <si>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</si>
  <si>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</si>
  <si>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</si>
  <si>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</si>
  <si>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</si>
  <si>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</si>
  <si>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</si>
  <si>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</si>
  <si>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</si>
  <si>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</si>
  <si>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</si>
  <si>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</si>
  <si>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</si>
  <si>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</si>
  <si>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</si>
  <si>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</si>
  <si>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</si>
  <si>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</si>
  <si>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</si>
  <si>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</si>
  <si>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</si>
  <si>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</si>
  <si>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</si>
  <si>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</si>
  <si>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</si>
  <si>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</si>
  <si>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</si>
  <si>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</si>
  <si>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</si>
  <si>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</si>
  <si>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</si>
  <si>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</si>
  <si>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</si>
  <si>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</si>
  <si>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</si>
  <si>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</si>
  <si>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</si>
  <si>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</si>
  <si>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</si>
  <si>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</si>
  <si>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</si>
  <si>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</si>
  <si>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</si>
  <si>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</si>
  <si>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</si>
  <si>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</si>
  <si>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</si>
  <si>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</si>
  <si>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</si>
  <si>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</si>
  <si>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</si>
  <si>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</si>
  <si>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</si>
  <si>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</si>
  <si>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</si>
  <si>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</si>
  <si>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</si>
  <si>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</si>
  <si>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</si>
  <si>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</si>
  <si>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</si>
  <si>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</si>
  <si>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</si>
  <si>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</si>
  <si>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</si>
  <si>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</si>
  <si>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</si>
  <si>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</si>
  <si>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</si>
  <si>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</si>
  <si>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</si>
  <si>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</si>
  <si>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</si>
  <si>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</si>
  <si>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</si>
  <si>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</si>
  <si>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</si>
  <si>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</si>
  <si>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</si>
  <si>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</si>
  <si>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</si>
  <si>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</si>
  <si>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</si>
  <si>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</si>
  <si>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</si>
  <si>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</si>
  <si>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</si>
  <si>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</si>
  <si>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</si>
  <si>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</si>
  <si>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</si>
  <si>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</si>
  <si>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</si>
  <si>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</si>
  <si>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</si>
  <si>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</si>
  <si>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</si>
  <si>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</si>
  <si>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</si>
  <si>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</si>
  <si>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</si>
  <si>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</si>
  <si>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</si>
  <si>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</si>
  <si>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</si>
  <si>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</si>
  <si>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</si>
  <si>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</si>
  <si>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</si>
  <si>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</si>
  <si>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</si>
  <si>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</si>
  <si>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</si>
  <si>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</si>
  <si>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</si>
  <si>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</si>
  <si>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</si>
  <si>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</si>
  <si>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</si>
  <si>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</si>
  <si>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</si>
  <si>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</si>
  <si>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</si>
  <si>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</si>
  <si>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</si>
  <si>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</si>
  <si>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</si>
  <si>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</si>
  <si>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</si>
  <si>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</si>
  <si>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</si>
  <si>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</si>
  <si>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</si>
  <si>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</si>
  <si>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</si>
  <si>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</si>
  <si>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</si>
  <si>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</si>
  <si>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</si>
  <si>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</si>
  <si>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</si>
  <si>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</si>
  <si>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</si>
  <si>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</si>
  <si>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</si>
  <si>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</si>
  <si>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</si>
  <si>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</si>
  <si>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</si>
  <si>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</si>
  <si>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</si>
  <si>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</si>
  <si>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</si>
  <si>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</si>
  <si>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</si>
  <si>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</si>
  <si>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</si>
  <si>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</si>
  <si>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</si>
  <si>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</si>
  <si>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</si>
  <si>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</si>
  <si>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</si>
  <si>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</si>
  <si>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</si>
  <si>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</si>
  <si>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</si>
  <si>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</si>
  <si>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</si>
  <si>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</si>
  <si>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</si>
  <si>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</si>
  <si>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</si>
  <si>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</si>
  <si>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</si>
  <si>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</si>
  <si>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</si>
  <si>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</si>
  <si>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</si>
  <si>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</si>
  <si>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</si>
  <si>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</si>
  <si>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</si>
  <si>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</si>
  <si>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</si>
  <si>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</si>
  <si>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</si>
  <si>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</si>
  <si>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</si>
  <si>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</si>
  <si>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</si>
  <si>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</si>
  <si>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</si>
  <si>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</si>
  <si>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</si>
  <si>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</si>
  <si>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</si>
  <si>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</si>
  <si>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</si>
  <si>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</si>
  <si>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</si>
  <si>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</si>
  <si>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</si>
  <si>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</si>
  <si>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</si>
  <si>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</si>
  <si>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</si>
  <si>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</si>
  <si>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</si>
  <si>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</si>
  <si>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</si>
  <si>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</si>
  <si>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</si>
  <si>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</si>
  <si>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</si>
  <si>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</si>
  <si>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</si>
  <si>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</si>
  <si>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</si>
  <si>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</si>
  <si>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</si>
  <si>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</si>
  <si>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</si>
  <si>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</si>
  <si>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</si>
  <si>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</si>
  <si>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</si>
  <si>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</si>
  <si>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</si>
  <si>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</si>
  <si>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</si>
  <si>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</si>
  <si>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</si>
  <si>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</si>
  <si>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</si>
  <si>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</si>
  <si>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</si>
  <si>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</si>
  <si>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</si>
  <si>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</si>
  <si>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</si>
  <si>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</si>
  <si>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</si>
  <si>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</si>
  <si>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</si>
  <si>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</si>
  <si>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</si>
  <si>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</si>
  <si>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</si>
  <si>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</si>
  <si>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</si>
  <si>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</si>
  <si>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</si>
  <si>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</si>
  <si>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</si>
  <si>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</si>
  <si>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</si>
  <si>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</si>
  <si>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</si>
  <si>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</si>
  <si>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</si>
  <si>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</si>
  <si>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</si>
  <si>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</si>
  <si>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</si>
  <si>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</si>
  <si>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</si>
  <si>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</si>
  <si>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</si>
  <si>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</si>
  <si>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</si>
  <si>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</si>
  <si>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</si>
  <si>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</si>
  <si>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</si>
  <si>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</si>
  <si>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</si>
  <si>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</si>
  <si>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</si>
  <si>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</si>
  <si>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</si>
  <si>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</si>
  <si>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</si>
  <si>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</si>
  <si>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</si>
  <si>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</si>
  <si>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</si>
  <si>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</si>
  <si>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</si>
  <si>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</si>
  <si>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</si>
  <si>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</si>
  <si>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</si>
  <si>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</si>
  <si>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</si>
  <si>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</si>
  <si>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</si>
  <si>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</si>
  <si>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</si>
  <si>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</si>
  <si>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</si>
  <si>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</si>
  <si>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</si>
  <si>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</si>
  <si>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</si>
  <si>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</si>
  <si>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</si>
  <si>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</si>
  <si>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</si>
  <si>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</si>
  <si>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</si>
  <si>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</si>
  <si>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</si>
  <si>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</si>
  <si>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</si>
  <si>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</si>
  <si>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</si>
  <si>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</si>
  <si>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</si>
  <si>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</si>
  <si>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</si>
  <si>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</si>
  <si>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</si>
  <si>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</si>
  <si>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</si>
  <si>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</si>
  <si>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</si>
  <si>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</si>
  <si>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</si>
  <si>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</si>
  <si>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</si>
  <si>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</si>
  <si>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</si>
  <si>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</si>
  <si>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</si>
  <si>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</si>
  <si>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</si>
  <si>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</si>
  <si>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</si>
  <si>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</si>
  <si>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</si>
  <si>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</si>
  <si>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</si>
  <si>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</si>
  <si>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</si>
  <si>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</si>
  <si>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</si>
  <si>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</si>
  <si>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</si>
  <si>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</si>
  <si>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</si>
  <si>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</si>
  <si>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</si>
  <si>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</si>
  <si>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</si>
  <si>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</si>
  <si>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</si>
  <si>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</si>
  <si>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</si>
  <si>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</si>
  <si>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</si>
  <si>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</si>
  <si>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</si>
  <si>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</si>
  <si>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</si>
  <si>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</si>
  <si>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</si>
  <si>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</si>
  <si>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</si>
  <si>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</si>
  <si>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</si>
  <si>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</si>
  <si>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</si>
  <si>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</si>
  <si>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</si>
  <si>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</si>
  <si>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</si>
  <si>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</si>
  <si>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</si>
  <si>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</si>
  <si>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</si>
  <si>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</si>
  <si>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</si>
  <si>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</si>
  <si>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</si>
  <si>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</si>
  <si>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</si>
  <si>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</si>
  <si>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</si>
  <si>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</si>
  <si>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</si>
  <si>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</si>
  <si>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</si>
  <si>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</si>
  <si>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</si>
  <si>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</si>
  <si>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</si>
  <si>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</si>
  <si>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</si>
  <si>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</si>
  <si>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</si>
  <si>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</si>
  <si>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</si>
  <si>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</si>
  <si>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</si>
  <si>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</si>
  <si>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</si>
  <si>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</si>
  <si>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</si>
  <si>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</si>
  <si>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</si>
  <si>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</si>
  <si>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</si>
  <si>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</si>
  <si>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</si>
  <si>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</si>
  <si>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</si>
  <si>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</si>
  <si>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</si>
  <si>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</si>
  <si>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</si>
  <si>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</si>
  <si>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</si>
  <si>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</si>
  <si>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</si>
  <si>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</si>
  <si>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</si>
  <si>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</si>
  <si>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</si>
  <si>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</si>
  <si>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</si>
  <si>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</si>
  <si>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</si>
  <si>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</si>
  <si>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</si>
  <si>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</si>
  <si>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</si>
  <si>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</si>
  <si>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</si>
  <si>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</si>
  <si>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</si>
  <si>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</si>
  <si>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</si>
  <si>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</si>
  <si>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</si>
  <si>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</si>
  <si>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</si>
  <si>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</si>
  <si>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</si>
  <si>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</si>
  <si>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</si>
  <si>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</si>
  <si>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</si>
  <si>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</si>
  <si>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</si>
  <si>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</si>
  <si>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</si>
  <si>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</si>
  <si>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</si>
  <si>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</si>
  <si>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</si>
  <si>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</si>
  <si>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</si>
  <si>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</si>
  <si>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</si>
  <si>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</si>
  <si>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</si>
  <si>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</si>
  <si>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</si>
  <si>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</si>
  <si>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</si>
  <si>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</si>
  <si>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</si>
  <si>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</si>
  <si>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</si>
  <si>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</si>
  <si>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</si>
  <si>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</si>
  <si>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</si>
  <si>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</si>
  <si>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</si>
  <si>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</si>
  <si>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</si>
  <si>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</si>
  <si>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</si>
  <si>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</si>
  <si>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</si>
  <si>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</si>
  <si>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</si>
  <si>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</si>
  <si>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</si>
  <si>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</si>
  <si>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</si>
  <si>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</si>
  <si>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</si>
  <si>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</si>
  <si>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</si>
  <si>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</si>
  <si>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</si>
  <si>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</si>
  <si>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</si>
  <si>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</si>
  <si>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</si>
  <si>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</si>
  <si>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</si>
  <si>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</si>
  <si>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</si>
  <si>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</si>
  <si>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</si>
  <si>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</si>
  <si>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</si>
  <si>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</si>
  <si>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</si>
  <si>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</si>
  <si>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</si>
  <si>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</si>
  <si>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</si>
  <si>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</si>
  <si>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</si>
  <si>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</si>
  <si>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</si>
  <si>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</si>
  <si>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</si>
  <si>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</si>
  <si>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</si>
  <si>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</si>
  <si>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</si>
  <si>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</si>
  <si>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</si>
  <si>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</si>
  <si>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</si>
  <si>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</si>
  <si>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</si>
  <si>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</si>
  <si>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</si>
  <si>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</si>
  <si>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</si>
  <si>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</si>
  <si>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</si>
  <si>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</si>
  <si>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</si>
  <si>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</si>
  <si>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</si>
  <si>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</si>
  <si>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</si>
  <si>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</si>
  <si>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</si>
  <si>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</si>
  <si>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</si>
  <si>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</si>
  <si>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</si>
  <si>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</si>
  <si>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</si>
  <si>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</si>
  <si>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</si>
  <si>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</si>
  <si>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</si>
  <si>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</si>
  <si>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</si>
  <si>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</si>
  <si>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</si>
  <si>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</si>
  <si>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</si>
  <si>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</si>
  <si>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</si>
  <si>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</si>
  <si>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</si>
  <si>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</si>
  <si>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</si>
  <si>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</si>
  <si>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</si>
  <si>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</si>
  <si>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</si>
  <si>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</si>
  <si>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</si>
  <si>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</si>
  <si>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</si>
  <si>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</si>
  <si>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</si>
  <si>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</si>
  <si>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</si>
  <si>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</si>
  <si>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</si>
  <si>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</si>
  <si>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</si>
  <si>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</si>
  <si>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</si>
  <si>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</si>
  <si>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</si>
  <si>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</si>
  <si>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</si>
  <si>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</si>
  <si>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</si>
  <si>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</si>
  <si>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</si>
  <si>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</si>
  <si>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</si>
  <si>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</si>
  <si>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</si>
  <si>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</si>
  <si>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</si>
  <si>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</si>
  <si>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</si>
  <si>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</si>
  <si>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</si>
  <si>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</si>
  <si>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</si>
  <si>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</si>
  <si>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</si>
  <si>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</si>
  <si>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</si>
  <si>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</si>
  <si>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</si>
  <si>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</si>
  <si>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</si>
  <si>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</si>
  <si>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</si>
  <si>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</si>
  <si>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</si>
  <si>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</si>
  <si>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</si>
  <si>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</si>
  <si>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</si>
  <si>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</si>
  <si>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</si>
  <si>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</si>
  <si>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</si>
  <si>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</si>
  <si>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</si>
  <si>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</si>
  <si>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</si>
  <si>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</si>
  <si>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</si>
  <si>
    <t>YEDR1(LPDN PRE-0, POST-272)</t>
  </si>
  <si>
    <t>YEDR1(LPDN PRE-1, POST-34)</t>
  </si>
  <si>
    <t>YEDR1(LPDN PRE-2, POST-)</t>
  </si>
  <si>
    <t>CPX DOWN</t>
  </si>
  <si>
    <t>YEDR1(LPDN PRE-0, POST-126)</t>
  </si>
  <si>
    <t>YEDR1(LPDN PRE-1, POST94)</t>
  </si>
  <si>
    <t>YEDR1(LPDN PRE-6, POST 566)</t>
  </si>
  <si>
    <t>YEDR1(LPDN PRE-0, POST 5)</t>
  </si>
  <si>
    <t>YEDR1(LPDN PRE-0, POST-13)</t>
  </si>
  <si>
    <t>After 12 SiN seasoning wfs</t>
  </si>
  <si>
    <t>YEDR1(LPDN PRE-0, POST-15)</t>
  </si>
  <si>
    <t>After CHAMBER PURGE FOR 2 HR AND 10 SiN seasoning wfs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</si>
</sst>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604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" xfId="0" applyFont="1" applyFill="1" applyBorder="1" applyAlignment="1">
      <alignment vertical="top" wrapText="1"/>
    </xf>
    <xf numFmtId="0" fontId="49" fillId="0" borderId="3" xfId="0" applyFont="1" applyFill="1" applyBorder="1" applyAlignment="1">
      <alignment vertical="top" wrapText="1"/>
    </xf>
    <xf numFmtId="0" fontId="0" fillId="0" borderId="0" xfId="0" applyBorder="1" applyProtection="1">
      <protection locked="0"/>
    </xf>
    <xf numFmtId="0" fontId="49" fillId="0" borderId="4" xfId="0" applyFont="1" applyFill="1" applyBorder="1" applyAlignment="1">
      <alignment vertical="top" wrapText="1"/>
    </xf>
    <xf numFmtId="0" fontId="49" fillId="0" borderId="5" xfId="0" applyFont="1" applyFill="1" applyBorder="1" applyAlignment="1">
      <alignment vertical="top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0" borderId="2" xfId="0" applyFont="1" applyFill="1" applyBorder="1"/>
    <xf numFmtId="0" fontId="1" fillId="0" borderId="3" xfId="0" applyFont="1" applyFill="1" applyBorder="1"/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 applyProtection="1">
      <alignment horizontal="center" vertical="center" wrapText="1"/>
    </xf>
    <xf numFmtId="0" fontId="14" fillId="0" borderId="9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49" fillId="0" borderId="3" xfId="0" applyFont="1" applyFill="1" applyBorder="1" applyAlignment="1">
      <alignment horizontal="center" vertical="center" wrapText="1"/>
    </xf>
    <xf numFmtId="0" fontId="49" fillId="0" borderId="26" xfId="0" applyFont="1" applyFill="1" applyBorder="1" applyAlignment="1">
      <alignment vertical="top" wrapText="1"/>
    </xf>
    <xf numFmtId="0" fontId="49" fillId="0" borderId="26" xfId="0" applyFont="1" applyFill="1" applyBorder="1" applyAlignment="1">
      <alignment horizontal="center" vertical="center" wrapText="1"/>
    </xf>
    <xf numFmtId="0" fontId="49" fillId="0" borderId="26" xfId="0" applyFont="1" applyFill="1" applyBorder="1" applyAlignment="1">
      <alignment horizontal="center" wrapText="1"/>
    </xf>
    <xf numFmtId="0" fontId="1" fillId="3" borderId="20" xfId="0" applyFont="1" applyFill="1" applyBorder="1"/>
    <xf numFmtId="0" fontId="1" fillId="3" borderId="11" xfId="0" applyFont="1" applyFill="1" applyBorder="1"/>
    <xf numFmtId="0" fontId="49" fillId="0" borderId="10" xfId="0" applyFont="1" applyFill="1" applyBorder="1" applyAlignment="1">
      <alignment horizontal="center" vertical="center"/>
    </xf>
    <xf numFmtId="0" fontId="49" fillId="0" borderId="2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9" fillId="0" borderId="5" xfId="0" applyFont="1" applyFill="1" applyBorder="1" applyAlignment="1">
      <alignment horizontal="center" vertical="center" wrapText="1"/>
    </xf>
    <xf numFmtId="0" fontId="49" fillId="0" borderId="11" xfId="0" applyFont="1" applyFill="1" applyBorder="1" applyAlignment="1">
      <alignment horizontal="center" vertical="center" wrapText="1"/>
    </xf>
    <xf numFmtId="0" fontId="49" fillId="0" borderId="11" xfId="0" applyFont="1" applyFill="1" applyBorder="1" applyAlignment="1">
      <alignment horizontal="center" vertical="center"/>
    </xf>
    <xf numFmtId="0" fontId="49" fillId="0" borderId="16" xfId="0" applyFont="1" applyFill="1" applyBorder="1" applyAlignment="1">
      <alignment horizontal="center" vertical="center" wrapText="1"/>
    </xf>
    <xf numFmtId="0" fontId="49" fillId="0" borderId="16" xfId="0" applyFont="1" applyFill="1" applyBorder="1" applyAlignment="1">
      <alignment horizontal="center" vertical="center"/>
    </xf>
    <xf numFmtId="0" fontId="49" fillId="0" borderId="58" xfId="0" applyFont="1" applyFill="1" applyBorder="1" applyAlignment="1">
      <alignment horizontal="center" vertical="center" wrapText="1"/>
    </xf>
    <xf numFmtId="0" fontId="49" fillId="0" borderId="24" xfId="0" applyFont="1" applyFill="1" applyBorder="1" applyAlignment="1">
      <alignment horizontal="center" vertical="center" wrapText="1"/>
    </xf>
    <xf numFmtId="166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14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64" t="s">
        <v>14</v>
      </c>
      <c r="B1" s="565"/>
      <c r="C1" s="565"/>
      <c r="D1" s="565"/>
      <c r="E1" s="565"/>
      <c r="F1" s="565"/>
      <c r="G1" s="566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67" t="s">
        <v>18</v>
      </c>
      <c r="G3" s="568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60"/>
      <c r="B13" s="28" t="s">
        <v>35</v>
      </c>
      <c r="C13" s="29"/>
      <c r="D13" s="28" t="s">
        <v>36</v>
      </c>
      <c r="E13" s="30"/>
      <c r="F13" s="563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61"/>
      <c r="B14" s="28" t="s">
        <v>37</v>
      </c>
      <c r="C14" s="29"/>
      <c r="D14" s="28" t="s">
        <v>36</v>
      </c>
      <c r="E14" s="30"/>
      <c r="F14" s="563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61"/>
      <c r="B15" s="28" t="s">
        <v>38</v>
      </c>
      <c r="C15" s="29"/>
      <c r="D15" s="28" t="s">
        <v>36</v>
      </c>
      <c r="E15" s="30"/>
      <c r="F15" s="563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61"/>
      <c r="B16" s="28" t="s">
        <v>39</v>
      </c>
      <c r="C16" s="29"/>
      <c r="D16" s="28" t="s">
        <v>36</v>
      </c>
      <c r="E16" s="30"/>
      <c r="F16" s="563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62"/>
      <c r="B17" s="28" t="s">
        <v>40</v>
      </c>
      <c r="C17" s="29"/>
      <c r="D17" s="28" t="s">
        <v>36</v>
      </c>
      <c r="E17" s="30"/>
      <c r="F17" s="563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60"/>
      <c r="B18" s="28" t="s">
        <v>35</v>
      </c>
      <c r="C18" s="29"/>
      <c r="D18" s="28" t="s">
        <v>36</v>
      </c>
      <c r="E18" s="30"/>
      <c r="F18" s="563"/>
      <c r="G18" s="31"/>
    </row>
    <row r="19" spans="1:20" ht="12.75" customHeight="1">
      <c r="A19" s="561"/>
      <c r="B19" s="28" t="s">
        <v>37</v>
      </c>
      <c r="C19" s="29"/>
      <c r="D19" s="28" t="s">
        <v>36</v>
      </c>
      <c r="E19" s="30"/>
      <c r="F19" s="563"/>
      <c r="G19" s="31"/>
    </row>
    <row r="20" spans="1:20" ht="12.75" customHeight="1">
      <c r="A20" s="561"/>
      <c r="B20" s="28" t="s">
        <v>38</v>
      </c>
      <c r="C20" s="29"/>
      <c r="D20" s="28" t="s">
        <v>36</v>
      </c>
      <c r="E20" s="30"/>
      <c r="F20" s="563"/>
      <c r="G20" s="31"/>
    </row>
    <row r="21" spans="1:20" ht="12.75" customHeight="1">
      <c r="A21" s="561"/>
      <c r="B21" s="28" t="s">
        <v>39</v>
      </c>
      <c r="C21" s="29"/>
      <c r="D21" s="28" t="s">
        <v>36</v>
      </c>
      <c r="E21" s="30"/>
      <c r="F21" s="563"/>
      <c r="G21" s="31"/>
    </row>
    <row r="22" spans="1:20" ht="12.75" customHeight="1">
      <c r="A22" s="562"/>
      <c r="B22" s="28" t="s">
        <v>40</v>
      </c>
      <c r="C22" s="29"/>
      <c r="D22" s="28" t="s">
        <v>36</v>
      </c>
      <c r="E22" s="30"/>
      <c r="F22" s="563"/>
      <c r="G22" s="31"/>
    </row>
    <row r="23" spans="1:20" ht="12.75" customHeight="1">
      <c r="A23" s="560"/>
      <c r="B23" s="28" t="s">
        <v>35</v>
      </c>
      <c r="C23" s="29"/>
      <c r="D23" s="28" t="s">
        <v>36</v>
      </c>
      <c r="E23" s="30"/>
      <c r="F23" s="563"/>
      <c r="G23" s="31"/>
    </row>
    <row r="24" spans="1:20" ht="12.75" customHeight="1">
      <c r="A24" s="561"/>
      <c r="B24" s="28" t="s">
        <v>37</v>
      </c>
      <c r="C24" s="29"/>
      <c r="D24" s="28" t="s">
        <v>36</v>
      </c>
      <c r="E24" s="30"/>
      <c r="F24" s="563"/>
      <c r="G24" s="31"/>
    </row>
    <row r="25" spans="1:20" ht="12.75" customHeight="1">
      <c r="A25" s="561"/>
      <c r="B25" s="28" t="s">
        <v>38</v>
      </c>
      <c r="C25" s="29"/>
      <c r="D25" s="28" t="s">
        <v>36</v>
      </c>
      <c r="E25" s="30"/>
      <c r="F25" s="563"/>
      <c r="G25" s="31"/>
    </row>
    <row r="26" spans="1:20" ht="12.75" customHeight="1">
      <c r="A26" s="561"/>
      <c r="B26" s="28" t="s">
        <v>39</v>
      </c>
      <c r="C26" s="29"/>
      <c r="D26" s="28" t="s">
        <v>36</v>
      </c>
      <c r="E26" s="30"/>
      <c r="F26" s="563"/>
      <c r="G26" s="31"/>
    </row>
    <row r="27" spans="1:20" ht="12.75" customHeight="1">
      <c r="A27" s="562"/>
      <c r="B27" s="28" t="s">
        <v>40</v>
      </c>
      <c r="C27" s="29"/>
      <c r="D27" s="28" t="s">
        <v>36</v>
      </c>
      <c r="E27" s="30"/>
      <c r="F27" s="563"/>
      <c r="G27" s="31"/>
    </row>
    <row r="28" spans="1:20" ht="12.75" customHeight="1">
      <c r="A28" s="560"/>
      <c r="B28" s="28" t="s">
        <v>35</v>
      </c>
      <c r="C28" s="29"/>
      <c r="D28" s="28" t="s">
        <v>36</v>
      </c>
      <c r="E28" s="30"/>
      <c r="F28" s="563"/>
      <c r="G28" s="31"/>
    </row>
    <row r="29" spans="1:20" ht="12.75" customHeight="1">
      <c r="A29" s="561"/>
      <c r="B29" s="28" t="s">
        <v>37</v>
      </c>
      <c r="C29" s="29"/>
      <c r="D29" s="28" t="s">
        <v>36</v>
      </c>
      <c r="E29" s="30"/>
      <c r="F29" s="563"/>
      <c r="G29" s="31"/>
    </row>
    <row r="30" spans="1:20" ht="12.75" customHeight="1">
      <c r="A30" s="561"/>
      <c r="B30" s="28" t="s">
        <v>38</v>
      </c>
      <c r="C30" s="29"/>
      <c r="D30" s="28" t="s">
        <v>36</v>
      </c>
      <c r="E30" s="30"/>
      <c r="F30" s="563"/>
      <c r="G30" s="31"/>
    </row>
    <row r="31" spans="1:20" ht="12.75" customHeight="1">
      <c r="A31" s="561"/>
      <c r="B31" s="28" t="s">
        <v>39</v>
      </c>
      <c r="C31" s="29"/>
      <c r="D31" s="28" t="s">
        <v>36</v>
      </c>
      <c r="E31" s="30"/>
      <c r="F31" s="563"/>
      <c r="G31" s="31"/>
    </row>
    <row r="32" spans="1:20" ht="12.75" customHeight="1">
      <c r="A32" s="562"/>
      <c r="B32" s="28" t="s">
        <v>40</v>
      </c>
      <c r="C32" s="29"/>
      <c r="D32" s="28" t="s">
        <v>36</v>
      </c>
      <c r="E32" s="30"/>
      <c r="F32" s="563"/>
      <c r="G32" s="31"/>
    </row>
    <row r="33" spans="1:7" ht="12.75" customHeight="1">
      <c r="A33" s="560"/>
      <c r="B33" s="28" t="s">
        <v>35</v>
      </c>
      <c r="C33" s="29"/>
      <c r="D33" s="28" t="s">
        <v>36</v>
      </c>
      <c r="E33" s="30"/>
      <c r="F33" s="563"/>
      <c r="G33" s="31"/>
    </row>
    <row r="34" spans="1:7" ht="12.75" customHeight="1">
      <c r="A34" s="561"/>
      <c r="B34" s="28" t="s">
        <v>37</v>
      </c>
      <c r="C34" s="29"/>
      <c r="D34" s="28" t="s">
        <v>36</v>
      </c>
      <c r="E34" s="30"/>
      <c r="F34" s="563"/>
      <c r="G34" s="31"/>
    </row>
    <row r="35" spans="1:7" ht="12.75" customHeight="1">
      <c r="A35" s="561"/>
      <c r="B35" s="28" t="s">
        <v>38</v>
      </c>
      <c r="C35" s="29"/>
      <c r="D35" s="28" t="s">
        <v>36</v>
      </c>
      <c r="E35" s="30"/>
      <c r="F35" s="563"/>
      <c r="G35" s="31"/>
    </row>
    <row r="36" spans="1:7" ht="12.75" customHeight="1">
      <c r="A36" s="561"/>
      <c r="B36" s="28" t="s">
        <v>39</v>
      </c>
      <c r="C36" s="29"/>
      <c r="D36" s="28" t="s">
        <v>36</v>
      </c>
      <c r="E36" s="30"/>
      <c r="F36" s="563"/>
      <c r="G36" s="31"/>
    </row>
    <row r="37" spans="1:7" ht="12.75" customHeight="1">
      <c r="A37" s="562"/>
      <c r="B37" s="28" t="s">
        <v>40</v>
      </c>
      <c r="C37" s="29"/>
      <c r="D37" s="28" t="s">
        <v>36</v>
      </c>
      <c r="E37" s="30"/>
      <c r="F37" s="563"/>
      <c r="G37" s="31"/>
    </row>
    <row r="38" spans="1:7" ht="12.75" customHeight="1">
      <c r="A38" s="560"/>
      <c r="B38" s="28" t="s">
        <v>35</v>
      </c>
      <c r="C38" s="29"/>
      <c r="D38" s="28" t="s">
        <v>36</v>
      </c>
      <c r="E38" s="30"/>
      <c r="F38" s="563"/>
      <c r="G38" s="31"/>
    </row>
    <row r="39" spans="1:7" ht="12.75" customHeight="1">
      <c r="A39" s="561"/>
      <c r="B39" s="28" t="s">
        <v>37</v>
      </c>
      <c r="C39" s="29"/>
      <c r="D39" s="28" t="s">
        <v>36</v>
      </c>
      <c r="E39" s="30"/>
      <c r="F39" s="563"/>
      <c r="G39" s="31"/>
    </row>
    <row r="40" spans="1:7" ht="12.75" customHeight="1">
      <c r="A40" s="561"/>
      <c r="B40" s="28" t="s">
        <v>38</v>
      </c>
      <c r="C40" s="29"/>
      <c r="D40" s="28" t="s">
        <v>36</v>
      </c>
      <c r="E40" s="30"/>
      <c r="F40" s="563"/>
      <c r="G40" s="31"/>
    </row>
    <row r="41" spans="1:7" ht="12.75" customHeight="1">
      <c r="A41" s="561"/>
      <c r="B41" s="28" t="s">
        <v>39</v>
      </c>
      <c r="C41" s="29"/>
      <c r="D41" s="28" t="s">
        <v>36</v>
      </c>
      <c r="E41" s="30"/>
      <c r="F41" s="563"/>
      <c r="G41" s="31"/>
    </row>
    <row r="42" spans="1:7" ht="12.75" customHeight="1">
      <c r="A42" s="562"/>
      <c r="B42" s="28" t="s">
        <v>40</v>
      </c>
      <c r="C42" s="29"/>
      <c r="D42" s="28" t="s">
        <v>36</v>
      </c>
      <c r="E42" s="30"/>
      <c r="F42" s="563"/>
      <c r="G42" s="31"/>
    </row>
    <row r="43" spans="1:7" ht="12.75" customHeight="1">
      <c r="A43" s="560"/>
      <c r="B43" s="28" t="s">
        <v>35</v>
      </c>
      <c r="C43" s="29"/>
      <c r="D43" s="28" t="s">
        <v>36</v>
      </c>
      <c r="E43" s="30"/>
      <c r="F43" s="563"/>
      <c r="G43" s="31"/>
    </row>
    <row r="44" spans="1:7" ht="12.75" customHeight="1">
      <c r="A44" s="561"/>
      <c r="B44" s="28" t="s">
        <v>37</v>
      </c>
      <c r="C44" s="29"/>
      <c r="D44" s="28" t="s">
        <v>36</v>
      </c>
      <c r="E44" s="30"/>
      <c r="F44" s="563"/>
      <c r="G44" s="31"/>
    </row>
    <row r="45" spans="1:7" ht="12.75" customHeight="1">
      <c r="A45" s="561"/>
      <c r="B45" s="28" t="s">
        <v>38</v>
      </c>
      <c r="C45" s="29"/>
      <c r="D45" s="28" t="s">
        <v>36</v>
      </c>
      <c r="E45" s="30"/>
      <c r="F45" s="563"/>
      <c r="G45" s="31"/>
    </row>
    <row r="46" spans="1:7" ht="12.75" customHeight="1">
      <c r="A46" s="561"/>
      <c r="B46" s="28" t="s">
        <v>39</v>
      </c>
      <c r="C46" s="29"/>
      <c r="D46" s="28" t="s">
        <v>36</v>
      </c>
      <c r="E46" s="30"/>
      <c r="F46" s="563"/>
      <c r="G46" s="31"/>
    </row>
    <row r="47" spans="1:7" ht="12.75" customHeight="1">
      <c r="A47" s="562"/>
      <c r="B47" s="28" t="s">
        <v>40</v>
      </c>
      <c r="C47" s="29"/>
      <c r="D47" s="28" t="s">
        <v>36</v>
      </c>
      <c r="E47" s="30"/>
      <c r="F47" s="563"/>
      <c r="G47" s="31"/>
    </row>
    <row r="48" spans="1:7" ht="12.75" customHeight="1">
      <c r="A48" s="560"/>
      <c r="B48" s="28" t="s">
        <v>35</v>
      </c>
      <c r="C48" s="29"/>
      <c r="D48" s="28" t="s">
        <v>36</v>
      </c>
      <c r="E48" s="30"/>
      <c r="F48" s="563"/>
      <c r="G48" s="31"/>
    </row>
    <row r="49" spans="1:7" ht="12.75" customHeight="1">
      <c r="A49" s="561"/>
      <c r="B49" s="28" t="s">
        <v>37</v>
      </c>
      <c r="C49" s="29"/>
      <c r="D49" s="28" t="s">
        <v>36</v>
      </c>
      <c r="E49" s="30"/>
      <c r="F49" s="563"/>
      <c r="G49" s="31"/>
    </row>
    <row r="50" spans="1:7" ht="12.75" customHeight="1">
      <c r="A50" s="561"/>
      <c r="B50" s="28" t="s">
        <v>38</v>
      </c>
      <c r="C50" s="29"/>
      <c r="D50" s="28" t="s">
        <v>36</v>
      </c>
      <c r="E50" s="30"/>
      <c r="F50" s="563"/>
      <c r="G50" s="31"/>
    </row>
    <row r="51" spans="1:7" ht="12.75" customHeight="1">
      <c r="A51" s="561"/>
      <c r="B51" s="28" t="s">
        <v>39</v>
      </c>
      <c r="C51" s="29"/>
      <c r="D51" s="28" t="s">
        <v>36</v>
      </c>
      <c r="E51" s="30"/>
      <c r="F51" s="563"/>
      <c r="G51" s="31"/>
    </row>
    <row r="52" spans="1:7" ht="12.75" customHeight="1">
      <c r="A52" s="562"/>
      <c r="B52" s="28" t="s">
        <v>40</v>
      </c>
      <c r="C52" s="29"/>
      <c r="D52" s="28" t="s">
        <v>36</v>
      </c>
      <c r="E52" s="30"/>
      <c r="F52" s="563"/>
      <c r="G52" s="31"/>
    </row>
  </sheetData>
  <mergeCells count="17"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  <mergeCell ref="A48:A52"/>
    <mergeCell ref="F48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94"/>
  <sheetViews>
    <sheetView tabSelected="1" zoomScale="85" zoomScaleNormal="85" workbookViewId="0">
      <pane ySplit="10" topLeftCell="A483" activePane="bottomLeft" state="frozen"/>
      <selection pane="bottomLeft" activeCell="Q497" sqref="Q497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6.75" style="144" customWidth="1"/>
    <col min="6" max="6" width="5.75" style="144" customWidth="1"/>
    <col min="7" max="7" width="6.25" style="144" customWidth="1"/>
    <col min="8" max="8" width="6.125" style="144" customWidth="1"/>
    <col min="9" max="9" width="4.875" style="144" customWidth="1"/>
    <col min="10" max="10" width="5.75" style="144" customWidth="1"/>
    <col min="11" max="11" width="7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69" t="s">
        <v>14</v>
      </c>
      <c r="B1" s="570"/>
      <c r="C1" s="570"/>
      <c r="D1" s="570"/>
      <c r="E1" s="570"/>
      <c r="F1" s="570"/>
      <c r="G1" s="570"/>
      <c r="H1" s="570"/>
      <c r="I1" s="570"/>
      <c r="J1" s="570"/>
      <c r="K1" s="570"/>
      <c r="L1" s="570"/>
      <c r="M1" s="570"/>
      <c r="N1" s="570"/>
      <c r="O1" s="570"/>
      <c r="P1" s="571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72" t="s">
        <v>41</v>
      </c>
      <c r="O3" s="572"/>
      <c r="P3" s="573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77" t="s">
        <v>43</v>
      </c>
      <c r="D8" s="578"/>
      <c r="E8" s="578"/>
      <c r="F8" s="578"/>
      <c r="G8" s="578"/>
      <c r="H8" s="578"/>
      <c r="I8" s="578"/>
      <c r="J8" s="578"/>
      <c r="K8" s="578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74" t="s">
        <v>601</v>
      </c>
      <c r="D9" s="575"/>
      <c r="E9" s="576"/>
      <c r="F9" s="574" t="s">
        <v>602</v>
      </c>
      <c r="G9" s="575"/>
      <c r="H9" s="576"/>
      <c r="I9" s="574" t="s">
        <v>600</v>
      </c>
      <c r="J9" s="575"/>
      <c r="K9" s="576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:H493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f t="shared" si="138"/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f t="shared" si="138"/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f t="shared" si="138"/>
        <v>12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f t="shared" si="138"/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f t="shared" si="138"/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f t="shared" si="138"/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  <row r="485" spans="1:17">
      <c r="A485" s="123">
        <v>44242</v>
      </c>
      <c r="B485" s="123" t="s">
        <v>566</v>
      </c>
      <c r="C485" s="146">
        <v>5</v>
      </c>
      <c r="D485" s="146">
        <v>483</v>
      </c>
      <c r="E485" s="154">
        <f t="shared" ref="E485" si="149">IF(((C485="")*AND(D485="")),"",D485-C485)</f>
        <v>478</v>
      </c>
      <c r="F485" s="154">
        <v>0</v>
      </c>
      <c r="G485" s="154">
        <v>90</v>
      </c>
      <c r="H485" s="154">
        <f t="shared" si="138"/>
        <v>90</v>
      </c>
      <c r="I485" s="154">
        <v>0</v>
      </c>
      <c r="J485" s="154">
        <v>34</v>
      </c>
      <c r="K485" s="154">
        <f t="shared" ref="K485" si="150">J485-I485</f>
        <v>34</v>
      </c>
      <c r="L485" s="154">
        <v>40</v>
      </c>
      <c r="M485" s="154">
        <v>40</v>
      </c>
      <c r="N485" s="155" t="str">
        <f t="shared" ref="N485" si="151">IF(E485="","",IF(E485&lt;=40,"Pass","Fail"))</f>
        <v>Fail</v>
      </c>
      <c r="O485" s="147">
        <v>102</v>
      </c>
      <c r="P485" s="517" t="s">
        <v>661</v>
      </c>
      <c r="Q485" s="123"/>
    </row>
    <row r="486" spans="1:17">
      <c r="A486" s="123">
        <v>44242</v>
      </c>
      <c r="B486" s="123" t="s">
        <v>566</v>
      </c>
      <c r="C486" s="146">
        <v>4</v>
      </c>
      <c r="D486" s="146">
        <v>110</v>
      </c>
      <c r="E486" s="154">
        <f t="shared" ref="E486" si="152">IF(((C486="")*AND(D486="")),"",D486-C486)</f>
        <v>106</v>
      </c>
      <c r="F486" s="154">
        <v>2</v>
      </c>
      <c r="G486" s="154">
        <v>25</v>
      </c>
      <c r="H486" s="154">
        <f t="shared" si="138"/>
        <v>23</v>
      </c>
      <c r="I486" s="154">
        <v>2</v>
      </c>
      <c r="J486" s="154">
        <v>16</v>
      </c>
      <c r="K486" s="154">
        <f t="shared" ref="K486" si="153">J486-I486</f>
        <v>14</v>
      </c>
      <c r="L486" s="154">
        <v>40</v>
      </c>
      <c r="M486" s="154">
        <v>40</v>
      </c>
      <c r="N486" s="155" t="str">
        <f t="shared" ref="N486" si="154">IF(E486="","",IF(E486&lt;=40,"Pass","Fail"))</f>
        <v>Fail</v>
      </c>
      <c r="O486" s="147">
        <v>102</v>
      </c>
      <c r="P486" s="518" t="s">
        <v>662</v>
      </c>
      <c r="Q486" s="123" t="s">
        <v>657</v>
      </c>
    </row>
    <row r="487" spans="1:17">
      <c r="A487" s="123">
        <v>44243</v>
      </c>
      <c r="B487" s="123" t="s">
        <v>566</v>
      </c>
      <c r="C487" s="146">
        <v>3</v>
      </c>
      <c r="D487" s="146">
        <v>25</v>
      </c>
      <c r="E487" s="154">
        <f t="shared" ref="E487:E489" si="155">IF(((C487="")*AND(D487="")),"",D487-C487)</f>
        <v>22</v>
      </c>
      <c r="F487" s="154">
        <v>1</v>
      </c>
      <c r="G487" s="154">
        <v>5</v>
      </c>
      <c r="H487" s="154">
        <f t="shared" si="138"/>
        <v>4</v>
      </c>
      <c r="I487" s="154">
        <v>0</v>
      </c>
      <c r="J487" s="154">
        <v>4</v>
      </c>
      <c r="K487" s="154">
        <f t="shared" ref="K487:K489" si="156">J487-I487</f>
        <v>4</v>
      </c>
      <c r="L487" s="154">
        <v>40</v>
      </c>
      <c r="M487" s="154">
        <v>40</v>
      </c>
      <c r="N487" s="155" t="str">
        <f t="shared" ref="N487" si="157">IF(E487="","",IF(E487&lt;=40,"Pass","Fail"))</f>
        <v>Pass</v>
      </c>
      <c r="O487" s="147">
        <v>64</v>
      </c>
      <c r="P487" s="519" t="s">
        <v>663</v>
      </c>
      <c r="Q487" s="123" t="s">
        <v>664</v>
      </c>
    </row>
    <row r="488" spans="1:17">
      <c r="A488" s="123">
        <v>44249</v>
      </c>
      <c r="B488" s="123" t="s">
        <v>566</v>
      </c>
      <c r="C488" s="146">
        <v>3</v>
      </c>
      <c r="D488" s="146">
        <v>142</v>
      </c>
      <c r="E488" s="154">
        <f t="shared" si="155"/>
        <v>139</v>
      </c>
      <c r="F488" s="154">
        <v>0</v>
      </c>
      <c r="G488" s="154">
        <v>45</v>
      </c>
      <c r="H488" s="154">
        <f t="shared" si="138"/>
        <v>45</v>
      </c>
      <c r="I488" s="154">
        <v>0</v>
      </c>
      <c r="J488" s="154">
        <v>19</v>
      </c>
      <c r="K488" s="154">
        <f t="shared" si="156"/>
        <v>19</v>
      </c>
      <c r="L488" s="154">
        <v>40</v>
      </c>
      <c r="M488" s="154">
        <v>40</v>
      </c>
      <c r="N488" s="155" t="str">
        <f t="shared" ref="N488" si="158">IF(E488="","",IF(E488&lt;=40,"Pass","Fail"))</f>
        <v>Fail</v>
      </c>
      <c r="O488" s="147">
        <v>1335</v>
      </c>
      <c r="P488" s="525" t="s">
        <v>665</v>
      </c>
      <c r="Q488" s="123" t="s">
        <v>664</v>
      </c>
    </row>
    <row r="489" spans="1:17">
      <c r="A489" s="123">
        <v>44249</v>
      </c>
      <c r="B489" s="123" t="s">
        <v>566</v>
      </c>
      <c r="C489" s="146">
        <v>5</v>
      </c>
      <c r="D489" s="146">
        <v>74</v>
      </c>
      <c r="E489" s="154">
        <f t="shared" si="155"/>
        <v>69</v>
      </c>
      <c r="F489" s="154">
        <v>1</v>
      </c>
      <c r="G489" s="154">
        <v>26</v>
      </c>
      <c r="H489" s="154">
        <f t="shared" si="138"/>
        <v>25</v>
      </c>
      <c r="I489" s="154">
        <v>1</v>
      </c>
      <c r="J489" s="154">
        <v>12</v>
      </c>
      <c r="K489" s="154">
        <f t="shared" si="156"/>
        <v>11</v>
      </c>
      <c r="L489" s="154">
        <v>40</v>
      </c>
      <c r="M489" s="154">
        <v>40</v>
      </c>
      <c r="N489" s="155" t="str">
        <f t="shared" ref="N489" si="159">IF(E489="","",IF(E489&lt;=40,"Pass","Fail"))</f>
        <v>Fail</v>
      </c>
      <c r="O489" s="147">
        <v>1335</v>
      </c>
      <c r="P489" s="525" t="s">
        <v>666</v>
      </c>
      <c r="Q489" s="123" t="s">
        <v>664</v>
      </c>
    </row>
    <row r="490" spans="1:17">
      <c r="A490" s="123">
        <v>44251</v>
      </c>
      <c r="B490" s="123" t="s">
        <v>564</v>
      </c>
      <c r="C490" s="146">
        <v>6</v>
      </c>
      <c r="D490" s="146">
        <v>71</v>
      </c>
      <c r="E490" s="154">
        <f t="shared" ref="E490" si="160">IF(((C490="")*AND(D490="")),"",D490-C490)</f>
        <v>65</v>
      </c>
      <c r="F490" s="154">
        <v>1</v>
      </c>
      <c r="G490" s="154">
        <v>10</v>
      </c>
      <c r="H490" s="154">
        <f t="shared" si="138"/>
        <v>9</v>
      </c>
      <c r="I490" s="154">
        <v>1</v>
      </c>
      <c r="J490" s="154">
        <v>6</v>
      </c>
      <c r="K490" s="154">
        <f t="shared" ref="K490" si="161">J490-I490</f>
        <v>5</v>
      </c>
      <c r="L490" s="154">
        <v>40</v>
      </c>
      <c r="M490" s="154">
        <v>40</v>
      </c>
      <c r="N490" s="155" t="str">
        <f t="shared" ref="N490" si="162">IF(E490="","",IF(E490&lt;=40,"Pass","Fail"))</f>
        <v>Fail</v>
      </c>
      <c r="O490" s="147">
        <v>1428</v>
      </c>
      <c r="P490" s="526" t="s">
        <v>667</v>
      </c>
      <c r="Q490" s="123" t="s">
        <v>664</v>
      </c>
    </row>
    <row r="491" spans="1:17">
      <c r="A491" s="123">
        <v>44256</v>
      </c>
      <c r="B491" s="123" t="s">
        <v>566</v>
      </c>
      <c r="C491" s="146">
        <v>5</v>
      </c>
      <c r="D491" s="146">
        <v>49</v>
      </c>
      <c r="E491" s="154">
        <f t="shared" ref="E491" si="163">IF(((C491="")*AND(D491="")),"",D491-C491)</f>
        <v>44</v>
      </c>
      <c r="F491" s="154">
        <v>0</v>
      </c>
      <c r="G491" s="154">
        <v>8</v>
      </c>
      <c r="H491" s="154">
        <f t="shared" si="138"/>
        <v>8</v>
      </c>
      <c r="I491" s="154">
        <v>0</v>
      </c>
      <c r="J491" s="154">
        <v>2</v>
      </c>
      <c r="K491" s="154">
        <f t="shared" ref="K491" si="164">J491-I491</f>
        <v>2</v>
      </c>
      <c r="L491" s="154">
        <v>40</v>
      </c>
      <c r="M491" s="154">
        <v>40</v>
      </c>
      <c r="N491" s="155" t="str">
        <f t="shared" ref="N491" si="165">IF(E491="","",IF(E491&lt;=40,"Pass","Fail"))</f>
        <v>Fail</v>
      </c>
      <c r="O491" s="147">
        <v>1428</v>
      </c>
      <c r="P491" s="534" t="s">
        <v>667</v>
      </c>
      <c r="Q491" s="123" t="s">
        <v>664</v>
      </c>
    </row>
    <row r="492" spans="1:17" s="1" customFormat="1" ht="14.25" customHeight="1">
      <c r="A492" s="535">
        <v>44257</v>
      </c>
      <c r="B492" s="535" t="s">
        <v>566</v>
      </c>
      <c r="C492" s="536">
        <v>1</v>
      </c>
      <c r="D492" s="536">
        <v>36</v>
      </c>
      <c r="E492" s="537">
        <f t="shared" ref="E492" si="166">IF(((C492="")*AND(D492="")),"",D492-C492)</f>
        <v>35</v>
      </c>
      <c r="F492" s="537">
        <v>0</v>
      </c>
      <c r="G492" s="537">
        <v>12</v>
      </c>
      <c r="H492" s="154">
        <f t="shared" si="138"/>
        <v>12</v>
      </c>
      <c r="I492" s="537">
        <v>0</v>
      </c>
      <c r="J492" s="537">
        <v>7</v>
      </c>
      <c r="K492" s="537">
        <f t="shared" ref="K492" si="167">J492-I492</f>
        <v>7</v>
      </c>
      <c r="L492" s="537">
        <v>40</v>
      </c>
      <c r="M492" s="537">
        <v>40</v>
      </c>
      <c r="N492" s="538" t="str">
        <f t="shared" ref="N492" si="168">IF(E492="","",IF(E492&lt;=40,"Pass","Fail"))</f>
        <v>Pass</v>
      </c>
      <c r="O492" s="539">
        <v>1428</v>
      </c>
      <c r="P492" s="540" t="s">
        <v>668</v>
      </c>
      <c r="Q492" s="535" t="s">
        <v>664</v>
      </c>
    </row>
    <row r="493" spans="1:17" s="1" customFormat="1" ht="14.25" customHeight="1">
      <c r="A493" s="535">
        <v>44267</v>
      </c>
      <c r="B493" s="535" t="s">
        <v>566</v>
      </c>
      <c r="C493" s="536">
        <v>0</v>
      </c>
      <c r="D493" s="536">
        <v>62</v>
      </c>
      <c r="E493" s="537">
        <f t="shared" ref="E493" si="169">IF(((C493="")*AND(D493="")),"",D493-C493)</f>
        <v>62</v>
      </c>
      <c r="F493" s="537">
        <v>0</v>
      </c>
      <c r="G493" s="537">
        <v>15</v>
      </c>
      <c r="H493" s="154">
        <f t="shared" si="138"/>
        <v>15</v>
      </c>
      <c r="I493" s="537">
        <v>0</v>
      </c>
      <c r="J493" s="537">
        <v>7</v>
      </c>
      <c r="K493" s="537">
        <f t="shared" ref="K493" si="170">J493-I493</f>
        <v>7</v>
      </c>
      <c r="L493" s="537">
        <v>40</v>
      </c>
      <c r="M493" s="537">
        <v>40</v>
      </c>
      <c r="N493" s="538" t="str">
        <f t="shared" ref="N493" si="171">IF(E493="","",IF(E493&lt;=40,"Pass","Fail"))</f>
        <v>Fail</v>
      </c>
      <c r="O493" s="539">
        <v>121</v>
      </c>
      <c r="P493" s="540" t="s">
        <v>669</v>
      </c>
      <c r="Q493" s="123" t="s">
        <v>670</v>
      </c>
    </row>
    <row r="494" spans="1:17" s="1" customFormat="1" ht="14.25" customHeight="1">
      <c r="A494" s="535">
        <v>44267</v>
      </c>
      <c r="B494" s="535" t="s">
        <v>564</v>
      </c>
      <c r="C494" s="536">
        <v>1</v>
      </c>
      <c r="D494" s="536">
        <v>36</v>
      </c>
      <c r="E494" s="537">
        <f t="shared" ref="E494" si="172">IF(((C494="")*AND(D494="")),"",D494-C494)</f>
        <v>35</v>
      </c>
      <c r="F494" s="537">
        <v>0</v>
      </c>
      <c r="G494" s="537">
        <v>7</v>
      </c>
      <c r="H494" s="154">
        <f t="shared" ref="H494" si="173">G494-F494</f>
        <v>7</v>
      </c>
      <c r="I494" s="537">
        <v>0</v>
      </c>
      <c r="J494" s="537">
        <v>5</v>
      </c>
      <c r="K494" s="537">
        <f t="shared" ref="K494" si="174">J494-I494</f>
        <v>5</v>
      </c>
      <c r="L494" s="537">
        <v>40</v>
      </c>
      <c r="M494" s="537">
        <v>40</v>
      </c>
      <c r="N494" s="538" t="str">
        <f t="shared" ref="N494" si="175">IF(E494="","",IF(E494&lt;=40,"Pass","Fail"))</f>
        <v>Pass</v>
      </c>
      <c r="O494" s="539">
        <v>1159</v>
      </c>
      <c r="P494" s="540" t="s">
        <v>671</v>
      </c>
      <c r="Q494" s="123" t="s">
        <v>672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140" priority="1513" stopIfTrue="1" operator="containsText" text="PASS">
      <formula>NOT(ISERROR(SEARCH("PASS",A11)))</formula>
    </cfRule>
    <cfRule type="containsText" dxfId="139" priority="1514" stopIfTrue="1" operator="containsText" text="FAIL">
      <formula>NOT(ISERROR(SEARCH("FAIL",A11)))</formula>
    </cfRule>
  </conditionalFormatting>
  <conditionalFormatting sqref="A1:B1048576">
    <cfRule type="timePeriod" dxfId="138" priority="498" timePeriod="today">
      <formula>FLOOR(A1,1)=TODAY()</formula>
    </cfRule>
  </conditionalFormatting>
  <conditionalFormatting sqref="P470">
    <cfRule type="containsText" dxfId="137" priority="113" stopIfTrue="1" operator="containsText" text="PASS">
      <formula>NOT(ISERROR(SEARCH("PASS",P470)))</formula>
    </cfRule>
    <cfRule type="containsText" dxfId="136" priority="114" stopIfTrue="1" operator="containsText" text="FAIL">
      <formula>NOT(ISERROR(SEARCH("FAIL",P470)))</formula>
    </cfRule>
  </conditionalFormatting>
  <conditionalFormatting sqref="P471">
    <cfRule type="containsText" dxfId="135" priority="111" stopIfTrue="1" operator="containsText" text="PASS">
      <formula>NOT(ISERROR(SEARCH("PASS",P471)))</formula>
    </cfRule>
    <cfRule type="containsText" dxfId="134" priority="112" stopIfTrue="1" operator="containsText" text="FAIL">
      <formula>NOT(ISERROR(SEARCH("FAIL",P471)))</formula>
    </cfRule>
  </conditionalFormatting>
  <conditionalFormatting sqref="P473">
    <cfRule type="containsText" dxfId="133" priority="109" stopIfTrue="1" operator="containsText" text="PASS">
      <formula>NOT(ISERROR(SEARCH("PASS",P473)))</formula>
    </cfRule>
    <cfRule type="containsText" dxfId="132" priority="110" stopIfTrue="1" operator="containsText" text="FAIL">
      <formula>NOT(ISERROR(SEARCH("FAIL",P473)))</formula>
    </cfRule>
  </conditionalFormatting>
  <conditionalFormatting sqref="P474">
    <cfRule type="containsText" dxfId="131" priority="107" stopIfTrue="1" operator="containsText" text="PASS">
      <formula>NOT(ISERROR(SEARCH("PASS",P474)))</formula>
    </cfRule>
    <cfRule type="containsText" dxfId="130" priority="108" stopIfTrue="1" operator="containsText" text="FAIL">
      <formula>NOT(ISERROR(SEARCH("FAIL",P474)))</formula>
    </cfRule>
  </conditionalFormatting>
  <conditionalFormatting sqref="P475">
    <cfRule type="containsText" dxfId="129" priority="105" stopIfTrue="1" operator="containsText" text="PASS">
      <formula>NOT(ISERROR(SEARCH("PASS",P475)))</formula>
    </cfRule>
    <cfRule type="containsText" dxfId="128" priority="106" stopIfTrue="1" operator="containsText" text="FAIL">
      <formula>NOT(ISERROR(SEARCH("FAIL",P475)))</formula>
    </cfRule>
  </conditionalFormatting>
  <conditionalFormatting sqref="P475">
    <cfRule type="containsText" dxfId="127" priority="103" stopIfTrue="1" operator="containsText" text="PASS">
      <formula>NOT(ISERROR(SEARCH("PASS",P475)))</formula>
    </cfRule>
    <cfRule type="containsText" dxfId="126" priority="104" stopIfTrue="1" operator="containsText" text="FAIL">
      <formula>NOT(ISERROR(SEARCH("FAIL",P475)))</formula>
    </cfRule>
  </conditionalFormatting>
  <conditionalFormatting sqref="P476">
    <cfRule type="containsText" dxfId="125" priority="101" stopIfTrue="1" operator="containsText" text="PASS">
      <formula>NOT(ISERROR(SEARCH("PASS",P476)))</formula>
    </cfRule>
    <cfRule type="containsText" dxfId="124" priority="102" stopIfTrue="1" operator="containsText" text="FAIL">
      <formula>NOT(ISERROR(SEARCH("FAIL",P476)))</formula>
    </cfRule>
  </conditionalFormatting>
  <conditionalFormatting sqref="P476">
    <cfRule type="containsText" dxfId="123" priority="99" stopIfTrue="1" operator="containsText" text="PASS">
      <formula>NOT(ISERROR(SEARCH("PASS",P476)))</formula>
    </cfRule>
    <cfRule type="containsText" dxfId="122" priority="100" stopIfTrue="1" operator="containsText" text="FAIL">
      <formula>NOT(ISERROR(SEARCH("FAIL",P476)))</formula>
    </cfRule>
  </conditionalFormatting>
  <conditionalFormatting sqref="P477">
    <cfRule type="containsText" dxfId="121" priority="97" stopIfTrue="1" operator="containsText" text="PASS">
      <formula>NOT(ISERROR(SEARCH("PASS",P477)))</formula>
    </cfRule>
    <cfRule type="containsText" dxfId="120" priority="98" stopIfTrue="1" operator="containsText" text="FAIL">
      <formula>NOT(ISERROR(SEARCH("FAIL",P477)))</formula>
    </cfRule>
  </conditionalFormatting>
  <conditionalFormatting sqref="P477">
    <cfRule type="containsText" dxfId="119" priority="95" stopIfTrue="1" operator="containsText" text="PASS">
      <formula>NOT(ISERROR(SEARCH("PASS",P477)))</formula>
    </cfRule>
    <cfRule type="containsText" dxfId="118" priority="96" stopIfTrue="1" operator="containsText" text="FAIL">
      <formula>NOT(ISERROR(SEARCH("FAIL",P477)))</formula>
    </cfRule>
  </conditionalFormatting>
  <conditionalFormatting sqref="P478">
    <cfRule type="containsText" dxfId="117" priority="93" stopIfTrue="1" operator="containsText" text="PASS">
      <formula>NOT(ISERROR(SEARCH("PASS",P478)))</formula>
    </cfRule>
    <cfRule type="containsText" dxfId="116" priority="94" stopIfTrue="1" operator="containsText" text="FAIL">
      <formula>NOT(ISERROR(SEARCH("FAIL",P478)))</formula>
    </cfRule>
  </conditionalFormatting>
  <conditionalFormatting sqref="P478">
    <cfRule type="containsText" dxfId="115" priority="91" stopIfTrue="1" operator="containsText" text="PASS">
      <formula>NOT(ISERROR(SEARCH("PASS",P478)))</formula>
    </cfRule>
    <cfRule type="containsText" dxfId="114" priority="92" stopIfTrue="1" operator="containsText" text="FAIL">
      <formula>NOT(ISERROR(SEARCH("FAIL",P478)))</formula>
    </cfRule>
  </conditionalFormatting>
  <conditionalFormatting sqref="N479:O479">
    <cfRule type="containsText" dxfId="113" priority="89" stopIfTrue="1" operator="containsText" text="PASS">
      <formula>NOT(ISERROR(SEARCH("PASS",N479)))</formula>
    </cfRule>
    <cfRule type="containsText" dxfId="112" priority="90" stopIfTrue="1" operator="containsText" text="FAIL">
      <formula>NOT(ISERROR(SEARCH("FAIL",N479)))</formula>
    </cfRule>
  </conditionalFormatting>
  <conditionalFormatting sqref="P479">
    <cfRule type="containsText" dxfId="111" priority="87" stopIfTrue="1" operator="containsText" text="PASS">
      <formula>NOT(ISERROR(SEARCH("PASS",P479)))</formula>
    </cfRule>
    <cfRule type="containsText" dxfId="110" priority="88" stopIfTrue="1" operator="containsText" text="FAIL">
      <formula>NOT(ISERROR(SEARCH("FAIL",P479)))</formula>
    </cfRule>
  </conditionalFormatting>
  <conditionalFormatting sqref="P479">
    <cfRule type="containsText" dxfId="109" priority="85" stopIfTrue="1" operator="containsText" text="PASS">
      <formula>NOT(ISERROR(SEARCH("PASS",P479)))</formula>
    </cfRule>
    <cfRule type="containsText" dxfId="108" priority="86" stopIfTrue="1" operator="containsText" text="FAIL">
      <formula>NOT(ISERROR(SEARCH("FAIL",P479)))</formula>
    </cfRule>
  </conditionalFormatting>
  <conditionalFormatting sqref="N480:O480">
    <cfRule type="containsText" dxfId="107" priority="83" stopIfTrue="1" operator="containsText" text="PASS">
      <formula>NOT(ISERROR(SEARCH("PASS",N480)))</formula>
    </cfRule>
    <cfRule type="containsText" dxfId="106" priority="84" stopIfTrue="1" operator="containsText" text="FAIL">
      <formula>NOT(ISERROR(SEARCH("FAIL",N480)))</formula>
    </cfRule>
  </conditionalFormatting>
  <conditionalFormatting sqref="P480">
    <cfRule type="containsText" dxfId="105" priority="81" stopIfTrue="1" operator="containsText" text="PASS">
      <formula>NOT(ISERROR(SEARCH("PASS",P480)))</formula>
    </cfRule>
    <cfRule type="containsText" dxfId="104" priority="82" stopIfTrue="1" operator="containsText" text="FAIL">
      <formula>NOT(ISERROR(SEARCH("FAIL",P480)))</formula>
    </cfRule>
  </conditionalFormatting>
  <conditionalFormatting sqref="P480">
    <cfRule type="containsText" dxfId="103" priority="79" stopIfTrue="1" operator="containsText" text="PASS">
      <formula>NOT(ISERROR(SEARCH("PASS",P480)))</formula>
    </cfRule>
    <cfRule type="containsText" dxfId="102" priority="80" stopIfTrue="1" operator="containsText" text="FAIL">
      <formula>NOT(ISERROR(SEARCH("FAIL",P480)))</formula>
    </cfRule>
  </conditionalFormatting>
  <conditionalFormatting sqref="N481:O481">
    <cfRule type="containsText" dxfId="101" priority="77" stopIfTrue="1" operator="containsText" text="PASS">
      <formula>NOT(ISERROR(SEARCH("PASS",N481)))</formula>
    </cfRule>
    <cfRule type="containsText" dxfId="100" priority="78" stopIfTrue="1" operator="containsText" text="FAIL">
      <formula>NOT(ISERROR(SEARCH("FAIL",N481)))</formula>
    </cfRule>
  </conditionalFormatting>
  <conditionalFormatting sqref="P481">
    <cfRule type="containsText" dxfId="99" priority="75" stopIfTrue="1" operator="containsText" text="PASS">
      <formula>NOT(ISERROR(SEARCH("PASS",P481)))</formula>
    </cfRule>
    <cfRule type="containsText" dxfId="98" priority="76" stopIfTrue="1" operator="containsText" text="FAIL">
      <formula>NOT(ISERROR(SEARCH("FAIL",P481)))</formula>
    </cfRule>
  </conditionalFormatting>
  <conditionalFormatting sqref="P481">
    <cfRule type="containsText" dxfId="97" priority="73" stopIfTrue="1" operator="containsText" text="PASS">
      <formula>NOT(ISERROR(SEARCH("PASS",P481)))</formula>
    </cfRule>
    <cfRule type="containsText" dxfId="96" priority="74" stopIfTrue="1" operator="containsText" text="FAIL">
      <formula>NOT(ISERROR(SEARCH("FAIL",P481)))</formula>
    </cfRule>
  </conditionalFormatting>
  <conditionalFormatting sqref="N482:O482">
    <cfRule type="containsText" dxfId="95" priority="71" stopIfTrue="1" operator="containsText" text="PASS">
      <formula>NOT(ISERROR(SEARCH("PASS",N482)))</formula>
    </cfRule>
    <cfRule type="containsText" dxfId="94" priority="72" stopIfTrue="1" operator="containsText" text="FAIL">
      <formula>NOT(ISERROR(SEARCH("FAIL",N482)))</formula>
    </cfRule>
  </conditionalFormatting>
  <conditionalFormatting sqref="P482">
    <cfRule type="containsText" dxfId="93" priority="69" stopIfTrue="1" operator="containsText" text="PASS">
      <formula>NOT(ISERROR(SEARCH("PASS",P482)))</formula>
    </cfRule>
    <cfRule type="containsText" dxfId="92" priority="70" stopIfTrue="1" operator="containsText" text="FAIL">
      <formula>NOT(ISERROR(SEARCH("FAIL",P482)))</formula>
    </cfRule>
  </conditionalFormatting>
  <conditionalFormatting sqref="P482">
    <cfRule type="containsText" dxfId="91" priority="67" stopIfTrue="1" operator="containsText" text="PASS">
      <formula>NOT(ISERROR(SEARCH("PASS",P482)))</formula>
    </cfRule>
    <cfRule type="containsText" dxfId="90" priority="68" stopIfTrue="1" operator="containsText" text="FAIL">
      <formula>NOT(ISERROR(SEARCH("FAIL",P482)))</formula>
    </cfRule>
  </conditionalFormatting>
  <conditionalFormatting sqref="N483:O484">
    <cfRule type="containsText" dxfId="89" priority="65" stopIfTrue="1" operator="containsText" text="PASS">
      <formula>NOT(ISERROR(SEARCH("PASS",N483)))</formula>
    </cfRule>
    <cfRule type="containsText" dxfId="88" priority="66" stopIfTrue="1" operator="containsText" text="FAIL">
      <formula>NOT(ISERROR(SEARCH("FAIL",N483)))</formula>
    </cfRule>
  </conditionalFormatting>
  <conditionalFormatting sqref="P483:P484">
    <cfRule type="containsText" dxfId="87" priority="63" stopIfTrue="1" operator="containsText" text="PASS">
      <formula>NOT(ISERROR(SEARCH("PASS",P483)))</formula>
    </cfRule>
    <cfRule type="containsText" dxfId="86" priority="64" stopIfTrue="1" operator="containsText" text="FAIL">
      <formula>NOT(ISERROR(SEARCH("FAIL",P483)))</formula>
    </cfRule>
  </conditionalFormatting>
  <conditionalFormatting sqref="P483:P484">
    <cfRule type="containsText" dxfId="85" priority="61" stopIfTrue="1" operator="containsText" text="PASS">
      <formula>NOT(ISERROR(SEARCH("PASS",P483)))</formula>
    </cfRule>
    <cfRule type="containsText" dxfId="84" priority="62" stopIfTrue="1" operator="containsText" text="FAIL">
      <formula>NOT(ISERROR(SEARCH("FAIL",P483)))</formula>
    </cfRule>
  </conditionalFormatting>
  <conditionalFormatting sqref="N485:O485">
    <cfRule type="containsText" dxfId="83" priority="59" stopIfTrue="1" operator="containsText" text="PASS">
      <formula>NOT(ISERROR(SEARCH("PASS",N485)))</formula>
    </cfRule>
    <cfRule type="containsText" dxfId="82" priority="60" stopIfTrue="1" operator="containsText" text="FAIL">
      <formula>NOT(ISERROR(SEARCH("FAIL",N485)))</formula>
    </cfRule>
  </conditionalFormatting>
  <conditionalFormatting sqref="P485">
    <cfRule type="containsText" dxfId="81" priority="57" stopIfTrue="1" operator="containsText" text="PASS">
      <formula>NOT(ISERROR(SEARCH("PASS",P485)))</formula>
    </cfRule>
    <cfRule type="containsText" dxfId="80" priority="58" stopIfTrue="1" operator="containsText" text="FAIL">
      <formula>NOT(ISERROR(SEARCH("FAIL",P485)))</formula>
    </cfRule>
  </conditionalFormatting>
  <conditionalFormatting sqref="P485">
    <cfRule type="containsText" dxfId="79" priority="55" stopIfTrue="1" operator="containsText" text="PASS">
      <formula>NOT(ISERROR(SEARCH("PASS",P485)))</formula>
    </cfRule>
    <cfRule type="containsText" dxfId="78" priority="56" stopIfTrue="1" operator="containsText" text="FAIL">
      <formula>NOT(ISERROR(SEARCH("FAIL",P485)))</formula>
    </cfRule>
  </conditionalFormatting>
  <conditionalFormatting sqref="N486:O486">
    <cfRule type="containsText" dxfId="77" priority="53" stopIfTrue="1" operator="containsText" text="PASS">
      <formula>NOT(ISERROR(SEARCH("PASS",N486)))</formula>
    </cfRule>
    <cfRule type="containsText" dxfId="76" priority="54" stopIfTrue="1" operator="containsText" text="FAIL">
      <formula>NOT(ISERROR(SEARCH("FAIL",N486)))</formula>
    </cfRule>
  </conditionalFormatting>
  <conditionalFormatting sqref="P486">
    <cfRule type="containsText" dxfId="75" priority="51" stopIfTrue="1" operator="containsText" text="PASS">
      <formula>NOT(ISERROR(SEARCH("PASS",P486)))</formula>
    </cfRule>
    <cfRule type="containsText" dxfId="74" priority="52" stopIfTrue="1" operator="containsText" text="FAIL">
      <formula>NOT(ISERROR(SEARCH("FAIL",P486)))</formula>
    </cfRule>
  </conditionalFormatting>
  <conditionalFormatting sqref="P486">
    <cfRule type="containsText" dxfId="73" priority="49" stopIfTrue="1" operator="containsText" text="PASS">
      <formula>NOT(ISERROR(SEARCH("PASS",P486)))</formula>
    </cfRule>
    <cfRule type="containsText" dxfId="72" priority="50" stopIfTrue="1" operator="containsText" text="FAIL">
      <formula>NOT(ISERROR(SEARCH("FAIL",P486)))</formula>
    </cfRule>
  </conditionalFormatting>
  <conditionalFormatting sqref="N487:O487">
    <cfRule type="containsText" dxfId="71" priority="47" stopIfTrue="1" operator="containsText" text="PASS">
      <formula>NOT(ISERROR(SEARCH("PASS",N487)))</formula>
    </cfRule>
    <cfRule type="containsText" dxfId="70" priority="48" stopIfTrue="1" operator="containsText" text="FAIL">
      <formula>NOT(ISERROR(SEARCH("FAIL",N487)))</formula>
    </cfRule>
  </conditionalFormatting>
  <conditionalFormatting sqref="P487">
    <cfRule type="containsText" dxfId="69" priority="45" stopIfTrue="1" operator="containsText" text="PASS">
      <formula>NOT(ISERROR(SEARCH("PASS",P487)))</formula>
    </cfRule>
    <cfRule type="containsText" dxfId="68" priority="46" stopIfTrue="1" operator="containsText" text="FAIL">
      <formula>NOT(ISERROR(SEARCH("FAIL",P487)))</formula>
    </cfRule>
  </conditionalFormatting>
  <conditionalFormatting sqref="P487">
    <cfRule type="containsText" dxfId="67" priority="43" stopIfTrue="1" operator="containsText" text="PASS">
      <formula>NOT(ISERROR(SEARCH("PASS",P487)))</formula>
    </cfRule>
    <cfRule type="containsText" dxfId="66" priority="44" stopIfTrue="1" operator="containsText" text="FAIL">
      <formula>NOT(ISERROR(SEARCH("FAIL",P487)))</formula>
    </cfRule>
  </conditionalFormatting>
  <conditionalFormatting sqref="N488:O488">
    <cfRule type="containsText" dxfId="65" priority="41" stopIfTrue="1" operator="containsText" text="PASS">
      <formula>NOT(ISERROR(SEARCH("PASS",N488)))</formula>
    </cfRule>
    <cfRule type="containsText" dxfId="64" priority="42" stopIfTrue="1" operator="containsText" text="FAIL">
      <formula>NOT(ISERROR(SEARCH("FAIL",N488)))</formula>
    </cfRule>
  </conditionalFormatting>
  <conditionalFormatting sqref="P488">
    <cfRule type="containsText" dxfId="63" priority="39" stopIfTrue="1" operator="containsText" text="PASS">
      <formula>NOT(ISERROR(SEARCH("PASS",P488)))</formula>
    </cfRule>
    <cfRule type="containsText" dxfId="62" priority="40" stopIfTrue="1" operator="containsText" text="FAIL">
      <formula>NOT(ISERROR(SEARCH("FAIL",P488)))</formula>
    </cfRule>
  </conditionalFormatting>
  <conditionalFormatting sqref="P488">
    <cfRule type="containsText" dxfId="61" priority="37" stopIfTrue="1" operator="containsText" text="PASS">
      <formula>NOT(ISERROR(SEARCH("PASS",P488)))</formula>
    </cfRule>
    <cfRule type="containsText" dxfId="60" priority="38" stopIfTrue="1" operator="containsText" text="FAIL">
      <formula>NOT(ISERROR(SEARCH("FAIL",P488)))</formula>
    </cfRule>
  </conditionalFormatting>
  <conditionalFormatting sqref="N489:O489">
    <cfRule type="containsText" dxfId="59" priority="35" stopIfTrue="1" operator="containsText" text="PASS">
      <formula>NOT(ISERROR(SEARCH("PASS",N489)))</formula>
    </cfRule>
    <cfRule type="containsText" dxfId="58" priority="36" stopIfTrue="1" operator="containsText" text="FAIL">
      <formula>NOT(ISERROR(SEARCH("FAIL",N489)))</formula>
    </cfRule>
  </conditionalFormatting>
  <conditionalFormatting sqref="P489">
    <cfRule type="containsText" dxfId="57" priority="33" stopIfTrue="1" operator="containsText" text="PASS">
      <formula>NOT(ISERROR(SEARCH("PASS",P489)))</formula>
    </cfRule>
    <cfRule type="containsText" dxfId="56" priority="34" stopIfTrue="1" operator="containsText" text="FAIL">
      <formula>NOT(ISERROR(SEARCH("FAIL",P489)))</formula>
    </cfRule>
  </conditionalFormatting>
  <conditionalFormatting sqref="P489">
    <cfRule type="containsText" dxfId="55" priority="31" stopIfTrue="1" operator="containsText" text="PASS">
      <formula>NOT(ISERROR(SEARCH("PASS",P489)))</formula>
    </cfRule>
    <cfRule type="containsText" dxfId="54" priority="32" stopIfTrue="1" operator="containsText" text="FAIL">
      <formula>NOT(ISERROR(SEARCH("FAIL",P489)))</formula>
    </cfRule>
  </conditionalFormatting>
  <conditionalFormatting sqref="N490:O490">
    <cfRule type="containsText" dxfId="53" priority="29" stopIfTrue="1" operator="containsText" text="PASS">
      <formula>NOT(ISERROR(SEARCH("PASS",N490)))</formula>
    </cfRule>
    <cfRule type="containsText" dxfId="52" priority="30" stopIfTrue="1" operator="containsText" text="FAIL">
      <formula>NOT(ISERROR(SEARCH("FAIL",N490)))</formula>
    </cfRule>
  </conditionalFormatting>
  <conditionalFormatting sqref="P490">
    <cfRule type="containsText" dxfId="51" priority="27" stopIfTrue="1" operator="containsText" text="PASS">
      <formula>NOT(ISERROR(SEARCH("PASS",P490)))</formula>
    </cfRule>
    <cfRule type="containsText" dxfId="50" priority="28" stopIfTrue="1" operator="containsText" text="FAIL">
      <formula>NOT(ISERROR(SEARCH("FAIL",P490)))</formula>
    </cfRule>
  </conditionalFormatting>
  <conditionalFormatting sqref="P490">
    <cfRule type="containsText" dxfId="49" priority="25" stopIfTrue="1" operator="containsText" text="PASS">
      <formula>NOT(ISERROR(SEARCH("PASS",P490)))</formula>
    </cfRule>
    <cfRule type="containsText" dxfId="48" priority="26" stopIfTrue="1" operator="containsText" text="FAIL">
      <formula>NOT(ISERROR(SEARCH("FAIL",P490)))</formula>
    </cfRule>
  </conditionalFormatting>
  <conditionalFormatting sqref="N491:O491">
    <cfRule type="containsText" dxfId="47" priority="23" stopIfTrue="1" operator="containsText" text="PASS">
      <formula>NOT(ISERROR(SEARCH("PASS",N491)))</formula>
    </cfRule>
    <cfRule type="containsText" dxfId="46" priority="24" stopIfTrue="1" operator="containsText" text="FAIL">
      <formula>NOT(ISERROR(SEARCH("FAIL",N491)))</formula>
    </cfRule>
  </conditionalFormatting>
  <conditionalFormatting sqref="P491">
    <cfRule type="containsText" dxfId="45" priority="21" stopIfTrue="1" operator="containsText" text="PASS">
      <formula>NOT(ISERROR(SEARCH("PASS",P491)))</formula>
    </cfRule>
    <cfRule type="containsText" dxfId="44" priority="22" stopIfTrue="1" operator="containsText" text="FAIL">
      <formula>NOT(ISERROR(SEARCH("FAIL",P491)))</formula>
    </cfRule>
  </conditionalFormatting>
  <conditionalFormatting sqref="P491">
    <cfRule type="containsText" dxfId="43" priority="19" stopIfTrue="1" operator="containsText" text="PASS">
      <formula>NOT(ISERROR(SEARCH("PASS",P491)))</formula>
    </cfRule>
    <cfRule type="containsText" dxfId="42" priority="20" stopIfTrue="1" operator="containsText" text="FAIL">
      <formula>NOT(ISERROR(SEARCH("FAIL",P491)))</formula>
    </cfRule>
  </conditionalFormatting>
  <conditionalFormatting sqref="N492:O492">
    <cfRule type="containsText" dxfId="41" priority="17" stopIfTrue="1" operator="containsText" text="PASS">
      <formula>NOT(ISERROR(SEARCH("PASS",N492)))</formula>
    </cfRule>
    <cfRule type="containsText" dxfId="40" priority="18" stopIfTrue="1" operator="containsText" text="FAIL">
      <formula>NOT(ISERROR(SEARCH("FAIL",N492)))</formula>
    </cfRule>
  </conditionalFormatting>
  <conditionalFormatting sqref="P492">
    <cfRule type="containsText" dxfId="39" priority="15" stopIfTrue="1" operator="containsText" text="PASS">
      <formula>NOT(ISERROR(SEARCH("PASS",P492)))</formula>
    </cfRule>
    <cfRule type="containsText" dxfId="38" priority="16" stopIfTrue="1" operator="containsText" text="FAIL">
      <formula>NOT(ISERROR(SEARCH("FAIL",P492)))</formula>
    </cfRule>
  </conditionalFormatting>
  <conditionalFormatting sqref="P492">
    <cfRule type="containsText" dxfId="37" priority="13" stopIfTrue="1" operator="containsText" text="PASS">
      <formula>NOT(ISERROR(SEARCH("PASS",P492)))</formula>
    </cfRule>
    <cfRule type="containsText" dxfId="36" priority="14" stopIfTrue="1" operator="containsText" text="FAIL">
      <formula>NOT(ISERROR(SEARCH("FAIL",P492)))</formula>
    </cfRule>
  </conditionalFormatting>
  <conditionalFormatting sqref="N493:O493">
    <cfRule type="containsText" dxfId="35" priority="11" stopIfTrue="1" operator="containsText" text="PASS">
      <formula>NOT(ISERROR(SEARCH("PASS",N493)))</formula>
    </cfRule>
    <cfRule type="containsText" dxfId="34" priority="12" stopIfTrue="1" operator="containsText" text="FAIL">
      <formula>NOT(ISERROR(SEARCH("FAIL",N493)))</formula>
    </cfRule>
  </conditionalFormatting>
  <conditionalFormatting sqref="P493">
    <cfRule type="containsText" dxfId="33" priority="9" stopIfTrue="1" operator="containsText" text="PASS">
      <formula>NOT(ISERROR(SEARCH("PASS",P493)))</formula>
    </cfRule>
    <cfRule type="containsText" dxfId="32" priority="10" stopIfTrue="1" operator="containsText" text="FAIL">
      <formula>NOT(ISERROR(SEARCH("FAIL",P493)))</formula>
    </cfRule>
  </conditionalFormatting>
  <conditionalFormatting sqref="P493">
    <cfRule type="containsText" dxfId="31" priority="7" stopIfTrue="1" operator="containsText" text="PASS">
      <formula>NOT(ISERROR(SEARCH("PASS",P493)))</formula>
    </cfRule>
    <cfRule type="containsText" dxfId="30" priority="8" stopIfTrue="1" operator="containsText" text="FAIL">
      <formula>NOT(ISERROR(SEARCH("FAIL",P493)))</formula>
    </cfRule>
  </conditionalFormatting>
  <conditionalFormatting sqref="N494:O494">
    <cfRule type="containsText" dxfId="11" priority="5" stopIfTrue="1" operator="containsText" text="PASS">
      <formula>NOT(ISERROR(SEARCH("PASS",N494)))</formula>
    </cfRule>
    <cfRule type="containsText" dxfId="10" priority="6" stopIfTrue="1" operator="containsText" text="FAIL">
      <formula>NOT(ISERROR(SEARCH("FAIL",N494)))</formula>
    </cfRule>
  </conditionalFormatting>
  <conditionalFormatting sqref="P494">
    <cfRule type="containsText" dxfId="7" priority="3" stopIfTrue="1" operator="containsText" text="PASS">
      <formula>NOT(ISERROR(SEARCH("PASS",P494)))</formula>
    </cfRule>
    <cfRule type="containsText" dxfId="6" priority="4" stopIfTrue="1" operator="containsText" text="FAIL">
      <formula>NOT(ISERROR(SEARCH("FAIL",P494)))</formula>
    </cfRule>
  </conditionalFormatting>
  <conditionalFormatting sqref="P494">
    <cfRule type="containsText" dxfId="3" priority="1" stopIfTrue="1" operator="containsText" text="PASS">
      <formula>NOT(ISERROR(SEARCH("PASS",P494)))</formula>
    </cfRule>
    <cfRule type="containsText" dxfId="2" priority="2" stopIfTrue="1" operator="containsText" text="FAIL">
      <formula>NOT(ISERROR(SEARCH("FAIL",P494)))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26"/>
  <sheetViews>
    <sheetView zoomScale="60" zoomScaleNormal="60" workbookViewId="0">
      <pane ySplit="13" topLeftCell="A1412" activePane="bottomLeft" state="frozen"/>
      <selection pane="bottomLeft" activeCell="H1428" sqref="H1428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9.625" style="39" customWidth="1"/>
    <col min="18" max="18" width="10.125" style="39" customWidth="1"/>
    <col min="19" max="19" width="11.125" style="39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81" t="s">
        <v>309</v>
      </c>
      <c r="D8" s="582"/>
      <c r="E8" s="582"/>
      <c r="F8" s="582"/>
      <c r="G8" s="582"/>
      <c r="H8" s="582"/>
      <c r="I8" s="582"/>
      <c r="J8" s="582"/>
      <c r="K8" s="582"/>
      <c r="L8" s="582"/>
      <c r="M8" s="582"/>
      <c r="N8" s="582"/>
      <c r="O8" s="582"/>
      <c r="P8" s="582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79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79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79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80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87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84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84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84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84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88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87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84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84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84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84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88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83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85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85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85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85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86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83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84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84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89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90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91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89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90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91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  <row r="1409" spans="1:31" ht="15.75">
      <c r="A1409" s="344">
        <v>44242</v>
      </c>
      <c r="B1409" s="395" t="s">
        <v>202</v>
      </c>
      <c r="C1409" s="396" t="s">
        <v>199</v>
      </c>
      <c r="D1409" s="425">
        <v>3738</v>
      </c>
      <c r="E1409" s="425">
        <v>3817</v>
      </c>
      <c r="F1409" s="425">
        <v>3870</v>
      </c>
      <c r="G1409" s="425">
        <v>3853</v>
      </c>
      <c r="H1409" s="425">
        <v>3801</v>
      </c>
      <c r="I1409" s="425">
        <v>3850</v>
      </c>
      <c r="J1409" s="425">
        <v>3868</v>
      </c>
      <c r="K1409" s="425">
        <v>3771</v>
      </c>
      <c r="L1409" s="425">
        <v>3747</v>
      </c>
      <c r="M1409" s="398"/>
      <c r="N1409" s="398"/>
      <c r="O1409" s="398"/>
      <c r="P1409" s="398"/>
      <c r="Q1409" s="395">
        <f>IF((L1410=""),"",MAX(D1411:L1411))</f>
        <v>6374.3099999999995</v>
      </c>
      <c r="R1409" s="395">
        <f>IF(L1410="","",MIN(D1411:L1411))</f>
        <v>6019.53</v>
      </c>
      <c r="S1409" s="399">
        <f>IF((L1411=""),"",AVERAGE(D1411:L1411))</f>
        <v>6237.4333333333316</v>
      </c>
      <c r="T1409" s="400">
        <f>IF((L1410=""),"",(Q1409-R1409)/(Q1409+R1409)*100)</f>
        <v>2.8625510737592204</v>
      </c>
      <c r="U1409" s="395">
        <f>STDEV(D1411:P1411)</f>
        <v>131.18207537623678</v>
      </c>
      <c r="V1409" s="401" t="str">
        <f>IF(L1410="","",IF(T1409&lt;9.8,IF(S1409&gt;5100,IF(S1409&lt;8300,"Pass","Fail"),"Fail"),"Fail"))</f>
        <v>Pass</v>
      </c>
      <c r="W1409" s="466">
        <v>102</v>
      </c>
      <c r="X1409" s="475"/>
      <c r="Y1409" s="268"/>
      <c r="Z1409" s="267">
        <v>4955</v>
      </c>
      <c r="AA1409" s="267">
        <v>9645</v>
      </c>
      <c r="AB1409" s="267">
        <v>5100</v>
      </c>
      <c r="AC1409" s="267">
        <v>8300</v>
      </c>
      <c r="AD1409" s="305">
        <v>10</v>
      </c>
      <c r="AE1409" s="305">
        <v>9.8000000000000007</v>
      </c>
    </row>
    <row r="1410" spans="1:31" ht="15.75">
      <c r="A1410" s="390"/>
      <c r="B1410" s="404"/>
      <c r="C1410" s="405" t="s">
        <v>198</v>
      </c>
      <c r="D1410" s="425">
        <v>1731.49</v>
      </c>
      <c r="E1410" s="425">
        <v>1736.34</v>
      </c>
      <c r="F1410" s="425">
        <v>1745.23</v>
      </c>
      <c r="G1410" s="425">
        <v>1738.15</v>
      </c>
      <c r="H1410" s="425">
        <v>1721.05</v>
      </c>
      <c r="I1410" s="425">
        <v>1738.69</v>
      </c>
      <c r="J1410" s="425">
        <v>1745.73</v>
      </c>
      <c r="K1410" s="425">
        <v>1730.41</v>
      </c>
      <c r="L1410" s="425">
        <v>1715.61</v>
      </c>
      <c r="M1410" s="406"/>
      <c r="N1410" s="406"/>
      <c r="O1410" s="406"/>
      <c r="P1410" s="406"/>
      <c r="Q1410" s="404"/>
      <c r="R1410" s="404"/>
      <c r="S1410" s="404"/>
      <c r="T1410" s="404"/>
      <c r="U1410" s="404"/>
      <c r="V1410" s="407"/>
      <c r="W1410" s="404"/>
      <c r="X1410" s="484"/>
      <c r="Y1410" s="268"/>
      <c r="Z1410" s="267"/>
      <c r="AA1410" s="267"/>
      <c r="AB1410" s="267"/>
      <c r="AC1410" s="267"/>
      <c r="AD1410" s="268"/>
      <c r="AE1410" s="269"/>
    </row>
    <row r="1411" spans="1:31" ht="43.5" thickBot="1">
      <c r="A1411" s="390"/>
      <c r="B1411" s="404"/>
      <c r="C1411" s="409" t="s">
        <v>637</v>
      </c>
      <c r="D1411" s="507">
        <f t="shared" ref="D1411:L1411" si="466">IF(((D1409="")*AND(D1410="")),"",(D1409-D1410)*3)</f>
        <v>6019.53</v>
      </c>
      <c r="E1411" s="507">
        <f t="shared" si="466"/>
        <v>6241.98</v>
      </c>
      <c r="F1411" s="507">
        <f t="shared" si="466"/>
        <v>6374.3099999999995</v>
      </c>
      <c r="G1411" s="507">
        <f t="shared" si="466"/>
        <v>6344.5499999999993</v>
      </c>
      <c r="H1411" s="507">
        <f>IF(((H1409="")*AND(H1410="")),"",(H1409-H1410)*3)</f>
        <v>6239.8499999999995</v>
      </c>
      <c r="I1411" s="507">
        <f t="shared" si="466"/>
        <v>6333.93</v>
      </c>
      <c r="J1411" s="507">
        <f>IF(((J1409="")*AND(J1410="")),"",(J1409-J1410)*3)</f>
        <v>6366.8099999999995</v>
      </c>
      <c r="K1411" s="507">
        <f t="shared" si="466"/>
        <v>6121.7699999999995</v>
      </c>
      <c r="L1411" s="507">
        <f t="shared" si="466"/>
        <v>6094.17</v>
      </c>
      <c r="M1411" s="410"/>
      <c r="N1411" s="410"/>
      <c r="O1411" s="410"/>
      <c r="P1411" s="410" t="str">
        <f>IF(((P1409="")*AND(P1410="")),"",(P1409-P1410)*2)</f>
        <v/>
      </c>
      <c r="Q1411" s="404"/>
      <c r="R1411" s="404"/>
      <c r="S1411" s="404"/>
      <c r="T1411" s="404"/>
      <c r="U1411" s="404"/>
      <c r="V1411" s="407"/>
      <c r="W1411" s="404"/>
      <c r="X1411" s="417"/>
      <c r="Y1411" s="268"/>
      <c r="Z1411" s="267"/>
      <c r="AA1411" s="267"/>
      <c r="AB1411" s="267"/>
      <c r="AC1411" s="267"/>
      <c r="AD1411" s="268"/>
      <c r="AE1411" s="269"/>
    </row>
    <row r="1412" spans="1:31" ht="15.75">
      <c r="A1412" s="344">
        <v>44242</v>
      </c>
      <c r="B1412" s="409" t="s">
        <v>200</v>
      </c>
      <c r="C1412" s="520" t="s">
        <v>199</v>
      </c>
      <c r="D1412" s="522">
        <v>3963.68</v>
      </c>
      <c r="E1412" s="522">
        <v>4091.53</v>
      </c>
      <c r="F1412" s="522">
        <v>3932.66</v>
      </c>
      <c r="G1412" s="522">
        <v>3997.42</v>
      </c>
      <c r="H1412" s="522">
        <v>4227.3599999999997</v>
      </c>
      <c r="I1412" s="522">
        <v>4158.1899999999996</v>
      </c>
      <c r="J1412" s="522">
        <v>4112.42</v>
      </c>
      <c r="K1412" s="522">
        <v>4103.6000000000004</v>
      </c>
      <c r="L1412" s="522">
        <v>4015.03</v>
      </c>
      <c r="M1412" s="406">
        <v>4183.1400000000003</v>
      </c>
      <c r="N1412" s="406">
        <v>4338.7299999999996</v>
      </c>
      <c r="O1412" s="406">
        <v>4100.24</v>
      </c>
      <c r="P1412" s="406">
        <v>4299.05</v>
      </c>
      <c r="Q1412" s="521">
        <f>IF((L1413=""),"",MAX(D1414:P1414))</f>
        <v>5713.82</v>
      </c>
      <c r="R1412" s="409">
        <f>IF(L1413="","",MIN(D1414:L1414))</f>
        <v>5570.58</v>
      </c>
      <c r="S1412" s="400">
        <f>IF((P1414=""),"",AVERAGE(D1414:P1414))</f>
        <v>5643.543076923077</v>
      </c>
      <c r="T1412" s="412">
        <f>IF((L1413=""),"",(Q1412-R1412)/(Q1412+R1412)*100)</f>
        <v>1.2693630144269945</v>
      </c>
      <c r="U1412" s="409">
        <f>STDEV(D1414:P1414)</f>
        <v>45.25917648839372</v>
      </c>
      <c r="V1412" s="413" t="str">
        <f>IF(P1413="","",IF(T1412&lt;2.7,IF(S1412&gt;5130,IF(S1412&lt;5770,"Pass","Fail"),"Fail"),"Fail"))</f>
        <v>Pass</v>
      </c>
      <c r="W1412" s="463">
        <v>102</v>
      </c>
      <c r="X1412" s="475"/>
      <c r="Y1412" s="268"/>
      <c r="Z1412" s="321">
        <v>4470</v>
      </c>
      <c r="AA1412" s="321">
        <v>6020</v>
      </c>
      <c r="AB1412" s="321">
        <v>5130</v>
      </c>
      <c r="AC1412" s="321">
        <v>5775</v>
      </c>
      <c r="AD1412" s="305">
        <v>10</v>
      </c>
      <c r="AE1412" s="322">
        <v>2.7</v>
      </c>
    </row>
    <row r="1413" spans="1:31" ht="15.75">
      <c r="A1413" s="390"/>
      <c r="B1413" s="404"/>
      <c r="C1413" s="523" t="s">
        <v>198</v>
      </c>
      <c r="D1413" s="522">
        <v>1178.3900000000001</v>
      </c>
      <c r="E1413" s="522">
        <v>1288.6500000000001</v>
      </c>
      <c r="F1413" s="522">
        <v>1141.22</v>
      </c>
      <c r="G1413" s="522">
        <v>1183.3800000000001</v>
      </c>
      <c r="H1413" s="522">
        <v>1402.69</v>
      </c>
      <c r="I1413" s="522">
        <v>1301.28</v>
      </c>
      <c r="J1413" s="522">
        <v>1288.6199999999999</v>
      </c>
      <c r="K1413" s="522">
        <v>1277.54</v>
      </c>
      <c r="L1413" s="522">
        <v>1215.42</v>
      </c>
      <c r="M1413" s="522">
        <v>1354.64</v>
      </c>
      <c r="N1413" s="522">
        <v>1486.87</v>
      </c>
      <c r="O1413" s="522">
        <v>1270.68</v>
      </c>
      <c r="P1413" s="522">
        <v>1450.64</v>
      </c>
      <c r="Q1413" s="524"/>
      <c r="R1413" s="404"/>
      <c r="S1413" s="404"/>
      <c r="T1413" s="404"/>
      <c r="U1413" s="404"/>
      <c r="V1413" s="407"/>
      <c r="W1413" s="404"/>
      <c r="X1413" s="484"/>
      <c r="Y1413" s="268"/>
      <c r="Z1413" s="267"/>
      <c r="AA1413" s="267"/>
      <c r="AB1413" s="267"/>
      <c r="AC1413" s="267"/>
      <c r="AD1413" s="268"/>
      <c r="AE1413" s="269"/>
    </row>
    <row r="1414" spans="1:31" ht="43.5" thickBot="1">
      <c r="A1414" s="393"/>
      <c r="B1414" s="414"/>
      <c r="C1414" s="414" t="s">
        <v>637</v>
      </c>
      <c r="D1414" s="415">
        <f t="shared" ref="D1414:P1414" si="467">IF(((D1412="")*AND(D1413="")),"",(D1412-D1413)*2)</f>
        <v>5570.58</v>
      </c>
      <c r="E1414" s="415">
        <f t="shared" si="467"/>
        <v>5605.76</v>
      </c>
      <c r="F1414" s="415">
        <f t="shared" si="467"/>
        <v>5582.8799999999992</v>
      </c>
      <c r="G1414" s="415">
        <f t="shared" si="467"/>
        <v>5628.08</v>
      </c>
      <c r="H1414" s="415">
        <f t="shared" si="467"/>
        <v>5649.3399999999992</v>
      </c>
      <c r="I1414" s="415">
        <f t="shared" si="467"/>
        <v>5713.82</v>
      </c>
      <c r="J1414" s="415">
        <f t="shared" si="467"/>
        <v>5647.6</v>
      </c>
      <c r="K1414" s="415">
        <f t="shared" si="467"/>
        <v>5652.1200000000008</v>
      </c>
      <c r="L1414" s="415">
        <f t="shared" si="467"/>
        <v>5599.22</v>
      </c>
      <c r="M1414" s="415">
        <f t="shared" si="467"/>
        <v>5657</v>
      </c>
      <c r="N1414" s="415">
        <f t="shared" si="467"/>
        <v>5703.7199999999993</v>
      </c>
      <c r="O1414" s="415">
        <f t="shared" si="467"/>
        <v>5659.119999999999</v>
      </c>
      <c r="P1414" s="415">
        <f t="shared" si="467"/>
        <v>5696.82</v>
      </c>
      <c r="Q1414" s="414"/>
      <c r="R1414" s="414"/>
      <c r="S1414" s="414"/>
      <c r="T1414" s="414"/>
      <c r="U1414" s="414"/>
      <c r="V1414" s="416"/>
      <c r="W1414" s="414"/>
      <c r="X1414" s="417"/>
      <c r="Y1414" s="268"/>
      <c r="Z1414" s="267"/>
      <c r="AA1414" s="267"/>
      <c r="AB1414" s="267"/>
      <c r="AC1414" s="267"/>
      <c r="AD1414" s="268"/>
      <c r="AE1414" s="269"/>
    </row>
    <row r="1415" spans="1:31" ht="15.75">
      <c r="A1415" s="344">
        <v>44249</v>
      </c>
      <c r="B1415" s="395" t="s">
        <v>202</v>
      </c>
      <c r="C1415" s="396" t="s">
        <v>199</v>
      </c>
      <c r="D1415">
        <v>5903.26</v>
      </c>
      <c r="E1415">
        <v>6026.26</v>
      </c>
      <c r="F1415">
        <v>6086.83</v>
      </c>
      <c r="G1415">
        <v>6058.01</v>
      </c>
      <c r="H1415">
        <v>6020.79</v>
      </c>
      <c r="I1415">
        <v>5882.34</v>
      </c>
      <c r="J1415">
        <v>6063.61</v>
      </c>
      <c r="K1415">
        <v>6088.63</v>
      </c>
      <c r="L1415">
        <v>5980.26</v>
      </c>
      <c r="M1415" s="398"/>
      <c r="N1415" s="398"/>
      <c r="O1415" s="398"/>
      <c r="P1415" s="398"/>
      <c r="Q1415" s="395">
        <f>IF((L1416=""),"",MAX(D1417:L1417))</f>
        <v>6544.1100000000006</v>
      </c>
      <c r="R1415" s="395">
        <f>IF(L1416="","",MIN(D1417:L1417))</f>
        <v>6358.6800000000012</v>
      </c>
      <c r="S1415" s="399">
        <f>IF((L1417=""),"",AVERAGE(D1417:L1417))</f>
        <v>6467.963333333334</v>
      </c>
      <c r="T1415" s="400">
        <f>IF((L1416=""),"",(Q1415-R1415)/(Q1415+R1415)*100)</f>
        <v>1.4371310391008407</v>
      </c>
      <c r="U1415" s="395">
        <f>STDEV(D1417:P1417)</f>
        <v>65.907906961164215</v>
      </c>
      <c r="V1415" s="401" t="str">
        <f>IF(L1416="","",IF(T1415&lt;9.8,IF(S1415&gt;5100,IF(S1415&lt;8300,"Pass","Fail"),"Fail"),"Fail"))</f>
        <v>Pass</v>
      </c>
      <c r="W1415" s="466" t="s">
        <v>233</v>
      </c>
      <c r="X1415" s="475"/>
      <c r="Y1415" s="268"/>
      <c r="Z1415" s="267">
        <v>4955</v>
      </c>
      <c r="AA1415" s="267">
        <v>9645</v>
      </c>
      <c r="AB1415" s="267">
        <v>5100</v>
      </c>
      <c r="AC1415" s="267">
        <v>8300</v>
      </c>
      <c r="AD1415" s="305">
        <v>10</v>
      </c>
      <c r="AE1415" s="305">
        <v>9.8000000000000007</v>
      </c>
    </row>
    <row r="1416" spans="1:31" ht="15.75">
      <c r="A1416" s="390"/>
      <c r="B1416" s="404"/>
      <c r="C1416" s="405" t="s">
        <v>198</v>
      </c>
      <c r="D1416">
        <v>3783.7</v>
      </c>
      <c r="E1416">
        <v>3879.22</v>
      </c>
      <c r="F1416">
        <v>3930.85</v>
      </c>
      <c r="G1416">
        <v>3877.8</v>
      </c>
      <c r="H1416">
        <v>3842.9</v>
      </c>
      <c r="I1416">
        <v>3700.97</v>
      </c>
      <c r="J1416">
        <v>3902.4</v>
      </c>
      <c r="K1416">
        <v>3937.71</v>
      </c>
      <c r="L1416">
        <v>3850.55</v>
      </c>
      <c r="M1416" s="406"/>
      <c r="N1416" s="406"/>
      <c r="O1416" s="406"/>
      <c r="P1416" s="406"/>
      <c r="Q1416" s="404"/>
      <c r="R1416" s="404"/>
      <c r="S1416" s="404"/>
      <c r="T1416" s="404"/>
      <c r="U1416" s="404"/>
      <c r="V1416" s="407"/>
      <c r="W1416" s="404"/>
      <c r="X1416" s="484"/>
      <c r="Y1416" s="268"/>
      <c r="Z1416" s="267"/>
      <c r="AA1416" s="267"/>
      <c r="AB1416" s="267"/>
      <c r="AC1416" s="267"/>
      <c r="AD1416" s="268"/>
      <c r="AE1416" s="269"/>
    </row>
    <row r="1417" spans="1:31" ht="43.5" thickBot="1">
      <c r="A1417" s="390"/>
      <c r="B1417" s="404"/>
      <c r="C1417" s="409" t="s">
        <v>637</v>
      </c>
      <c r="D1417" s="507">
        <f t="shared" ref="D1417:G1417" si="468">IF(((D1415="")*AND(D1416="")),"",(D1415-D1416)*3)</f>
        <v>6358.6800000000012</v>
      </c>
      <c r="E1417" s="507">
        <f t="shared" si="468"/>
        <v>6441.1200000000008</v>
      </c>
      <c r="F1417" s="507">
        <f t="shared" si="468"/>
        <v>6467.9400000000005</v>
      </c>
      <c r="G1417" s="507">
        <f t="shared" si="468"/>
        <v>6540.63</v>
      </c>
      <c r="H1417" s="507">
        <f>IF(((H1415="")*AND(H1416="")),"",(H1415-H1416)*3)</f>
        <v>6533.67</v>
      </c>
      <c r="I1417" s="507">
        <f t="shared" ref="I1417" si="469">IF(((I1415="")*AND(I1416="")),"",(I1415-I1416)*3)</f>
        <v>6544.1100000000006</v>
      </c>
      <c r="J1417" s="507">
        <f>IF(((J1415="")*AND(J1416="")),"",(J1415-J1416)*3)</f>
        <v>6483.6299999999992</v>
      </c>
      <c r="K1417" s="507">
        <f t="shared" ref="K1417:L1417" si="470">IF(((K1415="")*AND(K1416="")),"",(K1415-K1416)*3)</f>
        <v>6452.76</v>
      </c>
      <c r="L1417" s="507">
        <f t="shared" si="470"/>
        <v>6389.13</v>
      </c>
      <c r="M1417" s="410"/>
      <c r="N1417" s="410"/>
      <c r="O1417" s="410"/>
      <c r="P1417" s="410" t="str">
        <f>IF(((P1415="")*AND(P1416="")),"",(P1415-P1416)*2)</f>
        <v/>
      </c>
      <c r="Q1417" s="404"/>
      <c r="R1417" s="404"/>
      <c r="S1417" s="404"/>
      <c r="T1417" s="404"/>
      <c r="U1417" s="404"/>
      <c r="V1417" s="407"/>
      <c r="W1417" s="404"/>
      <c r="X1417" s="417"/>
      <c r="Y1417" s="268"/>
      <c r="Z1417" s="267"/>
      <c r="AA1417" s="267"/>
      <c r="AB1417" s="267"/>
      <c r="AC1417" s="267"/>
      <c r="AD1417" s="268"/>
      <c r="AE1417" s="269"/>
    </row>
    <row r="1418" spans="1:31" ht="15.75">
      <c r="A1418" s="344">
        <v>44249</v>
      </c>
      <c r="B1418" s="409" t="s">
        <v>200</v>
      </c>
      <c r="C1418" s="520" t="s">
        <v>199</v>
      </c>
      <c r="D1418" s="527">
        <v>7155.75</v>
      </c>
      <c r="E1418" s="528">
        <v>7229.32</v>
      </c>
      <c r="F1418" s="528">
        <v>7128.74</v>
      </c>
      <c r="G1418" s="528">
        <v>7147.01</v>
      </c>
      <c r="H1418" s="528">
        <v>7231.11</v>
      </c>
      <c r="I1418" s="528">
        <v>7234.17</v>
      </c>
      <c r="J1418" s="528">
        <v>7226</v>
      </c>
      <c r="K1418" s="528">
        <v>7246.14</v>
      </c>
      <c r="L1418" s="528">
        <v>7194.09</v>
      </c>
      <c r="M1418" s="532">
        <v>7262.7</v>
      </c>
      <c r="N1418" s="532">
        <v>7321</v>
      </c>
      <c r="O1418" s="532">
        <v>7228.6</v>
      </c>
      <c r="P1418" s="533">
        <v>7286.17</v>
      </c>
      <c r="Q1418" s="541">
        <f>IF((L1419=""),"",MAX(D1420:P1420))</f>
        <v>5484.0400000000009</v>
      </c>
      <c r="R1418" s="507">
        <f>IF(L1419="","",MIN(D1420:L1420))</f>
        <v>5372.0400000000009</v>
      </c>
      <c r="S1418" s="400">
        <f>IF((P1420=""),"",AVERAGE(D1420:P1420))</f>
        <v>5431.624615384615</v>
      </c>
      <c r="T1418" s="412">
        <f>IF((L1419=""),"",(Q1418-R1418)/(Q1418+R1418)*100)</f>
        <v>1.0316799434049859</v>
      </c>
      <c r="U1418" s="507">
        <f>STDEV(D1420:P1420)</f>
        <v>37.455068329891056</v>
      </c>
      <c r="V1418" s="547" t="str">
        <f>IF(P1419="","",IF(T1418&lt;2.7,IF(S1418&gt;5130,IF(S1418&lt;5770,"Pass","Fail"),"Fail"),"Fail"))</f>
        <v>Pass</v>
      </c>
      <c r="W1418" s="548" t="s">
        <v>233</v>
      </c>
      <c r="X1418" s="549"/>
      <c r="Y1418" s="268"/>
      <c r="Z1418" s="321">
        <v>4470</v>
      </c>
      <c r="AA1418" s="321">
        <v>6020</v>
      </c>
      <c r="AB1418" s="321">
        <v>5130</v>
      </c>
      <c r="AC1418" s="321">
        <v>5775</v>
      </c>
      <c r="AD1418" s="305">
        <v>10</v>
      </c>
      <c r="AE1418" s="322">
        <v>2.7</v>
      </c>
    </row>
    <row r="1419" spans="1:31" ht="15.75">
      <c r="A1419" s="390"/>
      <c r="B1419" s="404"/>
      <c r="C1419" s="523" t="s">
        <v>198</v>
      </c>
      <c r="D1419" s="529">
        <v>4469.7299999999996</v>
      </c>
      <c r="E1419" s="530">
        <v>4533.26</v>
      </c>
      <c r="F1419" s="530">
        <v>4435.46</v>
      </c>
      <c r="G1419" s="530">
        <v>4425.62</v>
      </c>
      <c r="H1419" s="530">
        <v>4531.83</v>
      </c>
      <c r="I1419" s="530">
        <v>4492.1499999999996</v>
      </c>
      <c r="J1419" s="530">
        <v>4495</v>
      </c>
      <c r="K1419" s="530">
        <v>4516.2700000000004</v>
      </c>
      <c r="L1419" s="530">
        <v>4494.43</v>
      </c>
      <c r="M1419" s="530">
        <v>4522.1400000000003</v>
      </c>
      <c r="N1419" s="530">
        <v>4601.41</v>
      </c>
      <c r="O1419" s="530">
        <v>4505.6499999999996</v>
      </c>
      <c r="P1419" s="531">
        <v>4562.29</v>
      </c>
      <c r="Q1419" s="550"/>
      <c r="R1419" s="551"/>
      <c r="S1419" s="551"/>
      <c r="T1419" s="551"/>
      <c r="U1419" s="551"/>
      <c r="V1419" s="552"/>
      <c r="W1419" s="551"/>
      <c r="X1419" s="408"/>
      <c r="Y1419" s="268"/>
      <c r="Z1419" s="267"/>
      <c r="AA1419" s="267"/>
      <c r="AB1419" s="267"/>
      <c r="AC1419" s="267"/>
      <c r="AD1419" s="268"/>
      <c r="AE1419" s="269"/>
    </row>
    <row r="1420" spans="1:31" ht="43.5" thickBot="1">
      <c r="A1420" s="393"/>
      <c r="B1420" s="414"/>
      <c r="C1420" s="414" t="s">
        <v>637</v>
      </c>
      <c r="D1420" s="415">
        <f t="shared" ref="D1420:P1420" si="471">IF(((D1418="")*AND(D1419="")),"",(D1418-D1419)*2)</f>
        <v>5372.0400000000009</v>
      </c>
      <c r="E1420" s="415">
        <f t="shared" si="471"/>
        <v>5392.119999999999</v>
      </c>
      <c r="F1420" s="415">
        <f t="shared" si="471"/>
        <v>5386.5599999999995</v>
      </c>
      <c r="G1420" s="415">
        <f t="shared" si="471"/>
        <v>5442.7800000000007</v>
      </c>
      <c r="H1420" s="415">
        <f t="shared" si="471"/>
        <v>5398.5599999999995</v>
      </c>
      <c r="I1420" s="415">
        <f t="shared" si="471"/>
        <v>5484.0400000000009</v>
      </c>
      <c r="J1420" s="415">
        <f t="shared" si="471"/>
        <v>5462</v>
      </c>
      <c r="K1420" s="415">
        <f t="shared" si="471"/>
        <v>5459.74</v>
      </c>
      <c r="L1420" s="415">
        <f t="shared" si="471"/>
        <v>5399.32</v>
      </c>
      <c r="M1420" s="415">
        <f t="shared" si="471"/>
        <v>5481.119999999999</v>
      </c>
      <c r="N1420" s="415">
        <f t="shared" si="471"/>
        <v>5439.18</v>
      </c>
      <c r="O1420" s="415">
        <f t="shared" si="471"/>
        <v>5445.9000000000015</v>
      </c>
      <c r="P1420" s="415">
        <f t="shared" si="471"/>
        <v>5447.76</v>
      </c>
      <c r="Q1420" s="553"/>
      <c r="R1420" s="553"/>
      <c r="S1420" s="553"/>
      <c r="T1420" s="553"/>
      <c r="U1420" s="553"/>
      <c r="V1420" s="554"/>
      <c r="W1420" s="553"/>
      <c r="X1420" s="417"/>
      <c r="Y1420" s="268"/>
      <c r="Z1420" s="267"/>
      <c r="AA1420" s="267"/>
      <c r="AB1420" s="267"/>
      <c r="AC1420" s="267"/>
      <c r="AD1420" s="268"/>
      <c r="AE1420" s="269"/>
    </row>
    <row r="1421" spans="1:31" ht="15.75">
      <c r="A1421" s="344">
        <v>44267</v>
      </c>
      <c r="B1421" s="409" t="s">
        <v>200</v>
      </c>
      <c r="C1421" s="395" t="s">
        <v>199</v>
      </c>
      <c r="D1421">
        <v>6673.93</v>
      </c>
      <c r="E1421">
        <v>6781.4</v>
      </c>
      <c r="F1421">
        <v>6646.44</v>
      </c>
      <c r="G1421">
        <v>6693.85</v>
      </c>
      <c r="H1421">
        <v>6881.15</v>
      </c>
      <c r="I1421">
        <v>6848.79</v>
      </c>
      <c r="J1421">
        <v>6797.88</v>
      </c>
      <c r="K1421">
        <v>6805.66</v>
      </c>
      <c r="L1421">
        <v>6725.84</v>
      </c>
      <c r="M1421">
        <v>6866.67</v>
      </c>
      <c r="N1421">
        <v>7016.15</v>
      </c>
      <c r="O1421">
        <v>6809.7</v>
      </c>
      <c r="P1421">
        <v>6989.31</v>
      </c>
      <c r="Q1421" s="541">
        <f>IF((L1422=""),"",MAX(D1423:P1423))</f>
        <v>5523.8599999999988</v>
      </c>
      <c r="R1421" s="507">
        <f>IF(L1422="","",MIN(D1423:L1423))</f>
        <v>5423.3399999999992</v>
      </c>
      <c r="S1421" s="400">
        <f>IF((P1423=""),"",AVERAGE(D1423:P1423))</f>
        <v>5472.08</v>
      </c>
      <c r="T1421" s="412">
        <f>IF((L1422=""),"",(Q1421-R1421)/(Q1421+R1421)*100)</f>
        <v>0.91822566501022684</v>
      </c>
      <c r="U1421" s="507">
        <f>STDEV(D1423:P1423)</f>
        <v>28.97567945723695</v>
      </c>
      <c r="V1421" s="547" t="str">
        <f>IF(P1422="","",IF(T1421&lt;2.7,IF(S1421&gt;5130,IF(S1421&lt;5770,"Pass","Fail"),"Fail"),"Fail"))</f>
        <v>Pass</v>
      </c>
      <c r="W1421" s="507">
        <v>121</v>
      </c>
      <c r="X1421" s="549"/>
      <c r="Y1421" s="268"/>
      <c r="Z1421" s="321">
        <v>4470</v>
      </c>
      <c r="AA1421" s="321">
        <v>6020</v>
      </c>
      <c r="AB1421" s="321">
        <v>5130</v>
      </c>
      <c r="AC1421" s="321">
        <v>5775</v>
      </c>
      <c r="AD1421" s="305">
        <v>10</v>
      </c>
      <c r="AE1421" s="322">
        <v>2.7</v>
      </c>
    </row>
    <row r="1422" spans="1:31" ht="15.75">
      <c r="A1422" s="390"/>
      <c r="B1422" s="404"/>
      <c r="C1422" s="404" t="s">
        <v>198</v>
      </c>
      <c r="D1422">
        <v>3945.25</v>
      </c>
      <c r="E1422">
        <v>4034.31</v>
      </c>
      <c r="F1422">
        <v>3934.77</v>
      </c>
      <c r="G1422">
        <v>3964.84</v>
      </c>
      <c r="H1422">
        <v>4119.22</v>
      </c>
      <c r="I1422">
        <v>4104.57</v>
      </c>
      <c r="J1422">
        <v>4067.44</v>
      </c>
      <c r="K1422">
        <v>4070.46</v>
      </c>
      <c r="L1422">
        <v>4011.65</v>
      </c>
      <c r="M1422">
        <v>4129.1899999999996</v>
      </c>
      <c r="N1422">
        <v>4260.4399999999996</v>
      </c>
      <c r="O1422">
        <v>4078.87</v>
      </c>
      <c r="P1422">
        <v>4247.24</v>
      </c>
      <c r="Q1422" s="550"/>
      <c r="R1422" s="551"/>
      <c r="S1422" s="551"/>
      <c r="T1422" s="551"/>
      <c r="U1422" s="551"/>
      <c r="V1422" s="552"/>
      <c r="W1422" s="551"/>
      <c r="X1422" s="408"/>
      <c r="Y1422" s="268"/>
      <c r="Z1422" s="267"/>
      <c r="AA1422" s="267"/>
      <c r="AB1422" s="267"/>
      <c r="AC1422" s="267"/>
      <c r="AD1422" s="268"/>
      <c r="AE1422" s="269"/>
    </row>
    <row r="1423" spans="1:31" ht="43.5" thickBot="1">
      <c r="A1423" s="393"/>
      <c r="B1423" s="414"/>
      <c r="C1423" s="414" t="s">
        <v>637</v>
      </c>
      <c r="D1423" s="415">
        <f t="shared" ref="D1423:P1423" si="472">IF(((D1421="")*AND(D1422="")),"",(D1421-D1422)*2)</f>
        <v>5457.3600000000006</v>
      </c>
      <c r="E1423" s="415">
        <f t="shared" si="472"/>
        <v>5494.1799999999994</v>
      </c>
      <c r="F1423" s="415">
        <f t="shared" si="472"/>
        <v>5423.3399999999992</v>
      </c>
      <c r="G1423" s="415">
        <f t="shared" si="472"/>
        <v>5458.02</v>
      </c>
      <c r="H1423" s="415">
        <f t="shared" si="472"/>
        <v>5523.8599999999988</v>
      </c>
      <c r="I1423" s="415">
        <f t="shared" si="472"/>
        <v>5488.4400000000005</v>
      </c>
      <c r="J1423" s="415">
        <f t="shared" si="472"/>
        <v>5460.88</v>
      </c>
      <c r="K1423" s="415">
        <f t="shared" si="472"/>
        <v>5470.4</v>
      </c>
      <c r="L1423" s="415">
        <f t="shared" si="472"/>
        <v>5428.38</v>
      </c>
      <c r="M1423" s="415">
        <f t="shared" si="472"/>
        <v>5474.9600000000009</v>
      </c>
      <c r="N1423" s="415">
        <f t="shared" si="472"/>
        <v>5511.42</v>
      </c>
      <c r="O1423" s="415">
        <f t="shared" si="472"/>
        <v>5461.66</v>
      </c>
      <c r="P1423" s="415">
        <f t="shared" si="472"/>
        <v>5484.1400000000012</v>
      </c>
      <c r="Q1423" s="555"/>
      <c r="R1423" s="553"/>
      <c r="S1423" s="553"/>
      <c r="T1423" s="553"/>
      <c r="U1423" s="553"/>
      <c r="V1423" s="554"/>
      <c r="W1423" s="553"/>
      <c r="X1423" s="417"/>
      <c r="Y1423" s="268"/>
      <c r="Z1423" s="267"/>
      <c r="AA1423" s="267"/>
      <c r="AB1423" s="267"/>
      <c r="AC1423" s="267"/>
      <c r="AD1423" s="268"/>
      <c r="AE1423" s="269"/>
    </row>
    <row r="1424" spans="1:31" ht="15.75">
      <c r="A1424" s="344">
        <v>44267</v>
      </c>
      <c r="B1424" s="395" t="s">
        <v>202</v>
      </c>
      <c r="C1424" s="396" t="s">
        <v>199</v>
      </c>
      <c r="D1424">
        <v>5905.08</v>
      </c>
      <c r="E1424">
        <v>6029.64</v>
      </c>
      <c r="F1424">
        <v>6095.87</v>
      </c>
      <c r="G1424">
        <v>6087.35</v>
      </c>
      <c r="H1424">
        <v>6028.35</v>
      </c>
      <c r="I1424">
        <v>5965.85</v>
      </c>
      <c r="J1424">
        <v>6090.12</v>
      </c>
      <c r="K1424">
        <v>6080.69</v>
      </c>
      <c r="L1424">
        <v>5923.46</v>
      </c>
      <c r="M1424" s="545"/>
      <c r="N1424" s="545"/>
      <c r="O1424" s="545"/>
      <c r="P1424" s="545"/>
      <c r="Q1424" s="556">
        <f>IF((L1425=""),"",MAX(D1426:L1426))</f>
        <v>7157.5499999999993</v>
      </c>
      <c r="R1424" s="548">
        <f>IF(L1425="","",MIN(D1426:L1426))</f>
        <v>7021.2300000000014</v>
      </c>
      <c r="S1424" s="557">
        <f>IF((L1426=""),"",AVERAGE(D1426:L1426))</f>
        <v>7092.8100000000013</v>
      </c>
      <c r="T1424" s="400">
        <f>IF((L1425=""),"",(Q1424-R1424)/(Q1424+R1424)*100)</f>
        <v>0.9614367385628233</v>
      </c>
      <c r="U1424" s="548">
        <f>STDEV(D1426:P1426)</f>
        <v>49.974613305165242</v>
      </c>
      <c r="V1424" s="558" t="str">
        <f>IF(L1425="","",IF(T1424&lt;9.8,IF(S1424&gt;5100,IF(S1424&lt;8300,"Pass","Fail"),"Fail"),"Fail"))</f>
        <v>Pass</v>
      </c>
      <c r="W1424" s="548">
        <v>121</v>
      </c>
      <c r="X1424" s="559"/>
      <c r="Y1424" s="268"/>
      <c r="Z1424" s="267">
        <v>4955</v>
      </c>
      <c r="AA1424" s="267">
        <v>9645</v>
      </c>
      <c r="AB1424" s="267">
        <v>5100</v>
      </c>
      <c r="AC1424" s="267">
        <v>8300</v>
      </c>
      <c r="AD1424" s="305">
        <v>10</v>
      </c>
      <c r="AE1424" s="305">
        <v>9.8000000000000007</v>
      </c>
    </row>
    <row r="1425" spans="1:31" ht="15.75">
      <c r="A1425" s="390"/>
      <c r="B1425" s="404"/>
      <c r="C1425" s="405" t="s">
        <v>198</v>
      </c>
      <c r="D1425">
        <v>3564.63</v>
      </c>
      <c r="E1425">
        <v>3673.08</v>
      </c>
      <c r="F1425">
        <v>3731.47</v>
      </c>
      <c r="G1425">
        <v>3713.94</v>
      </c>
      <c r="H1425">
        <v>3644.3</v>
      </c>
      <c r="I1425">
        <v>3625.44</v>
      </c>
      <c r="J1425">
        <v>3729.47</v>
      </c>
      <c r="K1425">
        <v>3708.04</v>
      </c>
      <c r="L1425">
        <v>3537.61</v>
      </c>
      <c r="M1425" s="546"/>
      <c r="N1425" s="546"/>
      <c r="O1425" s="546"/>
      <c r="P1425" s="546"/>
      <c r="Q1425" s="550"/>
      <c r="R1425" s="551"/>
      <c r="S1425" s="551"/>
      <c r="T1425" s="551"/>
      <c r="U1425" s="551"/>
      <c r="V1425" s="552"/>
      <c r="W1425" s="551"/>
      <c r="X1425" s="408"/>
      <c r="Y1425" s="268"/>
      <c r="Z1425" s="267"/>
      <c r="AA1425" s="267"/>
      <c r="AB1425" s="267"/>
      <c r="AC1425" s="267"/>
      <c r="AD1425" s="268"/>
      <c r="AE1425" s="269"/>
    </row>
    <row r="1426" spans="1:31" ht="43.5" thickBot="1">
      <c r="A1426" s="393"/>
      <c r="B1426" s="414"/>
      <c r="C1426" s="542" t="s">
        <v>637</v>
      </c>
      <c r="D1426" s="543">
        <f t="shared" ref="D1426:G1426" si="473">IF(((D1424="")*AND(D1425="")),"",(D1424-D1425)*3)</f>
        <v>7021.3499999999995</v>
      </c>
      <c r="E1426" s="543">
        <f t="shared" si="473"/>
        <v>7069.6800000000012</v>
      </c>
      <c r="F1426" s="543">
        <f t="shared" si="473"/>
        <v>7093.2000000000007</v>
      </c>
      <c r="G1426" s="543">
        <f t="shared" si="473"/>
        <v>7120.2300000000014</v>
      </c>
      <c r="H1426" s="543">
        <f>IF(((H1424="")*AND(H1425="")),"",(H1424-H1425)*3)</f>
        <v>7152.1500000000005</v>
      </c>
      <c r="I1426" s="543">
        <f t="shared" ref="I1426" si="474">IF(((I1424="")*AND(I1425="")),"",(I1424-I1425)*3)</f>
        <v>7021.2300000000014</v>
      </c>
      <c r="J1426" s="543">
        <f>IF(((J1424="")*AND(J1425="")),"",(J1424-J1425)*3)</f>
        <v>7081.9500000000007</v>
      </c>
      <c r="K1426" s="543">
        <f t="shared" ref="K1426:L1426" si="475">IF(((K1424="")*AND(K1425="")),"",(K1424-K1425)*3)</f>
        <v>7117.9499999999989</v>
      </c>
      <c r="L1426" s="543">
        <f t="shared" si="475"/>
        <v>7157.5499999999993</v>
      </c>
      <c r="M1426" s="544"/>
      <c r="N1426" s="544"/>
      <c r="O1426" s="544"/>
      <c r="P1426" s="544" t="str">
        <f>IF(((P1424="")*AND(P1425="")),"",(P1424-P1425)*2)</f>
        <v/>
      </c>
      <c r="Q1426" s="555"/>
      <c r="R1426" s="553"/>
      <c r="S1426" s="553"/>
      <c r="T1426" s="553"/>
      <c r="U1426" s="553"/>
      <c r="V1426" s="554"/>
      <c r="W1426" s="553"/>
      <c r="X1426" s="417"/>
      <c r="Y1426" s="268"/>
      <c r="Z1426" s="267"/>
      <c r="AA1426" s="267"/>
      <c r="AB1426" s="267"/>
      <c r="AC1426" s="267"/>
      <c r="AD1426" s="268"/>
      <c r="AE1426" s="269"/>
    </row>
  </sheetData>
  <autoFilter ref="A13:AD1330"/>
  <mergeCells count="9">
    <mergeCell ref="Y533:Y535"/>
    <mergeCell ref="Y527:Y529"/>
    <mergeCell ref="Y509:Y514"/>
    <mergeCell ref="B9:B10"/>
    <mergeCell ref="B11:B12"/>
    <mergeCell ref="C8:P8"/>
    <mergeCell ref="Y521:Y523"/>
    <mergeCell ref="Y515:Y520"/>
    <mergeCell ref="Y503:Y508"/>
  </mergeCells>
  <conditionalFormatting sqref="A1:A1048576">
    <cfRule type="timePeriod" dxfId="29" priority="20" timePeriod="today">
      <formula>FLOOR(A1,1)=TODAY()</formula>
    </cfRule>
  </conditionalFormatting>
  <conditionalFormatting sqref="V1:V1048576">
    <cfRule type="containsText" dxfId="28" priority="18" operator="containsText" text="FAIL">
      <formula>NOT(ISERROR(SEARCH("FAIL",V1)))</formula>
    </cfRule>
    <cfRule type="containsText" dxfId="27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95" t="s">
        <v>14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  <c r="O1" s="595"/>
      <c r="P1" s="596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97" t="s">
        <v>15</v>
      </c>
      <c r="B2" s="597"/>
      <c r="C2" s="597"/>
      <c r="D2" s="597"/>
      <c r="E2" s="597"/>
      <c r="F2" s="597"/>
      <c r="G2" s="597"/>
      <c r="H2" s="597"/>
      <c r="I2" s="597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97" t="s">
        <v>287</v>
      </c>
      <c r="B3" s="597"/>
      <c r="C3" s="597"/>
      <c r="D3" s="597"/>
      <c r="E3" s="597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97" t="s">
        <v>284</v>
      </c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598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97" t="s">
        <v>283</v>
      </c>
      <c r="B5" s="597"/>
      <c r="C5" s="597"/>
      <c r="D5" s="597"/>
      <c r="E5" s="597"/>
      <c r="F5" s="597"/>
      <c r="G5" s="597"/>
      <c r="H5" s="597"/>
      <c r="I5" s="597"/>
      <c r="J5" s="597"/>
      <c r="K5" s="597"/>
      <c r="L5" s="597"/>
      <c r="M5" s="597"/>
      <c r="N5" s="597"/>
      <c r="O5" s="597"/>
      <c r="P5" s="598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97" t="s">
        <v>281</v>
      </c>
      <c r="B6" s="597"/>
      <c r="C6" s="597"/>
      <c r="D6" s="597"/>
      <c r="E6" s="597"/>
      <c r="F6" s="597"/>
      <c r="G6" s="597"/>
      <c r="H6" s="597"/>
      <c r="I6" s="597"/>
      <c r="J6" s="597"/>
      <c r="K6" s="597"/>
      <c r="L6" s="597"/>
      <c r="M6" s="597"/>
      <c r="N6" s="597"/>
      <c r="O6" s="597"/>
      <c r="P6" s="598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97" t="s">
        <v>279</v>
      </c>
      <c r="B7" s="597"/>
      <c r="C7" s="597"/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  <c r="O7" s="597"/>
      <c r="P7" s="598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602" t="s">
        <v>277</v>
      </c>
      <c r="E9" s="603"/>
      <c r="F9" s="603"/>
      <c r="G9" s="603"/>
      <c r="H9" s="603"/>
      <c r="I9" s="603"/>
      <c r="J9" s="603"/>
      <c r="K9" s="603"/>
      <c r="L9" s="603"/>
      <c r="M9" s="603"/>
      <c r="N9" s="603"/>
      <c r="O9" s="603"/>
      <c r="P9" s="603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99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600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600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600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600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600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600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600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601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92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93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93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93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93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94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92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93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93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93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93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94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26" priority="7" stopIfTrue="1" operator="equal">
      <formula>"Pass"</formula>
    </cfRule>
    <cfRule type="cellIs" dxfId="25" priority="8" stopIfTrue="1" operator="equal">
      <formula>"Fail"</formula>
    </cfRule>
  </conditionalFormatting>
  <conditionalFormatting sqref="V10:V24">
    <cfRule type="cellIs" dxfId="24" priority="5" stopIfTrue="1" operator="equal">
      <formula>"Fail"</formula>
    </cfRule>
    <cfRule type="cellIs" dxfId="23" priority="6" stopIfTrue="1" operator="equal">
      <formula>"Pass"</formula>
    </cfRule>
  </conditionalFormatting>
  <conditionalFormatting sqref="I25:I26 I28:P29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V25:V30">
    <cfRule type="cellIs" dxfId="20" priority="1" stopIfTrue="1" operator="equal">
      <formula>"Fail"</formula>
    </cfRule>
    <cfRule type="cellIs" dxfId="19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18" priority="5" stopIfTrue="1" operator="equal">
      <formula>"Pass"</formula>
    </cfRule>
    <cfRule type="cellIs" dxfId="17" priority="6" stopIfTrue="1" operator="equal">
      <formula>"Fail"</formula>
    </cfRule>
  </conditionalFormatting>
  <conditionalFormatting sqref="U1:V6">
    <cfRule type="cellIs" dxfId="16" priority="3" stopIfTrue="1" operator="equal">
      <formula>"Fail"</formula>
    </cfRule>
    <cfRule type="cellIs" dxfId="15" priority="4" stopIfTrue="1" operator="equal">
      <formula>"Pass"</formula>
    </cfRule>
  </conditionalFormatting>
  <conditionalFormatting sqref="D1:K2">
    <cfRule type="cellIs" dxfId="14" priority="1" stopIfTrue="1" operator="equal">
      <formula>"Pass"</formula>
    </cfRule>
    <cfRule type="cellIs" dxfId="13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2021-03-12T11:16:50Z</dcterms:modified>
</cp:coreProperties>
</file>